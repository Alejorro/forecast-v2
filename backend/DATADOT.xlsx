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$user\DOT4\Forecast 2026\"/>
    </mc:Choice>
  </mc:AlternateContent>
  <bookViews>
    <workbookView xWindow="0" yWindow="0" windowWidth="14380" windowHeight="5000"/>
  </bookViews>
  <sheets>
    <sheet name="PLAN 2026" sheetId="2" r:id="rId1"/>
    <sheet name="LOSS" sheetId="3" r:id="rId2"/>
  </sheets>
  <definedNames>
    <definedName name="_xlnm._FilterDatabase" localSheetId="0" hidden="1">'PLAN 2026'!$22:$22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7" i="2" l="1"/>
  <c r="R161" i="2" l="1"/>
  <c r="Q116" i="2"/>
  <c r="T116" i="2" s="1"/>
  <c r="O131" i="2"/>
  <c r="Q131" i="2"/>
  <c r="T131" i="2" s="1"/>
  <c r="Q133" i="2"/>
  <c r="T133" i="2" s="1"/>
  <c r="O16" i="3"/>
  <c r="S16" i="3" s="1"/>
  <c r="Q103" i="2"/>
  <c r="T103" i="2" s="1"/>
  <c r="Q276" i="2"/>
  <c r="T276" i="2" s="1"/>
  <c r="Q275" i="2"/>
  <c r="T275" i="2" s="1"/>
  <c r="Q274" i="2"/>
  <c r="T274" i="2" s="1"/>
  <c r="Q266" i="2"/>
  <c r="T266" i="2" s="1"/>
  <c r="R270" i="2"/>
  <c r="T270" i="2" s="1"/>
  <c r="R271" i="2"/>
  <c r="P15" i="3"/>
  <c r="S15" i="3" s="1"/>
  <c r="Q55" i="2" l="1"/>
  <c r="Q54" i="2"/>
  <c r="R61" i="2"/>
  <c r="Q41" i="2"/>
  <c r="T41" i="2" s="1"/>
  <c r="Q49" i="2"/>
  <c r="P112" i="2"/>
  <c r="P31" i="2"/>
  <c r="Q47" i="2"/>
  <c r="Q42" i="2" l="1"/>
  <c r="T42" i="2" s="1"/>
  <c r="Q170" i="2" l="1"/>
  <c r="T170" i="2" s="1"/>
  <c r="Q139" i="2"/>
  <c r="T139" i="2" s="1"/>
  <c r="Q120" i="2"/>
  <c r="T120" i="2" s="1"/>
  <c r="Q146" i="2"/>
  <c r="T146" i="2" s="1"/>
  <c r="O14" i="3" l="1"/>
  <c r="S14" i="3" s="1"/>
  <c r="Q44" i="2" l="1"/>
  <c r="T44" i="2" s="1"/>
  <c r="Q122" i="2" l="1"/>
  <c r="T122" i="2" s="1"/>
  <c r="Q142" i="2" l="1"/>
  <c r="Q79" i="2"/>
  <c r="T79" i="2" s="1"/>
  <c r="Q50" i="2"/>
  <c r="T50" i="2" s="1"/>
  <c r="T142" i="2" l="1"/>
  <c r="Q190" i="2"/>
  <c r="T190" i="2" s="1"/>
  <c r="P238" i="2"/>
  <c r="O257" i="2"/>
  <c r="P257" i="2" s="1"/>
  <c r="T257" i="2" s="1"/>
  <c r="P35" i="2"/>
  <c r="Q178" i="2"/>
  <c r="T178" i="2" s="1"/>
  <c r="Q179" i="2"/>
  <c r="T179" i="2" s="1"/>
  <c r="P110" i="2"/>
  <c r="T110" i="2" s="1"/>
  <c r="P215" i="2"/>
  <c r="T215" i="2" s="1"/>
  <c r="P177" i="2"/>
  <c r="T177" i="2" s="1"/>
  <c r="R128" i="2"/>
  <c r="T128" i="2" s="1"/>
  <c r="Q272" i="2"/>
  <c r="P237" i="2"/>
  <c r="Q254" i="2"/>
  <c r="T254" i="2" s="1"/>
  <c r="Q244" i="2"/>
  <c r="T244" i="2" s="1"/>
  <c r="Q243" i="2"/>
  <c r="R236" i="2"/>
  <c r="T236" i="2" s="1"/>
  <c r="Q78" i="2"/>
  <c r="T78" i="2" s="1"/>
  <c r="Q124" i="2"/>
  <c r="T124" i="2" s="1"/>
  <c r="T243" i="2" l="1"/>
  <c r="P145" i="2"/>
  <c r="T145" i="2" s="1"/>
  <c r="Q45" i="2" l="1"/>
  <c r="T45" i="2" s="1"/>
  <c r="T267" i="2" l="1"/>
  <c r="T252" i="2"/>
  <c r="T182" i="2"/>
  <c r="Q135" i="2"/>
  <c r="T54" i="2"/>
  <c r="Q48" i="2"/>
  <c r="T48" i="2" s="1"/>
  <c r="S64" i="2" l="1"/>
  <c r="T64" i="2" s="1"/>
  <c r="Q51" i="2"/>
  <c r="T51" i="2" s="1"/>
  <c r="P32" i="2"/>
  <c r="T32" i="2" s="1"/>
  <c r="T47" i="2"/>
  <c r="P39" i="2"/>
  <c r="R57" i="2" l="1"/>
  <c r="T57" i="2" s="1"/>
  <c r="P251" i="2"/>
  <c r="O33" i="2"/>
  <c r="S231" i="2"/>
  <c r="R231" i="2"/>
  <c r="Q231" i="2"/>
  <c r="P231" i="2"/>
  <c r="O231" i="2"/>
  <c r="Q235" i="2"/>
  <c r="T235" i="2" s="1"/>
  <c r="O13" i="3"/>
  <c r="S13" i="3" s="1"/>
  <c r="O12" i="3"/>
  <c r="S12" i="3" s="1"/>
  <c r="T95" i="2"/>
  <c r="P200" i="2"/>
  <c r="Q148" i="2"/>
  <c r="T148" i="2" s="1"/>
  <c r="T272" i="2"/>
  <c r="O155" i="2"/>
  <c r="T35" i="2" l="1"/>
  <c r="S63" i="2"/>
  <c r="T63" i="2" s="1"/>
  <c r="O285" i="2"/>
  <c r="O282" i="2"/>
  <c r="R282" i="2" s="1"/>
  <c r="T282" i="2" s="1"/>
  <c r="P191" i="2"/>
  <c r="T191" i="2" s="1"/>
  <c r="R10" i="3" l="1"/>
  <c r="N10" i="3"/>
  <c r="N9" i="3"/>
  <c r="R9" i="3" s="1"/>
  <c r="R160" i="2"/>
  <c r="T160" i="2" s="1"/>
  <c r="Q137" i="2"/>
  <c r="T137" i="2" s="1"/>
  <c r="Q140" i="2"/>
  <c r="T140" i="2" s="1"/>
  <c r="S171" i="2"/>
  <c r="T171" i="2" s="1"/>
  <c r="Q123" i="2"/>
  <c r="Q154" i="2"/>
  <c r="Q144" i="2"/>
  <c r="Q132" i="2"/>
  <c r="Q98" i="2"/>
  <c r="P223" i="2" l="1"/>
  <c r="T223" i="2" s="1"/>
  <c r="S73" i="2"/>
  <c r="R73" i="2"/>
  <c r="Q73" i="2"/>
  <c r="P73" i="2"/>
  <c r="P202" i="2"/>
  <c r="T202" i="2" s="1"/>
  <c r="P186" i="2"/>
  <c r="T186" i="2" s="1"/>
  <c r="P219" i="2"/>
  <c r="T219" i="2" s="1"/>
  <c r="P226" i="2"/>
  <c r="T226" i="2" s="1"/>
  <c r="P206" i="2"/>
  <c r="T206" i="2" s="1"/>
  <c r="P213" i="2"/>
  <c r="T213" i="2" s="1"/>
  <c r="P227" i="2"/>
  <c r="T227" i="2" s="1"/>
  <c r="O225" i="2"/>
  <c r="P225" i="2" s="1"/>
  <c r="T225" i="2" s="1"/>
  <c r="O228" i="2"/>
  <c r="P228" i="2" s="1"/>
  <c r="T228" i="2" s="1"/>
  <c r="O220" i="2"/>
  <c r="P220" i="2" s="1"/>
  <c r="T220" i="2" s="1"/>
  <c r="P211" i="2"/>
  <c r="T211" i="2" s="1"/>
  <c r="P205" i="2"/>
  <c r="T205" i="2" s="1"/>
  <c r="P210" i="2"/>
  <c r="T210" i="2" s="1"/>
  <c r="P209" i="2"/>
  <c r="T209" i="2" s="1"/>
  <c r="P224" i="2"/>
  <c r="T224" i="2" s="1"/>
  <c r="P260" i="2"/>
  <c r="T260" i="2" s="1"/>
  <c r="O229" i="2"/>
  <c r="P229" i="2" s="1"/>
  <c r="T229" i="2" s="1"/>
  <c r="O218" i="2"/>
  <c r="P218" i="2" s="1"/>
  <c r="T218" i="2" s="1"/>
  <c r="O118" i="2"/>
  <c r="P118" i="2" s="1"/>
  <c r="T118" i="2" s="1"/>
  <c r="P198" i="2"/>
  <c r="T198" i="2" s="1"/>
  <c r="P217" i="2"/>
  <c r="T217" i="2" s="1"/>
  <c r="P68" i="2"/>
  <c r="T68" i="2" s="1"/>
  <c r="P70" i="2"/>
  <c r="T70" i="2" s="1"/>
  <c r="O71" i="2"/>
  <c r="P71" i="2" s="1"/>
  <c r="T71" i="2" s="1"/>
  <c r="P188" i="2"/>
  <c r="T188" i="2" s="1"/>
  <c r="P196" i="2"/>
  <c r="T196" i="2" s="1"/>
  <c r="P216" i="2"/>
  <c r="T216" i="2" s="1"/>
  <c r="O194" i="2"/>
  <c r="P194" i="2" s="1"/>
  <c r="T194" i="2" s="1"/>
  <c r="P214" i="2"/>
  <c r="T214" i="2" s="1"/>
  <c r="O107" i="2"/>
  <c r="P107" i="2" s="1"/>
  <c r="T107" i="2" s="1"/>
  <c r="P263" i="2"/>
  <c r="P193" i="2"/>
  <c r="T193" i="2" s="1"/>
  <c r="P222" i="2"/>
  <c r="T222" i="2" s="1"/>
  <c r="P221" i="2"/>
  <c r="T221" i="2" s="1"/>
  <c r="P208" i="2"/>
  <c r="T208" i="2" s="1"/>
  <c r="P207" i="2"/>
  <c r="T207" i="2" s="1"/>
  <c r="P184" i="2"/>
  <c r="T184" i="2" s="1"/>
  <c r="P38" i="2"/>
  <c r="T38" i="2" s="1"/>
  <c r="T123" i="2"/>
  <c r="T155" i="2"/>
  <c r="P253" i="2" l="1"/>
  <c r="T31" i="2" l="1"/>
  <c r="P26" i="2" l="1"/>
  <c r="T26" i="2" s="1"/>
  <c r="O111" i="2" l="1"/>
  <c r="P111" i="2" s="1"/>
  <c r="P258" i="2"/>
  <c r="T258" i="2" s="1"/>
  <c r="P105" i="2"/>
  <c r="T105" i="2" s="1"/>
  <c r="P92" i="2"/>
  <c r="Q234" i="2" l="1"/>
  <c r="T234" i="2" s="1"/>
  <c r="Q53" i="2" l="1"/>
  <c r="T53" i="2" s="1"/>
  <c r="P180" i="2"/>
  <c r="T180" i="2" s="1"/>
  <c r="T98" i="2"/>
  <c r="P102" i="2"/>
  <c r="T102" i="2" s="1"/>
  <c r="R165" i="2"/>
  <c r="T165" i="2" s="1"/>
  <c r="T200" i="2"/>
  <c r="P256" i="2"/>
  <c r="T256" i="2" s="1"/>
  <c r="T231" i="2"/>
  <c r="Q189" i="2"/>
  <c r="T189" i="2" s="1"/>
  <c r="T251" i="2"/>
  <c r="T232" i="2"/>
  <c r="Q247" i="2"/>
  <c r="T247" i="2" s="1"/>
  <c r="Q241" i="2"/>
  <c r="T241" i="2" s="1"/>
  <c r="O204" i="2"/>
  <c r="P204" i="2" s="1"/>
  <c r="T204" i="2" s="1"/>
  <c r="O255" i="2"/>
  <c r="P255" i="2" s="1"/>
  <c r="T255" i="2" s="1"/>
  <c r="Q240" i="2"/>
  <c r="T240" i="2" s="1"/>
  <c r="Q249" i="2" l="1"/>
  <c r="T249" i="2" s="1"/>
  <c r="Q248" i="2"/>
  <c r="T248" i="2" s="1"/>
  <c r="T271" i="2"/>
  <c r="Q56" i="2"/>
  <c r="T56" i="2" s="1"/>
  <c r="Q127" i="2"/>
  <c r="T127" i="2" s="1"/>
  <c r="Q40" i="2"/>
  <c r="T40" i="2" s="1"/>
  <c r="Q156" i="2"/>
  <c r="T156" i="2" s="1"/>
  <c r="Q245" i="2"/>
  <c r="T245" i="2" s="1"/>
  <c r="T238" i="2"/>
  <c r="O246" i="2"/>
  <c r="Q246" i="2" l="1"/>
  <c r="T246" i="2" s="1"/>
  <c r="M8" i="3"/>
  <c r="O8" i="3" s="1"/>
  <c r="R8" i="3" s="1"/>
  <c r="R7" i="3"/>
  <c r="N7" i="3"/>
  <c r="N6" i="3"/>
  <c r="R6" i="3" s="1"/>
  <c r="Q5" i="3"/>
  <c r="R5" i="3" s="1"/>
  <c r="N4" i="3"/>
  <c r="R4" i="3" s="1"/>
  <c r="P3" i="3"/>
  <c r="R3" i="3" s="1"/>
  <c r="P176" i="2"/>
  <c r="T176" i="2" s="1"/>
  <c r="P30" i="2"/>
  <c r="T30" i="2" s="1"/>
  <c r="P28" i="2"/>
  <c r="T28" i="2" s="1"/>
  <c r="P199" i="2"/>
  <c r="T199" i="2" s="1"/>
  <c r="P259" i="2"/>
  <c r="T259" i="2" s="1"/>
  <c r="T61" i="2"/>
  <c r="S66" i="2"/>
  <c r="T66" i="2" s="1"/>
  <c r="R159" i="2"/>
  <c r="T159" i="2" s="1"/>
  <c r="S278" i="2"/>
  <c r="R278" i="2"/>
  <c r="O278" i="2"/>
  <c r="T230" i="2"/>
  <c r="Q52" i="2"/>
  <c r="T52" i="2" s="1"/>
  <c r="P181" i="2"/>
  <c r="T181" i="2" s="1"/>
  <c r="P80" i="2"/>
  <c r="T80" i="2" s="1"/>
  <c r="P197" i="2"/>
  <c r="T197" i="2" s="1"/>
  <c r="P203" i="2"/>
  <c r="T203" i="2" s="1"/>
  <c r="P195" i="2"/>
  <c r="T195" i="2" s="1"/>
  <c r="P67" i="2"/>
  <c r="T67" i="2" s="1"/>
  <c r="P175" i="2"/>
  <c r="T175" i="2" s="1"/>
  <c r="Q242" i="2"/>
  <c r="T242" i="2" s="1"/>
  <c r="P183" i="2"/>
  <c r="R167" i="2"/>
  <c r="T167" i="2" s="1"/>
  <c r="P174" i="2"/>
  <c r="T174" i="2" s="1"/>
  <c r="T253" i="2"/>
  <c r="Q250" i="2"/>
  <c r="P187" i="2"/>
  <c r="T187" i="2" s="1"/>
  <c r="P192" i="2"/>
  <c r="T192" i="2" s="1"/>
  <c r="T237" i="2"/>
  <c r="Q281" i="2"/>
  <c r="T281" i="2" s="1"/>
  <c r="Q121" i="2"/>
  <c r="T121" i="2" s="1"/>
  <c r="Q141" i="2"/>
  <c r="T141" i="2" s="1"/>
  <c r="Q151" i="2"/>
  <c r="Q138" i="2"/>
  <c r="P185" i="2"/>
  <c r="T185" i="2" s="1"/>
  <c r="Q46" i="2"/>
  <c r="T46" i="2" s="1"/>
  <c r="T144" i="2"/>
  <c r="P36" i="2"/>
  <c r="P33" i="2"/>
  <c r="Q157" i="2"/>
  <c r="T157" i="2" s="1"/>
  <c r="Q75" i="2"/>
  <c r="T75" i="2" s="1"/>
  <c r="P37" i="2"/>
  <c r="T37" i="2" s="1"/>
  <c r="P69" i="2"/>
  <c r="T69" i="2" s="1"/>
  <c r="P201" i="2"/>
  <c r="T201" i="2" s="1"/>
  <c r="S172" i="2" l="1"/>
  <c r="T172" i="2" s="1"/>
  <c r="R164" i="2"/>
  <c r="T164" i="2" s="1"/>
  <c r="Q149" i="2"/>
  <c r="T149" i="2" s="1"/>
  <c r="T112" i="2"/>
  <c r="Q143" i="2"/>
  <c r="T143" i="2" s="1"/>
  <c r="Q239" i="2"/>
  <c r="T239" i="2" s="1"/>
  <c r="Q147" i="2"/>
  <c r="T147" i="2" s="1"/>
  <c r="T151" i="2"/>
  <c r="Q153" i="2"/>
  <c r="T153" i="2" s="1"/>
  <c r="R166" i="2"/>
  <c r="T166" i="2" s="1"/>
  <c r="R163" i="2"/>
  <c r="T163" i="2" s="1"/>
  <c r="Q130" i="2"/>
  <c r="T130" i="2" s="1"/>
  <c r="Q152" i="2"/>
  <c r="T152" i="2" s="1"/>
  <c r="Q136" i="2"/>
  <c r="T136" i="2" s="1"/>
  <c r="T138" i="2"/>
  <c r="P114" i="2"/>
  <c r="T114" i="2" s="1"/>
  <c r="P97" i="2"/>
  <c r="T97" i="2" s="1"/>
  <c r="P93" i="2"/>
  <c r="T93" i="2" s="1"/>
  <c r="P99" i="2"/>
  <c r="T99" i="2" s="1"/>
  <c r="T92" i="2"/>
  <c r="P90" i="2" l="1"/>
  <c r="T278" i="2" l="1"/>
  <c r="Q273" i="2"/>
  <c r="T273" i="2" s="1"/>
  <c r="Q264" i="2"/>
  <c r="T264" i="2" s="1"/>
  <c r="R58" i="2" l="1"/>
  <c r="T58" i="2" s="1"/>
  <c r="S62" i="2"/>
  <c r="T62" i="2" s="1"/>
  <c r="P29" i="2"/>
  <c r="T77" i="2" l="1"/>
  <c r="T90" i="2"/>
  <c r="P34" i="2"/>
  <c r="T34" i="2" s="1"/>
  <c r="R284" i="2" l="1"/>
  <c r="T284" i="2" s="1"/>
  <c r="O283" i="2"/>
  <c r="P119" i="2"/>
  <c r="T119" i="2" s="1"/>
  <c r="P104" i="2"/>
  <c r="T104" i="2" s="1"/>
  <c r="T73" i="2"/>
  <c r="P212" i="2"/>
  <c r="T212" i="2" s="1"/>
  <c r="O73" i="2" l="1"/>
  <c r="P24" i="2" l="1"/>
  <c r="T24" i="2" s="1"/>
  <c r="P23" i="2"/>
  <c r="T23" i="2" s="1"/>
  <c r="T29" i="2"/>
  <c r="T111" i="2" l="1"/>
  <c r="Q134" i="2"/>
  <c r="T134" i="2" s="1"/>
  <c r="Q150" i="2"/>
  <c r="T150" i="2" s="1"/>
  <c r="S65" i="2"/>
  <c r="T65" i="2" s="1"/>
  <c r="T39" i="2"/>
  <c r="F15" i="2"/>
  <c r="R59" i="2"/>
  <c r="T59" i="2" s="1"/>
  <c r="T55" i="2"/>
  <c r="M17" i="2"/>
  <c r="K17" i="2"/>
  <c r="F17" i="2"/>
  <c r="I307" i="2"/>
  <c r="J306" i="2"/>
  <c r="I306" i="2"/>
  <c r="H306" i="2"/>
  <c r="J305" i="2"/>
  <c r="I305" i="2"/>
  <c r="G305" i="2"/>
  <c r="J304" i="2"/>
  <c r="I304" i="2"/>
  <c r="J303" i="2"/>
  <c r="I303" i="2"/>
  <c r="J302" i="2"/>
  <c r="I302" i="2"/>
  <c r="H302" i="2"/>
  <c r="J300" i="2"/>
  <c r="I300" i="2"/>
  <c r="H300" i="2"/>
  <c r="G300" i="2"/>
  <c r="I299" i="2"/>
  <c r="G299" i="2"/>
  <c r="F307" i="2"/>
  <c r="F305" i="2"/>
  <c r="F304" i="2"/>
  <c r="F303" i="2"/>
  <c r="F302" i="2"/>
  <c r="F300" i="2"/>
  <c r="F306" i="2"/>
  <c r="T173" i="2"/>
  <c r="Q233" i="2"/>
  <c r="T233" i="2" s="1"/>
  <c r="S72" i="2"/>
  <c r="M16" i="2" s="1"/>
  <c r="R72" i="2"/>
  <c r="K16" i="2" s="1"/>
  <c r="Q72" i="2"/>
  <c r="I16" i="2" s="1"/>
  <c r="S262" i="2"/>
  <c r="R262" i="2"/>
  <c r="Q262" i="2"/>
  <c r="P262" i="2"/>
  <c r="S263" i="2"/>
  <c r="R263" i="2"/>
  <c r="Q263" i="2"/>
  <c r="P72" i="2"/>
  <c r="S84" i="2"/>
  <c r="R84" i="2"/>
  <c r="Q84" i="2"/>
  <c r="P84" i="2"/>
  <c r="O84" i="2"/>
  <c r="S91" i="2"/>
  <c r="R91" i="2"/>
  <c r="Q91" i="2"/>
  <c r="P91" i="2"/>
  <c r="O91" i="2"/>
  <c r="S162" i="2"/>
  <c r="R162" i="2"/>
  <c r="O162" i="2"/>
  <c r="R115" i="2"/>
  <c r="Q115" i="2"/>
  <c r="P115" i="2"/>
  <c r="O115" i="2"/>
  <c r="O280" i="2"/>
  <c r="O277" i="2"/>
  <c r="R283" i="2"/>
  <c r="T283" i="2" s="1"/>
  <c r="R285" i="2"/>
  <c r="T285" i="2" s="1"/>
  <c r="O279" i="2"/>
  <c r="O269" i="2"/>
  <c r="Q269" i="2" s="1"/>
  <c r="T269" i="2" s="1"/>
  <c r="O268" i="2"/>
  <c r="Q265" i="2"/>
  <c r="T265" i="2" s="1"/>
  <c r="F9" i="2"/>
  <c r="J8" i="2"/>
  <c r="I8" i="2"/>
  <c r="H8" i="2"/>
  <c r="G8" i="2"/>
  <c r="J7" i="2"/>
  <c r="I7" i="2"/>
  <c r="H7" i="2"/>
  <c r="G7" i="2"/>
  <c r="J6" i="2"/>
  <c r="J5" i="2"/>
  <c r="J4" i="2"/>
  <c r="I6" i="2"/>
  <c r="I5" i="2"/>
  <c r="I4" i="2"/>
  <c r="H6" i="2"/>
  <c r="H5" i="2"/>
  <c r="H4" i="2"/>
  <c r="G6" i="2"/>
  <c r="G5" i="2"/>
  <c r="G4" i="2"/>
  <c r="P113" i="2"/>
  <c r="T113" i="2" s="1"/>
  <c r="P117" i="2"/>
  <c r="T117" i="2" s="1"/>
  <c r="P85" i="2"/>
  <c r="T85" i="2" s="1"/>
  <c r="P109" i="2"/>
  <c r="T109" i="2" s="1"/>
  <c r="P100" i="2"/>
  <c r="T100" i="2" s="1"/>
  <c r="P82" i="2"/>
  <c r="T82" i="2" s="1"/>
  <c r="P101" i="2"/>
  <c r="T101" i="2" s="1"/>
  <c r="P106" i="2"/>
  <c r="T106" i="2" s="1"/>
  <c r="P108" i="2"/>
  <c r="T108" i="2" s="1"/>
  <c r="P81" i="2"/>
  <c r="T81" i="2" s="1"/>
  <c r="U81" i="2" s="1"/>
  <c r="R279" i="2" l="1"/>
  <c r="T279" i="2" s="1"/>
  <c r="R280" i="2"/>
  <c r="T280" i="2" s="1"/>
  <c r="T162" i="2"/>
  <c r="Q268" i="2"/>
  <c r="T268" i="2" s="1"/>
  <c r="G16" i="2"/>
  <c r="T72" i="2"/>
  <c r="O72" i="2" s="1"/>
  <c r="F16" i="2" s="1"/>
  <c r="M15" i="2"/>
  <c r="N15" i="2" s="1"/>
  <c r="M14" i="2"/>
  <c r="N14" i="2" s="1"/>
  <c r="F13" i="2"/>
  <c r="G17" i="2"/>
  <c r="H17" i="2" s="1"/>
  <c r="I17" i="2"/>
  <c r="J17" i="2" s="1"/>
  <c r="F299" i="2"/>
  <c r="F301" i="2"/>
  <c r="J297" i="2"/>
  <c r="H305" i="2"/>
  <c r="H303" i="2"/>
  <c r="F298" i="2"/>
  <c r="L16" i="2"/>
  <c r="G304" i="2"/>
  <c r="G301" i="2"/>
  <c r="J301" i="2"/>
  <c r="T84" i="2"/>
  <c r="T262" i="2"/>
  <c r="O262" i="2" s="1"/>
  <c r="N16" i="2"/>
  <c r="T263" i="2"/>
  <c r="O263" i="2" s="1"/>
  <c r="T91" i="2"/>
  <c r="T115" i="2"/>
  <c r="J16" i="2"/>
  <c r="N17" i="2"/>
  <c r="L17" i="2"/>
  <c r="K7" i="2"/>
  <c r="I9" i="2"/>
  <c r="G9" i="2"/>
  <c r="H9" i="2"/>
  <c r="J9" i="2"/>
  <c r="K8" i="2"/>
  <c r="K6" i="2"/>
  <c r="K4" i="2"/>
  <c r="K5" i="2"/>
  <c r="P88" i="2"/>
  <c r="T88" i="2" s="1"/>
  <c r="U88" i="2" s="1"/>
  <c r="P89" i="2"/>
  <c r="T89" i="2" s="1"/>
  <c r="R277" i="2"/>
  <c r="I301" i="2" s="1"/>
  <c r="P94" i="2"/>
  <c r="T94" i="2" s="1"/>
  <c r="R60" i="2"/>
  <c r="H298" i="2"/>
  <c r="Q43" i="2"/>
  <c r="T43" i="2" s="1"/>
  <c r="T161" i="2"/>
  <c r="T49" i="2"/>
  <c r="P25" i="2"/>
  <c r="T25" i="2" s="1"/>
  <c r="R158" i="2"/>
  <c r="T158" i="2" s="1"/>
  <c r="S169" i="2"/>
  <c r="T169" i="2" s="1"/>
  <c r="S168" i="2"/>
  <c r="P27" i="2"/>
  <c r="T135" i="2"/>
  <c r="P87" i="2"/>
  <c r="T87" i="2" s="1"/>
  <c r="J298" i="2"/>
  <c r="Q126" i="2"/>
  <c r="T126" i="2" s="1"/>
  <c r="Q129" i="2"/>
  <c r="T129" i="2" s="1"/>
  <c r="P83" i="2"/>
  <c r="T83" i="2" s="1"/>
  <c r="Q125" i="2"/>
  <c r="T125" i="2" s="1"/>
  <c r="P261" i="2"/>
  <c r="G14" i="2" s="1"/>
  <c r="H14" i="2" s="1"/>
  <c r="P96" i="2"/>
  <c r="T96" i="2" s="1"/>
  <c r="P86" i="2"/>
  <c r="T86" i="2" s="1"/>
  <c r="K15" i="2" l="1"/>
  <c r="L15" i="2" s="1"/>
  <c r="T60" i="2"/>
  <c r="J307" i="2"/>
  <c r="T168" i="2"/>
  <c r="H299" i="2"/>
  <c r="J299" i="2"/>
  <c r="G15" i="2"/>
  <c r="I15" i="2"/>
  <c r="J15" i="2" s="1"/>
  <c r="I13" i="2"/>
  <c r="K14" i="2"/>
  <c r="L14" i="2" s="1"/>
  <c r="F14" i="2"/>
  <c r="I298" i="2"/>
  <c r="I297" i="2"/>
  <c r="K13" i="2"/>
  <c r="G303" i="2"/>
  <c r="K303" i="2" s="1"/>
  <c r="F297" i="2"/>
  <c r="F308" i="2" s="1"/>
  <c r="G13" i="2"/>
  <c r="H13" i="2" s="1"/>
  <c r="G306" i="2"/>
  <c r="K306" i="2" s="1"/>
  <c r="M13" i="2"/>
  <c r="G302" i="2"/>
  <c r="I14" i="2"/>
  <c r="J14" i="2" s="1"/>
  <c r="O17" i="2"/>
  <c r="P17" i="2" s="1"/>
  <c r="H307" i="2"/>
  <c r="H301" i="2"/>
  <c r="H304" i="2"/>
  <c r="H297" i="2"/>
  <c r="G307" i="2"/>
  <c r="G298" i="2"/>
  <c r="G297" i="2"/>
  <c r="R294" i="2"/>
  <c r="P294" i="2"/>
  <c r="O294" i="2"/>
  <c r="Q294" i="2"/>
  <c r="O16" i="2"/>
  <c r="P16" i="2" s="1"/>
  <c r="S294" i="2"/>
  <c r="H16" i="2"/>
  <c r="K9" i="2"/>
  <c r="U294" i="2" s="1"/>
  <c r="T132" i="2"/>
  <c r="U132" i="2" s="1"/>
  <c r="T154" i="2"/>
  <c r="U154" i="2" s="1"/>
  <c r="T261" i="2"/>
  <c r="T277" i="2"/>
  <c r="T27" i="2"/>
  <c r="O13" i="2" l="1"/>
  <c r="F18" i="2"/>
  <c r="T294" i="2"/>
  <c r="V294" i="2" s="1"/>
  <c r="K18" i="2"/>
  <c r="L13" i="2"/>
  <c r="L18" i="2" s="1"/>
  <c r="G18" i="2"/>
  <c r="J13" i="2"/>
  <c r="J18" i="2" s="1"/>
  <c r="I18" i="2"/>
  <c r="M18" i="2"/>
  <c r="N13" i="2"/>
  <c r="N18" i="2" s="1"/>
  <c r="I308" i="2"/>
  <c r="O15" i="2"/>
  <c r="P15" i="2" s="1"/>
  <c r="H15" i="2"/>
  <c r="O14" i="2"/>
  <c r="P14" i="2" s="1"/>
  <c r="J308" i="2"/>
  <c r="G308" i="2"/>
  <c r="H308" i="2"/>
  <c r="K307" i="2"/>
  <c r="K298" i="2"/>
  <c r="U27" i="2"/>
  <c r="K304" i="2"/>
  <c r="K302" i="2"/>
  <c r="K300" i="2"/>
  <c r="K305" i="2"/>
  <c r="K301" i="2"/>
  <c r="K299" i="2"/>
  <c r="K297" i="2"/>
  <c r="H18" i="2" l="1"/>
  <c r="O18" i="2"/>
  <c r="P18" i="2" s="1"/>
  <c r="P13" i="2"/>
  <c r="K308" i="2"/>
</calcChain>
</file>

<file path=xl/sharedStrings.xml><?xml version="1.0" encoding="utf-8"?>
<sst xmlns="http://schemas.openxmlformats.org/spreadsheetml/2006/main" count="2281" uniqueCount="555">
  <si>
    <t>1Q</t>
  </si>
  <si>
    <t>2Q</t>
  </si>
  <si>
    <t>3Q</t>
  </si>
  <si>
    <t>4Q</t>
  </si>
  <si>
    <t>Total</t>
  </si>
  <si>
    <t>FORTINET</t>
  </si>
  <si>
    <t>Redlink - Switches</t>
  </si>
  <si>
    <t>Status</t>
  </si>
  <si>
    <t>Cliente - Proyecto</t>
  </si>
  <si>
    <t>IBM</t>
  </si>
  <si>
    <t>LENOVO</t>
  </si>
  <si>
    <t>WON</t>
  </si>
  <si>
    <t>Stryker - AP's</t>
  </si>
  <si>
    <t>CISCO</t>
  </si>
  <si>
    <t>VW - FIS</t>
  </si>
  <si>
    <t>Odd</t>
  </si>
  <si>
    <t>TCV</t>
  </si>
  <si>
    <t>Luis Pasteur - POWER</t>
  </si>
  <si>
    <t>POWER</t>
  </si>
  <si>
    <t>Scania - Mantenimiento</t>
  </si>
  <si>
    <t>TLS</t>
  </si>
  <si>
    <t>Others</t>
  </si>
  <si>
    <t>IBM/LENOVO</t>
  </si>
  <si>
    <t>Scania - Renovacion de Infra - Leasing</t>
  </si>
  <si>
    <t>Tipo</t>
  </si>
  <si>
    <t>C&amp;O</t>
  </si>
  <si>
    <t>VAR</t>
  </si>
  <si>
    <t>MICROSOFT</t>
  </si>
  <si>
    <t>SAMSUNG</t>
  </si>
  <si>
    <t>NOANET - Recambio de Infra</t>
  </si>
  <si>
    <t>LEASING</t>
  </si>
  <si>
    <t>SAN CRISTOBAL - Recambio de Infra</t>
  </si>
  <si>
    <t>Marca</t>
  </si>
  <si>
    <t>Sub-brand</t>
  </si>
  <si>
    <t>HUAWEII</t>
  </si>
  <si>
    <t>GRAFICA LED</t>
  </si>
  <si>
    <t>VIDEOCONFERENCIA</t>
  </si>
  <si>
    <t>LOGITECH</t>
  </si>
  <si>
    <t>STORAGE</t>
  </si>
  <si>
    <t>CAMARAS</t>
  </si>
  <si>
    <t>HIK VISION</t>
  </si>
  <si>
    <t>MSC CRUCEROS - Sala Acústica</t>
  </si>
  <si>
    <t>CEMIC - Expansión y Discos de 5300</t>
  </si>
  <si>
    <t>Brand</t>
  </si>
  <si>
    <t>NETWORKING</t>
  </si>
  <si>
    <t>PANTALLAS</t>
  </si>
  <si>
    <t>SERVERS</t>
  </si>
  <si>
    <t>SOFTWARE</t>
  </si>
  <si>
    <t>INFRA</t>
  </si>
  <si>
    <t>ANDINA ART - VIDEO CONFERENCIA - NEXT STEP</t>
  </si>
  <si>
    <t>IDENTIFIED</t>
  </si>
  <si>
    <t>PROPOSAL</t>
  </si>
  <si>
    <t>GAP to Plan</t>
  </si>
  <si>
    <t>Colgate - Librería TS2900 de LNV</t>
  </si>
  <si>
    <t>Redlink - Mantenimiento</t>
  </si>
  <si>
    <t>Total 2026</t>
  </si>
  <si>
    <t>INVAP - 5 Servers Lenovo</t>
  </si>
  <si>
    <t>FEE</t>
  </si>
  <si>
    <t>NYTEC - 2 Servers DNRPA</t>
  </si>
  <si>
    <t>Coop de Bariloche - Servidores+Storage Lenovo+Switches HP</t>
  </si>
  <si>
    <t>Perfugroup/Pigmento - Storage 5300</t>
  </si>
  <si>
    <t>ESTISOL - 2da cuota</t>
  </si>
  <si>
    <t>BTU - Nuevo Drive LTO9</t>
  </si>
  <si>
    <t>TGN - 40 Servidores</t>
  </si>
  <si>
    <t>TEXPERT - Renovacion de Suse</t>
  </si>
  <si>
    <t>OTHERS</t>
  </si>
  <si>
    <t>EXANET/Prov de Rio Negro - 4 Servers</t>
  </si>
  <si>
    <t>RAIZEN - Server</t>
  </si>
  <si>
    <t>PROMTV - Cintas LTO8</t>
  </si>
  <si>
    <t>TOMAS HNOS - 4 PDU APC</t>
  </si>
  <si>
    <t>APC</t>
  </si>
  <si>
    <t>DC</t>
  </si>
  <si>
    <t>Vendedor</t>
  </si>
  <si>
    <t>Mathias Villamayor</t>
  </si>
  <si>
    <t>Alejandro Simeone</t>
  </si>
  <si>
    <t>Fabio Villamayor</t>
  </si>
  <si>
    <t>Milton Gallo</t>
  </si>
  <si>
    <t>Christian Braun</t>
  </si>
  <si>
    <t>Oscar Ontano</t>
  </si>
  <si>
    <t>Florencia Vargas</t>
  </si>
  <si>
    <t>Carlos Lopez</t>
  </si>
  <si>
    <t>MARITIMA MARUBA - 2 UPS's + 2 Placas</t>
  </si>
  <si>
    <t>Mayorista</t>
  </si>
  <si>
    <t>SOLUTION BOX</t>
  </si>
  <si>
    <t>AUDIO/VIDEO + DC</t>
  </si>
  <si>
    <t>AUDIO/VIDEO+DC</t>
  </si>
  <si>
    <t>Sandra Tedesco</t>
  </si>
  <si>
    <t>Mariano Basso</t>
  </si>
  <si>
    <t>NEW CLIENT</t>
  </si>
  <si>
    <t>Gap 1Q</t>
  </si>
  <si>
    <t>Gap 2Q</t>
  </si>
  <si>
    <t>Gap 3Q</t>
  </si>
  <si>
    <t>Gap 4Q</t>
  </si>
  <si>
    <t>Operación</t>
  </si>
  <si>
    <t>BAU</t>
  </si>
  <si>
    <t>Nro de oportunidad en la marca</t>
  </si>
  <si>
    <t>Fecha de Vencimiento de Oportunidad</t>
  </si>
  <si>
    <t>FY</t>
  </si>
  <si>
    <t>Plan 2026</t>
  </si>
  <si>
    <t>MICROINFORMATICA</t>
  </si>
  <si>
    <t>HP</t>
  </si>
  <si>
    <t>Huaweii</t>
  </si>
  <si>
    <t>Munic. de Vicente Lopez - Switches Core Aruba</t>
  </si>
  <si>
    <t>Munic. de Vicente Lopez - Upgrade Soporte Aruba 8360 a 7x24</t>
  </si>
  <si>
    <t>Sipar - Cisco Renovacion tecnologica</t>
  </si>
  <si>
    <t>AMPACET - Cisco</t>
  </si>
  <si>
    <t>NEWSAN - Cisco</t>
  </si>
  <si>
    <t>Vendedor (Pipeline)</t>
  </si>
  <si>
    <t>FY 2026</t>
  </si>
  <si>
    <t>Detalle de Transacciones (Forecast)</t>
  </si>
  <si>
    <t>Distribución de Cuota 2026 por Brand</t>
  </si>
  <si>
    <t>Brand (Forecast ponderado vs Plan)</t>
  </si>
  <si>
    <t>NETWORKING/PRINTERS</t>
  </si>
  <si>
    <t>ROBERTO C RUMBO - Renovacion de Leasing (Vence Ago 26)</t>
  </si>
  <si>
    <t>PAPELERA SAN ANDRES DE GILES (Vence Dic 2027)</t>
  </si>
  <si>
    <t>ROBERTO C RUMBO - Leasing recurrente (Vence Ago 26)</t>
  </si>
  <si>
    <t>SERVICIOS</t>
  </si>
  <si>
    <t>PRINTERS</t>
  </si>
  <si>
    <t>XEROX</t>
  </si>
  <si>
    <t>MOTOMECANICA - Recurso onsite (Actual + Ajuste de pesos)</t>
  </si>
  <si>
    <t>MOTOMECANICA - ALL IN (Actual + Ajuste de pesos)</t>
  </si>
  <si>
    <t>UPCN - ALL IN (Actual + Ajuste de pesos)</t>
  </si>
  <si>
    <t>PORTABLES/PCS</t>
  </si>
  <si>
    <t>CEMIC - Proyectores Profesionales</t>
  </si>
  <si>
    <t>Esperando feedback de Compras</t>
  </si>
  <si>
    <t>Edesur - Microinfroinformatica</t>
  </si>
  <si>
    <t>AMPASET - Sala de Video Conferencia</t>
  </si>
  <si>
    <t>Por ahora sin presupuesto</t>
  </si>
  <si>
    <t>Fundacion Barcelo - Pantallas y Servicios</t>
  </si>
  <si>
    <t>DLS ARCHER (Neuquen) - Paneles Solares para Neuquen</t>
  </si>
  <si>
    <t>PANELES SOLARES</t>
  </si>
  <si>
    <t>Hablar con el cliente para entender la necesidad</t>
  </si>
  <si>
    <t>PAMPA ENERGIA - UPS</t>
  </si>
  <si>
    <t>CEMIC - Servidor BD</t>
  </si>
  <si>
    <t>Manejado por Lopez. El cliente nos confirmo que sigue interesado y lo validara con el CFO</t>
  </si>
  <si>
    <t>BTU - Cámaras y Sensores para 330 Vehículos</t>
  </si>
  <si>
    <t>Colgate - Cableado de fibra optica</t>
  </si>
  <si>
    <t>Cableado</t>
  </si>
  <si>
    <t>Actualizar el costo con Ruben para contestarle al cliente (Fernando)</t>
  </si>
  <si>
    <t>ALUAR - Mantenimiento de IBM, DELL y HP</t>
  </si>
  <si>
    <t>Invertir On Line - Solucion de Lectores de huellas</t>
  </si>
  <si>
    <t>CONTROL ACCESO</t>
  </si>
  <si>
    <t>ARCOR - PC Industriales</t>
  </si>
  <si>
    <t>SIPAR ACEROS - 2 Servers Lenovo</t>
  </si>
  <si>
    <t xml:space="preserve">URBANPRO - Fortinet </t>
  </si>
  <si>
    <t>HOSPITAL SAN JUAN DE DIOS - Abono Fortinet (Vence May 2027)</t>
  </si>
  <si>
    <t>DISTECNA</t>
  </si>
  <si>
    <t>PAPELERA SAN ANDRES DE GILES - Placa UPS Litio</t>
  </si>
  <si>
    <t>PAPELERA SAN ANDRES DE GILES - UPS Litio 6KVA</t>
  </si>
  <si>
    <t>RBBSAU - Impresora HP</t>
  </si>
  <si>
    <t>Propuesta enviada 7/1/2026</t>
  </si>
  <si>
    <t>CEMIC - PC x 100</t>
  </si>
  <si>
    <t>Nro de Factura</t>
  </si>
  <si>
    <t>Descripcion</t>
  </si>
  <si>
    <t>Cordoba/Ugalde</t>
  </si>
  <si>
    <t>Consiguiendo cotizacion en el mayorista</t>
  </si>
  <si>
    <t>El comprador pregunto por el mantenimiento como para cerrar el proceso de adjudicacion. Fernando esta ayudando con Compras. Gano la competencia</t>
  </si>
  <si>
    <t>LOGICALIS - Banners</t>
  </si>
  <si>
    <t>Laboratorio IMA - 1ra etapa</t>
  </si>
  <si>
    <t>Laboratorio IMA - 2da etapa - Junio</t>
  </si>
  <si>
    <t>Laboratorio IMA - 3da etapa - Diciembre</t>
  </si>
  <si>
    <t>Munic. De San Miguel -  HUAWEI</t>
  </si>
  <si>
    <t>HUAWEI</t>
  </si>
  <si>
    <t>EPSON</t>
  </si>
  <si>
    <t>Esperando aprobacion de presupuesto</t>
  </si>
  <si>
    <t>Perdido contra Sonda con DELL</t>
  </si>
  <si>
    <t>Firmaron renovacion de mantenimiento</t>
  </si>
  <si>
    <t>Munic. De Vicente Lopez - Renovacion Veam</t>
  </si>
  <si>
    <t>NAVAJAS</t>
  </si>
  <si>
    <t>RAIZEN -LIC VEEAM</t>
  </si>
  <si>
    <t>INDUSTRIAS ERPLA</t>
  </si>
  <si>
    <t>CESOP</t>
  </si>
  <si>
    <t>UPS</t>
  </si>
  <si>
    <t>EATON</t>
  </si>
  <si>
    <t>Cristian braun</t>
  </si>
  <si>
    <t>VEEAM</t>
  </si>
  <si>
    <t>LENOVO/CISCO</t>
  </si>
  <si>
    <t>SERVERS Y STORAGE</t>
  </si>
  <si>
    <t>LIBRERÍA</t>
  </si>
  <si>
    <t>LOGICALIS - Nacion Servicios</t>
  </si>
  <si>
    <t>MANTENIMIENTO</t>
  </si>
  <si>
    <t>Esperando definicion post mudanza</t>
  </si>
  <si>
    <t>LOSS</t>
  </si>
  <si>
    <t>Gano SKTECO</t>
  </si>
  <si>
    <t>Esperando habilitacion de ARIBA para facturar en Enero</t>
  </si>
  <si>
    <t>Banco Supervielle - Servers via Julieta</t>
  </si>
  <si>
    <t>Esperando feedback</t>
  </si>
  <si>
    <t>LA RURAL - PANTALLA INTERACTIVA</t>
  </si>
  <si>
    <t>SOUTH AMERICAN IMPLANT</t>
  </si>
  <si>
    <t xml:space="preserve">Remanente del 50% + 5K de Servicios. 27/1 Solution facturo el 50% restante. </t>
  </si>
  <si>
    <t>CUATICO</t>
  </si>
  <si>
    <t>DONE</t>
  </si>
  <si>
    <t>Transnea - Microinformatica</t>
  </si>
  <si>
    <t xml:space="preserve">Revisar costo enviado por Ruben. </t>
  </si>
  <si>
    <t>Esperando devolucion del cliente, ya Ruben visito, esperando definicion del cliente de la cantidad de AP's</t>
  </si>
  <si>
    <t>SCANIA - Cableado y AP's</t>
  </si>
  <si>
    <t>Metalsa - Servidores</t>
  </si>
  <si>
    <t>NEXYS</t>
  </si>
  <si>
    <t>MINERA SANTA CRUZ - DaaS Notebooks</t>
  </si>
  <si>
    <t>MINERA SANTA CRUZ - Server y STG leasing</t>
  </si>
  <si>
    <t>GEOPARK - NODOS HIPERCONVERGENTES</t>
  </si>
  <si>
    <t>Recotizamos por 2da vez</t>
  </si>
  <si>
    <t xml:space="preserve">Perdido </t>
  </si>
  <si>
    <t>Minera Santa Cruz - Renovacion licencias Aruba</t>
  </si>
  <si>
    <t>Muy dificil no tenemos lead</t>
  </si>
  <si>
    <t>Camara de comercio - Server</t>
  </si>
  <si>
    <t>PIERO - Server y STG</t>
  </si>
  <si>
    <t>Recotizar</t>
  </si>
  <si>
    <t>ARLA FOOD - Renovacion del parque Cisco de planta</t>
  </si>
  <si>
    <t>Esperando aprobacion del presupuesto para el recambio</t>
  </si>
  <si>
    <t>HOGATH - Renovacion licencias de Palo Alto</t>
  </si>
  <si>
    <t>PALO ALTO</t>
  </si>
  <si>
    <t>MAPEI - Notebook</t>
  </si>
  <si>
    <t>FARMANET - 20 Notebooks</t>
  </si>
  <si>
    <t>Planificar entrega</t>
  </si>
  <si>
    <t>TUTEUR - 20 PC, 100 monitores y 60 tablets</t>
  </si>
  <si>
    <t>VERIFARMA - 10 x L14</t>
  </si>
  <si>
    <t>Cotizando</t>
  </si>
  <si>
    <t>Perfugroup/Pigmento - Proyector o Pantallas chicas - 7 salas</t>
  </si>
  <si>
    <t>Ya se compro (Dic 25), llegaria en Febrero</t>
  </si>
  <si>
    <t xml:space="preserve">Demo en Munro para ver las pantallas. </t>
  </si>
  <si>
    <t>Reunion con Goyo para entender</t>
  </si>
  <si>
    <t>MONTEVERDE-LABORATORIO RAFFO-ADIUM - APC</t>
  </si>
  <si>
    <t>MONTEVERDE-LABORATORIO RAFFO-ADIUM -  CISCO</t>
  </si>
  <si>
    <t xml:space="preserve">Banco Coinag - MES de 8 discos </t>
  </si>
  <si>
    <t>Compramos en Enero, llegaria en Marzo</t>
  </si>
  <si>
    <t>Drogueria Suizo Argentina - 4 Servers</t>
  </si>
  <si>
    <t>Edenor - Licitación/Leasing</t>
  </si>
  <si>
    <t>Edesur - Licitación/Leasing</t>
  </si>
  <si>
    <t>SYSTEMCORP/Ministerio de Cultura</t>
  </si>
  <si>
    <t>RIOSMA - FORTINET/Relevamiento</t>
  </si>
  <si>
    <t>Estudio de calor y luego AP's</t>
  </si>
  <si>
    <t xml:space="preserve">EXANET y POLICIA AEROPORTUARIA - 7 Servers o Wkts. </t>
  </si>
  <si>
    <t>COMPAÑÍA DE SEGUROS INSUR - Micro</t>
  </si>
  <si>
    <t>TOYOTA MATERIAL HANDLING - Micro</t>
  </si>
  <si>
    <t>BANCO COINAG - Micro</t>
  </si>
  <si>
    <t>en evaluacion</t>
  </si>
  <si>
    <t>PERMAKIN - Renovacion de licencias de Autocad</t>
  </si>
  <si>
    <t>AUTOCAD</t>
  </si>
  <si>
    <t>Coop. De Bariloche - Micro</t>
  </si>
  <si>
    <t>PARAMEDIC - Server</t>
  </si>
  <si>
    <t>Esperando al cliente para comenzar el delivery</t>
  </si>
  <si>
    <t xml:space="preserve">Demo en el cliente (Soler). Estimac de decision primeros dias de Feb. </t>
  </si>
  <si>
    <t>DLS ARCHER (Neuquen) - 2 Pantallas</t>
  </si>
  <si>
    <t>Esperando propuesta de solucion de Hik Vision/Tecknomak</t>
  </si>
  <si>
    <t>Esperando devolucion de Paco, Despues de la mudanza</t>
  </si>
  <si>
    <t>DLS - UPS</t>
  </si>
  <si>
    <t>Laboratorio IMA - 1 server</t>
  </si>
  <si>
    <t>GRAND THORTON/ADHLER - Server</t>
  </si>
  <si>
    <t>GRAND THORTON/ADHLER - Micro</t>
  </si>
  <si>
    <t>DLS ARCHER - PC Industrial Netma Fanless NK4/LENOVO S30</t>
  </si>
  <si>
    <t>Munic. de Vicente Lopez - AMD Y STORAGE (CUVL)</t>
  </si>
  <si>
    <t>Esperando demo de camaras</t>
  </si>
  <si>
    <t>Sin feedback</t>
  </si>
  <si>
    <t>Buscando alternativas con Huawei</t>
  </si>
  <si>
    <t>Munic. De San Miguel - Serv Impresión (Jun-Dic)</t>
  </si>
  <si>
    <t>Esperando renovacion</t>
  </si>
  <si>
    <t>Munic. De San Miguel - Datacenter completo</t>
  </si>
  <si>
    <t>Armando arquitectura de solucion</t>
  </si>
  <si>
    <t>MUNIC. De VICENTE LOPEZ - 2 Servers</t>
  </si>
  <si>
    <t>Munic. De Vicente Lopez - ONT's</t>
  </si>
  <si>
    <t>VTF - Micro</t>
  </si>
  <si>
    <t>KAITEL - VIDEOCONFERENCIA</t>
  </si>
  <si>
    <t>Se instalan en 1Q</t>
  </si>
  <si>
    <t>MAPEI - 2 Barras y Pantallas</t>
  </si>
  <si>
    <t>Comprar y entregar</t>
  </si>
  <si>
    <t>MUNIC. DE SAN ISIDRO - Micro</t>
  </si>
  <si>
    <t>Fratelli Branca - Micro</t>
  </si>
  <si>
    <t>Las compras las hacen anualmente, en Marzo/Abril empiezan a definir</t>
  </si>
  <si>
    <t>EQUUS - Server, Storage, Rack, Seguridad, Software y Servicios</t>
  </si>
  <si>
    <t>IB Agency - Server</t>
  </si>
  <si>
    <t>TD-Synnex - Micro</t>
  </si>
  <si>
    <t>DIESEL SAN MIGUEL - Micro</t>
  </si>
  <si>
    <t xml:space="preserve">En proceso de evaluación/aprobacion. Estiman cerrar principios de febrero </t>
  </si>
  <si>
    <t>Fundacion Barcelo - LENOVO</t>
  </si>
  <si>
    <t>Fundacion Barcelo - FS5300</t>
  </si>
  <si>
    <t>I3</t>
  </si>
  <si>
    <t>BTU - Remodelacion de Salas</t>
  </si>
  <si>
    <t>Proyecto de remodelacion de salas</t>
  </si>
  <si>
    <t>Provincia Servicios Financiero - Design Thinking Automatización</t>
  </si>
  <si>
    <t>Propuesta de taller de automatización</t>
  </si>
  <si>
    <t>Provincia Servicios Financiero - e-meet</t>
  </si>
  <si>
    <t>E-MEET</t>
  </si>
  <si>
    <t>PRONTV - Cisco</t>
  </si>
  <si>
    <t>PRONTV - Huaweii Firewalls &amp; Switches</t>
  </si>
  <si>
    <t>CONSTRUCTORA SUDAMERICA - Micro</t>
  </si>
  <si>
    <t>COTO - Librerias</t>
  </si>
  <si>
    <t>Aun no cotizamos, hasta tener la reunion con IT</t>
  </si>
  <si>
    <t>Enviado 30/1. No tenemos la lead. El cliente compra Netapp con Southdata</t>
  </si>
  <si>
    <t>MONTEVERDE-LABORATORIO RAFFO-150 Notebook</t>
  </si>
  <si>
    <t>MSC CRUCEROS - 7 notebook + Headset</t>
  </si>
  <si>
    <t>Faltan los headset de seytech</t>
  </si>
  <si>
    <t>MAPFRE (Videoconf+HP+Cisco Mera+Licencias de Mera)</t>
  </si>
  <si>
    <t>Relevamiento 2/2 con Alejandro posible servicios. Aun no mostraron los planos</t>
  </si>
  <si>
    <t>En precio estamos bien, ya estamos en 2da vuelta. Vencio la propuesta. Sin feedback</t>
  </si>
  <si>
    <t>INVERTIR ON LINE  - Micro + Headset</t>
  </si>
  <si>
    <t>Entra el 5/2 al mayorista</t>
  </si>
  <si>
    <t>Fundacion Barcelo - Business TV + Interactiva</t>
  </si>
  <si>
    <t>Analizando la propuesta</t>
  </si>
  <si>
    <t>Fundacion Barcelo - Micro + Tiny</t>
  </si>
  <si>
    <t>Fundacion Barcelo - AP + Switches</t>
  </si>
  <si>
    <t>Fundacion Barcelo - Corrientes - Micro + Tiny</t>
  </si>
  <si>
    <t>ADCAP - Solucion de energia + UPS</t>
  </si>
  <si>
    <t>Honda Motor - 20 T14</t>
  </si>
  <si>
    <t>En analisis por parte del cliente. Analizando recotizacion</t>
  </si>
  <si>
    <t>APEX - Leasing 54 notebooks (36 meses incancelables)</t>
  </si>
  <si>
    <t>BONAFIDE - 20 Notebooks</t>
  </si>
  <si>
    <t>APEX - Leasing edificio</t>
  </si>
  <si>
    <t>OBRA CIVIL</t>
  </si>
  <si>
    <t>BONAFIDE - Tecnico onsite</t>
  </si>
  <si>
    <t>Munic. De San Miguel - Videowall 2x2</t>
  </si>
  <si>
    <t>Munic. De San Miguel - Pantalla interactiva para educacion</t>
  </si>
  <si>
    <t>Munic. De San Miguel - Videoconferencia</t>
  </si>
  <si>
    <t>MUNIC. DE SAN ISIDRO - Videowall 6x2 + CCONTROL</t>
  </si>
  <si>
    <t>Propuesta enviada. Esperando licitacion</t>
  </si>
  <si>
    <t>Ya se compro, llegaria en Enero (Salida 13/2)</t>
  </si>
  <si>
    <t>Munic. De San Miguel - CISCO Mera</t>
  </si>
  <si>
    <t>BNA - Revision general de negocios de IT</t>
  </si>
  <si>
    <t>Agendar reunion con Walter</t>
  </si>
  <si>
    <t>EQUIFAX - Notebook HP</t>
  </si>
  <si>
    <t xml:space="preserve">OC iba a llegar 28/1. Ahora hay que recotizar. </t>
  </si>
  <si>
    <t>EQUUS - Discos y Memorias</t>
  </si>
  <si>
    <t>EQUUS - Server</t>
  </si>
  <si>
    <t>Recotizamos LENOVO el 4/2</t>
  </si>
  <si>
    <t>Emitimos la propuesta</t>
  </si>
  <si>
    <t>PERMAKIN - Renovacion garantias de Notebooks</t>
  </si>
  <si>
    <t>Federacion Patronal de Seguros - Micro</t>
  </si>
  <si>
    <t>EDESUR - Videoconferencia</t>
  </si>
  <si>
    <t>Entrega por etapa</t>
  </si>
  <si>
    <t>CEMIC - Dashboard de datos</t>
  </si>
  <si>
    <t>CEMIC - Design Thinking Automatización</t>
  </si>
  <si>
    <t>BANCO DE URUGUAY - Storage/Backup</t>
  </si>
  <si>
    <t>BANCO DE URUGUAY - HA con Fortinet</t>
  </si>
  <si>
    <t>TRP - Renovacion de Microsoft (Marzo)</t>
  </si>
  <si>
    <t>TRP - Upgrade/Recambio IBM 5300 a salida Garantia</t>
  </si>
  <si>
    <t>Juan Martinez viaja con DELL, pero Martin Arguindegui va con DOT4</t>
  </si>
  <si>
    <t>Cotizado con delivery de Alejandro</t>
  </si>
  <si>
    <t>TONER</t>
  </si>
  <si>
    <t>Munic. De Vicente Lopez - Toner</t>
  </si>
  <si>
    <t>Colegio St Georges - Videoconferencias</t>
  </si>
  <si>
    <t>JC hace el relevamiento 10/02 14:00 Hs</t>
  </si>
  <si>
    <t>Ya se compro (Confirmado que sigue adelante, 15/2 salida planta)</t>
  </si>
  <si>
    <t>LA RURAL - VIDEOCONFERENCIA</t>
  </si>
  <si>
    <t>Ya tiene el presupuesto aprobado esperando la visita para cerrar</t>
  </si>
  <si>
    <t>VENOIL - Recambio de arquitectura</t>
  </si>
  <si>
    <t>SERVER</t>
  </si>
  <si>
    <t>Trabajar para recambio infra. Demasiado riesgo operativo</t>
  </si>
  <si>
    <t>COTO - VIDEOCONFERENCIA POLY</t>
  </si>
  <si>
    <t>POLY</t>
  </si>
  <si>
    <t>SOUTHERTECH SA - Notebooks</t>
  </si>
  <si>
    <t>COTO - Notebooks</t>
  </si>
  <si>
    <t>DODERO - Notebooks</t>
  </si>
  <si>
    <t>ROCH - 30 Notebooks</t>
  </si>
  <si>
    <t>UPCN - Notebooks</t>
  </si>
  <si>
    <t>CEMIC - Servicio Active Directory</t>
  </si>
  <si>
    <t>DVS Archer - Notebook</t>
  </si>
  <si>
    <t>CEMIC - PC x 20</t>
  </si>
  <si>
    <t>HELKMANN - Notebook</t>
  </si>
  <si>
    <t>ACA - Notebook</t>
  </si>
  <si>
    <t>CIJ - Notebook</t>
  </si>
  <si>
    <t>ANDINA ART - Servicio de Fortinet</t>
  </si>
  <si>
    <t>BIGBOX - Seguridad</t>
  </si>
  <si>
    <t>VALQUIRIA - Seguridad</t>
  </si>
  <si>
    <t>MOBIBOX - Notebook</t>
  </si>
  <si>
    <t>Monteverde - Notebook</t>
  </si>
  <si>
    <t>NEXYS - GADOR - Servicios</t>
  </si>
  <si>
    <t>Municipalidad de San Miguel - Notebook</t>
  </si>
  <si>
    <t>Municipalidad de San Miguel - Carry disk</t>
  </si>
  <si>
    <t>Roberto Rumbo - Huawei</t>
  </si>
  <si>
    <t>RAICES - Notebook</t>
  </si>
  <si>
    <t>Nephology - Notebook</t>
  </si>
  <si>
    <t>Macor - Notebook</t>
  </si>
  <si>
    <t>ROCH - Notebooks</t>
  </si>
  <si>
    <t>Motomecanica - Notebook</t>
  </si>
  <si>
    <t>CEMIC - Discos SCD x 20</t>
  </si>
  <si>
    <t>CEMIC - Discos SCD x 4</t>
  </si>
  <si>
    <t>Jardin del Pilar - Notebook</t>
  </si>
  <si>
    <t>Antonpark - Notebook</t>
  </si>
  <si>
    <t>Carlos Furnkorn</t>
  </si>
  <si>
    <t>DLS SADA - Notebook</t>
  </si>
  <si>
    <t>Terminal Zarate - Notebook</t>
  </si>
  <si>
    <t>DIMAWOL - Notebook</t>
  </si>
  <si>
    <t>ENTREGADO Y FACTURADO</t>
  </si>
  <si>
    <t>Solo falta IBM (50K) luego que IBM facture a Nexys</t>
  </si>
  <si>
    <t>Ya se compro, llegaria en Febrero (Salida 24/2)</t>
  </si>
  <si>
    <t>Compra adelantada 23/1 (Sin fecha aun)</t>
  </si>
  <si>
    <t>Probablemente llegue fin de Marzo</t>
  </si>
  <si>
    <t>BERTOLDI - 1 Server</t>
  </si>
  <si>
    <t>Server ya en DOT, pero faltan 2 memorias DDR5 de 32 GB</t>
  </si>
  <si>
    <t>Discos entregados y facturados (4K) y las memorias estan viniendo por Courier (Febrero) (4K)</t>
  </si>
  <si>
    <t>Munic. De Vicente Lopez - Serv de Soporte Data - Mensualizado</t>
  </si>
  <si>
    <t>ENTREGADO (Aun no facturado)</t>
  </si>
  <si>
    <t>Fundacion Barcelo - Servicios config STG de Baloon</t>
  </si>
  <si>
    <t>En 3 semanas manda la OC</t>
  </si>
  <si>
    <t>Esperando feedback (Compra adelantada)</t>
  </si>
  <si>
    <t>LA RURAL - ST45 Servidor Tower</t>
  </si>
  <si>
    <t>TGS - Servers DELL (Opciones)</t>
  </si>
  <si>
    <t>Vence en Marzo. Reunion con Microsoft</t>
  </si>
  <si>
    <t>VMOS/KYNDRYL - Licencias de Windows</t>
  </si>
  <si>
    <t>Verbal Commitment</t>
  </si>
  <si>
    <t>BIDCOM - 1 Storage</t>
  </si>
  <si>
    <t>BIDCOM - 3 Server</t>
  </si>
  <si>
    <t>Propuesta en analisis</t>
  </si>
  <si>
    <t>ENTREGADO y FACTURADO</t>
  </si>
  <si>
    <t>ENTREGADO y FACTURADO (Solo deben 1 de Diciembre y 3 de Febrero)</t>
  </si>
  <si>
    <t>INVERTIR ON LINE  - Notebooks</t>
  </si>
  <si>
    <t>CEMIC - Licencias MS 365</t>
  </si>
  <si>
    <t xml:space="preserve">Estamos a la espera de Jose Luis. Es la primera etapa. </t>
  </si>
  <si>
    <t>TERMINALES MARITIMAS PATAGONIA - Cisco</t>
  </si>
  <si>
    <t>Propuesta enviada 9/2. Esperando feedback</t>
  </si>
  <si>
    <t>Colegios St Georges - Videoconferencia</t>
  </si>
  <si>
    <t>Colegios Varios - Pantallas Interactivas para educación</t>
  </si>
  <si>
    <t>MONTEVERDE-LABORATORIO RAFFO-ADIUM - Storage NETAPP</t>
  </si>
  <si>
    <t>NETAPP</t>
  </si>
  <si>
    <t>Enviado 28/1. No tenemos la lead. Esperando feedback</t>
  </si>
  <si>
    <t>Preparando propuesta</t>
  </si>
  <si>
    <t>Colegio Michael Ham - Tiny</t>
  </si>
  <si>
    <t>primera entrega en Marzo y el resto a fin de año</t>
  </si>
  <si>
    <t xml:space="preserve">Colegio Michael Ham - Cambio de 20 AP's </t>
  </si>
  <si>
    <t>Quarter</t>
  </si>
  <si>
    <t>1Q-4Q</t>
  </si>
  <si>
    <t>ROCH - 2 Servers</t>
  </si>
  <si>
    <t>Los Servers se entregan en Febrero, las memorias a su llegada</t>
  </si>
  <si>
    <t>QUICKFOOD - Micro</t>
  </si>
  <si>
    <t>Entregando en Febrero</t>
  </si>
  <si>
    <t>INVAP - 5/10 Servers Lenovo (Parte 2)</t>
  </si>
  <si>
    <t>FACTURADO</t>
  </si>
  <si>
    <t>Esperando demo del switch para las camaras. Pasa Kiki y se entrega el viernes</t>
  </si>
  <si>
    <t xml:space="preserve">Detectado en la reunion de Milton con el cliente. </t>
  </si>
  <si>
    <t>Munic. De Vicente Lopez - Serv de Soporte Data - Enero - Junio</t>
  </si>
  <si>
    <t>Los server ya llegaron, estan buscando las memorias</t>
  </si>
  <si>
    <t>En standby</t>
  </si>
  <si>
    <t>Cerrado de palabra. Esperando OC. Hay que recotizar</t>
  </si>
  <si>
    <t>Aun en proceso de definicion post-licitacion</t>
  </si>
  <si>
    <t>En Compras</t>
  </si>
  <si>
    <t>EXANET - Leasing interno de Notebook</t>
  </si>
  <si>
    <t>En negociacion y definicion</t>
  </si>
  <si>
    <t>Abono - Vence en Diciembre 2026</t>
  </si>
  <si>
    <t>Fundacion Barcelo - 16 x Pantallas 32¨</t>
  </si>
  <si>
    <t>Esperando para retirar en CUATICO (18/2)</t>
  </si>
  <si>
    <t>Esperando definicion</t>
  </si>
  <si>
    <t>Se entrega entre Febrero y Marzo</t>
  </si>
  <si>
    <t>Entrega en Febrero</t>
  </si>
  <si>
    <t>Fundacion Barcelo - Campus de Santo Tome</t>
  </si>
  <si>
    <t>Esperando que arranque Centro y comienza con este proyecto</t>
  </si>
  <si>
    <t>MONTEVERDE/ADIUM/LABORATORIO RAFO</t>
  </si>
  <si>
    <t>Hay que cotizar rapido. Una parte en Marzo el resto en el año</t>
  </si>
  <si>
    <t>MUNIC. DE VICENTE LOPEZ - 30 rollos Cableado UTP</t>
  </si>
  <si>
    <t>MUNIC. DE OLAVARRIA - CAMARAS</t>
  </si>
  <si>
    <t>JPH Lions/YACYRETA</t>
  </si>
  <si>
    <t>Compra de materiales post licitacion</t>
  </si>
  <si>
    <t>Dejamos demos de Huawei</t>
  </si>
  <si>
    <t>PROMTV - Pantalla LED 85"</t>
  </si>
  <si>
    <t>FACTURADO y ENTREGADO</t>
  </si>
  <si>
    <t>Hicimos un demo en Diciembre y se volvera a hacer uno en Marzo. Cerraria a Mediados de año.primera entrega en Marzo y el resto a fin de año</t>
  </si>
  <si>
    <t>Declarar las oportunidades.Esperando definicion post mudanza</t>
  </si>
  <si>
    <t xml:space="preserve">Garantizar - Sala </t>
  </si>
  <si>
    <t>Preparando propuesta post relevamiento</t>
  </si>
  <si>
    <t>TRASNOA - UPS</t>
  </si>
  <si>
    <t>Enviando propuesta</t>
  </si>
  <si>
    <t>Banco Coinag - Mantenimiento y Licencias VMWARE</t>
  </si>
  <si>
    <t>Declarar las leads de STG 5300 y Lenovoi y cotizar C&amp;O VMWARE via Systemcorp</t>
  </si>
  <si>
    <t>SYSTEMCORP - Gobierno de la ciudad - 10000 Portables</t>
  </si>
  <si>
    <t>SOSTEK - Server</t>
  </si>
  <si>
    <t>Trabajando el prepliego</t>
  </si>
  <si>
    <t>Esta en Compras según IT. Email a Ivana Gomez (igomez@pampa.com)</t>
  </si>
  <si>
    <t>UNIFY / CNEA - Licencias de Microsoft Windows Server</t>
  </si>
  <si>
    <t>Terminal Zarata - Notebooks</t>
  </si>
  <si>
    <t>BIOMARIN ARGENTINA - Notebook</t>
  </si>
  <si>
    <t>Armando propuesta</t>
  </si>
  <si>
    <t xml:space="preserve">Proyecto existe pero no esta aprobado aun. HOLD POR DEUDA </t>
  </si>
  <si>
    <t>Replica de la solucion que tienen en Colombia. No tuvimos feedback aun (Esta on Hold)</t>
  </si>
  <si>
    <t>Recotizacion en Abril luego de viaje a Mexico</t>
  </si>
  <si>
    <t>Enviada la propuesta en espera de feedback</t>
  </si>
  <si>
    <t>Propuesta emitida, esperando feedback</t>
  </si>
  <si>
    <t>CERRADO</t>
  </si>
  <si>
    <t>ARLA FOOD - 10 x T14</t>
  </si>
  <si>
    <t>Aprobaron el presupuesto. Pidieron re-cotizacion con Huawei</t>
  </si>
  <si>
    <t>Minera Santa Cruz - Huawei leasing - Minera San Jose</t>
  </si>
  <si>
    <t>Validar si seran reemplazadas por la solucion de Huawei</t>
  </si>
  <si>
    <t>Se sumaron Switches a los Telefonos</t>
  </si>
  <si>
    <t>Colgate - Cisco y Telefonos</t>
  </si>
  <si>
    <t>Esperando OK del cliente</t>
  </si>
  <si>
    <t>INVAP - Servers/Switches/Cableado</t>
  </si>
  <si>
    <t>Relevar con el cliente (26/2)</t>
  </si>
  <si>
    <t xml:space="preserve">Quedamos 2dos </t>
  </si>
  <si>
    <t>Esperando OC fin de Febrero/ppio de Marzo. Falta ultima firma, ya el dictamen salio</t>
  </si>
  <si>
    <t>Esperando respuesta del cliente (ON HOLD)</t>
  </si>
  <si>
    <t>APEX - Notebooks</t>
  </si>
  <si>
    <t xml:space="preserve">Esperando OC fin de Febrero/ppio de Marzo. </t>
  </si>
  <si>
    <t>MARUBA - Notebooks</t>
  </si>
  <si>
    <t>MARUBA - Rack y Switches y APC</t>
  </si>
  <si>
    <t>ADCAP - Notebook y monitores</t>
  </si>
  <si>
    <t>Propuesta emitida</t>
  </si>
  <si>
    <t>GMA - Notebooks</t>
  </si>
  <si>
    <t>CERRADO. 2 Barras y 2 camaras y 2 Tynys</t>
  </si>
  <si>
    <t>5 HISPANO - 5 Switches</t>
  </si>
  <si>
    <t>DLS - Notebooks</t>
  </si>
  <si>
    <t>Perfugroup/Pigmento - Server LENOVO</t>
  </si>
  <si>
    <t>YA ESTA EN DOT4. Aun no se envio por pedido de Ale (Facturacion pendiente)</t>
  </si>
  <si>
    <t>Diesel San Miguel - Pantallas Interactiva y Camaras</t>
  </si>
  <si>
    <t xml:space="preserve">Tenemos target 85K por DM3010H (Axis), Opcion de leasing </t>
  </si>
  <si>
    <t>EDESUR - Cisco</t>
  </si>
  <si>
    <t>Compitiendo con DRUIDICS/DELLOITTE</t>
  </si>
  <si>
    <t>Cirion Technologies - Storage</t>
  </si>
  <si>
    <t>Idea de precio para integrar al colocation de Cirion</t>
  </si>
  <si>
    <t>Trafigura Argentina - Videoconferencia Cisco</t>
  </si>
  <si>
    <t>VW - 1 Storage Huawei</t>
  </si>
  <si>
    <t>Contestar licitacion</t>
  </si>
  <si>
    <t>COTO - Mantenimiento POWER</t>
  </si>
  <si>
    <t>ASI - Renovacion de POWER</t>
  </si>
  <si>
    <t>MICHAEL HAM - Pantallas profesionales</t>
  </si>
  <si>
    <t xml:space="preserve">LA RURAL - STORAGE 5300 </t>
  </si>
  <si>
    <t>Esperando la firma final para emitir OC</t>
  </si>
  <si>
    <t>NEW SAN Parque Patricios</t>
  </si>
  <si>
    <t>La Rural/SEC - Carteleria Digital</t>
  </si>
  <si>
    <t>Se contesta el pliego a fin de Marzo</t>
  </si>
  <si>
    <t>Salio el pliego. Respuesta 6/5</t>
  </si>
  <si>
    <t>Cotizacion de Pantalla enviada (3/3). Camara agendar reunion de arquitectura. Visita a sitio 26/3</t>
  </si>
  <si>
    <t>CABLEADO</t>
  </si>
  <si>
    <t xml:space="preserve">Se acelero lo necesita para 2Q. </t>
  </si>
  <si>
    <t>Banner</t>
  </si>
  <si>
    <t>Configuracion del Kandao en demo (19/2), Fallo. Retomamos el proyecto el 25/3</t>
  </si>
  <si>
    <t>Estan aprobado los equipos falta aprobacion de presupuesto</t>
  </si>
  <si>
    <t xml:space="preserve">Propuesta enviada 29/01. Recotizado en Marzo. </t>
  </si>
  <si>
    <t>PRONTV - Renovacion de Smartnet</t>
  </si>
  <si>
    <t>Esperando aprobacion de presupuesto (Junio). Vence a fin de año</t>
  </si>
  <si>
    <t>Munic. De San Miguel - Huawei y Fibra</t>
  </si>
  <si>
    <t>Huawei</t>
  </si>
  <si>
    <t>Munic. De San Miguel - Renovacion de Cisco 2 x C9300</t>
  </si>
  <si>
    <t>BANCO DE URUGUAY - Cisco Switches de Core/Central Telefonica</t>
  </si>
  <si>
    <t>EQUUS / DIMAWALL - Firewall de Huawei</t>
  </si>
  <si>
    <t>ENEL - Cisco</t>
  </si>
  <si>
    <t>Cisco</t>
  </si>
  <si>
    <t>Alternativa Huawei a Fortinet</t>
  </si>
  <si>
    <t>GEOPARK - CISCO Switches x 2</t>
  </si>
  <si>
    <t>Vamos por 4% C&amp;O - Habria que validar si salio de fabrica</t>
  </si>
  <si>
    <t>Lo compro a otro mayorista</t>
  </si>
  <si>
    <t>Lo cerraria en Marzo</t>
  </si>
  <si>
    <t>Prestige Autos - Licencias IBM ASPERA</t>
  </si>
  <si>
    <t>Prestige Autos - Licencias IBM SOFTWARE IBM</t>
  </si>
  <si>
    <t>Esperando apertura de licitacion</t>
  </si>
  <si>
    <t>VW - ASUS</t>
  </si>
  <si>
    <t xml:space="preserve">Cotizar FOB, RMA, como servicios. </t>
  </si>
  <si>
    <t>No llegaron los equipos aun (25/3) Compra adelantada (Llegaria fin de Marzo). Aun no se firmo</t>
  </si>
  <si>
    <t>ENEL - Renovacion SCADA</t>
  </si>
  <si>
    <t>Cotizar y enviar propuesta</t>
  </si>
  <si>
    <t>Cotizamos el 20/3</t>
  </si>
  <si>
    <t>Esperando en Marzo a la vuelta de vacaciones. Esperando feedback del cliente</t>
  </si>
  <si>
    <t>EQUUS - Software y QNAP</t>
  </si>
  <si>
    <t>Aun no salio la licitacion</t>
  </si>
  <si>
    <t>Enviado 28/1. No tenemos la lead. Esperando feedback (23/3)</t>
  </si>
  <si>
    <t xml:space="preserve">Recotizacion en Abril para Presupuesto </t>
  </si>
  <si>
    <t>Reunion con el cliente para presentar Veeam y/o Inmutables. Sale con la central telefonica</t>
  </si>
  <si>
    <t>Oportunidad en ODOO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</si>
</sst>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44" fontId="0" fillId="0" borderId="0" xfId="1" applyFont="1" applyAlignment="1">
      <alignment horizontal="center" vertical="center"/>
    </xf>
    <xf numFmtId="44" fontId="0" fillId="0" borderId="0" xfId="1" applyFont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44" fontId="1" fillId="0" borderId="0" xfId="1" applyFont="1" applyAlignment="1">
      <alignment vertical="center"/>
    </xf>
    <xf numFmtId="44" fontId="2" fillId="0" borderId="0" xfId="1" applyFont="1" applyAlignment="1">
      <alignment vertical="center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2" fillId="3" borderId="0" xfId="0" applyFont="1" applyFill="1" applyAlignment="1">
      <alignment vertical="center" wrapText="1"/>
    </xf>
    <xf numFmtId="2" fontId="2" fillId="3" borderId="0" xfId="0" applyNumberFormat="1" applyFont="1" applyFill="1" applyAlignment="1">
      <alignment horizontal="center" vertical="center"/>
    </xf>
    <xf numFmtId="44" fontId="0" fillId="0" borderId="0" xfId="1" applyFont="1" applyAlignment="1">
      <alignment horizontal="right" vertical="center"/>
    </xf>
    <xf numFmtId="44" fontId="3" fillId="0" borderId="0" xfId="1" applyFont="1" applyAlignment="1">
      <alignment vertical="center"/>
    </xf>
    <xf numFmtId="44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44" fontId="2" fillId="2" borderId="0" xfId="1" applyFont="1" applyFill="1" applyAlignment="1">
      <alignment vertical="center"/>
    </xf>
    <xf numFmtId="44" fontId="0" fillId="2" borderId="0" xfId="1" applyFont="1" applyFill="1" applyAlignment="1">
      <alignment vertical="center"/>
    </xf>
    <xf numFmtId="44" fontId="2" fillId="0" borderId="0" xfId="1" applyFont="1" applyFill="1" applyAlignment="1">
      <alignment vertical="center"/>
    </xf>
    <xf numFmtId="44" fontId="0" fillId="0" borderId="0" xfId="1" applyFont="1" applyFill="1" applyAlignment="1">
      <alignment vertical="center"/>
    </xf>
    <xf numFmtId="44" fontId="5" fillId="0" borderId="0" xfId="1" applyFont="1" applyFill="1" applyAlignment="1">
      <alignment vertical="center"/>
    </xf>
    <xf numFmtId="44" fontId="3" fillId="0" borderId="0" xfId="1" applyFont="1" applyFill="1" applyAlignment="1">
      <alignment vertic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9" fontId="0" fillId="4" borderId="0" xfId="2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44" fontId="4" fillId="0" borderId="0" xfId="1" applyFont="1" applyFill="1" applyAlignment="1">
      <alignment vertical="center"/>
    </xf>
    <xf numFmtId="44" fontId="2" fillId="4" borderId="0" xfId="1" applyFont="1" applyFill="1" applyAlignment="1">
      <alignment vertical="center"/>
    </xf>
    <xf numFmtId="44" fontId="0" fillId="4" borderId="0" xfId="1" applyFont="1" applyFill="1" applyAlignment="1">
      <alignment vertical="center"/>
    </xf>
    <xf numFmtId="44" fontId="5" fillId="4" borderId="0" xfId="1" applyFont="1" applyFill="1" applyAlignment="1">
      <alignment vertical="center"/>
    </xf>
    <xf numFmtId="44" fontId="3" fillId="4" borderId="0" xfId="1" applyFont="1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9" fontId="0" fillId="5" borderId="0" xfId="2" applyFont="1" applyFill="1" applyAlignment="1">
      <alignment horizontal="center" vertical="center"/>
    </xf>
    <xf numFmtId="44" fontId="0" fillId="5" borderId="0" xfId="1" applyFont="1" applyFill="1" applyAlignment="1">
      <alignment vertical="center"/>
    </xf>
    <xf numFmtId="44" fontId="1" fillId="5" borderId="0" xfId="1" applyFont="1" applyFill="1" applyAlignment="1">
      <alignment vertical="center"/>
    </xf>
    <xf numFmtId="44" fontId="4" fillId="0" borderId="0" xfId="1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44" fontId="0" fillId="5" borderId="0" xfId="1" applyFont="1" applyFill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44" fontId="0" fillId="2" borderId="1" xfId="1" applyFont="1" applyFill="1" applyBorder="1" applyAlignment="1">
      <alignment vertical="center"/>
    </xf>
    <xf numFmtId="44" fontId="0" fillId="2" borderId="2" xfId="1" applyFont="1" applyFill="1" applyBorder="1" applyAlignment="1">
      <alignment vertical="center"/>
    </xf>
    <xf numFmtId="44" fontId="2" fillId="2" borderId="3" xfId="1" applyFont="1" applyFill="1" applyBorder="1" applyAlignment="1">
      <alignment vertical="center"/>
    </xf>
    <xf numFmtId="44" fontId="2" fillId="2" borderId="0" xfId="1" applyFont="1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5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9" fontId="3" fillId="0" borderId="0" xfId="2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3" fillId="0" borderId="0" xfId="2" applyNumberFormat="1" applyFont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9" fontId="0" fillId="0" borderId="0" xfId="2" applyFont="1" applyFill="1" applyAlignment="1">
      <alignment horizontal="center" vertical="center"/>
    </xf>
    <xf numFmtId="44" fontId="1" fillId="0" borderId="0" xfId="1" applyFont="1" applyFill="1" applyAlignment="1">
      <alignment vertical="center"/>
    </xf>
    <xf numFmtId="0" fontId="0" fillId="6" borderId="0" xfId="0" applyFill="1" applyAlignment="1">
      <alignment vertical="center" wrapText="1"/>
    </xf>
    <xf numFmtId="44" fontId="4" fillId="5" borderId="0" xfId="1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0" fillId="5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2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44" fontId="4" fillId="0" borderId="0" xfId="1" applyFon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9" fontId="0" fillId="6" borderId="0" xfId="2" applyFont="1" applyFill="1" applyAlignment="1">
      <alignment horizontal="center" vertical="center"/>
    </xf>
    <xf numFmtId="44" fontId="0" fillId="6" borderId="0" xfId="1" applyFont="1" applyFill="1" applyAlignment="1">
      <alignment vertical="center"/>
    </xf>
    <xf numFmtId="44" fontId="1" fillId="6" borderId="0" xfId="1" applyFont="1" applyFill="1" applyAlignment="1">
      <alignment vertical="center"/>
    </xf>
    <xf numFmtId="0" fontId="0" fillId="5" borderId="0" xfId="2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44" fontId="7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 vertical="center"/>
    </xf>
    <xf numFmtId="44" fontId="1" fillId="2" borderId="0" xfId="1" applyFont="1" applyFill="1" applyAlignment="1">
      <alignment vertical="center"/>
    </xf>
    <xf numFmtId="44" fontId="0" fillId="6" borderId="0" xfId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4" fontId="9" fillId="0" borderId="0" xfId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9" fontId="0" fillId="8" borderId="0" xfId="2" applyFont="1" applyFill="1" applyAlignment="1">
      <alignment horizontal="center" vertical="center"/>
    </xf>
    <xf numFmtId="44" fontId="0" fillId="8" borderId="0" xfId="1" applyFont="1" applyFill="1" applyAlignment="1">
      <alignment vertical="center"/>
    </xf>
    <xf numFmtId="44" fontId="1" fillId="8" borderId="0" xfId="1" applyFont="1" applyFill="1" applyAlignment="1">
      <alignment vertical="center"/>
    </xf>
    <xf numFmtId="0" fontId="0" fillId="8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2" applyNumberFormat="1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9" fontId="3" fillId="0" borderId="0" xfId="2" applyFont="1" applyFill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9" fontId="0" fillId="7" borderId="0" xfId="2" applyFont="1" applyFill="1" applyAlignment="1">
      <alignment horizontal="center" vertical="center"/>
    </xf>
    <xf numFmtId="44" fontId="0" fillId="7" borderId="0" xfId="1" applyFont="1" applyFill="1" applyAlignment="1">
      <alignment horizontal="center" vertical="center"/>
    </xf>
    <xf numFmtId="44" fontId="0" fillId="7" borderId="0" xfId="1" applyFont="1" applyFill="1" applyAlignment="1">
      <alignment vertical="center"/>
    </xf>
    <xf numFmtId="0" fontId="0" fillId="7" borderId="0" xfId="0" applyFont="1" applyFill="1" applyAlignment="1">
      <alignment vertical="center"/>
    </xf>
    <xf numFmtId="44" fontId="1" fillId="7" borderId="0" xfId="1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0" fillId="7" borderId="0" xfId="0" applyFont="1" applyFill="1" applyAlignment="1">
      <alignment horizontal="center" vertical="center" wrapText="1"/>
    </xf>
    <xf numFmtId="44" fontId="4" fillId="7" borderId="0" xfId="1" applyFont="1" applyFill="1" applyAlignment="1">
      <alignment horizontal="center" vertical="center"/>
    </xf>
    <xf numFmtId="44" fontId="2" fillId="7" borderId="0" xfId="1" applyFont="1" applyFill="1" applyAlignment="1">
      <alignment vertical="center"/>
    </xf>
    <xf numFmtId="14" fontId="3" fillId="0" borderId="0" xfId="0" applyNumberFormat="1" applyFon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FD309"/>
  <sheetViews>
    <sheetView tabSelected="1" topLeftCell="A10" workbookViewId="0">
      <selection activeCell="A22" sqref="A22:XFD22"/>
    </sheetView>
  </sheetViews>
  <sheetFormatPr baseColWidth="10" defaultColWidth="11.54296875" defaultRowHeight="14.5" x14ac:dyDescent="0.35"/>
  <cols>
    <col min="1" max="1" width="56.26953125" style="8" customWidth="1"/>
    <col min="2" max="2" width="8" style="1" customWidth="1"/>
    <col min="3" max="3" width="9.6328125" style="1" customWidth="1"/>
    <col min="4" max="4" width="8.36328125" style="8" customWidth="1"/>
    <col min="5" max="5" width="13.26953125" style="8" customWidth="1"/>
    <col min="6" max="6" width="16.90625" style="8" customWidth="1"/>
    <col min="7" max="7" width="19.1796875" style="8" customWidth="1"/>
    <col min="8" max="8" width="18" style="8" customWidth="1"/>
    <col min="9" max="9" width="17.26953125" style="8" customWidth="1"/>
    <col min="10" max="10" width="14.08984375" style="4" customWidth="1"/>
    <col min="11" max="11" width="15.1796875" style="4" customWidth="1"/>
    <col min="12" max="12" width="14.08984375" style="4" customWidth="1"/>
    <col min="13" max="13" width="13.1796875" style="4" customWidth="1"/>
    <col min="14" max="14" width="14.08984375" style="4" bestFit="1" customWidth="1"/>
    <col min="15" max="15" width="15.1796875" style="4" bestFit="1" customWidth="1"/>
    <col min="16" max="16" width="15.08984375" style="4" bestFit="1" customWidth="1"/>
    <col min="17" max="17" width="15.1796875" style="4" customWidth="1"/>
    <col min="18" max="18" width="14.1796875" style="4" customWidth="1"/>
    <col min="19" max="19" width="14.6328125" style="4" customWidth="1"/>
    <col min="20" max="20" width="16.08984375" style="4" customWidth="1"/>
    <col min="21" max="22" width="15.08984375" style="4" customWidth="1"/>
    <col min="23" max="23" width="57.1796875" style="4" customWidth="1"/>
    <col min="24" max="24" width="14.08984375" style="4" bestFit="1" customWidth="1"/>
    <col min="25" max="25" width="15.08984375" style="4" bestFit="1" customWidth="1"/>
    <col min="26" max="16384" width="11.54296875" style="4"/>
  </cols>
  <sheetData>
    <row r="2" spans="1:41" s="16" customFormat="1" x14ac:dyDescent="0.35">
      <c r="A2" s="15"/>
      <c r="B2" s="29"/>
      <c r="C2" s="29"/>
      <c r="D2" s="15"/>
      <c r="E2" s="15"/>
      <c r="F2" s="15"/>
      <c r="G2" s="15"/>
      <c r="H2" s="15"/>
      <c r="I2" s="15"/>
    </row>
    <row r="3" spans="1:41" x14ac:dyDescent="0.35">
      <c r="A3" s="17" t="s">
        <v>110</v>
      </c>
      <c r="B3" s="2"/>
      <c r="C3" s="2"/>
      <c r="D3" s="17"/>
      <c r="E3" s="17"/>
      <c r="F3" s="18" t="s">
        <v>98</v>
      </c>
      <c r="G3" s="7" t="s">
        <v>0</v>
      </c>
      <c r="H3" s="7" t="s">
        <v>1</v>
      </c>
      <c r="I3" s="7" t="s">
        <v>2</v>
      </c>
      <c r="J3" s="7" t="s">
        <v>3</v>
      </c>
      <c r="K3" s="7" t="s">
        <v>97</v>
      </c>
      <c r="L3" s="7"/>
      <c r="M3" s="7"/>
      <c r="N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5">
      <c r="A4" s="8" t="s">
        <v>48</v>
      </c>
      <c r="F4" s="19">
        <v>5000000</v>
      </c>
      <c r="G4" s="19">
        <f>+F4*0.3</f>
        <v>1500000</v>
      </c>
      <c r="H4" s="19">
        <f>+F4*0.2</f>
        <v>1000000</v>
      </c>
      <c r="I4" s="19">
        <f>+F4*0.2</f>
        <v>1000000</v>
      </c>
      <c r="J4" s="19">
        <f>+F4*0.3</f>
        <v>1500000</v>
      </c>
      <c r="K4" s="10">
        <f>SUM(G4:J4)</f>
        <v>5000000</v>
      </c>
      <c r="L4" s="6"/>
      <c r="N4" s="3"/>
      <c r="U4" s="10"/>
      <c r="V4" s="20"/>
    </row>
    <row r="5" spans="1:41" x14ac:dyDescent="0.35">
      <c r="A5" s="5" t="s">
        <v>112</v>
      </c>
      <c r="D5" s="5"/>
      <c r="E5" s="5"/>
      <c r="F5" s="19">
        <v>1500000</v>
      </c>
      <c r="G5" s="19">
        <f>+F5*0.3</f>
        <v>450000</v>
      </c>
      <c r="H5" s="19">
        <f>+F5*0.2</f>
        <v>300000</v>
      </c>
      <c r="I5" s="19">
        <f>+F5*0.2</f>
        <v>300000</v>
      </c>
      <c r="J5" s="19">
        <f>+F5*0.3</f>
        <v>450000</v>
      </c>
      <c r="K5" s="10">
        <f>SUM(G5:J5)</f>
        <v>1500000</v>
      </c>
      <c r="U5" s="10"/>
      <c r="V5" s="20"/>
    </row>
    <row r="6" spans="1:41" x14ac:dyDescent="0.35">
      <c r="A6" s="5" t="s">
        <v>84</v>
      </c>
      <c r="D6" s="5"/>
      <c r="E6" s="5"/>
      <c r="F6" s="19">
        <v>500000</v>
      </c>
      <c r="G6" s="19">
        <f>+F6*0.3</f>
        <v>150000</v>
      </c>
      <c r="H6" s="19">
        <f>+F6*0.2</f>
        <v>100000</v>
      </c>
      <c r="I6" s="19">
        <f>+F6*0.2</f>
        <v>100000</v>
      </c>
      <c r="J6" s="19">
        <f>+F6*0.3</f>
        <v>150000</v>
      </c>
      <c r="K6" s="10">
        <f>SUM(G6:J6)</f>
        <v>500000</v>
      </c>
      <c r="U6" s="10"/>
      <c r="V6" s="20"/>
    </row>
    <row r="7" spans="1:41" x14ac:dyDescent="0.35">
      <c r="A7" s="5" t="s">
        <v>5</v>
      </c>
      <c r="D7" s="5"/>
      <c r="E7" s="5"/>
      <c r="F7" s="19">
        <v>1500000</v>
      </c>
      <c r="G7" s="19">
        <f>+F7*0.3</f>
        <v>450000</v>
      </c>
      <c r="H7" s="19">
        <f>+F7*0.2</f>
        <v>300000</v>
      </c>
      <c r="I7" s="19">
        <f>+F7*0.2</f>
        <v>300000</v>
      </c>
      <c r="J7" s="19">
        <f>+F7*0.3</f>
        <v>450000</v>
      </c>
      <c r="K7" s="10">
        <f>SUM(G7:J7)</f>
        <v>1500000</v>
      </c>
      <c r="U7" s="21"/>
      <c r="V7" s="19"/>
      <c r="W7" s="21"/>
      <c r="X7" s="10"/>
      <c r="Y7" s="20"/>
    </row>
    <row r="8" spans="1:41" x14ac:dyDescent="0.35">
      <c r="A8" s="5" t="s">
        <v>99</v>
      </c>
      <c r="D8" s="5"/>
      <c r="E8" s="5"/>
      <c r="F8" s="19">
        <v>17500000</v>
      </c>
      <c r="G8" s="19">
        <f>+F8*0.3</f>
        <v>5250000</v>
      </c>
      <c r="H8" s="19">
        <f>+F8*0.2</f>
        <v>3500000</v>
      </c>
      <c r="I8" s="19">
        <f>+F8*0.2</f>
        <v>3500000</v>
      </c>
      <c r="J8" s="19">
        <f>+F8*0.3</f>
        <v>5250000</v>
      </c>
      <c r="K8" s="10">
        <f>SUM(G8:J8)</f>
        <v>17500000</v>
      </c>
      <c r="U8" s="21"/>
      <c r="V8" s="19"/>
      <c r="W8" s="21"/>
      <c r="X8" s="10"/>
      <c r="Y8" s="20"/>
    </row>
    <row r="9" spans="1:41" x14ac:dyDescent="0.35">
      <c r="A9" s="22" t="s">
        <v>55</v>
      </c>
      <c r="B9" s="100"/>
      <c r="C9" s="100"/>
      <c r="F9" s="23">
        <f t="shared" ref="F9:K9" si="0">SUM(F4:F8)</f>
        <v>26000000</v>
      </c>
      <c r="G9" s="24">
        <f t="shared" si="0"/>
        <v>7800000</v>
      </c>
      <c r="H9" s="24">
        <f t="shared" si="0"/>
        <v>5200000</v>
      </c>
      <c r="I9" s="24">
        <f t="shared" si="0"/>
        <v>5200000</v>
      </c>
      <c r="J9" s="24">
        <f t="shared" si="0"/>
        <v>7800000</v>
      </c>
      <c r="K9" s="23">
        <f t="shared" si="0"/>
        <v>26000000</v>
      </c>
      <c r="U9" s="10"/>
      <c r="V9" s="20"/>
    </row>
    <row r="10" spans="1:41" x14ac:dyDescent="0.35">
      <c r="A10" s="22"/>
      <c r="B10" s="100"/>
      <c r="C10" s="100"/>
      <c r="O10" s="25"/>
      <c r="P10" s="26"/>
      <c r="Q10" s="26"/>
      <c r="R10" s="26"/>
      <c r="S10" s="26"/>
      <c r="T10" s="27"/>
      <c r="U10" s="26"/>
      <c r="V10" s="28"/>
    </row>
    <row r="11" spans="1:41" s="16" customFormat="1" x14ac:dyDescent="0.35">
      <c r="A11" s="15"/>
      <c r="B11" s="29"/>
      <c r="C11" s="29"/>
      <c r="D11" s="15"/>
      <c r="E11" s="15"/>
      <c r="F11" s="15"/>
      <c r="G11" s="29"/>
      <c r="H11" s="29"/>
      <c r="I11" s="29"/>
      <c r="J11" s="30"/>
      <c r="K11" s="30"/>
      <c r="L11" s="30"/>
      <c r="N11" s="31"/>
      <c r="O11" s="32"/>
    </row>
    <row r="12" spans="1:41" x14ac:dyDescent="0.35">
      <c r="A12" s="17" t="s">
        <v>111</v>
      </c>
      <c r="B12" s="2"/>
      <c r="C12" s="2"/>
      <c r="D12" s="17"/>
      <c r="E12" s="17"/>
      <c r="F12" s="18" t="s">
        <v>16</v>
      </c>
      <c r="G12" s="18" t="s">
        <v>0</v>
      </c>
      <c r="H12" s="33" t="s">
        <v>89</v>
      </c>
      <c r="I12" s="18" t="s">
        <v>1</v>
      </c>
      <c r="J12" s="33" t="s">
        <v>90</v>
      </c>
      <c r="K12" s="18" t="s">
        <v>2</v>
      </c>
      <c r="L12" s="33" t="s">
        <v>91</v>
      </c>
      <c r="M12" s="18" t="s">
        <v>3</v>
      </c>
      <c r="N12" s="33" t="s">
        <v>92</v>
      </c>
      <c r="O12" s="18" t="s">
        <v>108</v>
      </c>
      <c r="P12" s="18" t="s">
        <v>52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x14ac:dyDescent="0.35">
      <c r="A13" s="8" t="s">
        <v>48</v>
      </c>
      <c r="F13" s="19">
        <f>SUMIF($G23:$G293,"INFRA",O23:O293)</f>
        <v>5402168.7036363641</v>
      </c>
      <c r="G13" s="19">
        <f>SUMIF($G23:$G293,"INFRA",P23:P293)</f>
        <v>898811.24363636377</v>
      </c>
      <c r="H13" s="21">
        <f>+G13-G4</f>
        <v>-601188.75636363623</v>
      </c>
      <c r="I13" s="19">
        <f>SUMIF($G23:$G293,"INFRA",Q23:Q293)</f>
        <v>1311044.5799999998</v>
      </c>
      <c r="J13" s="21">
        <f>+I13-H4</f>
        <v>311044.57999999984</v>
      </c>
      <c r="K13" s="19">
        <f>SUMIF($G23:$G293,"INFRA",R23:R293)</f>
        <v>95393.25</v>
      </c>
      <c r="L13" s="21">
        <f>+K13-I4</f>
        <v>-904606.75</v>
      </c>
      <c r="M13" s="19">
        <f>SUMIF($G23:$G293,"INFRA",S23:S293)</f>
        <v>42531.75</v>
      </c>
      <c r="N13" s="21">
        <f>+M13-J4</f>
        <v>-1457468.25</v>
      </c>
      <c r="O13" s="10">
        <f>+G13+I13+K13+M13</f>
        <v>2347780.8236363637</v>
      </c>
      <c r="P13" s="20">
        <f t="shared" ref="P13:P18" si="1">+O13-K4</f>
        <v>-2652219.1763636363</v>
      </c>
    </row>
    <row r="14" spans="1:41" x14ac:dyDescent="0.35">
      <c r="A14" s="5" t="s">
        <v>112</v>
      </c>
      <c r="D14" s="5"/>
      <c r="E14" s="5"/>
      <c r="F14" s="19">
        <f>SUMIF($G23:$G293,"NETWORKING",O23:O293)</f>
        <v>1900993.1920903954</v>
      </c>
      <c r="G14" s="19">
        <f>SUMIF($G23:$G293,"NETWORKING",P23:P293)</f>
        <v>84712.700564971747</v>
      </c>
      <c r="H14" s="86">
        <f>+G14-G5</f>
        <v>-365287.29943502822</v>
      </c>
      <c r="I14" s="19">
        <f>SUMIF($G23:$G293,"NETWORKING",Q23:Q293)</f>
        <v>269980.93220338982</v>
      </c>
      <c r="J14" s="21">
        <f>+I14-H5</f>
        <v>-30019.067796610179</v>
      </c>
      <c r="K14" s="19">
        <f>SUMIF($G23:$G293,"NETWORKING",R23:R293)</f>
        <v>180525.93050847459</v>
      </c>
      <c r="L14" s="21">
        <f>+K14-I5</f>
        <v>-119474.06949152541</v>
      </c>
      <c r="M14" s="19">
        <f>SUMIF($G23:$G293,"NETWORKING",S23:S293)</f>
        <v>63823.728813559326</v>
      </c>
      <c r="N14" s="21">
        <f>+M14-J5</f>
        <v>-386176.27118644066</v>
      </c>
      <c r="O14" s="10">
        <f>+G14+I14+K14+M14</f>
        <v>599043.29209039547</v>
      </c>
      <c r="P14" s="20">
        <f t="shared" si="1"/>
        <v>-900956.70790960453</v>
      </c>
    </row>
    <row r="15" spans="1:41" x14ac:dyDescent="0.35">
      <c r="A15" s="5" t="s">
        <v>84</v>
      </c>
      <c r="D15" s="5"/>
      <c r="E15" s="5"/>
      <c r="F15" s="19">
        <f>SUMIF($G23:$G293,"AUDIO/VIDEO+DC",O23:O293)</f>
        <v>1935037</v>
      </c>
      <c r="G15" s="19">
        <f>SUMIF($G23:$G293,"AUDIO/VIDEO+DC",P23:P293)</f>
        <v>146037</v>
      </c>
      <c r="H15" s="21">
        <f>+G15-G6</f>
        <v>-3963</v>
      </c>
      <c r="I15" s="19">
        <f>SUMIF($G23:$G293,"AUDIO/VIDEO+DC",Q23:Q293)</f>
        <v>109450</v>
      </c>
      <c r="J15" s="21">
        <f>+I15-H6</f>
        <v>9450</v>
      </c>
      <c r="K15" s="19">
        <f>SUMIF($G23:$G293,"AUDIO/VIDEO+DC",R23:R293)</f>
        <v>23500</v>
      </c>
      <c r="L15" s="21">
        <f>+K15-I6</f>
        <v>-76500</v>
      </c>
      <c r="M15" s="19">
        <f>SUMIF($G23:$G293,"AUDIO/VIDEO+DC",S23:S293)</f>
        <v>57750</v>
      </c>
      <c r="N15" s="21">
        <f>+M15-J6</f>
        <v>-92250</v>
      </c>
      <c r="O15" s="10">
        <f>+G15+I15+K15+M15</f>
        <v>336737</v>
      </c>
      <c r="P15" s="20">
        <f t="shared" si="1"/>
        <v>-163263</v>
      </c>
    </row>
    <row r="16" spans="1:41" x14ac:dyDescent="0.35">
      <c r="A16" s="5" t="s">
        <v>5</v>
      </c>
      <c r="D16" s="87"/>
      <c r="E16" s="5"/>
      <c r="F16" s="19">
        <f>SUMIF($G23:$G293,"FORTINET",O23:O293)</f>
        <v>98467.951748251755</v>
      </c>
      <c r="G16" s="19">
        <f>SUMIF($G23:$G293,"FORTINET",P23:P293)</f>
        <v>32137.182517482521</v>
      </c>
      <c r="H16" s="21">
        <f>+G16-G7</f>
        <v>-417862.81748251745</v>
      </c>
      <c r="I16" s="19">
        <f>SUMIF($G23:$G293,"FORTINET",Q23:Q293)</f>
        <v>13476.923076923078</v>
      </c>
      <c r="J16" s="21">
        <f>+I16-H7</f>
        <v>-286523.07692307694</v>
      </c>
      <c r="K16" s="19">
        <f>SUMIF($G23:$G293,"FORTINET",R23:R293)</f>
        <v>14676.923076923078</v>
      </c>
      <c r="L16" s="21">
        <f>+K16-I7</f>
        <v>-285323.07692307694</v>
      </c>
      <c r="M16" s="19">
        <f>SUMIF($G23:$G293,"FORTINET",S23:S293)</f>
        <v>14276.923076923078</v>
      </c>
      <c r="N16" s="21">
        <f>+M16-J7</f>
        <v>-435723.07692307694</v>
      </c>
      <c r="O16" s="10">
        <f>+G16+I16+K16+M16</f>
        <v>74567.951748251755</v>
      </c>
      <c r="P16" s="20">
        <f t="shared" si="1"/>
        <v>-1425432.0482517483</v>
      </c>
    </row>
    <row r="17" spans="1:39" x14ac:dyDescent="0.35">
      <c r="A17" s="5" t="s">
        <v>99</v>
      </c>
      <c r="D17" s="5"/>
      <c r="E17" s="5"/>
      <c r="F17" s="19">
        <f>SUMIF($G23:$G293,"MICROINFORMATICA",O23:O293)</f>
        <v>6101238.505804196</v>
      </c>
      <c r="G17" s="19">
        <f>SUMIF($G23:$G293,"MICROINFORMATICA",P23:P293)</f>
        <v>2228152.4358041962</v>
      </c>
      <c r="H17" s="21">
        <f>+G17-G8</f>
        <v>-3021847.5641958038</v>
      </c>
      <c r="I17" s="19">
        <f>SUMIF($G23:$G293,"MICROINFORMATICA",Q23:Q293)</f>
        <v>1506277.69</v>
      </c>
      <c r="J17" s="21">
        <f>+I17-H8</f>
        <v>-1993722.31</v>
      </c>
      <c r="K17" s="19">
        <f>SUMIF($G23:$G293,"MICROINFORMATICA",R23:R293)</f>
        <v>71880.69</v>
      </c>
      <c r="L17" s="21">
        <f>+K17-I8</f>
        <v>-3428119.31</v>
      </c>
      <c r="M17" s="19">
        <f>SUMIF($G23:$G293,"MICROINFORMATICA",S23:S293)</f>
        <v>8527.6899999999987</v>
      </c>
      <c r="N17" s="21">
        <f>+M17-J8</f>
        <v>-5241472.3099999996</v>
      </c>
      <c r="O17" s="10">
        <f>+G17+I17+K17+M17</f>
        <v>3814838.505804196</v>
      </c>
      <c r="P17" s="20">
        <f t="shared" si="1"/>
        <v>-13685161.494195804</v>
      </c>
    </row>
    <row r="18" spans="1:39" x14ac:dyDescent="0.35">
      <c r="A18" s="22" t="s">
        <v>55</v>
      </c>
      <c r="B18" s="100"/>
      <c r="C18" s="100"/>
      <c r="F18" s="23">
        <f t="shared" ref="F18:O18" si="2">SUM(F13:F17)</f>
        <v>15437905.353279207</v>
      </c>
      <c r="G18" s="24">
        <f t="shared" si="2"/>
        <v>3389850.5625230139</v>
      </c>
      <c r="H18" s="34">
        <f t="shared" si="2"/>
        <v>-4410149.4374769852</v>
      </c>
      <c r="I18" s="24">
        <f t="shared" si="2"/>
        <v>3210230.1252803127</v>
      </c>
      <c r="J18" s="34">
        <f t="shared" si="2"/>
        <v>-1989769.8747196873</v>
      </c>
      <c r="K18" s="24">
        <f t="shared" si="2"/>
        <v>385976.79358539765</v>
      </c>
      <c r="L18" s="34">
        <f t="shared" si="2"/>
        <v>-4814023.2064146027</v>
      </c>
      <c r="M18" s="24">
        <f t="shared" si="2"/>
        <v>186910.09189048241</v>
      </c>
      <c r="N18" s="34">
        <f t="shared" si="2"/>
        <v>-7613089.9081095178</v>
      </c>
      <c r="O18" s="10">
        <f t="shared" si="2"/>
        <v>7172967.5732792076</v>
      </c>
      <c r="P18" s="20">
        <f t="shared" si="1"/>
        <v>-18827032.426720791</v>
      </c>
    </row>
    <row r="19" spans="1:39" x14ac:dyDescent="0.35">
      <c r="A19" s="22"/>
      <c r="B19" s="100"/>
      <c r="C19" s="100"/>
      <c r="F19" s="25"/>
      <c r="G19" s="26"/>
      <c r="H19" s="26"/>
      <c r="I19" s="26"/>
      <c r="J19" s="26"/>
      <c r="K19" s="27"/>
      <c r="L19" s="26"/>
      <c r="M19" s="28"/>
    </row>
    <row r="20" spans="1:39" s="16" customFormat="1" x14ac:dyDescent="0.35">
      <c r="A20" s="15"/>
      <c r="B20" s="29"/>
      <c r="C20" s="29"/>
      <c r="D20" s="15"/>
      <c r="E20" s="15"/>
      <c r="F20" s="15"/>
      <c r="G20" s="15"/>
      <c r="H20" s="15"/>
      <c r="I20" s="15"/>
      <c r="O20" s="35"/>
      <c r="P20" s="36"/>
      <c r="Q20" s="36"/>
      <c r="R20" s="36"/>
      <c r="S20" s="36"/>
      <c r="T20" s="37"/>
      <c r="U20" s="36"/>
      <c r="V20" s="38"/>
    </row>
    <row r="21" spans="1:39" x14ac:dyDescent="0.35">
      <c r="A21" s="22" t="s">
        <v>109</v>
      </c>
      <c r="B21" s="100"/>
      <c r="C21" s="100"/>
    </row>
    <row r="22" spans="1:39" ht="42" x14ac:dyDescent="0.35">
      <c r="A22" s="2" t="s">
        <v>8</v>
      </c>
      <c r="B22" s="2" t="s">
        <v>419</v>
      </c>
      <c r="C22" s="11" t="s">
        <v>554</v>
      </c>
      <c r="D22" s="11" t="s">
        <v>95</v>
      </c>
      <c r="E22" s="11" t="s">
        <v>96</v>
      </c>
      <c r="F22" s="2" t="s">
        <v>72</v>
      </c>
      <c r="G22" s="2" t="s">
        <v>43</v>
      </c>
      <c r="H22" s="2" t="s">
        <v>33</v>
      </c>
      <c r="I22" s="2" t="s">
        <v>32</v>
      </c>
      <c r="J22" s="7" t="s">
        <v>7</v>
      </c>
      <c r="K22" s="7" t="s">
        <v>24</v>
      </c>
      <c r="L22" s="7" t="s">
        <v>93</v>
      </c>
      <c r="M22" s="7" t="s">
        <v>82</v>
      </c>
      <c r="N22" s="7" t="s">
        <v>15</v>
      </c>
      <c r="O22" s="7" t="s">
        <v>16</v>
      </c>
      <c r="P22" s="7" t="s">
        <v>0</v>
      </c>
      <c r="Q22" s="7" t="s">
        <v>1</v>
      </c>
      <c r="R22" s="7" t="s">
        <v>2</v>
      </c>
      <c r="S22" s="7" t="s">
        <v>3</v>
      </c>
      <c r="T22" s="7" t="s">
        <v>97</v>
      </c>
      <c r="U22" s="7" t="s">
        <v>57</v>
      </c>
      <c r="V22" s="7"/>
      <c r="W22" s="7" t="s">
        <v>153</v>
      </c>
      <c r="X22" s="7" t="s">
        <v>152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s="41" customFormat="1" x14ac:dyDescent="0.35">
      <c r="A23" s="8" t="s">
        <v>514</v>
      </c>
      <c r="B23" s="1" t="s">
        <v>0</v>
      </c>
      <c r="C23" s="1"/>
      <c r="D23" s="8"/>
      <c r="E23" s="8"/>
      <c r="F23" s="1" t="s">
        <v>80</v>
      </c>
      <c r="G23" s="1" t="s">
        <v>85</v>
      </c>
      <c r="H23" s="1" t="s">
        <v>71</v>
      </c>
      <c r="I23" s="1" t="s">
        <v>137</v>
      </c>
      <c r="J23" s="6" t="s">
        <v>51</v>
      </c>
      <c r="K23" s="6"/>
      <c r="L23" s="6"/>
      <c r="M23" s="4"/>
      <c r="N23" s="3">
        <v>0.25</v>
      </c>
      <c r="O23" s="45">
        <v>20000</v>
      </c>
      <c r="P23" s="10">
        <f>+O23*N23</f>
        <v>5000</v>
      </c>
      <c r="Q23" s="10"/>
      <c r="R23" s="10"/>
      <c r="S23" s="10"/>
      <c r="T23" s="26">
        <f>+P23+Q23+R23+S23</f>
        <v>5000</v>
      </c>
      <c r="U23" s="10"/>
      <c r="V23" s="4"/>
      <c r="W23" s="4" t="s">
        <v>193</v>
      </c>
      <c r="X23" s="4"/>
    </row>
    <row r="24" spans="1:39" s="41" customFormat="1" x14ac:dyDescent="0.35">
      <c r="A24" s="54" t="s">
        <v>195</v>
      </c>
      <c r="B24" s="1" t="s">
        <v>0</v>
      </c>
      <c r="C24" s="1"/>
      <c r="D24" s="8"/>
      <c r="E24" s="8"/>
      <c r="F24" s="1" t="s">
        <v>80</v>
      </c>
      <c r="G24" s="1" t="s">
        <v>85</v>
      </c>
      <c r="H24" s="1" t="s">
        <v>71</v>
      </c>
      <c r="I24" s="1" t="s">
        <v>137</v>
      </c>
      <c r="J24" s="6" t="s">
        <v>51</v>
      </c>
      <c r="K24" s="6"/>
      <c r="L24" s="6"/>
      <c r="M24" s="4"/>
      <c r="N24" s="3">
        <v>0.25</v>
      </c>
      <c r="O24" s="45">
        <v>10000</v>
      </c>
      <c r="P24" s="10">
        <f>+O24*N24</f>
        <v>2500</v>
      </c>
      <c r="Q24" s="10"/>
      <c r="R24" s="10"/>
      <c r="S24" s="10"/>
      <c r="T24" s="26">
        <f>+P24+Q24+R24+S24</f>
        <v>2500</v>
      </c>
      <c r="U24" s="10"/>
      <c r="V24" s="4"/>
      <c r="W24" s="4" t="s">
        <v>194</v>
      </c>
      <c r="X24" s="4"/>
    </row>
    <row r="25" spans="1:39" s="41" customFormat="1" x14ac:dyDescent="0.35">
      <c r="A25" s="8" t="s">
        <v>218</v>
      </c>
      <c r="B25" s="1" t="s">
        <v>0</v>
      </c>
      <c r="C25" s="1"/>
      <c r="D25" s="8"/>
      <c r="E25" s="8"/>
      <c r="F25" s="1" t="s">
        <v>74</v>
      </c>
      <c r="G25" s="1" t="s">
        <v>85</v>
      </c>
      <c r="H25" s="1" t="s">
        <v>45</v>
      </c>
      <c r="I25" s="1" t="s">
        <v>35</v>
      </c>
      <c r="J25" s="6" t="s">
        <v>51</v>
      </c>
      <c r="K25" s="6"/>
      <c r="L25" s="6"/>
      <c r="M25" s="4"/>
      <c r="N25" s="3">
        <v>0.25</v>
      </c>
      <c r="O25" s="45">
        <v>7000</v>
      </c>
      <c r="P25" s="10">
        <f>+O25*N25</f>
        <v>1750</v>
      </c>
      <c r="Q25" s="10"/>
      <c r="R25" s="10"/>
      <c r="S25" s="10"/>
      <c r="T25" s="26">
        <f>+P25+Q25+R25+S25</f>
        <v>1750</v>
      </c>
      <c r="U25" s="10"/>
      <c r="V25" s="4"/>
      <c r="W25" s="4" t="s">
        <v>451</v>
      </c>
      <c r="X25" s="4"/>
    </row>
    <row r="26" spans="1:39" s="41" customFormat="1" x14ac:dyDescent="0.35">
      <c r="A26" t="s">
        <v>339</v>
      </c>
      <c r="B26" s="105" t="s">
        <v>0</v>
      </c>
      <c r="C26" s="105"/>
      <c r="D26" s="8"/>
      <c r="E26" s="8"/>
      <c r="F26" s="1" t="s">
        <v>87</v>
      </c>
      <c r="G26" s="1" t="s">
        <v>85</v>
      </c>
      <c r="H26" s="1" t="s">
        <v>36</v>
      </c>
      <c r="I26" s="1" t="s">
        <v>10</v>
      </c>
      <c r="J26" s="6" t="s">
        <v>51</v>
      </c>
      <c r="K26" s="6"/>
      <c r="L26" s="6"/>
      <c r="M26" s="4"/>
      <c r="N26" s="3">
        <v>0.25</v>
      </c>
      <c r="O26" s="45">
        <v>3000</v>
      </c>
      <c r="P26" s="10">
        <f>+O26*N26</f>
        <v>750</v>
      </c>
      <c r="Q26" s="10"/>
      <c r="R26" s="10"/>
      <c r="S26" s="10"/>
      <c r="T26" s="26">
        <f>+P26+Q26+R26+S26</f>
        <v>750</v>
      </c>
      <c r="U26" s="10"/>
      <c r="V26" s="4"/>
      <c r="W26" s="4" t="s">
        <v>340</v>
      </c>
      <c r="X26" s="4"/>
    </row>
    <row r="27" spans="1:39" s="41" customFormat="1" x14ac:dyDescent="0.35">
      <c r="A27" s="39" t="s">
        <v>128</v>
      </c>
      <c r="B27" s="14" t="s">
        <v>0</v>
      </c>
      <c r="C27" s="14"/>
      <c r="D27" s="39"/>
      <c r="E27" s="39"/>
      <c r="F27" s="14" t="s">
        <v>73</v>
      </c>
      <c r="G27" s="14" t="s">
        <v>85</v>
      </c>
      <c r="H27" s="14" t="s">
        <v>45</v>
      </c>
      <c r="I27" s="14" t="s">
        <v>28</v>
      </c>
      <c r="J27" s="40" t="s">
        <v>11</v>
      </c>
      <c r="K27" s="40" t="s">
        <v>25</v>
      </c>
      <c r="L27" s="40" t="s">
        <v>94</v>
      </c>
      <c r="M27" s="41" t="s">
        <v>83</v>
      </c>
      <c r="N27" s="42">
        <v>1</v>
      </c>
      <c r="O27" s="43">
        <v>40000</v>
      </c>
      <c r="P27" s="44">
        <f>+O27*N27</f>
        <v>40000</v>
      </c>
      <c r="Q27" s="44"/>
      <c r="R27" s="44"/>
      <c r="S27" s="44"/>
      <c r="T27" s="43">
        <f>+P27+Q27+R27+S27</f>
        <v>40000</v>
      </c>
      <c r="U27" s="43">
        <f>+T27*0.09</f>
        <v>3600</v>
      </c>
      <c r="W27" s="41" t="s">
        <v>189</v>
      </c>
      <c r="Y27" s="67"/>
      <c r="AB27" s="67"/>
      <c r="AC27" s="67"/>
      <c r="AD27" s="67"/>
      <c r="AE27" s="67"/>
      <c r="AF27" s="67"/>
      <c r="AG27" s="67"/>
    </row>
    <row r="28" spans="1:39" s="67" customFormat="1" x14ac:dyDescent="0.35">
      <c r="A28" s="39" t="s">
        <v>262</v>
      </c>
      <c r="B28" s="14" t="s">
        <v>0</v>
      </c>
      <c r="C28" s="14"/>
      <c r="D28" s="39"/>
      <c r="E28" s="39"/>
      <c r="F28" s="14" t="s">
        <v>77</v>
      </c>
      <c r="G28" s="14" t="s">
        <v>85</v>
      </c>
      <c r="H28" s="14" t="s">
        <v>36</v>
      </c>
      <c r="I28" s="14" t="s">
        <v>37</v>
      </c>
      <c r="J28" s="40" t="s">
        <v>11</v>
      </c>
      <c r="K28" s="40"/>
      <c r="L28" s="40"/>
      <c r="M28" s="41"/>
      <c r="N28" s="42">
        <v>1</v>
      </c>
      <c r="O28" s="71">
        <v>18095</v>
      </c>
      <c r="P28" s="43">
        <f>+O28*N28</f>
        <v>18095</v>
      </c>
      <c r="Q28" s="43"/>
      <c r="R28" s="43"/>
      <c r="S28" s="43"/>
      <c r="T28" s="43">
        <f>+P28+Q28+R28+S28</f>
        <v>18095</v>
      </c>
      <c r="U28" s="43"/>
      <c r="V28" s="41"/>
      <c r="W28" s="41" t="s">
        <v>263</v>
      </c>
      <c r="X28" s="41"/>
      <c r="Y28" s="90"/>
      <c r="Z28" s="90"/>
      <c r="AA28" s="41"/>
    </row>
    <row r="29" spans="1:39" s="67" customFormat="1" x14ac:dyDescent="0.35">
      <c r="A29" s="39" t="s">
        <v>158</v>
      </c>
      <c r="B29" s="14" t="s">
        <v>0</v>
      </c>
      <c r="C29" s="14"/>
      <c r="D29" s="39"/>
      <c r="E29" s="39"/>
      <c r="F29" s="14" t="s">
        <v>76</v>
      </c>
      <c r="G29" s="14" t="s">
        <v>85</v>
      </c>
      <c r="H29" s="14" t="s">
        <v>71</v>
      </c>
      <c r="I29" s="14" t="s">
        <v>137</v>
      </c>
      <c r="J29" s="40" t="s">
        <v>11</v>
      </c>
      <c r="K29" s="40"/>
      <c r="L29" s="40"/>
      <c r="M29" s="41"/>
      <c r="N29" s="42">
        <v>1</v>
      </c>
      <c r="O29" s="43">
        <v>13365</v>
      </c>
      <c r="P29" s="44">
        <f>+O29*N29</f>
        <v>13365</v>
      </c>
      <c r="Q29" s="44"/>
      <c r="R29" s="44"/>
      <c r="S29" s="44"/>
      <c r="T29" s="43">
        <f>+P29+Q29+R29+S29</f>
        <v>13365</v>
      </c>
      <c r="U29" s="43"/>
      <c r="V29" s="41"/>
      <c r="W29" s="41" t="s">
        <v>241</v>
      </c>
      <c r="X29" s="41"/>
      <c r="Z29" s="41"/>
      <c r="AA29" s="41"/>
      <c r="AB29" s="41"/>
      <c r="AC29" s="41"/>
      <c r="AD29" s="41"/>
      <c r="AE29" s="41"/>
      <c r="AF29" s="41"/>
      <c r="AG29" s="41"/>
    </row>
    <row r="30" spans="1:39" s="67" customFormat="1" x14ac:dyDescent="0.35">
      <c r="A30" s="39" t="s">
        <v>264</v>
      </c>
      <c r="B30" s="14" t="s">
        <v>0</v>
      </c>
      <c r="C30" s="14"/>
      <c r="D30" s="39"/>
      <c r="E30" s="39"/>
      <c r="F30" s="14" t="s">
        <v>80</v>
      </c>
      <c r="G30" s="14" t="s">
        <v>85</v>
      </c>
      <c r="H30" s="14" t="s">
        <v>36</v>
      </c>
      <c r="I30" s="14" t="s">
        <v>10</v>
      </c>
      <c r="J30" s="40" t="s">
        <v>11</v>
      </c>
      <c r="K30" s="40"/>
      <c r="L30" s="40"/>
      <c r="M30" s="41"/>
      <c r="N30" s="42">
        <v>1</v>
      </c>
      <c r="O30" s="71">
        <v>10700</v>
      </c>
      <c r="P30" s="43">
        <f>+O30*N30</f>
        <v>10700</v>
      </c>
      <c r="Q30" s="43"/>
      <c r="R30" s="43"/>
      <c r="S30" s="43"/>
      <c r="T30" s="43">
        <f>+P30+Q30+R30+S30</f>
        <v>10700</v>
      </c>
      <c r="U30" s="43"/>
      <c r="V30" s="41"/>
      <c r="W30" s="41" t="s">
        <v>265</v>
      </c>
      <c r="X30" s="41"/>
      <c r="Y30" s="41"/>
      <c r="Z30" s="41"/>
    </row>
    <row r="31" spans="1:39" s="41" customFormat="1" x14ac:dyDescent="0.35">
      <c r="A31" s="39" t="s">
        <v>342</v>
      </c>
      <c r="B31" s="14" t="s">
        <v>0</v>
      </c>
      <c r="C31" s="14"/>
      <c r="D31" s="39"/>
      <c r="E31" s="39"/>
      <c r="F31" s="14" t="s">
        <v>78</v>
      </c>
      <c r="G31" s="14" t="s">
        <v>85</v>
      </c>
      <c r="H31" s="14" t="s">
        <v>36</v>
      </c>
      <c r="I31" s="14" t="s">
        <v>10</v>
      </c>
      <c r="J31" s="40" t="s">
        <v>11</v>
      </c>
      <c r="K31" s="40"/>
      <c r="L31" s="40"/>
      <c r="N31" s="42">
        <v>1</v>
      </c>
      <c r="O31" s="43">
        <v>10000</v>
      </c>
      <c r="P31" s="43">
        <f>+O31*N31</f>
        <v>10000</v>
      </c>
      <c r="Q31" s="43"/>
      <c r="R31" s="44"/>
      <c r="S31" s="44"/>
      <c r="T31" s="43">
        <f>+P31+Q31+R31+S31</f>
        <v>10000</v>
      </c>
      <c r="U31" s="43"/>
      <c r="W31" s="41" t="s">
        <v>343</v>
      </c>
      <c r="AB31" s="67"/>
      <c r="AC31" s="67"/>
      <c r="AD31" s="67"/>
      <c r="AE31" s="67"/>
      <c r="AF31" s="67"/>
      <c r="AG31" s="67"/>
    </row>
    <row r="32" spans="1:39" s="67" customFormat="1" x14ac:dyDescent="0.35">
      <c r="A32" s="39" t="s">
        <v>447</v>
      </c>
      <c r="B32" s="14" t="s">
        <v>0</v>
      </c>
      <c r="C32" s="14"/>
      <c r="D32" s="39"/>
      <c r="E32" s="39"/>
      <c r="F32" s="14" t="s">
        <v>75</v>
      </c>
      <c r="G32" s="14" t="s">
        <v>85</v>
      </c>
      <c r="H32" s="14" t="s">
        <v>71</v>
      </c>
      <c r="I32" s="14" t="s">
        <v>137</v>
      </c>
      <c r="J32" s="40" t="s">
        <v>11</v>
      </c>
      <c r="K32" s="40"/>
      <c r="L32" s="40"/>
      <c r="M32" s="41"/>
      <c r="N32" s="42">
        <v>1</v>
      </c>
      <c r="O32" s="71">
        <v>10000</v>
      </c>
      <c r="P32" s="43">
        <f>+O32*N32</f>
        <v>10000</v>
      </c>
      <c r="Q32" s="43"/>
      <c r="R32" s="43"/>
      <c r="S32" s="43"/>
      <c r="T32" s="43">
        <f>+P32+Q32+R32+S32</f>
        <v>10000</v>
      </c>
      <c r="U32" s="43"/>
      <c r="V32" s="41"/>
      <c r="W32" s="41" t="s">
        <v>485</v>
      </c>
      <c r="X32" s="41"/>
      <c r="Y32" s="41"/>
    </row>
    <row r="33" spans="1:35" s="41" customFormat="1" x14ac:dyDescent="0.35">
      <c r="A33" s="39" t="s">
        <v>438</v>
      </c>
      <c r="B33" s="14" t="s">
        <v>0</v>
      </c>
      <c r="C33" s="14"/>
      <c r="D33" s="39"/>
      <c r="E33" s="39"/>
      <c r="F33" s="14" t="s">
        <v>73</v>
      </c>
      <c r="G33" s="14" t="s">
        <v>85</v>
      </c>
      <c r="H33" s="14" t="s">
        <v>45</v>
      </c>
      <c r="I33" s="14" t="s">
        <v>190</v>
      </c>
      <c r="J33" s="40" t="s">
        <v>11</v>
      </c>
      <c r="K33" s="40"/>
      <c r="L33" s="40"/>
      <c r="N33" s="42">
        <v>1</v>
      </c>
      <c r="O33" s="43">
        <f>522*16</f>
        <v>8352</v>
      </c>
      <c r="P33" s="44">
        <f>+O33*N33</f>
        <v>8352</v>
      </c>
      <c r="Q33" s="44"/>
      <c r="R33" s="44"/>
      <c r="S33" s="44"/>
      <c r="T33" s="43">
        <v>40000</v>
      </c>
      <c r="W33" s="41" t="s">
        <v>439</v>
      </c>
    </row>
    <row r="34" spans="1:35" s="67" customFormat="1" x14ac:dyDescent="0.35">
      <c r="A34" s="39" t="s">
        <v>157</v>
      </c>
      <c r="B34" s="14" t="s">
        <v>0</v>
      </c>
      <c r="C34" s="14"/>
      <c r="D34" s="39"/>
      <c r="E34" s="39"/>
      <c r="F34" s="14" t="s">
        <v>88</v>
      </c>
      <c r="G34" s="14" t="s">
        <v>85</v>
      </c>
      <c r="H34" s="14" t="s">
        <v>45</v>
      </c>
      <c r="I34" s="14" t="s">
        <v>521</v>
      </c>
      <c r="J34" s="40" t="s">
        <v>11</v>
      </c>
      <c r="K34" s="40"/>
      <c r="L34" s="40"/>
      <c r="M34" s="41"/>
      <c r="N34" s="42">
        <v>1</v>
      </c>
      <c r="O34" s="71">
        <v>8174</v>
      </c>
      <c r="P34" s="43">
        <f>+O34*N34</f>
        <v>8174</v>
      </c>
      <c r="Q34" s="43"/>
      <c r="R34" s="43"/>
      <c r="S34" s="43"/>
      <c r="T34" s="43">
        <f>+P34+Q34+R34+S34</f>
        <v>8174</v>
      </c>
      <c r="U34" s="43"/>
      <c r="V34" s="41"/>
      <c r="W34" s="41" t="s">
        <v>155</v>
      </c>
      <c r="X34" s="41"/>
      <c r="Y34" s="4"/>
      <c r="Z34" s="4"/>
    </row>
    <row r="35" spans="1:35" s="67" customFormat="1" x14ac:dyDescent="0.35">
      <c r="A35" s="89" t="s">
        <v>410</v>
      </c>
      <c r="B35" s="120" t="s">
        <v>0</v>
      </c>
      <c r="C35" s="120"/>
      <c r="D35" s="89"/>
      <c r="E35" s="89"/>
      <c r="F35" s="120" t="s">
        <v>79</v>
      </c>
      <c r="G35" s="120" t="s">
        <v>85</v>
      </c>
      <c r="H35" s="120" t="s">
        <v>36</v>
      </c>
      <c r="I35" s="120" t="s">
        <v>10</v>
      </c>
      <c r="J35" s="121" t="s">
        <v>11</v>
      </c>
      <c r="K35" s="121"/>
      <c r="L35" s="121"/>
      <c r="M35" s="90"/>
      <c r="N35" s="122">
        <v>1</v>
      </c>
      <c r="O35" s="129">
        <v>5600</v>
      </c>
      <c r="P35" s="124">
        <f>+O35*N35</f>
        <v>5600</v>
      </c>
      <c r="Q35" s="124"/>
      <c r="R35" s="124"/>
      <c r="S35" s="124"/>
      <c r="T35" s="124">
        <f>+P35+Q35+R35+S35</f>
        <v>5600</v>
      </c>
      <c r="U35" s="90"/>
      <c r="V35" s="90"/>
      <c r="W35" s="90" t="s">
        <v>495</v>
      </c>
      <c r="X35" s="90"/>
      <c r="Y35" s="4"/>
    </row>
    <row r="36" spans="1:35" s="67" customFormat="1" x14ac:dyDescent="0.35">
      <c r="A36" s="39" t="s">
        <v>297</v>
      </c>
      <c r="B36" s="14" t="s">
        <v>0</v>
      </c>
      <c r="C36" s="14"/>
      <c r="D36" s="39"/>
      <c r="E36" s="39"/>
      <c r="F36" s="14" t="s">
        <v>73</v>
      </c>
      <c r="G36" s="14" t="s">
        <v>85</v>
      </c>
      <c r="H36" s="14" t="s">
        <v>45</v>
      </c>
      <c r="I36" s="14" t="s">
        <v>28</v>
      </c>
      <c r="J36" s="40" t="s">
        <v>11</v>
      </c>
      <c r="K36" s="40"/>
      <c r="L36" s="40"/>
      <c r="M36" s="41"/>
      <c r="N36" s="42">
        <v>1</v>
      </c>
      <c r="O36" s="43">
        <v>3500</v>
      </c>
      <c r="P36" s="44">
        <f>+O36*N36</f>
        <v>3500</v>
      </c>
      <c r="Q36" s="44"/>
      <c r="R36" s="44"/>
      <c r="S36" s="44"/>
      <c r="T36" s="43">
        <v>40000</v>
      </c>
      <c r="U36" s="41"/>
      <c r="V36" s="41"/>
      <c r="W36" s="41" t="s">
        <v>296</v>
      </c>
      <c r="X36" s="41"/>
      <c r="Y36" s="4"/>
    </row>
    <row r="37" spans="1:35" s="67" customFormat="1" x14ac:dyDescent="0.35">
      <c r="A37" s="39" t="s">
        <v>187</v>
      </c>
      <c r="B37" s="14" t="s">
        <v>0</v>
      </c>
      <c r="C37" s="14"/>
      <c r="D37" s="39"/>
      <c r="E37" s="39"/>
      <c r="F37" s="14" t="s">
        <v>78</v>
      </c>
      <c r="G37" s="14" t="s">
        <v>85</v>
      </c>
      <c r="H37" s="14" t="s">
        <v>45</v>
      </c>
      <c r="I37" s="14" t="s">
        <v>34</v>
      </c>
      <c r="J37" s="40" t="s">
        <v>11</v>
      </c>
      <c r="K37" s="40"/>
      <c r="L37" s="40"/>
      <c r="M37" s="41"/>
      <c r="N37" s="42">
        <v>1</v>
      </c>
      <c r="O37" s="71">
        <v>3500</v>
      </c>
      <c r="P37" s="43">
        <f>+O37*N37</f>
        <v>3500</v>
      </c>
      <c r="Q37" s="43"/>
      <c r="R37" s="43"/>
      <c r="S37" s="43"/>
      <c r="T37" s="43">
        <f>+P37+Q37+R37+S37</f>
        <v>3500</v>
      </c>
      <c r="U37" s="10"/>
      <c r="V37" s="4"/>
      <c r="W37" s="41"/>
      <c r="X37" s="41"/>
      <c r="Y37" s="4"/>
      <c r="Z37" s="4"/>
    </row>
    <row r="38" spans="1:35" s="41" customFormat="1" x14ac:dyDescent="0.35">
      <c r="A38" s="88" t="s">
        <v>347</v>
      </c>
      <c r="B38" s="14" t="s">
        <v>0</v>
      </c>
      <c r="C38" s="14"/>
      <c r="D38" s="39"/>
      <c r="E38" s="39"/>
      <c r="F38" s="14" t="s">
        <v>77</v>
      </c>
      <c r="G38" s="14" t="s">
        <v>85</v>
      </c>
      <c r="H38" s="14" t="s">
        <v>36</v>
      </c>
      <c r="I38" s="14" t="s">
        <v>348</v>
      </c>
      <c r="J38" s="40" t="s">
        <v>11</v>
      </c>
      <c r="K38" s="40"/>
      <c r="L38" s="40"/>
      <c r="N38" s="42">
        <v>1</v>
      </c>
      <c r="O38" s="71">
        <v>3251</v>
      </c>
      <c r="P38" s="43">
        <f>+O38*N38</f>
        <v>3251</v>
      </c>
      <c r="Q38" s="43"/>
      <c r="R38" s="43"/>
      <c r="S38" s="43"/>
      <c r="T38" s="43">
        <f>+P38+Q38+R38+S38</f>
        <v>3251</v>
      </c>
      <c r="U38" s="43"/>
    </row>
    <row r="39" spans="1:35" x14ac:dyDescent="0.35">
      <c r="A39" s="39" t="s">
        <v>243</v>
      </c>
      <c r="B39" s="14" t="s">
        <v>0</v>
      </c>
      <c r="C39" s="14"/>
      <c r="D39" s="39"/>
      <c r="E39" s="39"/>
      <c r="F39" s="14" t="s">
        <v>76</v>
      </c>
      <c r="G39" s="14" t="s">
        <v>85</v>
      </c>
      <c r="H39" s="14" t="s">
        <v>45</v>
      </c>
      <c r="I39" s="14" t="s">
        <v>28</v>
      </c>
      <c r="J39" s="40" t="s">
        <v>11</v>
      </c>
      <c r="K39" s="40"/>
      <c r="L39" s="40"/>
      <c r="M39" s="41"/>
      <c r="N39" s="42">
        <v>1</v>
      </c>
      <c r="O39" s="71">
        <v>1500</v>
      </c>
      <c r="P39" s="43">
        <f>+O39*N39</f>
        <v>1500</v>
      </c>
      <c r="Q39" s="43"/>
      <c r="R39" s="43"/>
      <c r="S39" s="43"/>
      <c r="T39" s="43">
        <f>+P39+Q39+R39+S39</f>
        <v>1500</v>
      </c>
      <c r="U39" s="10"/>
      <c r="W39" s="41"/>
      <c r="X39" s="41"/>
      <c r="AA39" s="67"/>
      <c r="AB39" s="67"/>
      <c r="AC39" s="67"/>
      <c r="AD39" s="67"/>
      <c r="AE39" s="67"/>
      <c r="AF39" s="67"/>
      <c r="AG39" s="67"/>
      <c r="AH39" s="67"/>
      <c r="AI39" s="67"/>
    </row>
    <row r="40" spans="1:35" x14ac:dyDescent="0.35">
      <c r="A40" s="63" t="s">
        <v>277</v>
      </c>
      <c r="B40" s="1" t="s">
        <v>1</v>
      </c>
      <c r="D40" s="63"/>
      <c r="E40" s="63"/>
      <c r="F40" s="56" t="s">
        <v>76</v>
      </c>
      <c r="G40" s="56" t="s">
        <v>85</v>
      </c>
      <c r="H40" s="56" t="s">
        <v>45</v>
      </c>
      <c r="I40" s="56" t="s">
        <v>276</v>
      </c>
      <c r="J40" s="66" t="s">
        <v>50</v>
      </c>
      <c r="K40" s="66"/>
      <c r="L40" s="66"/>
      <c r="M40" s="67"/>
      <c r="N40" s="3">
        <v>0.25</v>
      </c>
      <c r="O40" s="45">
        <v>50000</v>
      </c>
      <c r="P40" s="10"/>
      <c r="Q40" s="10">
        <f>+O40*N40</f>
        <v>12500</v>
      </c>
      <c r="R40" s="10"/>
      <c r="S40" s="10"/>
      <c r="T40" s="26">
        <f>+P40+Q40+R40+S40</f>
        <v>12500</v>
      </c>
      <c r="U40" s="10"/>
      <c r="W40" s="67" t="s">
        <v>278</v>
      </c>
      <c r="X40" s="67"/>
      <c r="AA40" s="67"/>
      <c r="AB40" s="67"/>
      <c r="AC40" s="67"/>
      <c r="AD40" s="67"/>
      <c r="AE40" s="67"/>
      <c r="AF40" s="67"/>
      <c r="AG40" s="67"/>
      <c r="AH40" s="67"/>
      <c r="AI40" s="67"/>
    </row>
    <row r="41" spans="1:35" x14ac:dyDescent="0.35">
      <c r="A41" s="8" t="s">
        <v>515</v>
      </c>
      <c r="B41" s="1" t="s">
        <v>1</v>
      </c>
      <c r="F41" s="1" t="s">
        <v>78</v>
      </c>
      <c r="G41" s="1" t="s">
        <v>85</v>
      </c>
      <c r="H41" s="1" t="s">
        <v>45</v>
      </c>
      <c r="I41" s="1" t="s">
        <v>35</v>
      </c>
      <c r="J41" s="6" t="s">
        <v>50</v>
      </c>
      <c r="K41" s="6"/>
      <c r="L41" s="6"/>
      <c r="N41" s="3">
        <v>0.25</v>
      </c>
      <c r="O41" s="45">
        <v>30000</v>
      </c>
      <c r="P41" s="10"/>
      <c r="Q41" s="10">
        <f>+O41*N41</f>
        <v>7500</v>
      </c>
      <c r="R41" s="10"/>
      <c r="S41" s="10"/>
      <c r="T41" s="26">
        <f>+P41+Q41+R41+S41</f>
        <v>7500</v>
      </c>
      <c r="U41" s="10"/>
      <c r="AA41" s="67"/>
    </row>
    <row r="42" spans="1:35" x14ac:dyDescent="0.35">
      <c r="A42" t="s">
        <v>511</v>
      </c>
      <c r="B42" s="1" t="s">
        <v>1</v>
      </c>
      <c r="F42" s="1" t="s">
        <v>79</v>
      </c>
      <c r="G42" s="1" t="s">
        <v>85</v>
      </c>
      <c r="H42" s="1" t="s">
        <v>45</v>
      </c>
      <c r="I42" s="1" t="s">
        <v>28</v>
      </c>
      <c r="J42" s="6" t="s">
        <v>50</v>
      </c>
      <c r="K42" s="6"/>
      <c r="L42" s="6"/>
      <c r="N42" s="3">
        <v>0.25</v>
      </c>
      <c r="O42" s="9">
        <v>2000</v>
      </c>
      <c r="P42" s="10"/>
      <c r="Q42" s="10">
        <f>+O42*N42</f>
        <v>500</v>
      </c>
      <c r="R42" s="10"/>
      <c r="S42" s="10"/>
      <c r="T42" s="10">
        <f>+P42+Q42+R42+S42</f>
        <v>500</v>
      </c>
    </row>
    <row r="43" spans="1:35" x14ac:dyDescent="0.35">
      <c r="A43" s="8" t="s">
        <v>135</v>
      </c>
      <c r="B43" s="1" t="s">
        <v>1</v>
      </c>
      <c r="F43" s="1" t="s">
        <v>76</v>
      </c>
      <c r="G43" s="1" t="s">
        <v>85</v>
      </c>
      <c r="H43" s="1" t="s">
        <v>39</v>
      </c>
      <c r="I43" s="1" t="s">
        <v>40</v>
      </c>
      <c r="J43" s="6" t="s">
        <v>50</v>
      </c>
      <c r="K43" s="6"/>
      <c r="L43" s="6"/>
      <c r="N43" s="3">
        <v>0.1</v>
      </c>
      <c r="O43" s="45">
        <v>30000</v>
      </c>
      <c r="P43" s="10"/>
      <c r="Q43" s="10">
        <f>+O43*N43</f>
        <v>3000</v>
      </c>
      <c r="R43" s="10"/>
      <c r="S43" s="10"/>
      <c r="T43" s="26">
        <f>+P43+Q43+R43+S43</f>
        <v>3000</v>
      </c>
      <c r="U43" s="10"/>
      <c r="W43" s="4" t="s">
        <v>244</v>
      </c>
    </row>
    <row r="44" spans="1:35" x14ac:dyDescent="0.35">
      <c r="A44" t="s">
        <v>506</v>
      </c>
      <c r="B44" s="56" t="s">
        <v>1</v>
      </c>
      <c r="C44" s="56"/>
      <c r="D44" s="63"/>
      <c r="E44" s="63"/>
      <c r="F44" s="56" t="s">
        <v>78</v>
      </c>
      <c r="G44" s="56" t="s">
        <v>85</v>
      </c>
      <c r="H44" s="56" t="s">
        <v>36</v>
      </c>
      <c r="I44" s="56" t="s">
        <v>10</v>
      </c>
      <c r="J44" s="66" t="s">
        <v>50</v>
      </c>
      <c r="K44" s="66"/>
      <c r="L44" s="66"/>
      <c r="M44" s="67"/>
      <c r="N44" s="68">
        <v>0.1</v>
      </c>
      <c r="O44" s="26">
        <v>10000</v>
      </c>
      <c r="P44" s="69"/>
      <c r="Q44" s="10">
        <f>+O44*N44</f>
        <v>1000</v>
      </c>
      <c r="R44" s="69"/>
      <c r="S44" s="69"/>
      <c r="T44" s="26">
        <f>+P44+Q44+R44+S44</f>
        <v>1000</v>
      </c>
      <c r="U44" s="10"/>
      <c r="W44" s="67" t="s">
        <v>469</v>
      </c>
      <c r="X44" s="67"/>
    </row>
    <row r="45" spans="1:35" x14ac:dyDescent="0.35">
      <c r="A45" s="8" t="s">
        <v>456</v>
      </c>
      <c r="B45" s="1" t="s">
        <v>1</v>
      </c>
      <c r="F45" s="1" t="s">
        <v>77</v>
      </c>
      <c r="G45" s="1" t="s">
        <v>85</v>
      </c>
      <c r="H45" s="56" t="s">
        <v>36</v>
      </c>
      <c r="I45" s="1" t="s">
        <v>10</v>
      </c>
      <c r="J45" s="6" t="s">
        <v>50</v>
      </c>
      <c r="K45" s="6"/>
      <c r="L45" s="6"/>
      <c r="N45" s="3">
        <v>0.1</v>
      </c>
      <c r="O45" s="45">
        <v>5000</v>
      </c>
      <c r="P45" s="10"/>
      <c r="Q45" s="10">
        <f>+O45*N45</f>
        <v>500</v>
      </c>
      <c r="R45" s="10"/>
      <c r="S45" s="10"/>
      <c r="T45" s="26">
        <f>+P45+Q45+R45+S45</f>
        <v>500</v>
      </c>
      <c r="W45" s="4" t="s">
        <v>457</v>
      </c>
    </row>
    <row r="46" spans="1:35" x14ac:dyDescent="0.35">
      <c r="A46" s="8" t="s">
        <v>136</v>
      </c>
      <c r="B46" s="1" t="s">
        <v>1</v>
      </c>
      <c r="F46" s="1" t="s">
        <v>80</v>
      </c>
      <c r="G46" s="1" t="s">
        <v>85</v>
      </c>
      <c r="H46" s="1" t="s">
        <v>71</v>
      </c>
      <c r="I46" s="1" t="s">
        <v>137</v>
      </c>
      <c r="J46" s="6" t="s">
        <v>51</v>
      </c>
      <c r="K46" s="6"/>
      <c r="L46" s="6"/>
      <c r="N46" s="3">
        <v>0.75</v>
      </c>
      <c r="O46" s="45">
        <v>24000</v>
      </c>
      <c r="P46" s="10"/>
      <c r="Q46" s="10">
        <f>+O46*N46</f>
        <v>18000</v>
      </c>
      <c r="R46" s="10"/>
      <c r="S46" s="10"/>
      <c r="T46" s="26">
        <f>+P46+Q46+R46+S46</f>
        <v>18000</v>
      </c>
      <c r="U46" s="10"/>
      <c r="W46" s="4" t="s">
        <v>513</v>
      </c>
    </row>
    <row r="47" spans="1:35" x14ac:dyDescent="0.35">
      <c r="A47" s="8" t="s">
        <v>445</v>
      </c>
      <c r="B47" s="1" t="s">
        <v>1</v>
      </c>
      <c r="F47" s="1" t="s">
        <v>79</v>
      </c>
      <c r="G47" s="1" t="s">
        <v>85</v>
      </c>
      <c r="H47" s="1" t="s">
        <v>36</v>
      </c>
      <c r="I47" s="1" t="s">
        <v>10</v>
      </c>
      <c r="J47" s="6" t="s">
        <v>51</v>
      </c>
      <c r="K47" s="6"/>
      <c r="L47" s="6"/>
      <c r="N47" s="3">
        <v>0.25</v>
      </c>
      <c r="O47" s="45">
        <v>100000</v>
      </c>
      <c r="P47" s="10"/>
      <c r="Q47" s="10">
        <f>+O47*N47</f>
        <v>25000</v>
      </c>
      <c r="R47" s="10"/>
      <c r="S47" s="10"/>
      <c r="T47" s="26">
        <f>+P47+Q47+R47+S47</f>
        <v>25000</v>
      </c>
      <c r="U47" s="10"/>
      <c r="W47" s="4" t="s">
        <v>446</v>
      </c>
    </row>
    <row r="48" spans="1:35" x14ac:dyDescent="0.35">
      <c r="A48" s="8" t="s">
        <v>292</v>
      </c>
      <c r="B48" s="1" t="s">
        <v>1</v>
      </c>
      <c r="F48" s="1" t="s">
        <v>78</v>
      </c>
      <c r="G48" s="1" t="s">
        <v>85</v>
      </c>
      <c r="H48" s="1" t="s">
        <v>36</v>
      </c>
      <c r="I48" s="1" t="s">
        <v>10</v>
      </c>
      <c r="J48" s="6" t="s">
        <v>51</v>
      </c>
      <c r="K48" s="6"/>
      <c r="L48" s="6"/>
      <c r="N48" s="3">
        <v>0.25</v>
      </c>
      <c r="O48" s="9">
        <v>50000</v>
      </c>
      <c r="P48" s="10"/>
      <c r="Q48" s="10">
        <f>+O48*N48</f>
        <v>12500</v>
      </c>
      <c r="R48" s="10"/>
      <c r="S48" s="10"/>
      <c r="T48" s="26">
        <f>+P48+Q48+R48+S48</f>
        <v>12500</v>
      </c>
      <c r="W48" s="4" t="s">
        <v>455</v>
      </c>
      <c r="Z48" s="41"/>
    </row>
    <row r="49" spans="1:41" x14ac:dyDescent="0.35">
      <c r="A49" s="8" t="s">
        <v>126</v>
      </c>
      <c r="B49" s="1" t="s">
        <v>1</v>
      </c>
      <c r="F49" s="1" t="s">
        <v>88</v>
      </c>
      <c r="G49" s="1" t="s">
        <v>85</v>
      </c>
      <c r="H49" s="1" t="s">
        <v>36</v>
      </c>
      <c r="I49" s="1" t="s">
        <v>37</v>
      </c>
      <c r="J49" s="6" t="s">
        <v>51</v>
      </c>
      <c r="K49" s="6"/>
      <c r="L49" s="6"/>
      <c r="N49" s="3">
        <v>0.25</v>
      </c>
      <c r="O49" s="45">
        <v>10000</v>
      </c>
      <c r="P49" s="10"/>
      <c r="Q49" s="10">
        <f>+O49*N49</f>
        <v>2500</v>
      </c>
      <c r="R49" s="10"/>
      <c r="S49" s="10"/>
      <c r="T49" s="26">
        <f>+P49+Q49+R49+S49</f>
        <v>2500</v>
      </c>
      <c r="U49" s="10"/>
      <c r="W49" s="4" t="s">
        <v>134</v>
      </c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</row>
    <row r="50" spans="1:41" s="90" customFormat="1" x14ac:dyDescent="0.35">
      <c r="A50" s="8" t="s">
        <v>500</v>
      </c>
      <c r="B50" s="1" t="s">
        <v>1</v>
      </c>
      <c r="C50" s="1"/>
      <c r="D50" s="8"/>
      <c r="E50" s="8"/>
      <c r="F50" s="1" t="s">
        <v>86</v>
      </c>
      <c r="G50" s="1" t="s">
        <v>85</v>
      </c>
      <c r="H50" s="1" t="s">
        <v>519</v>
      </c>
      <c r="I50" s="1" t="s">
        <v>34</v>
      </c>
      <c r="J50" s="6" t="s">
        <v>51</v>
      </c>
      <c r="K50" s="6"/>
      <c r="L50" s="6"/>
      <c r="M50" s="4"/>
      <c r="N50" s="3">
        <v>0.25</v>
      </c>
      <c r="O50" s="45">
        <v>10000</v>
      </c>
      <c r="P50" s="10"/>
      <c r="Q50" s="10">
        <f>+O50*N50</f>
        <v>2500</v>
      </c>
      <c r="R50" s="10"/>
      <c r="S50" s="10"/>
      <c r="T50" s="26">
        <f>+P50+Q50+R50+S50</f>
        <v>2500</v>
      </c>
      <c r="U50" s="10"/>
      <c r="V50" s="4"/>
      <c r="W50" s="4" t="s">
        <v>518</v>
      </c>
      <c r="X50" s="4"/>
      <c r="Y50" s="41"/>
      <c r="Z50" s="4"/>
    </row>
    <row r="51" spans="1:41" s="41" customFormat="1" x14ac:dyDescent="0.35">
      <c r="A51" s="8" t="s">
        <v>448</v>
      </c>
      <c r="B51" s="1" t="s">
        <v>1</v>
      </c>
      <c r="C51" s="1"/>
      <c r="D51" s="8"/>
      <c r="E51" s="8"/>
      <c r="F51" s="1" t="s">
        <v>75</v>
      </c>
      <c r="G51" s="1" t="s">
        <v>85</v>
      </c>
      <c r="H51" s="1" t="s">
        <v>39</v>
      </c>
      <c r="I51" s="1" t="s">
        <v>65</v>
      </c>
      <c r="J51" s="6" t="s">
        <v>51</v>
      </c>
      <c r="K51" s="6"/>
      <c r="L51" s="6"/>
      <c r="M51" s="4"/>
      <c r="N51" s="3">
        <v>0.25</v>
      </c>
      <c r="O51" s="45">
        <v>6000</v>
      </c>
      <c r="P51" s="10"/>
      <c r="Q51" s="10">
        <f>+O51*N51</f>
        <v>1500</v>
      </c>
      <c r="R51" s="10"/>
      <c r="S51" s="10"/>
      <c r="T51" s="26">
        <f>+P51+Q51+R51+S51</f>
        <v>1500</v>
      </c>
      <c r="U51" s="10"/>
      <c r="V51" s="4"/>
      <c r="W51" s="4"/>
      <c r="X51" s="4"/>
    </row>
    <row r="52" spans="1:41" x14ac:dyDescent="0.35">
      <c r="A52" s="8" t="s">
        <v>452</v>
      </c>
      <c r="B52" s="1" t="s">
        <v>1</v>
      </c>
      <c r="F52" s="1" t="s">
        <v>76</v>
      </c>
      <c r="G52" s="1" t="s">
        <v>85</v>
      </c>
      <c r="H52" s="1" t="s">
        <v>45</v>
      </c>
      <c r="I52" s="1" t="s">
        <v>162</v>
      </c>
      <c r="J52" s="6" t="s">
        <v>51</v>
      </c>
      <c r="K52" s="6"/>
      <c r="L52" s="6"/>
      <c r="N52" s="3">
        <v>0.25</v>
      </c>
      <c r="O52" s="45">
        <v>5000</v>
      </c>
      <c r="P52" s="10"/>
      <c r="Q52" s="10">
        <f>+O52*N52</f>
        <v>1250</v>
      </c>
      <c r="R52" s="10"/>
      <c r="S52" s="10"/>
      <c r="T52" s="26">
        <f>+P52+Q52+R52+S52</f>
        <v>1250</v>
      </c>
      <c r="U52" s="10"/>
      <c r="W52" s="4" t="s">
        <v>242</v>
      </c>
      <c r="Y52" s="41"/>
    </row>
    <row r="53" spans="1:41" x14ac:dyDescent="0.35">
      <c r="A53" s="8" t="s">
        <v>327</v>
      </c>
      <c r="B53" s="1" t="s">
        <v>1</v>
      </c>
      <c r="F53" s="56" t="s">
        <v>77</v>
      </c>
      <c r="G53" s="1" t="s">
        <v>85</v>
      </c>
      <c r="H53" s="56" t="s">
        <v>36</v>
      </c>
      <c r="I53" s="56" t="s">
        <v>10</v>
      </c>
      <c r="J53" s="66" t="s">
        <v>51</v>
      </c>
      <c r="K53" s="6"/>
      <c r="L53" s="6"/>
      <c r="N53" s="3">
        <v>0.1</v>
      </c>
      <c r="O53" s="45">
        <v>200000</v>
      </c>
      <c r="P53" s="10"/>
      <c r="Q53" s="10">
        <f>+O53*N53</f>
        <v>20000</v>
      </c>
      <c r="R53" s="10"/>
      <c r="S53" s="10"/>
      <c r="T53" s="26">
        <f>+P53+Q53+R53+S53</f>
        <v>20000</v>
      </c>
      <c r="U53" s="10"/>
      <c r="W53" s="4" t="s">
        <v>516</v>
      </c>
      <c r="Y53" s="41"/>
    </row>
    <row r="54" spans="1:41" s="60" customFormat="1" x14ac:dyDescent="0.35">
      <c r="A54" s="8" t="s">
        <v>311</v>
      </c>
      <c r="B54" s="1" t="s">
        <v>1</v>
      </c>
      <c r="C54" s="1"/>
      <c r="D54" s="8"/>
      <c r="E54" s="8"/>
      <c r="F54" s="1" t="s">
        <v>75</v>
      </c>
      <c r="G54" s="1" t="s">
        <v>85</v>
      </c>
      <c r="H54" s="1" t="s">
        <v>45</v>
      </c>
      <c r="I54" s="1" t="s">
        <v>162</v>
      </c>
      <c r="J54" s="6" t="s">
        <v>51</v>
      </c>
      <c r="K54" s="6"/>
      <c r="L54" s="6"/>
      <c r="M54" s="4"/>
      <c r="N54" s="3">
        <v>0.1</v>
      </c>
      <c r="O54" s="45">
        <v>5000</v>
      </c>
      <c r="P54" s="10"/>
      <c r="Q54" s="10">
        <f>+O54*N54</f>
        <v>500</v>
      </c>
      <c r="R54" s="10"/>
      <c r="S54" s="10"/>
      <c r="T54" s="26">
        <f>+P54+Q54+R54+S54</f>
        <v>500</v>
      </c>
      <c r="U54" s="10"/>
      <c r="V54" s="4"/>
      <c r="W54" s="4" t="s">
        <v>520</v>
      </c>
      <c r="X54" s="4"/>
      <c r="Y54" s="4"/>
      <c r="Z54" s="41"/>
    </row>
    <row r="55" spans="1:41" x14ac:dyDescent="0.35">
      <c r="A55" s="8" t="s">
        <v>312</v>
      </c>
      <c r="B55" s="1" t="s">
        <v>1</v>
      </c>
      <c r="F55" s="1" t="s">
        <v>75</v>
      </c>
      <c r="G55" s="1" t="s">
        <v>85</v>
      </c>
      <c r="H55" s="1" t="s">
        <v>36</v>
      </c>
      <c r="I55" s="1" t="s">
        <v>37</v>
      </c>
      <c r="J55" s="6" t="s">
        <v>51</v>
      </c>
      <c r="K55" s="6"/>
      <c r="L55" s="6"/>
      <c r="N55" s="3">
        <v>0.1</v>
      </c>
      <c r="O55" s="45">
        <v>5000</v>
      </c>
      <c r="P55" s="10"/>
      <c r="Q55" s="10">
        <f>+O55*N55</f>
        <v>500</v>
      </c>
      <c r="R55" s="10"/>
      <c r="S55" s="10"/>
      <c r="T55" s="26">
        <f>+P55+Q55+R55+S55</f>
        <v>500</v>
      </c>
      <c r="U55" s="10"/>
      <c r="W55" s="4" t="s">
        <v>127</v>
      </c>
      <c r="Y55" s="73"/>
      <c r="Z55" s="72"/>
    </row>
    <row r="56" spans="1:41" x14ac:dyDescent="0.35">
      <c r="A56" s="8" t="s">
        <v>281</v>
      </c>
      <c r="B56" s="1" t="s">
        <v>1</v>
      </c>
      <c r="F56" s="1" t="s">
        <v>76</v>
      </c>
      <c r="G56" s="1" t="s">
        <v>85</v>
      </c>
      <c r="H56" s="1" t="s">
        <v>36</v>
      </c>
      <c r="I56" s="1" t="s">
        <v>282</v>
      </c>
      <c r="J56" s="6" t="s">
        <v>51</v>
      </c>
      <c r="K56" s="6"/>
      <c r="L56" s="6"/>
      <c r="N56" s="3">
        <v>0.1</v>
      </c>
      <c r="O56" s="9">
        <v>2000</v>
      </c>
      <c r="P56" s="10"/>
      <c r="Q56" s="10">
        <f>+O56*N56</f>
        <v>200</v>
      </c>
      <c r="R56" s="10"/>
      <c r="S56" s="10"/>
      <c r="T56" s="26">
        <f>+P56+Q56+R56+S56</f>
        <v>200</v>
      </c>
      <c r="U56" s="10"/>
      <c r="W56" s="4" t="s">
        <v>522</v>
      </c>
      <c r="Y56" s="72"/>
    </row>
    <row r="57" spans="1:41" x14ac:dyDescent="0.35">
      <c r="A57" s="8" t="s">
        <v>443</v>
      </c>
      <c r="B57" s="1" t="s">
        <v>2</v>
      </c>
      <c r="F57" s="56" t="s">
        <v>73</v>
      </c>
      <c r="G57" s="1" t="s">
        <v>85</v>
      </c>
      <c r="H57" s="1" t="s">
        <v>45</v>
      </c>
      <c r="I57" s="1" t="s">
        <v>28</v>
      </c>
      <c r="J57" s="6" t="s">
        <v>50</v>
      </c>
      <c r="K57" s="46"/>
      <c r="L57" s="46"/>
      <c r="N57" s="3">
        <v>0.25</v>
      </c>
      <c r="O57" s="9">
        <v>50000</v>
      </c>
      <c r="P57" s="10"/>
      <c r="Q57" s="10"/>
      <c r="R57" s="10">
        <f>+O57*N57</f>
        <v>12500</v>
      </c>
      <c r="S57" s="10"/>
      <c r="T57" s="10">
        <f>+P57+Q57+R57+S57</f>
        <v>12500</v>
      </c>
      <c r="U57" s="10"/>
      <c r="W57" s="4" t="s">
        <v>444</v>
      </c>
    </row>
    <row r="58" spans="1:41" x14ac:dyDescent="0.35">
      <c r="A58" s="8" t="s">
        <v>159</v>
      </c>
      <c r="B58" s="1" t="s">
        <v>2</v>
      </c>
      <c r="F58" s="1" t="s">
        <v>76</v>
      </c>
      <c r="G58" s="1" t="s">
        <v>85</v>
      </c>
      <c r="H58" s="1" t="s">
        <v>71</v>
      </c>
      <c r="I58" s="1" t="s">
        <v>137</v>
      </c>
      <c r="J58" s="6" t="s">
        <v>50</v>
      </c>
      <c r="K58" s="6"/>
      <c r="L58" s="6"/>
      <c r="N58" s="3">
        <v>0.25</v>
      </c>
      <c r="O58" s="45">
        <v>20000</v>
      </c>
      <c r="P58" s="10"/>
      <c r="Q58" s="10"/>
      <c r="R58" s="10">
        <f>+O58*N58</f>
        <v>5000</v>
      </c>
      <c r="T58" s="26">
        <f>+P58+Q58+R58+S58</f>
        <v>5000</v>
      </c>
      <c r="U58" s="10"/>
      <c r="W58" s="4" t="s">
        <v>138</v>
      </c>
      <c r="Y58" s="41"/>
    </row>
    <row r="59" spans="1:41" x14ac:dyDescent="0.35">
      <c r="A59" s="8" t="s">
        <v>123</v>
      </c>
      <c r="B59" s="1" t="s">
        <v>2</v>
      </c>
      <c r="F59" s="1" t="s">
        <v>76</v>
      </c>
      <c r="G59" s="1" t="s">
        <v>85</v>
      </c>
      <c r="H59" s="1" t="s">
        <v>45</v>
      </c>
      <c r="I59" s="1" t="s">
        <v>34</v>
      </c>
      <c r="J59" s="6" t="s">
        <v>50</v>
      </c>
      <c r="K59" s="6"/>
      <c r="L59" s="6"/>
      <c r="N59" s="3">
        <v>0.1</v>
      </c>
      <c r="O59" s="45">
        <v>20000</v>
      </c>
      <c r="P59" s="10"/>
      <c r="Q59" s="10"/>
      <c r="R59" s="10">
        <f>+O59*N59</f>
        <v>2000</v>
      </c>
      <c r="S59" s="10"/>
      <c r="T59" s="26">
        <f>+P59+Q59+R59+S59</f>
        <v>2000</v>
      </c>
      <c r="U59" s="10"/>
      <c r="W59" s="4" t="s">
        <v>245</v>
      </c>
      <c r="Z59" s="41"/>
    </row>
    <row r="60" spans="1:41" x14ac:dyDescent="0.35">
      <c r="A60" s="8" t="s">
        <v>49</v>
      </c>
      <c r="B60" s="1" t="s">
        <v>2</v>
      </c>
      <c r="F60" s="1" t="s">
        <v>80</v>
      </c>
      <c r="G60" s="1" t="s">
        <v>85</v>
      </c>
      <c r="H60" s="1" t="s">
        <v>36</v>
      </c>
      <c r="I60" s="1" t="s">
        <v>37</v>
      </c>
      <c r="J60" s="6" t="s">
        <v>50</v>
      </c>
      <c r="K60" s="6"/>
      <c r="L60" s="6"/>
      <c r="N60" s="3">
        <v>0.1</v>
      </c>
      <c r="O60" s="45">
        <v>10000</v>
      </c>
      <c r="P60" s="10"/>
      <c r="Q60" s="10"/>
      <c r="R60" s="10">
        <f>+O60*N60</f>
        <v>1000</v>
      </c>
      <c r="S60" s="10"/>
      <c r="T60" s="26">
        <f>+P60+Q60+R60+S60</f>
        <v>1000</v>
      </c>
      <c r="U60" s="10"/>
      <c r="W60" s="4" t="s">
        <v>470</v>
      </c>
      <c r="Z60" s="41"/>
    </row>
    <row r="61" spans="1:41" x14ac:dyDescent="0.35">
      <c r="A61" s="8" t="s">
        <v>313</v>
      </c>
      <c r="B61" s="1" t="s">
        <v>2</v>
      </c>
      <c r="F61" s="1" t="s">
        <v>75</v>
      </c>
      <c r="G61" s="1" t="s">
        <v>85</v>
      </c>
      <c r="H61" s="1" t="s">
        <v>45</v>
      </c>
      <c r="I61" s="1" t="s">
        <v>35</v>
      </c>
      <c r="J61" s="6" t="s">
        <v>51</v>
      </c>
      <c r="K61" s="6"/>
      <c r="L61" s="6"/>
      <c r="N61" s="3">
        <v>0.1</v>
      </c>
      <c r="O61" s="45">
        <v>30000</v>
      </c>
      <c r="P61" s="10"/>
      <c r="Q61" s="10"/>
      <c r="R61" s="10">
        <f>+O61*N61</f>
        <v>3000</v>
      </c>
      <c r="S61" s="10"/>
      <c r="T61" s="26">
        <f>+P61+Q61+R61+S61</f>
        <v>3000</v>
      </c>
      <c r="U61" s="10"/>
      <c r="W61" s="4" t="s">
        <v>517</v>
      </c>
      <c r="Z61" s="67"/>
    </row>
    <row r="62" spans="1:41" x14ac:dyDescent="0.35">
      <c r="A62" s="8" t="s">
        <v>160</v>
      </c>
      <c r="B62" s="1" t="s">
        <v>3</v>
      </c>
      <c r="F62" s="1" t="s">
        <v>76</v>
      </c>
      <c r="G62" s="1" t="s">
        <v>85</v>
      </c>
      <c r="H62" s="1" t="s">
        <v>71</v>
      </c>
      <c r="I62" s="1" t="s">
        <v>137</v>
      </c>
      <c r="J62" s="6" t="s">
        <v>50</v>
      </c>
      <c r="K62" s="6"/>
      <c r="L62" s="6"/>
      <c r="N62" s="3">
        <v>0.1</v>
      </c>
      <c r="O62" s="45">
        <v>15000</v>
      </c>
      <c r="P62" s="10"/>
      <c r="Q62" s="10"/>
      <c r="R62" s="10"/>
      <c r="S62" s="10">
        <f>+N62*O62*0.5</f>
        <v>750</v>
      </c>
      <c r="T62" s="26">
        <f>+P62+Q62+R62+S62</f>
        <v>750</v>
      </c>
      <c r="U62" s="10"/>
      <c r="W62" s="4" t="s">
        <v>138</v>
      </c>
    </row>
    <row r="63" spans="1:41" x14ac:dyDescent="0.35">
      <c r="A63" s="8" t="s">
        <v>411</v>
      </c>
      <c r="B63" s="1" t="s">
        <v>3</v>
      </c>
      <c r="F63" s="1" t="s">
        <v>79</v>
      </c>
      <c r="G63" s="1" t="s">
        <v>85</v>
      </c>
      <c r="H63" s="1" t="s">
        <v>45</v>
      </c>
      <c r="I63" s="1" t="s">
        <v>34</v>
      </c>
      <c r="J63" s="6" t="s">
        <v>50</v>
      </c>
      <c r="K63" s="6"/>
      <c r="L63" s="6"/>
      <c r="N63" s="3">
        <v>0.1</v>
      </c>
      <c r="O63" s="45">
        <v>10000</v>
      </c>
      <c r="P63" s="10"/>
      <c r="Q63" s="10"/>
      <c r="R63" s="10"/>
      <c r="S63" s="10">
        <f>+O63*N63</f>
        <v>1000</v>
      </c>
      <c r="T63" s="26">
        <f>+P63+Q63+R63+S63</f>
        <v>1000</v>
      </c>
      <c r="U63" s="10"/>
      <c r="W63" s="4" t="s">
        <v>220</v>
      </c>
    </row>
    <row r="64" spans="1:41" x14ac:dyDescent="0.35">
      <c r="A64" s="8" t="s">
        <v>449</v>
      </c>
      <c r="B64" s="1" t="s">
        <v>3</v>
      </c>
      <c r="F64" s="1" t="s">
        <v>74</v>
      </c>
      <c r="G64" s="1" t="s">
        <v>85</v>
      </c>
      <c r="H64" s="1" t="s">
        <v>39</v>
      </c>
      <c r="I64" s="1" t="s">
        <v>65</v>
      </c>
      <c r="J64" s="6" t="s">
        <v>50</v>
      </c>
      <c r="K64" s="6"/>
      <c r="L64" s="6"/>
      <c r="N64" s="3">
        <v>0.05</v>
      </c>
      <c r="O64" s="45">
        <v>1000000</v>
      </c>
      <c r="P64" s="10"/>
      <c r="Q64" s="10"/>
      <c r="R64" s="10"/>
      <c r="S64" s="10">
        <f>+O64*N64</f>
        <v>50000</v>
      </c>
      <c r="T64" s="26">
        <f>+P64+Q64+R64+S64</f>
        <v>50000</v>
      </c>
      <c r="U64" s="10"/>
      <c r="W64" s="4" t="s">
        <v>450</v>
      </c>
      <c r="Z64" s="41"/>
      <c r="AA64" s="41"/>
    </row>
    <row r="65" spans="1:16384" s="41" customFormat="1" x14ac:dyDescent="0.35">
      <c r="A65" s="8" t="s">
        <v>129</v>
      </c>
      <c r="B65" s="1" t="s">
        <v>3</v>
      </c>
      <c r="C65" s="1"/>
      <c r="D65" s="8"/>
      <c r="E65" s="8"/>
      <c r="F65" s="1" t="s">
        <v>76</v>
      </c>
      <c r="G65" s="1" t="s">
        <v>85</v>
      </c>
      <c r="H65" s="1" t="s">
        <v>130</v>
      </c>
      <c r="I65" s="1" t="s">
        <v>34</v>
      </c>
      <c r="J65" s="6" t="s">
        <v>51</v>
      </c>
      <c r="K65" s="6"/>
      <c r="L65" s="6"/>
      <c r="M65" s="4"/>
      <c r="N65" s="3">
        <v>0.1</v>
      </c>
      <c r="O65" s="45">
        <v>50000</v>
      </c>
      <c r="P65" s="10"/>
      <c r="Q65" s="10"/>
      <c r="R65" s="10"/>
      <c r="S65" s="10">
        <f>+O65*N65</f>
        <v>5000</v>
      </c>
      <c r="T65" s="26">
        <f>+P65+Q65+R65+S65</f>
        <v>5000</v>
      </c>
      <c r="U65" s="10"/>
      <c r="V65" s="4"/>
      <c r="W65" s="4" t="s">
        <v>131</v>
      </c>
      <c r="X65" s="4"/>
      <c r="Y65" s="4"/>
      <c r="Z65" s="4"/>
    </row>
    <row r="66" spans="1:16384" s="41" customFormat="1" x14ac:dyDescent="0.35">
      <c r="A66" s="8" t="s">
        <v>310</v>
      </c>
      <c r="B66" s="1" t="s">
        <v>3</v>
      </c>
      <c r="C66" s="1"/>
      <c r="D66" s="8"/>
      <c r="E66" s="8"/>
      <c r="F66" s="1" t="s">
        <v>75</v>
      </c>
      <c r="G66" s="1" t="s">
        <v>85</v>
      </c>
      <c r="H66" s="1" t="s">
        <v>45</v>
      </c>
      <c r="I66" s="1" t="s">
        <v>28</v>
      </c>
      <c r="J66" s="6" t="s">
        <v>51</v>
      </c>
      <c r="K66" s="6"/>
      <c r="L66" s="6"/>
      <c r="M66" s="4"/>
      <c r="N66" s="3">
        <v>0.1</v>
      </c>
      <c r="O66" s="45">
        <v>10000</v>
      </c>
      <c r="P66" s="10"/>
      <c r="Q66" s="10"/>
      <c r="R66" s="10"/>
      <c r="S66" s="10">
        <f>+O66*N66</f>
        <v>1000</v>
      </c>
      <c r="T66" s="26">
        <f>+P66+Q66+R66+S66</f>
        <v>1000</v>
      </c>
      <c r="U66" s="4"/>
      <c r="V66" s="4"/>
      <c r="W66" s="4" t="s">
        <v>314</v>
      </c>
      <c r="X66" s="4"/>
      <c r="Y66" s="4"/>
      <c r="Z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  <c r="AMK66" s="4"/>
      <c r="AML66" s="4"/>
      <c r="AMM66" s="4"/>
      <c r="AMN66" s="4"/>
      <c r="AMO66" s="4"/>
      <c r="AMP66" s="4"/>
      <c r="AMQ66" s="4"/>
      <c r="AMR66" s="4"/>
      <c r="AMS66" s="4"/>
      <c r="AMT66" s="4"/>
      <c r="AMU66" s="4"/>
      <c r="AMV66" s="4"/>
      <c r="AMW66" s="4"/>
      <c r="AMX66" s="4"/>
      <c r="AMY66" s="4"/>
      <c r="AMZ66" s="4"/>
      <c r="ANA66" s="4"/>
      <c r="ANB66" s="4"/>
      <c r="ANC66" s="4"/>
      <c r="AND66" s="4"/>
      <c r="ANE66" s="4"/>
      <c r="ANF66" s="4"/>
      <c r="ANG66" s="4"/>
      <c r="ANH66" s="4"/>
      <c r="ANI66" s="4"/>
      <c r="ANJ66" s="4"/>
      <c r="ANK66" s="4"/>
      <c r="ANL66" s="4"/>
      <c r="ANM66" s="4"/>
      <c r="ANN66" s="4"/>
      <c r="ANO66" s="4"/>
      <c r="ANP66" s="4"/>
      <c r="ANQ66" s="4"/>
      <c r="ANR66" s="4"/>
      <c r="ANS66" s="4"/>
      <c r="ANT66" s="4"/>
      <c r="ANU66" s="4"/>
      <c r="ANV66" s="4"/>
      <c r="ANW66" s="4"/>
      <c r="ANX66" s="4"/>
      <c r="ANY66" s="4"/>
      <c r="ANZ66" s="4"/>
      <c r="AOA66" s="4"/>
      <c r="AOB66" s="4"/>
      <c r="AOC66" s="4"/>
      <c r="AOD66" s="4"/>
      <c r="AOE66" s="4"/>
      <c r="AOF66" s="4"/>
      <c r="AOG66" s="4"/>
      <c r="AOH66" s="4"/>
      <c r="AOI66" s="4"/>
      <c r="AOJ66" s="4"/>
      <c r="AOK66" s="4"/>
      <c r="AOL66" s="4"/>
      <c r="AOM66" s="4"/>
      <c r="AON66" s="4"/>
      <c r="AOO66" s="4"/>
      <c r="AOP66" s="4"/>
      <c r="AOQ66" s="4"/>
      <c r="AOR66" s="4"/>
      <c r="AOS66" s="4"/>
      <c r="AOT66" s="4"/>
      <c r="AOU66" s="4"/>
      <c r="AOV66" s="4"/>
      <c r="AOW66" s="4"/>
      <c r="AOX66" s="4"/>
      <c r="AOY66" s="4"/>
      <c r="AOZ66" s="4"/>
      <c r="APA66" s="4"/>
      <c r="APB66" s="4"/>
      <c r="APC66" s="4"/>
      <c r="APD66" s="4"/>
      <c r="APE66" s="4"/>
      <c r="APF66" s="4"/>
      <c r="APG66" s="4"/>
      <c r="APH66" s="4"/>
      <c r="API66" s="4"/>
      <c r="APJ66" s="4"/>
      <c r="APK66" s="4"/>
      <c r="APL66" s="4"/>
      <c r="APM66" s="4"/>
      <c r="APN66" s="4"/>
      <c r="APO66" s="4"/>
      <c r="APP66" s="4"/>
      <c r="APQ66" s="4"/>
      <c r="APR66" s="4"/>
      <c r="APS66" s="4"/>
      <c r="APT66" s="4"/>
      <c r="APU66" s="4"/>
      <c r="APV66" s="4"/>
      <c r="APW66" s="4"/>
      <c r="APX66" s="4"/>
      <c r="APY66" s="4"/>
      <c r="APZ66" s="4"/>
      <c r="AQA66" s="4"/>
      <c r="AQB66" s="4"/>
      <c r="AQC66" s="4"/>
      <c r="AQD66" s="4"/>
      <c r="AQE66" s="4"/>
      <c r="AQF66" s="4"/>
      <c r="AQG66" s="4"/>
      <c r="AQH66" s="4"/>
      <c r="AQI66" s="4"/>
      <c r="AQJ66" s="4"/>
      <c r="AQK66" s="4"/>
      <c r="AQL66" s="4"/>
      <c r="AQM66" s="4"/>
      <c r="AQN66" s="4"/>
      <c r="AQO66" s="4"/>
      <c r="AQP66" s="4"/>
      <c r="AQQ66" s="4"/>
      <c r="AQR66" s="4"/>
      <c r="AQS66" s="4"/>
      <c r="AQT66" s="4"/>
      <c r="AQU66" s="4"/>
      <c r="AQV66" s="4"/>
      <c r="AQW66" s="4"/>
      <c r="AQX66" s="4"/>
      <c r="AQY66" s="4"/>
      <c r="AQZ66" s="4"/>
      <c r="ARA66" s="4"/>
      <c r="ARB66" s="4"/>
      <c r="ARC66" s="4"/>
      <c r="ARD66" s="4"/>
      <c r="ARE66" s="4"/>
      <c r="ARF66" s="4"/>
      <c r="ARG66" s="4"/>
      <c r="ARH66" s="4"/>
      <c r="ARI66" s="4"/>
      <c r="ARJ66" s="4"/>
      <c r="ARK66" s="4"/>
      <c r="ARL66" s="4"/>
      <c r="ARM66" s="4"/>
      <c r="ARN66" s="4"/>
      <c r="ARO66" s="4"/>
      <c r="ARP66" s="4"/>
      <c r="ARQ66" s="4"/>
      <c r="ARR66" s="4"/>
      <c r="ARS66" s="4"/>
      <c r="ART66" s="4"/>
      <c r="ARU66" s="4"/>
      <c r="ARV66" s="4"/>
      <c r="ARW66" s="4"/>
      <c r="ARX66" s="4"/>
      <c r="ARY66" s="4"/>
      <c r="ARZ66" s="4"/>
      <c r="ASA66" s="4"/>
      <c r="ASB66" s="4"/>
      <c r="ASC66" s="4"/>
      <c r="ASD66" s="4"/>
      <c r="ASE66" s="4"/>
      <c r="ASF66" s="4"/>
      <c r="ASG66" s="4"/>
      <c r="ASH66" s="4"/>
      <c r="ASI66" s="4"/>
      <c r="ASJ66" s="4"/>
      <c r="ASK66" s="4"/>
      <c r="ASL66" s="4"/>
      <c r="ASM66" s="4"/>
      <c r="ASN66" s="4"/>
      <c r="ASO66" s="4"/>
      <c r="ASP66" s="4"/>
      <c r="ASQ66" s="4"/>
      <c r="ASR66" s="4"/>
      <c r="ASS66" s="4"/>
      <c r="AST66" s="4"/>
      <c r="ASU66" s="4"/>
      <c r="ASV66" s="4"/>
      <c r="ASW66" s="4"/>
      <c r="ASX66" s="4"/>
      <c r="ASY66" s="4"/>
      <c r="ASZ66" s="4"/>
      <c r="ATA66" s="4"/>
      <c r="ATB66" s="4"/>
      <c r="ATC66" s="4"/>
      <c r="ATD66" s="4"/>
      <c r="ATE66" s="4"/>
      <c r="ATF66" s="4"/>
      <c r="ATG66" s="4"/>
      <c r="ATH66" s="4"/>
      <c r="ATI66" s="4"/>
      <c r="ATJ66" s="4"/>
      <c r="ATK66" s="4"/>
      <c r="ATL66" s="4"/>
      <c r="ATM66" s="4"/>
      <c r="ATN66" s="4"/>
      <c r="ATO66" s="4"/>
      <c r="ATP66" s="4"/>
      <c r="ATQ66" s="4"/>
      <c r="ATR66" s="4"/>
      <c r="ATS66" s="4"/>
      <c r="ATT66" s="4"/>
      <c r="ATU66" s="4"/>
      <c r="ATV66" s="4"/>
      <c r="ATW66" s="4"/>
      <c r="ATX66" s="4"/>
      <c r="ATY66" s="4"/>
      <c r="ATZ66" s="4"/>
      <c r="AUA66" s="4"/>
      <c r="AUB66" s="4"/>
      <c r="AUC66" s="4"/>
      <c r="AUD66" s="4"/>
      <c r="AUE66" s="4"/>
      <c r="AUF66" s="4"/>
      <c r="AUG66" s="4"/>
      <c r="AUH66" s="4"/>
      <c r="AUI66" s="4"/>
      <c r="AUJ66" s="4"/>
      <c r="AUK66" s="4"/>
      <c r="AUL66" s="4"/>
      <c r="AUM66" s="4"/>
      <c r="AUN66" s="4"/>
      <c r="AUO66" s="4"/>
      <c r="AUP66" s="4"/>
      <c r="AUQ66" s="4"/>
      <c r="AUR66" s="4"/>
      <c r="AUS66" s="4"/>
      <c r="AUT66" s="4"/>
      <c r="AUU66" s="4"/>
      <c r="AUV66" s="4"/>
      <c r="AUW66" s="4"/>
      <c r="AUX66" s="4"/>
      <c r="AUY66" s="4"/>
      <c r="AUZ66" s="4"/>
      <c r="AVA66" s="4"/>
      <c r="AVB66" s="4"/>
      <c r="AVC66" s="4"/>
      <c r="AVD66" s="4"/>
      <c r="AVE66" s="4"/>
      <c r="AVF66" s="4"/>
      <c r="AVG66" s="4"/>
      <c r="AVH66" s="4"/>
      <c r="AVI66" s="4"/>
      <c r="AVJ66" s="4"/>
      <c r="AVK66" s="4"/>
      <c r="AVL66" s="4"/>
      <c r="AVM66" s="4"/>
      <c r="AVN66" s="4"/>
      <c r="AVO66" s="4"/>
      <c r="AVP66" s="4"/>
      <c r="AVQ66" s="4"/>
      <c r="AVR66" s="4"/>
      <c r="AVS66" s="4"/>
      <c r="AVT66" s="4"/>
      <c r="AVU66" s="4"/>
      <c r="AVV66" s="4"/>
      <c r="AVW66" s="4"/>
      <c r="AVX66" s="4"/>
      <c r="AVY66" s="4"/>
      <c r="AVZ66" s="4"/>
      <c r="AWA66" s="4"/>
      <c r="AWB66" s="4"/>
      <c r="AWC66" s="4"/>
      <c r="AWD66" s="4"/>
      <c r="AWE66" s="4"/>
      <c r="AWF66" s="4"/>
      <c r="AWG66" s="4"/>
      <c r="AWH66" s="4"/>
      <c r="AWI66" s="4"/>
      <c r="AWJ66" s="4"/>
      <c r="AWK66" s="4"/>
      <c r="AWL66" s="4"/>
      <c r="AWM66" s="4"/>
      <c r="AWN66" s="4"/>
      <c r="AWO66" s="4"/>
      <c r="AWP66" s="4"/>
      <c r="AWQ66" s="4"/>
      <c r="AWR66" s="4"/>
      <c r="AWS66" s="4"/>
      <c r="AWT66" s="4"/>
      <c r="AWU66" s="4"/>
      <c r="AWV66" s="4"/>
      <c r="AWW66" s="4"/>
      <c r="AWX66" s="4"/>
      <c r="AWY66" s="4"/>
      <c r="AWZ66" s="4"/>
      <c r="AXA66" s="4"/>
      <c r="AXB66" s="4"/>
      <c r="AXC66" s="4"/>
      <c r="AXD66" s="4"/>
      <c r="AXE66" s="4"/>
      <c r="AXF66" s="4"/>
      <c r="AXG66" s="4"/>
      <c r="AXH66" s="4"/>
      <c r="AXI66" s="4"/>
      <c r="AXJ66" s="4"/>
      <c r="AXK66" s="4"/>
      <c r="AXL66" s="4"/>
      <c r="AXM66" s="4"/>
      <c r="AXN66" s="4"/>
      <c r="AXO66" s="4"/>
      <c r="AXP66" s="4"/>
      <c r="AXQ66" s="4"/>
      <c r="AXR66" s="4"/>
      <c r="AXS66" s="4"/>
      <c r="AXT66" s="4"/>
      <c r="AXU66" s="4"/>
      <c r="AXV66" s="4"/>
      <c r="AXW66" s="4"/>
      <c r="AXX66" s="4"/>
      <c r="AXY66" s="4"/>
      <c r="AXZ66" s="4"/>
      <c r="AYA66" s="4"/>
      <c r="AYB66" s="4"/>
      <c r="AYC66" s="4"/>
      <c r="AYD66" s="4"/>
      <c r="AYE66" s="4"/>
      <c r="AYF66" s="4"/>
      <c r="AYG66" s="4"/>
      <c r="AYH66" s="4"/>
      <c r="AYI66" s="4"/>
      <c r="AYJ66" s="4"/>
      <c r="AYK66" s="4"/>
      <c r="AYL66" s="4"/>
      <c r="AYM66" s="4"/>
      <c r="AYN66" s="4"/>
      <c r="AYO66" s="4"/>
      <c r="AYP66" s="4"/>
      <c r="AYQ66" s="4"/>
      <c r="AYR66" s="4"/>
      <c r="AYS66" s="4"/>
      <c r="AYT66" s="4"/>
      <c r="AYU66" s="4"/>
      <c r="AYV66" s="4"/>
      <c r="AYW66" s="4"/>
      <c r="AYX66" s="4"/>
      <c r="AYY66" s="4"/>
      <c r="AYZ66" s="4"/>
      <c r="AZA66" s="4"/>
      <c r="AZB66" s="4"/>
      <c r="AZC66" s="4"/>
      <c r="AZD66" s="4"/>
      <c r="AZE66" s="4"/>
      <c r="AZF66" s="4"/>
      <c r="AZG66" s="4"/>
      <c r="AZH66" s="4"/>
      <c r="AZI66" s="4"/>
      <c r="AZJ66" s="4"/>
      <c r="AZK66" s="4"/>
      <c r="AZL66" s="4"/>
      <c r="AZM66" s="4"/>
      <c r="AZN66" s="4"/>
      <c r="AZO66" s="4"/>
      <c r="AZP66" s="4"/>
      <c r="AZQ66" s="4"/>
      <c r="AZR66" s="4"/>
      <c r="AZS66" s="4"/>
      <c r="AZT66" s="4"/>
      <c r="AZU66" s="4"/>
      <c r="AZV66" s="4"/>
      <c r="AZW66" s="4"/>
      <c r="AZX66" s="4"/>
      <c r="AZY66" s="4"/>
      <c r="AZZ66" s="4"/>
      <c r="BAA66" s="4"/>
      <c r="BAB66" s="4"/>
      <c r="BAC66" s="4"/>
      <c r="BAD66" s="4"/>
      <c r="BAE66" s="4"/>
      <c r="BAF66" s="4"/>
      <c r="BAG66" s="4"/>
      <c r="BAH66" s="4"/>
      <c r="BAI66" s="4"/>
      <c r="BAJ66" s="4"/>
      <c r="BAK66" s="4"/>
      <c r="BAL66" s="4"/>
      <c r="BAM66" s="4"/>
      <c r="BAN66" s="4"/>
      <c r="BAO66" s="4"/>
      <c r="BAP66" s="4"/>
      <c r="BAQ66" s="4"/>
      <c r="BAR66" s="4"/>
      <c r="BAS66" s="4"/>
      <c r="BAT66" s="4"/>
      <c r="BAU66" s="4"/>
      <c r="BAV66" s="4"/>
      <c r="BAW66" s="4"/>
      <c r="BAX66" s="4"/>
      <c r="BAY66" s="4"/>
      <c r="BAZ66" s="4"/>
      <c r="BBA66" s="4"/>
      <c r="BBB66" s="4"/>
      <c r="BBC66" s="4"/>
      <c r="BBD66" s="4"/>
      <c r="BBE66" s="4"/>
      <c r="BBF66" s="4"/>
      <c r="BBG66" s="4"/>
      <c r="BBH66" s="4"/>
      <c r="BBI66" s="4"/>
      <c r="BBJ66" s="4"/>
      <c r="BBK66" s="4"/>
      <c r="BBL66" s="4"/>
      <c r="BBM66" s="4"/>
      <c r="BBN66" s="4"/>
      <c r="BBO66" s="4"/>
      <c r="BBP66" s="4"/>
      <c r="BBQ66" s="4"/>
      <c r="BBR66" s="4"/>
      <c r="BBS66" s="4"/>
      <c r="BBT66" s="4"/>
      <c r="BBU66" s="4"/>
      <c r="BBV66" s="4"/>
      <c r="BBW66" s="4"/>
      <c r="BBX66" s="4"/>
      <c r="BBY66" s="4"/>
      <c r="BBZ66" s="4"/>
      <c r="BCA66" s="4"/>
      <c r="BCB66" s="4"/>
      <c r="BCC66" s="4"/>
      <c r="BCD66" s="4"/>
      <c r="BCE66" s="4"/>
      <c r="BCF66" s="4"/>
      <c r="BCG66" s="4"/>
      <c r="BCH66" s="4"/>
      <c r="BCI66" s="4"/>
      <c r="BCJ66" s="4"/>
      <c r="BCK66" s="4"/>
      <c r="BCL66" s="4"/>
      <c r="BCM66" s="4"/>
      <c r="BCN66" s="4"/>
      <c r="BCO66" s="4"/>
      <c r="BCP66" s="4"/>
      <c r="BCQ66" s="4"/>
      <c r="BCR66" s="4"/>
      <c r="BCS66" s="4"/>
      <c r="BCT66" s="4"/>
      <c r="BCU66" s="4"/>
      <c r="BCV66" s="4"/>
      <c r="BCW66" s="4"/>
      <c r="BCX66" s="4"/>
      <c r="BCY66" s="4"/>
      <c r="BCZ66" s="4"/>
      <c r="BDA66" s="4"/>
      <c r="BDB66" s="4"/>
      <c r="BDC66" s="4"/>
      <c r="BDD66" s="4"/>
      <c r="BDE66" s="4"/>
      <c r="BDF66" s="4"/>
      <c r="BDG66" s="4"/>
      <c r="BDH66" s="4"/>
      <c r="BDI66" s="4"/>
      <c r="BDJ66" s="4"/>
      <c r="BDK66" s="4"/>
      <c r="BDL66" s="4"/>
      <c r="BDM66" s="4"/>
      <c r="BDN66" s="4"/>
      <c r="BDO66" s="4"/>
      <c r="BDP66" s="4"/>
      <c r="BDQ66" s="4"/>
      <c r="BDR66" s="4"/>
      <c r="BDS66" s="4"/>
      <c r="BDT66" s="4"/>
      <c r="BDU66" s="4"/>
      <c r="BDV66" s="4"/>
      <c r="BDW66" s="4"/>
      <c r="BDX66" s="4"/>
      <c r="BDY66" s="4"/>
      <c r="BDZ66" s="4"/>
      <c r="BEA66" s="4"/>
      <c r="BEB66" s="4"/>
      <c r="BEC66" s="4"/>
      <c r="BED66" s="4"/>
      <c r="BEE66" s="4"/>
      <c r="BEF66" s="4"/>
      <c r="BEG66" s="4"/>
      <c r="BEH66" s="4"/>
      <c r="BEI66" s="4"/>
      <c r="BEJ66" s="4"/>
      <c r="BEK66" s="4"/>
      <c r="BEL66" s="4"/>
      <c r="BEM66" s="4"/>
      <c r="BEN66" s="4"/>
      <c r="BEO66" s="4"/>
      <c r="BEP66" s="4"/>
      <c r="BEQ66" s="4"/>
      <c r="BER66" s="4"/>
      <c r="BES66" s="4"/>
      <c r="BET66" s="4"/>
      <c r="BEU66" s="4"/>
      <c r="BEV66" s="4"/>
      <c r="BEW66" s="4"/>
      <c r="BEX66" s="4"/>
      <c r="BEY66" s="4"/>
      <c r="BEZ66" s="4"/>
      <c r="BFA66" s="4"/>
      <c r="BFB66" s="4"/>
      <c r="BFC66" s="4"/>
      <c r="BFD66" s="4"/>
      <c r="BFE66" s="4"/>
      <c r="BFF66" s="4"/>
      <c r="BFG66" s="4"/>
      <c r="BFH66" s="4"/>
      <c r="BFI66" s="4"/>
      <c r="BFJ66" s="4"/>
      <c r="BFK66" s="4"/>
      <c r="BFL66" s="4"/>
      <c r="BFM66" s="4"/>
      <c r="BFN66" s="4"/>
      <c r="BFO66" s="4"/>
      <c r="BFP66" s="4"/>
      <c r="BFQ66" s="4"/>
      <c r="BFR66" s="4"/>
      <c r="BFS66" s="4"/>
      <c r="BFT66" s="4"/>
      <c r="BFU66" s="4"/>
      <c r="BFV66" s="4"/>
      <c r="BFW66" s="4"/>
      <c r="BFX66" s="4"/>
      <c r="BFY66" s="4"/>
      <c r="BFZ66" s="4"/>
      <c r="BGA66" s="4"/>
      <c r="BGB66" s="4"/>
      <c r="BGC66" s="4"/>
      <c r="BGD66" s="4"/>
      <c r="BGE66" s="4"/>
      <c r="BGF66" s="4"/>
      <c r="BGG66" s="4"/>
      <c r="BGH66" s="4"/>
      <c r="BGI66" s="4"/>
      <c r="BGJ66" s="4"/>
      <c r="BGK66" s="4"/>
      <c r="BGL66" s="4"/>
      <c r="BGM66" s="4"/>
      <c r="BGN66" s="4"/>
      <c r="BGO66" s="4"/>
      <c r="BGP66" s="4"/>
      <c r="BGQ66" s="4"/>
      <c r="BGR66" s="4"/>
      <c r="BGS66" s="4"/>
      <c r="BGT66" s="4"/>
      <c r="BGU66" s="4"/>
      <c r="BGV66" s="4"/>
      <c r="BGW66" s="4"/>
      <c r="BGX66" s="4"/>
      <c r="BGY66" s="4"/>
      <c r="BGZ66" s="4"/>
      <c r="BHA66" s="4"/>
      <c r="BHB66" s="4"/>
      <c r="BHC66" s="4"/>
      <c r="BHD66" s="4"/>
      <c r="BHE66" s="4"/>
      <c r="BHF66" s="4"/>
      <c r="BHG66" s="4"/>
      <c r="BHH66" s="4"/>
      <c r="BHI66" s="4"/>
      <c r="BHJ66" s="4"/>
      <c r="BHK66" s="4"/>
      <c r="BHL66" s="4"/>
      <c r="BHM66" s="4"/>
      <c r="BHN66" s="4"/>
      <c r="BHO66" s="4"/>
      <c r="BHP66" s="4"/>
      <c r="BHQ66" s="4"/>
      <c r="BHR66" s="4"/>
      <c r="BHS66" s="4"/>
      <c r="BHT66" s="4"/>
      <c r="BHU66" s="4"/>
      <c r="BHV66" s="4"/>
      <c r="BHW66" s="4"/>
      <c r="BHX66" s="4"/>
      <c r="BHY66" s="4"/>
      <c r="BHZ66" s="4"/>
      <c r="BIA66" s="4"/>
      <c r="BIB66" s="4"/>
      <c r="BIC66" s="4"/>
      <c r="BID66" s="4"/>
      <c r="BIE66" s="4"/>
      <c r="BIF66" s="4"/>
      <c r="BIG66" s="4"/>
      <c r="BIH66" s="4"/>
      <c r="BII66" s="4"/>
      <c r="BIJ66" s="4"/>
      <c r="BIK66" s="4"/>
      <c r="BIL66" s="4"/>
      <c r="BIM66" s="4"/>
      <c r="BIN66" s="4"/>
      <c r="BIO66" s="4"/>
      <c r="BIP66" s="4"/>
      <c r="BIQ66" s="4"/>
      <c r="BIR66" s="4"/>
      <c r="BIS66" s="4"/>
      <c r="BIT66" s="4"/>
      <c r="BIU66" s="4"/>
      <c r="BIV66" s="4"/>
      <c r="BIW66" s="4"/>
      <c r="BIX66" s="4"/>
      <c r="BIY66" s="4"/>
      <c r="BIZ66" s="4"/>
      <c r="BJA66" s="4"/>
      <c r="BJB66" s="4"/>
      <c r="BJC66" s="4"/>
      <c r="BJD66" s="4"/>
      <c r="BJE66" s="4"/>
      <c r="BJF66" s="4"/>
      <c r="BJG66" s="4"/>
      <c r="BJH66" s="4"/>
      <c r="BJI66" s="4"/>
      <c r="BJJ66" s="4"/>
      <c r="BJK66" s="4"/>
      <c r="BJL66" s="4"/>
      <c r="BJM66" s="4"/>
      <c r="BJN66" s="4"/>
      <c r="BJO66" s="4"/>
      <c r="BJP66" s="4"/>
      <c r="BJQ66" s="4"/>
      <c r="BJR66" s="4"/>
      <c r="BJS66" s="4"/>
      <c r="BJT66" s="4"/>
      <c r="BJU66" s="4"/>
      <c r="BJV66" s="4"/>
      <c r="BJW66" s="4"/>
      <c r="BJX66" s="4"/>
      <c r="BJY66" s="4"/>
      <c r="BJZ66" s="4"/>
      <c r="BKA66" s="4"/>
      <c r="BKB66" s="4"/>
      <c r="BKC66" s="4"/>
      <c r="BKD66" s="4"/>
      <c r="BKE66" s="4"/>
      <c r="BKF66" s="4"/>
      <c r="BKG66" s="4"/>
      <c r="BKH66" s="4"/>
      <c r="BKI66" s="4"/>
      <c r="BKJ66" s="4"/>
      <c r="BKK66" s="4"/>
      <c r="BKL66" s="4"/>
      <c r="BKM66" s="4"/>
      <c r="BKN66" s="4"/>
      <c r="BKO66" s="4"/>
      <c r="BKP66" s="4"/>
      <c r="BKQ66" s="4"/>
      <c r="BKR66" s="4"/>
      <c r="BKS66" s="4"/>
      <c r="BKT66" s="4"/>
      <c r="BKU66" s="4"/>
      <c r="BKV66" s="4"/>
      <c r="BKW66" s="4"/>
      <c r="BKX66" s="4"/>
      <c r="BKY66" s="4"/>
      <c r="BKZ66" s="4"/>
      <c r="BLA66" s="4"/>
      <c r="BLB66" s="4"/>
      <c r="BLC66" s="4"/>
      <c r="BLD66" s="4"/>
      <c r="BLE66" s="4"/>
      <c r="BLF66" s="4"/>
      <c r="BLG66" s="4"/>
      <c r="BLH66" s="4"/>
      <c r="BLI66" s="4"/>
      <c r="BLJ66" s="4"/>
      <c r="BLK66" s="4"/>
      <c r="BLL66" s="4"/>
      <c r="BLM66" s="4"/>
      <c r="BLN66" s="4"/>
      <c r="BLO66" s="4"/>
      <c r="BLP66" s="4"/>
      <c r="BLQ66" s="4"/>
      <c r="BLR66" s="4"/>
      <c r="BLS66" s="4"/>
      <c r="BLT66" s="4"/>
      <c r="BLU66" s="4"/>
      <c r="BLV66" s="4"/>
      <c r="BLW66" s="4"/>
      <c r="BLX66" s="4"/>
      <c r="BLY66" s="4"/>
      <c r="BLZ66" s="4"/>
      <c r="BMA66" s="4"/>
      <c r="BMB66" s="4"/>
      <c r="BMC66" s="4"/>
      <c r="BMD66" s="4"/>
      <c r="BME66" s="4"/>
      <c r="BMF66" s="4"/>
      <c r="BMG66" s="4"/>
      <c r="BMH66" s="4"/>
      <c r="BMI66" s="4"/>
      <c r="BMJ66" s="4"/>
      <c r="BMK66" s="4"/>
      <c r="BML66" s="4"/>
      <c r="BMM66" s="4"/>
      <c r="BMN66" s="4"/>
      <c r="BMO66" s="4"/>
      <c r="BMP66" s="4"/>
      <c r="BMQ66" s="4"/>
      <c r="BMR66" s="4"/>
      <c r="BMS66" s="4"/>
      <c r="BMT66" s="4"/>
      <c r="BMU66" s="4"/>
      <c r="BMV66" s="4"/>
      <c r="BMW66" s="4"/>
      <c r="BMX66" s="4"/>
      <c r="BMY66" s="4"/>
      <c r="BMZ66" s="4"/>
      <c r="BNA66" s="4"/>
      <c r="BNB66" s="4"/>
      <c r="BNC66" s="4"/>
      <c r="BND66" s="4"/>
      <c r="BNE66" s="4"/>
      <c r="BNF66" s="4"/>
      <c r="BNG66" s="4"/>
      <c r="BNH66" s="4"/>
      <c r="BNI66" s="4"/>
      <c r="BNJ66" s="4"/>
      <c r="BNK66" s="4"/>
      <c r="BNL66" s="4"/>
      <c r="BNM66" s="4"/>
      <c r="BNN66" s="4"/>
      <c r="BNO66" s="4"/>
      <c r="BNP66" s="4"/>
      <c r="BNQ66" s="4"/>
      <c r="BNR66" s="4"/>
      <c r="BNS66" s="4"/>
      <c r="BNT66" s="4"/>
      <c r="BNU66" s="4"/>
      <c r="BNV66" s="4"/>
      <c r="BNW66" s="4"/>
      <c r="BNX66" s="4"/>
      <c r="BNY66" s="4"/>
      <c r="BNZ66" s="4"/>
      <c r="BOA66" s="4"/>
      <c r="BOB66" s="4"/>
      <c r="BOC66" s="4"/>
      <c r="BOD66" s="4"/>
      <c r="BOE66" s="4"/>
      <c r="BOF66" s="4"/>
      <c r="BOG66" s="4"/>
      <c r="BOH66" s="4"/>
      <c r="BOI66" s="4"/>
      <c r="BOJ66" s="4"/>
      <c r="BOK66" s="4"/>
      <c r="BOL66" s="4"/>
      <c r="BOM66" s="4"/>
      <c r="BON66" s="4"/>
      <c r="BOO66" s="4"/>
      <c r="BOP66" s="4"/>
      <c r="BOQ66" s="4"/>
      <c r="BOR66" s="4"/>
      <c r="BOS66" s="4"/>
      <c r="BOT66" s="4"/>
      <c r="BOU66" s="4"/>
      <c r="BOV66" s="4"/>
      <c r="BOW66" s="4"/>
      <c r="BOX66" s="4"/>
      <c r="BOY66" s="4"/>
      <c r="BOZ66" s="4"/>
      <c r="BPA66" s="4"/>
      <c r="BPB66" s="4"/>
      <c r="BPC66" s="4"/>
      <c r="BPD66" s="4"/>
      <c r="BPE66" s="4"/>
      <c r="BPF66" s="4"/>
      <c r="BPG66" s="4"/>
      <c r="BPH66" s="4"/>
      <c r="BPI66" s="4"/>
      <c r="BPJ66" s="4"/>
      <c r="BPK66" s="4"/>
      <c r="BPL66" s="4"/>
      <c r="BPM66" s="4"/>
      <c r="BPN66" s="4"/>
      <c r="BPO66" s="4"/>
      <c r="BPP66" s="4"/>
      <c r="BPQ66" s="4"/>
      <c r="BPR66" s="4"/>
      <c r="BPS66" s="4"/>
      <c r="BPT66" s="4"/>
      <c r="BPU66" s="4"/>
      <c r="BPV66" s="4"/>
      <c r="BPW66" s="4"/>
      <c r="BPX66" s="4"/>
      <c r="BPY66" s="4"/>
      <c r="BPZ66" s="4"/>
      <c r="BQA66" s="4"/>
      <c r="BQB66" s="4"/>
      <c r="BQC66" s="4"/>
      <c r="BQD66" s="4"/>
      <c r="BQE66" s="4"/>
      <c r="BQF66" s="4"/>
      <c r="BQG66" s="4"/>
      <c r="BQH66" s="4"/>
      <c r="BQI66" s="4"/>
      <c r="BQJ66" s="4"/>
      <c r="BQK66" s="4"/>
      <c r="BQL66" s="4"/>
      <c r="BQM66" s="4"/>
      <c r="BQN66" s="4"/>
      <c r="BQO66" s="4"/>
      <c r="BQP66" s="4"/>
      <c r="BQQ66" s="4"/>
      <c r="BQR66" s="4"/>
      <c r="BQS66" s="4"/>
      <c r="BQT66" s="4"/>
      <c r="BQU66" s="4"/>
      <c r="BQV66" s="4"/>
      <c r="BQW66" s="4"/>
      <c r="BQX66" s="4"/>
      <c r="BQY66" s="4"/>
      <c r="BQZ66" s="4"/>
      <c r="BRA66" s="4"/>
      <c r="BRB66" s="4"/>
      <c r="BRC66" s="4"/>
      <c r="BRD66" s="4"/>
      <c r="BRE66" s="4"/>
      <c r="BRF66" s="4"/>
      <c r="BRG66" s="4"/>
      <c r="BRH66" s="4"/>
      <c r="BRI66" s="4"/>
      <c r="BRJ66" s="4"/>
      <c r="BRK66" s="4"/>
      <c r="BRL66" s="4"/>
      <c r="BRM66" s="4"/>
      <c r="BRN66" s="4"/>
      <c r="BRO66" s="4"/>
      <c r="BRP66" s="4"/>
      <c r="BRQ66" s="4"/>
      <c r="BRR66" s="4"/>
      <c r="BRS66" s="4"/>
      <c r="BRT66" s="4"/>
      <c r="BRU66" s="4"/>
      <c r="BRV66" s="4"/>
      <c r="BRW66" s="4"/>
      <c r="BRX66" s="4"/>
      <c r="BRY66" s="4"/>
      <c r="BRZ66" s="4"/>
      <c r="BSA66" s="4"/>
      <c r="BSB66" s="4"/>
      <c r="BSC66" s="4"/>
      <c r="BSD66" s="4"/>
      <c r="BSE66" s="4"/>
      <c r="BSF66" s="4"/>
      <c r="BSG66" s="4"/>
      <c r="BSH66" s="4"/>
      <c r="BSI66" s="4"/>
      <c r="BSJ66" s="4"/>
      <c r="BSK66" s="4"/>
      <c r="BSL66" s="4"/>
      <c r="BSM66" s="4"/>
      <c r="BSN66" s="4"/>
      <c r="BSO66" s="4"/>
      <c r="BSP66" s="4"/>
      <c r="BSQ66" s="4"/>
      <c r="BSR66" s="4"/>
      <c r="BSS66" s="4"/>
      <c r="BST66" s="4"/>
      <c r="BSU66" s="4"/>
      <c r="BSV66" s="4"/>
      <c r="BSW66" s="4"/>
      <c r="BSX66" s="4"/>
      <c r="BSY66" s="4"/>
      <c r="BSZ66" s="4"/>
      <c r="BTA66" s="4"/>
      <c r="BTB66" s="4"/>
      <c r="BTC66" s="4"/>
      <c r="BTD66" s="4"/>
      <c r="BTE66" s="4"/>
      <c r="BTF66" s="4"/>
      <c r="BTG66" s="4"/>
      <c r="BTH66" s="4"/>
      <c r="BTI66" s="4"/>
      <c r="BTJ66" s="4"/>
      <c r="BTK66" s="4"/>
      <c r="BTL66" s="4"/>
      <c r="BTM66" s="4"/>
      <c r="BTN66" s="4"/>
      <c r="BTO66" s="4"/>
      <c r="BTP66" s="4"/>
      <c r="BTQ66" s="4"/>
      <c r="BTR66" s="4"/>
      <c r="BTS66" s="4"/>
      <c r="BTT66" s="4"/>
      <c r="BTU66" s="4"/>
      <c r="BTV66" s="4"/>
      <c r="BTW66" s="4"/>
      <c r="BTX66" s="4"/>
      <c r="BTY66" s="4"/>
      <c r="BTZ66" s="4"/>
      <c r="BUA66" s="4"/>
      <c r="BUB66" s="4"/>
      <c r="BUC66" s="4"/>
      <c r="BUD66" s="4"/>
      <c r="BUE66" s="4"/>
      <c r="BUF66" s="4"/>
      <c r="BUG66" s="4"/>
      <c r="BUH66" s="4"/>
      <c r="BUI66" s="4"/>
      <c r="BUJ66" s="4"/>
      <c r="BUK66" s="4"/>
      <c r="BUL66" s="4"/>
      <c r="BUM66" s="4"/>
      <c r="BUN66" s="4"/>
      <c r="BUO66" s="4"/>
      <c r="BUP66" s="4"/>
      <c r="BUQ66" s="4"/>
      <c r="BUR66" s="4"/>
      <c r="BUS66" s="4"/>
      <c r="BUT66" s="4"/>
      <c r="BUU66" s="4"/>
      <c r="BUV66" s="4"/>
      <c r="BUW66" s="4"/>
      <c r="BUX66" s="4"/>
      <c r="BUY66" s="4"/>
      <c r="BUZ66" s="4"/>
      <c r="BVA66" s="4"/>
      <c r="BVB66" s="4"/>
      <c r="BVC66" s="4"/>
      <c r="BVD66" s="4"/>
      <c r="BVE66" s="4"/>
      <c r="BVF66" s="4"/>
      <c r="BVG66" s="4"/>
      <c r="BVH66" s="4"/>
      <c r="BVI66" s="4"/>
      <c r="BVJ66" s="4"/>
      <c r="BVK66" s="4"/>
      <c r="BVL66" s="4"/>
      <c r="BVM66" s="4"/>
      <c r="BVN66" s="4"/>
      <c r="BVO66" s="4"/>
      <c r="BVP66" s="4"/>
      <c r="BVQ66" s="4"/>
      <c r="BVR66" s="4"/>
      <c r="BVS66" s="4"/>
      <c r="BVT66" s="4"/>
      <c r="BVU66" s="4"/>
      <c r="BVV66" s="4"/>
      <c r="BVW66" s="4"/>
      <c r="BVX66" s="4"/>
      <c r="BVY66" s="4"/>
      <c r="BVZ66" s="4"/>
      <c r="BWA66" s="4"/>
      <c r="BWB66" s="4"/>
      <c r="BWC66" s="4"/>
      <c r="BWD66" s="4"/>
      <c r="BWE66" s="4"/>
      <c r="BWF66" s="4"/>
      <c r="BWG66" s="4"/>
      <c r="BWH66" s="4"/>
      <c r="BWI66" s="4"/>
      <c r="BWJ66" s="4"/>
      <c r="BWK66" s="4"/>
      <c r="BWL66" s="4"/>
      <c r="BWM66" s="4"/>
      <c r="BWN66" s="4"/>
      <c r="BWO66" s="4"/>
      <c r="BWP66" s="4"/>
      <c r="BWQ66" s="4"/>
      <c r="BWR66" s="4"/>
      <c r="BWS66" s="4"/>
      <c r="BWT66" s="4"/>
      <c r="BWU66" s="4"/>
      <c r="BWV66" s="4"/>
      <c r="BWW66" s="4"/>
      <c r="BWX66" s="4"/>
      <c r="BWY66" s="4"/>
      <c r="BWZ66" s="4"/>
      <c r="BXA66" s="4"/>
      <c r="BXB66" s="4"/>
      <c r="BXC66" s="4"/>
      <c r="BXD66" s="4"/>
      <c r="BXE66" s="4"/>
      <c r="BXF66" s="4"/>
      <c r="BXG66" s="4"/>
      <c r="BXH66" s="4"/>
      <c r="BXI66" s="4"/>
      <c r="BXJ66" s="4"/>
      <c r="BXK66" s="4"/>
      <c r="BXL66" s="4"/>
      <c r="BXM66" s="4"/>
      <c r="BXN66" s="4"/>
      <c r="BXO66" s="4"/>
      <c r="BXP66" s="4"/>
      <c r="BXQ66" s="4"/>
      <c r="BXR66" s="4"/>
      <c r="BXS66" s="4"/>
      <c r="BXT66" s="4"/>
      <c r="BXU66" s="4"/>
      <c r="BXV66" s="4"/>
      <c r="BXW66" s="4"/>
      <c r="BXX66" s="4"/>
      <c r="BXY66" s="4"/>
      <c r="BXZ66" s="4"/>
      <c r="BYA66" s="4"/>
      <c r="BYB66" s="4"/>
      <c r="BYC66" s="4"/>
      <c r="BYD66" s="4"/>
      <c r="BYE66" s="4"/>
      <c r="BYF66" s="4"/>
      <c r="BYG66" s="4"/>
      <c r="BYH66" s="4"/>
      <c r="BYI66" s="4"/>
      <c r="BYJ66" s="4"/>
      <c r="BYK66" s="4"/>
      <c r="BYL66" s="4"/>
      <c r="BYM66" s="4"/>
      <c r="BYN66" s="4"/>
      <c r="BYO66" s="4"/>
      <c r="BYP66" s="4"/>
      <c r="BYQ66" s="4"/>
      <c r="BYR66" s="4"/>
      <c r="BYS66" s="4"/>
      <c r="BYT66" s="4"/>
      <c r="BYU66" s="4"/>
      <c r="BYV66" s="4"/>
      <c r="BYW66" s="4"/>
      <c r="BYX66" s="4"/>
      <c r="BYY66" s="4"/>
      <c r="BYZ66" s="4"/>
      <c r="BZA66" s="4"/>
      <c r="BZB66" s="4"/>
      <c r="BZC66" s="4"/>
      <c r="BZD66" s="4"/>
      <c r="BZE66" s="4"/>
      <c r="BZF66" s="4"/>
      <c r="BZG66" s="4"/>
      <c r="BZH66" s="4"/>
      <c r="BZI66" s="4"/>
      <c r="BZJ66" s="4"/>
      <c r="BZK66" s="4"/>
      <c r="BZL66" s="4"/>
      <c r="BZM66" s="4"/>
      <c r="BZN66" s="4"/>
      <c r="BZO66" s="4"/>
      <c r="BZP66" s="4"/>
      <c r="BZQ66" s="4"/>
      <c r="BZR66" s="4"/>
      <c r="BZS66" s="4"/>
      <c r="BZT66" s="4"/>
      <c r="BZU66" s="4"/>
      <c r="BZV66" s="4"/>
      <c r="BZW66" s="4"/>
      <c r="BZX66" s="4"/>
      <c r="BZY66" s="4"/>
      <c r="BZZ66" s="4"/>
      <c r="CAA66" s="4"/>
      <c r="CAB66" s="4"/>
      <c r="CAC66" s="4"/>
      <c r="CAD66" s="4"/>
      <c r="CAE66" s="4"/>
      <c r="CAF66" s="4"/>
      <c r="CAG66" s="4"/>
      <c r="CAH66" s="4"/>
      <c r="CAI66" s="4"/>
      <c r="CAJ66" s="4"/>
      <c r="CAK66" s="4"/>
      <c r="CAL66" s="4"/>
      <c r="CAM66" s="4"/>
      <c r="CAN66" s="4"/>
      <c r="CAO66" s="4"/>
      <c r="CAP66" s="4"/>
      <c r="CAQ66" s="4"/>
      <c r="CAR66" s="4"/>
      <c r="CAS66" s="4"/>
      <c r="CAT66" s="4"/>
      <c r="CAU66" s="4"/>
      <c r="CAV66" s="4"/>
      <c r="CAW66" s="4"/>
      <c r="CAX66" s="4"/>
      <c r="CAY66" s="4"/>
      <c r="CAZ66" s="4"/>
      <c r="CBA66" s="4"/>
      <c r="CBB66" s="4"/>
      <c r="CBC66" s="4"/>
      <c r="CBD66" s="4"/>
      <c r="CBE66" s="4"/>
      <c r="CBF66" s="4"/>
      <c r="CBG66" s="4"/>
      <c r="CBH66" s="4"/>
      <c r="CBI66" s="4"/>
      <c r="CBJ66" s="4"/>
      <c r="CBK66" s="4"/>
      <c r="CBL66" s="4"/>
      <c r="CBM66" s="4"/>
      <c r="CBN66" s="4"/>
      <c r="CBO66" s="4"/>
      <c r="CBP66" s="4"/>
      <c r="CBQ66" s="4"/>
      <c r="CBR66" s="4"/>
      <c r="CBS66" s="4"/>
      <c r="CBT66" s="4"/>
      <c r="CBU66" s="4"/>
      <c r="CBV66" s="4"/>
      <c r="CBW66" s="4"/>
      <c r="CBX66" s="4"/>
      <c r="CBY66" s="4"/>
      <c r="CBZ66" s="4"/>
      <c r="CCA66" s="4"/>
      <c r="CCB66" s="4"/>
      <c r="CCC66" s="4"/>
      <c r="CCD66" s="4"/>
      <c r="CCE66" s="4"/>
      <c r="CCF66" s="4"/>
      <c r="CCG66" s="4"/>
      <c r="CCH66" s="4"/>
      <c r="CCI66" s="4"/>
      <c r="CCJ66" s="4"/>
      <c r="CCK66" s="4"/>
      <c r="CCL66" s="4"/>
      <c r="CCM66" s="4"/>
      <c r="CCN66" s="4"/>
      <c r="CCO66" s="4"/>
      <c r="CCP66" s="4"/>
      <c r="CCQ66" s="4"/>
      <c r="CCR66" s="4"/>
      <c r="CCS66" s="4"/>
      <c r="CCT66" s="4"/>
      <c r="CCU66" s="4"/>
      <c r="CCV66" s="4"/>
      <c r="CCW66" s="4"/>
      <c r="CCX66" s="4"/>
      <c r="CCY66" s="4"/>
      <c r="CCZ66" s="4"/>
      <c r="CDA66" s="4"/>
      <c r="CDB66" s="4"/>
      <c r="CDC66" s="4"/>
      <c r="CDD66" s="4"/>
      <c r="CDE66" s="4"/>
      <c r="CDF66" s="4"/>
      <c r="CDG66" s="4"/>
      <c r="CDH66" s="4"/>
      <c r="CDI66" s="4"/>
      <c r="CDJ66" s="4"/>
      <c r="CDK66" s="4"/>
      <c r="CDL66" s="4"/>
      <c r="CDM66" s="4"/>
      <c r="CDN66" s="4"/>
      <c r="CDO66" s="4"/>
      <c r="CDP66" s="4"/>
      <c r="CDQ66" s="4"/>
      <c r="CDR66" s="4"/>
      <c r="CDS66" s="4"/>
      <c r="CDT66" s="4"/>
      <c r="CDU66" s="4"/>
      <c r="CDV66" s="4"/>
      <c r="CDW66" s="4"/>
      <c r="CDX66" s="4"/>
      <c r="CDY66" s="4"/>
      <c r="CDZ66" s="4"/>
      <c r="CEA66" s="4"/>
      <c r="CEB66" s="4"/>
      <c r="CEC66" s="4"/>
      <c r="CED66" s="4"/>
      <c r="CEE66" s="4"/>
      <c r="CEF66" s="4"/>
      <c r="CEG66" s="4"/>
      <c r="CEH66" s="4"/>
      <c r="CEI66" s="4"/>
      <c r="CEJ66" s="4"/>
      <c r="CEK66" s="4"/>
      <c r="CEL66" s="4"/>
      <c r="CEM66" s="4"/>
      <c r="CEN66" s="4"/>
      <c r="CEO66" s="4"/>
      <c r="CEP66" s="4"/>
      <c r="CEQ66" s="4"/>
      <c r="CER66" s="4"/>
      <c r="CES66" s="4"/>
      <c r="CET66" s="4"/>
      <c r="CEU66" s="4"/>
      <c r="CEV66" s="4"/>
      <c r="CEW66" s="4"/>
      <c r="CEX66" s="4"/>
      <c r="CEY66" s="4"/>
      <c r="CEZ66" s="4"/>
      <c r="CFA66" s="4"/>
      <c r="CFB66" s="4"/>
      <c r="CFC66" s="4"/>
      <c r="CFD66" s="4"/>
      <c r="CFE66" s="4"/>
      <c r="CFF66" s="4"/>
      <c r="CFG66" s="4"/>
      <c r="CFH66" s="4"/>
      <c r="CFI66" s="4"/>
      <c r="CFJ66" s="4"/>
      <c r="CFK66" s="4"/>
      <c r="CFL66" s="4"/>
      <c r="CFM66" s="4"/>
      <c r="CFN66" s="4"/>
      <c r="CFO66" s="4"/>
      <c r="CFP66" s="4"/>
      <c r="CFQ66" s="4"/>
      <c r="CFR66" s="4"/>
      <c r="CFS66" s="4"/>
      <c r="CFT66" s="4"/>
      <c r="CFU66" s="4"/>
      <c r="CFV66" s="4"/>
      <c r="CFW66" s="4"/>
      <c r="CFX66" s="4"/>
      <c r="CFY66" s="4"/>
      <c r="CFZ66" s="4"/>
      <c r="CGA66" s="4"/>
      <c r="CGB66" s="4"/>
      <c r="CGC66" s="4"/>
      <c r="CGD66" s="4"/>
      <c r="CGE66" s="4"/>
      <c r="CGF66" s="4"/>
      <c r="CGG66" s="4"/>
      <c r="CGH66" s="4"/>
      <c r="CGI66" s="4"/>
      <c r="CGJ66" s="4"/>
      <c r="CGK66" s="4"/>
      <c r="CGL66" s="4"/>
      <c r="CGM66" s="4"/>
      <c r="CGN66" s="4"/>
      <c r="CGO66" s="4"/>
      <c r="CGP66" s="4"/>
      <c r="CGQ66" s="4"/>
      <c r="CGR66" s="4"/>
      <c r="CGS66" s="4"/>
      <c r="CGT66" s="4"/>
      <c r="CGU66" s="4"/>
      <c r="CGV66" s="4"/>
      <c r="CGW66" s="4"/>
      <c r="CGX66" s="4"/>
      <c r="CGY66" s="4"/>
      <c r="CGZ66" s="4"/>
      <c r="CHA66" s="4"/>
      <c r="CHB66" s="4"/>
      <c r="CHC66" s="4"/>
      <c r="CHD66" s="4"/>
      <c r="CHE66" s="4"/>
      <c r="CHF66" s="4"/>
      <c r="CHG66" s="4"/>
      <c r="CHH66" s="4"/>
      <c r="CHI66" s="4"/>
      <c r="CHJ66" s="4"/>
      <c r="CHK66" s="4"/>
      <c r="CHL66" s="4"/>
      <c r="CHM66" s="4"/>
      <c r="CHN66" s="4"/>
      <c r="CHO66" s="4"/>
      <c r="CHP66" s="4"/>
      <c r="CHQ66" s="4"/>
      <c r="CHR66" s="4"/>
      <c r="CHS66" s="4"/>
      <c r="CHT66" s="4"/>
      <c r="CHU66" s="4"/>
      <c r="CHV66" s="4"/>
      <c r="CHW66" s="4"/>
      <c r="CHX66" s="4"/>
      <c r="CHY66" s="4"/>
      <c r="CHZ66" s="4"/>
      <c r="CIA66" s="4"/>
      <c r="CIB66" s="4"/>
      <c r="CIC66" s="4"/>
      <c r="CID66" s="4"/>
      <c r="CIE66" s="4"/>
      <c r="CIF66" s="4"/>
      <c r="CIG66" s="4"/>
      <c r="CIH66" s="4"/>
      <c r="CII66" s="4"/>
      <c r="CIJ66" s="4"/>
      <c r="CIK66" s="4"/>
      <c r="CIL66" s="4"/>
      <c r="CIM66" s="4"/>
      <c r="CIN66" s="4"/>
      <c r="CIO66" s="4"/>
      <c r="CIP66" s="4"/>
      <c r="CIQ66" s="4"/>
      <c r="CIR66" s="4"/>
      <c r="CIS66" s="4"/>
      <c r="CIT66" s="4"/>
      <c r="CIU66" s="4"/>
      <c r="CIV66" s="4"/>
      <c r="CIW66" s="4"/>
      <c r="CIX66" s="4"/>
      <c r="CIY66" s="4"/>
      <c r="CIZ66" s="4"/>
      <c r="CJA66" s="4"/>
      <c r="CJB66" s="4"/>
      <c r="CJC66" s="4"/>
      <c r="CJD66" s="4"/>
      <c r="CJE66" s="4"/>
      <c r="CJF66" s="4"/>
      <c r="CJG66" s="4"/>
      <c r="CJH66" s="4"/>
      <c r="CJI66" s="4"/>
      <c r="CJJ66" s="4"/>
      <c r="CJK66" s="4"/>
      <c r="CJL66" s="4"/>
      <c r="CJM66" s="4"/>
      <c r="CJN66" s="4"/>
      <c r="CJO66" s="4"/>
      <c r="CJP66" s="4"/>
      <c r="CJQ66" s="4"/>
      <c r="CJR66" s="4"/>
      <c r="CJS66" s="4"/>
      <c r="CJT66" s="4"/>
      <c r="CJU66" s="4"/>
      <c r="CJV66" s="4"/>
      <c r="CJW66" s="4"/>
      <c r="CJX66" s="4"/>
      <c r="CJY66" s="4"/>
      <c r="CJZ66" s="4"/>
      <c r="CKA66" s="4"/>
      <c r="CKB66" s="4"/>
      <c r="CKC66" s="4"/>
      <c r="CKD66" s="4"/>
      <c r="CKE66" s="4"/>
      <c r="CKF66" s="4"/>
      <c r="CKG66" s="4"/>
      <c r="CKH66" s="4"/>
      <c r="CKI66" s="4"/>
      <c r="CKJ66" s="4"/>
      <c r="CKK66" s="4"/>
      <c r="CKL66" s="4"/>
      <c r="CKM66" s="4"/>
      <c r="CKN66" s="4"/>
      <c r="CKO66" s="4"/>
      <c r="CKP66" s="4"/>
      <c r="CKQ66" s="4"/>
      <c r="CKR66" s="4"/>
      <c r="CKS66" s="4"/>
      <c r="CKT66" s="4"/>
      <c r="CKU66" s="4"/>
      <c r="CKV66" s="4"/>
      <c r="CKW66" s="4"/>
      <c r="CKX66" s="4"/>
      <c r="CKY66" s="4"/>
      <c r="CKZ66" s="4"/>
      <c r="CLA66" s="4"/>
      <c r="CLB66" s="4"/>
      <c r="CLC66" s="4"/>
      <c r="CLD66" s="4"/>
      <c r="CLE66" s="4"/>
      <c r="CLF66" s="4"/>
      <c r="CLG66" s="4"/>
      <c r="CLH66" s="4"/>
      <c r="CLI66" s="4"/>
      <c r="CLJ66" s="4"/>
      <c r="CLK66" s="4"/>
      <c r="CLL66" s="4"/>
      <c r="CLM66" s="4"/>
      <c r="CLN66" s="4"/>
      <c r="CLO66" s="4"/>
      <c r="CLP66" s="4"/>
      <c r="CLQ66" s="4"/>
      <c r="CLR66" s="4"/>
      <c r="CLS66" s="4"/>
      <c r="CLT66" s="4"/>
      <c r="CLU66" s="4"/>
      <c r="CLV66" s="4"/>
      <c r="CLW66" s="4"/>
      <c r="CLX66" s="4"/>
      <c r="CLY66" s="4"/>
      <c r="CLZ66" s="4"/>
      <c r="CMA66" s="4"/>
      <c r="CMB66" s="4"/>
      <c r="CMC66" s="4"/>
      <c r="CMD66" s="4"/>
      <c r="CME66" s="4"/>
      <c r="CMF66" s="4"/>
      <c r="CMG66" s="4"/>
      <c r="CMH66" s="4"/>
      <c r="CMI66" s="4"/>
      <c r="CMJ66" s="4"/>
      <c r="CMK66" s="4"/>
      <c r="CML66" s="4"/>
      <c r="CMM66" s="4"/>
      <c r="CMN66" s="4"/>
      <c r="CMO66" s="4"/>
      <c r="CMP66" s="4"/>
      <c r="CMQ66" s="4"/>
      <c r="CMR66" s="4"/>
      <c r="CMS66" s="4"/>
      <c r="CMT66" s="4"/>
      <c r="CMU66" s="4"/>
      <c r="CMV66" s="4"/>
      <c r="CMW66" s="4"/>
      <c r="CMX66" s="4"/>
      <c r="CMY66" s="4"/>
      <c r="CMZ66" s="4"/>
      <c r="CNA66" s="4"/>
      <c r="CNB66" s="4"/>
      <c r="CNC66" s="4"/>
      <c r="CND66" s="4"/>
      <c r="CNE66" s="4"/>
      <c r="CNF66" s="4"/>
      <c r="CNG66" s="4"/>
      <c r="CNH66" s="4"/>
      <c r="CNI66" s="4"/>
      <c r="CNJ66" s="4"/>
      <c r="CNK66" s="4"/>
      <c r="CNL66" s="4"/>
      <c r="CNM66" s="4"/>
      <c r="CNN66" s="4"/>
      <c r="CNO66" s="4"/>
      <c r="CNP66" s="4"/>
      <c r="CNQ66" s="4"/>
      <c r="CNR66" s="4"/>
      <c r="CNS66" s="4"/>
      <c r="CNT66" s="4"/>
      <c r="CNU66" s="4"/>
      <c r="CNV66" s="4"/>
      <c r="CNW66" s="4"/>
      <c r="CNX66" s="4"/>
      <c r="CNY66" s="4"/>
      <c r="CNZ66" s="4"/>
      <c r="COA66" s="4"/>
      <c r="COB66" s="4"/>
      <c r="COC66" s="4"/>
      <c r="COD66" s="4"/>
      <c r="COE66" s="4"/>
      <c r="COF66" s="4"/>
      <c r="COG66" s="4"/>
      <c r="COH66" s="4"/>
      <c r="COI66" s="4"/>
      <c r="COJ66" s="4"/>
      <c r="COK66" s="4"/>
      <c r="COL66" s="4"/>
      <c r="COM66" s="4"/>
      <c r="CON66" s="4"/>
      <c r="COO66" s="4"/>
      <c r="COP66" s="4"/>
      <c r="COQ66" s="4"/>
      <c r="COR66" s="4"/>
      <c r="COS66" s="4"/>
      <c r="COT66" s="4"/>
      <c r="COU66" s="4"/>
      <c r="COV66" s="4"/>
      <c r="COW66" s="4"/>
      <c r="COX66" s="4"/>
      <c r="COY66" s="4"/>
      <c r="COZ66" s="4"/>
      <c r="CPA66" s="4"/>
      <c r="CPB66" s="4"/>
      <c r="CPC66" s="4"/>
      <c r="CPD66" s="4"/>
      <c r="CPE66" s="4"/>
      <c r="CPF66" s="4"/>
      <c r="CPG66" s="4"/>
      <c r="CPH66" s="4"/>
      <c r="CPI66" s="4"/>
      <c r="CPJ66" s="4"/>
      <c r="CPK66" s="4"/>
      <c r="CPL66" s="4"/>
      <c r="CPM66" s="4"/>
      <c r="CPN66" s="4"/>
      <c r="CPO66" s="4"/>
      <c r="CPP66" s="4"/>
      <c r="CPQ66" s="4"/>
      <c r="CPR66" s="4"/>
      <c r="CPS66" s="4"/>
      <c r="CPT66" s="4"/>
      <c r="CPU66" s="4"/>
      <c r="CPV66" s="4"/>
      <c r="CPW66" s="4"/>
      <c r="CPX66" s="4"/>
      <c r="CPY66" s="4"/>
      <c r="CPZ66" s="4"/>
      <c r="CQA66" s="4"/>
      <c r="CQB66" s="4"/>
      <c r="CQC66" s="4"/>
      <c r="CQD66" s="4"/>
      <c r="CQE66" s="4"/>
      <c r="CQF66" s="4"/>
      <c r="CQG66" s="4"/>
      <c r="CQH66" s="4"/>
      <c r="CQI66" s="4"/>
      <c r="CQJ66" s="4"/>
      <c r="CQK66" s="4"/>
      <c r="CQL66" s="4"/>
      <c r="CQM66" s="4"/>
      <c r="CQN66" s="4"/>
      <c r="CQO66" s="4"/>
      <c r="CQP66" s="4"/>
      <c r="CQQ66" s="4"/>
      <c r="CQR66" s="4"/>
      <c r="CQS66" s="4"/>
      <c r="CQT66" s="4"/>
      <c r="CQU66" s="4"/>
      <c r="CQV66" s="4"/>
      <c r="CQW66" s="4"/>
      <c r="CQX66" s="4"/>
      <c r="CQY66" s="4"/>
      <c r="CQZ66" s="4"/>
      <c r="CRA66" s="4"/>
      <c r="CRB66" s="4"/>
      <c r="CRC66" s="4"/>
      <c r="CRD66" s="4"/>
      <c r="CRE66" s="4"/>
      <c r="CRF66" s="4"/>
      <c r="CRG66" s="4"/>
      <c r="CRH66" s="4"/>
      <c r="CRI66" s="4"/>
      <c r="CRJ66" s="4"/>
      <c r="CRK66" s="4"/>
      <c r="CRL66" s="4"/>
      <c r="CRM66" s="4"/>
      <c r="CRN66" s="4"/>
      <c r="CRO66" s="4"/>
      <c r="CRP66" s="4"/>
      <c r="CRQ66" s="4"/>
      <c r="CRR66" s="4"/>
      <c r="CRS66" s="4"/>
      <c r="CRT66" s="4"/>
      <c r="CRU66" s="4"/>
      <c r="CRV66" s="4"/>
      <c r="CRW66" s="4"/>
      <c r="CRX66" s="4"/>
      <c r="CRY66" s="4"/>
      <c r="CRZ66" s="4"/>
      <c r="CSA66" s="4"/>
      <c r="CSB66" s="4"/>
      <c r="CSC66" s="4"/>
      <c r="CSD66" s="4"/>
      <c r="CSE66" s="4"/>
      <c r="CSF66" s="4"/>
      <c r="CSG66" s="4"/>
      <c r="CSH66" s="4"/>
      <c r="CSI66" s="4"/>
      <c r="CSJ66" s="4"/>
      <c r="CSK66" s="4"/>
      <c r="CSL66" s="4"/>
      <c r="CSM66" s="4"/>
      <c r="CSN66" s="4"/>
      <c r="CSO66" s="4"/>
      <c r="CSP66" s="4"/>
      <c r="CSQ66" s="4"/>
      <c r="CSR66" s="4"/>
      <c r="CSS66" s="4"/>
      <c r="CST66" s="4"/>
      <c r="CSU66" s="4"/>
      <c r="CSV66" s="4"/>
      <c r="CSW66" s="4"/>
      <c r="CSX66" s="4"/>
      <c r="CSY66" s="4"/>
      <c r="CSZ66" s="4"/>
      <c r="CTA66" s="4"/>
      <c r="CTB66" s="4"/>
      <c r="CTC66" s="4"/>
      <c r="CTD66" s="4"/>
      <c r="CTE66" s="4"/>
      <c r="CTF66" s="4"/>
      <c r="CTG66" s="4"/>
      <c r="CTH66" s="4"/>
      <c r="CTI66" s="4"/>
      <c r="CTJ66" s="4"/>
      <c r="CTK66" s="4"/>
      <c r="CTL66" s="4"/>
      <c r="CTM66" s="4"/>
      <c r="CTN66" s="4"/>
      <c r="CTO66" s="4"/>
      <c r="CTP66" s="4"/>
      <c r="CTQ66" s="4"/>
      <c r="CTR66" s="4"/>
      <c r="CTS66" s="4"/>
      <c r="CTT66" s="4"/>
      <c r="CTU66" s="4"/>
      <c r="CTV66" s="4"/>
      <c r="CTW66" s="4"/>
      <c r="CTX66" s="4"/>
      <c r="CTY66" s="4"/>
      <c r="CTZ66" s="4"/>
      <c r="CUA66" s="4"/>
      <c r="CUB66" s="4"/>
      <c r="CUC66" s="4"/>
      <c r="CUD66" s="4"/>
      <c r="CUE66" s="4"/>
      <c r="CUF66" s="4"/>
      <c r="CUG66" s="4"/>
      <c r="CUH66" s="4"/>
      <c r="CUI66" s="4"/>
      <c r="CUJ66" s="4"/>
      <c r="CUK66" s="4"/>
      <c r="CUL66" s="4"/>
      <c r="CUM66" s="4"/>
      <c r="CUN66" s="4"/>
      <c r="CUO66" s="4"/>
      <c r="CUP66" s="4"/>
      <c r="CUQ66" s="4"/>
      <c r="CUR66" s="4"/>
      <c r="CUS66" s="4"/>
      <c r="CUT66" s="4"/>
      <c r="CUU66" s="4"/>
      <c r="CUV66" s="4"/>
      <c r="CUW66" s="4"/>
      <c r="CUX66" s="4"/>
      <c r="CUY66" s="4"/>
      <c r="CUZ66" s="4"/>
      <c r="CVA66" s="4"/>
      <c r="CVB66" s="4"/>
      <c r="CVC66" s="4"/>
      <c r="CVD66" s="4"/>
      <c r="CVE66" s="4"/>
      <c r="CVF66" s="4"/>
      <c r="CVG66" s="4"/>
      <c r="CVH66" s="4"/>
      <c r="CVI66" s="4"/>
      <c r="CVJ66" s="4"/>
      <c r="CVK66" s="4"/>
      <c r="CVL66" s="4"/>
      <c r="CVM66" s="4"/>
      <c r="CVN66" s="4"/>
      <c r="CVO66" s="4"/>
      <c r="CVP66" s="4"/>
      <c r="CVQ66" s="4"/>
      <c r="CVR66" s="4"/>
      <c r="CVS66" s="4"/>
      <c r="CVT66" s="4"/>
      <c r="CVU66" s="4"/>
      <c r="CVV66" s="4"/>
      <c r="CVW66" s="4"/>
      <c r="CVX66" s="4"/>
      <c r="CVY66" s="4"/>
      <c r="CVZ66" s="4"/>
      <c r="CWA66" s="4"/>
      <c r="CWB66" s="4"/>
      <c r="CWC66" s="4"/>
      <c r="CWD66" s="4"/>
      <c r="CWE66" s="4"/>
      <c r="CWF66" s="4"/>
      <c r="CWG66" s="4"/>
      <c r="CWH66" s="4"/>
      <c r="CWI66" s="4"/>
      <c r="CWJ66" s="4"/>
      <c r="CWK66" s="4"/>
      <c r="CWL66" s="4"/>
      <c r="CWM66" s="4"/>
      <c r="CWN66" s="4"/>
      <c r="CWO66" s="4"/>
      <c r="CWP66" s="4"/>
      <c r="CWQ66" s="4"/>
      <c r="CWR66" s="4"/>
      <c r="CWS66" s="4"/>
      <c r="CWT66" s="4"/>
      <c r="CWU66" s="4"/>
      <c r="CWV66" s="4"/>
      <c r="CWW66" s="4"/>
      <c r="CWX66" s="4"/>
      <c r="CWY66" s="4"/>
      <c r="CWZ66" s="4"/>
      <c r="CXA66" s="4"/>
      <c r="CXB66" s="4"/>
      <c r="CXC66" s="4"/>
      <c r="CXD66" s="4"/>
      <c r="CXE66" s="4"/>
      <c r="CXF66" s="4"/>
      <c r="CXG66" s="4"/>
      <c r="CXH66" s="4"/>
      <c r="CXI66" s="4"/>
      <c r="CXJ66" s="4"/>
      <c r="CXK66" s="4"/>
      <c r="CXL66" s="4"/>
      <c r="CXM66" s="4"/>
      <c r="CXN66" s="4"/>
      <c r="CXO66" s="4"/>
      <c r="CXP66" s="4"/>
      <c r="CXQ66" s="4"/>
      <c r="CXR66" s="4"/>
      <c r="CXS66" s="4"/>
      <c r="CXT66" s="4"/>
      <c r="CXU66" s="4"/>
      <c r="CXV66" s="4"/>
      <c r="CXW66" s="4"/>
      <c r="CXX66" s="4"/>
      <c r="CXY66" s="4"/>
      <c r="CXZ66" s="4"/>
      <c r="CYA66" s="4"/>
      <c r="CYB66" s="4"/>
      <c r="CYC66" s="4"/>
      <c r="CYD66" s="4"/>
      <c r="CYE66" s="4"/>
      <c r="CYF66" s="4"/>
      <c r="CYG66" s="4"/>
      <c r="CYH66" s="4"/>
      <c r="CYI66" s="4"/>
      <c r="CYJ66" s="4"/>
      <c r="CYK66" s="4"/>
      <c r="CYL66" s="4"/>
      <c r="CYM66" s="4"/>
      <c r="CYN66" s="4"/>
      <c r="CYO66" s="4"/>
      <c r="CYP66" s="4"/>
      <c r="CYQ66" s="4"/>
      <c r="CYR66" s="4"/>
      <c r="CYS66" s="4"/>
      <c r="CYT66" s="4"/>
      <c r="CYU66" s="4"/>
      <c r="CYV66" s="4"/>
      <c r="CYW66" s="4"/>
      <c r="CYX66" s="4"/>
      <c r="CYY66" s="4"/>
      <c r="CYZ66" s="4"/>
      <c r="CZA66" s="4"/>
      <c r="CZB66" s="4"/>
      <c r="CZC66" s="4"/>
      <c r="CZD66" s="4"/>
      <c r="CZE66" s="4"/>
      <c r="CZF66" s="4"/>
      <c r="CZG66" s="4"/>
      <c r="CZH66" s="4"/>
      <c r="CZI66" s="4"/>
      <c r="CZJ66" s="4"/>
      <c r="CZK66" s="4"/>
      <c r="CZL66" s="4"/>
      <c r="CZM66" s="4"/>
      <c r="CZN66" s="4"/>
      <c r="CZO66" s="4"/>
      <c r="CZP66" s="4"/>
      <c r="CZQ66" s="4"/>
      <c r="CZR66" s="4"/>
      <c r="CZS66" s="4"/>
      <c r="CZT66" s="4"/>
      <c r="CZU66" s="4"/>
      <c r="CZV66" s="4"/>
      <c r="CZW66" s="4"/>
      <c r="CZX66" s="4"/>
      <c r="CZY66" s="4"/>
      <c r="CZZ66" s="4"/>
      <c r="DAA66" s="4"/>
      <c r="DAB66" s="4"/>
      <c r="DAC66" s="4"/>
      <c r="DAD66" s="4"/>
      <c r="DAE66" s="4"/>
      <c r="DAF66" s="4"/>
      <c r="DAG66" s="4"/>
      <c r="DAH66" s="4"/>
      <c r="DAI66" s="4"/>
      <c r="DAJ66" s="4"/>
      <c r="DAK66" s="4"/>
      <c r="DAL66" s="4"/>
      <c r="DAM66" s="4"/>
      <c r="DAN66" s="4"/>
      <c r="DAO66" s="4"/>
      <c r="DAP66" s="4"/>
      <c r="DAQ66" s="4"/>
      <c r="DAR66" s="4"/>
      <c r="DAS66" s="4"/>
      <c r="DAT66" s="4"/>
      <c r="DAU66" s="4"/>
      <c r="DAV66" s="4"/>
      <c r="DAW66" s="4"/>
      <c r="DAX66" s="4"/>
      <c r="DAY66" s="4"/>
      <c r="DAZ66" s="4"/>
      <c r="DBA66" s="4"/>
      <c r="DBB66" s="4"/>
      <c r="DBC66" s="4"/>
      <c r="DBD66" s="4"/>
      <c r="DBE66" s="4"/>
      <c r="DBF66" s="4"/>
      <c r="DBG66" s="4"/>
      <c r="DBH66" s="4"/>
      <c r="DBI66" s="4"/>
      <c r="DBJ66" s="4"/>
      <c r="DBK66" s="4"/>
      <c r="DBL66" s="4"/>
      <c r="DBM66" s="4"/>
      <c r="DBN66" s="4"/>
      <c r="DBO66" s="4"/>
      <c r="DBP66" s="4"/>
      <c r="DBQ66" s="4"/>
      <c r="DBR66" s="4"/>
      <c r="DBS66" s="4"/>
      <c r="DBT66" s="4"/>
      <c r="DBU66" s="4"/>
      <c r="DBV66" s="4"/>
      <c r="DBW66" s="4"/>
      <c r="DBX66" s="4"/>
      <c r="DBY66" s="4"/>
      <c r="DBZ66" s="4"/>
      <c r="DCA66" s="4"/>
      <c r="DCB66" s="4"/>
      <c r="DCC66" s="4"/>
      <c r="DCD66" s="4"/>
      <c r="DCE66" s="4"/>
      <c r="DCF66" s="4"/>
      <c r="DCG66" s="4"/>
      <c r="DCH66" s="4"/>
      <c r="DCI66" s="4"/>
      <c r="DCJ66" s="4"/>
      <c r="DCK66" s="4"/>
      <c r="DCL66" s="4"/>
      <c r="DCM66" s="4"/>
      <c r="DCN66" s="4"/>
      <c r="DCO66" s="4"/>
      <c r="DCP66" s="4"/>
      <c r="DCQ66" s="4"/>
      <c r="DCR66" s="4"/>
      <c r="DCS66" s="4"/>
      <c r="DCT66" s="4"/>
      <c r="DCU66" s="4"/>
      <c r="DCV66" s="4"/>
      <c r="DCW66" s="4"/>
      <c r="DCX66" s="4"/>
      <c r="DCY66" s="4"/>
      <c r="DCZ66" s="4"/>
      <c r="DDA66" s="4"/>
      <c r="DDB66" s="4"/>
      <c r="DDC66" s="4"/>
      <c r="DDD66" s="4"/>
      <c r="DDE66" s="4"/>
      <c r="DDF66" s="4"/>
      <c r="DDG66" s="4"/>
      <c r="DDH66" s="4"/>
      <c r="DDI66" s="4"/>
      <c r="DDJ66" s="4"/>
      <c r="DDK66" s="4"/>
      <c r="DDL66" s="4"/>
      <c r="DDM66" s="4"/>
      <c r="DDN66" s="4"/>
      <c r="DDO66" s="4"/>
      <c r="DDP66" s="4"/>
      <c r="DDQ66" s="4"/>
      <c r="DDR66" s="4"/>
      <c r="DDS66" s="4"/>
      <c r="DDT66" s="4"/>
      <c r="DDU66" s="4"/>
      <c r="DDV66" s="4"/>
      <c r="DDW66" s="4"/>
      <c r="DDX66" s="4"/>
      <c r="DDY66" s="4"/>
      <c r="DDZ66" s="4"/>
      <c r="DEA66" s="4"/>
      <c r="DEB66" s="4"/>
      <c r="DEC66" s="4"/>
      <c r="DED66" s="4"/>
      <c r="DEE66" s="4"/>
      <c r="DEF66" s="4"/>
      <c r="DEG66" s="4"/>
      <c r="DEH66" s="4"/>
      <c r="DEI66" s="4"/>
      <c r="DEJ66" s="4"/>
      <c r="DEK66" s="4"/>
      <c r="DEL66" s="4"/>
      <c r="DEM66" s="4"/>
      <c r="DEN66" s="4"/>
      <c r="DEO66" s="4"/>
      <c r="DEP66" s="4"/>
      <c r="DEQ66" s="4"/>
      <c r="DER66" s="4"/>
      <c r="DES66" s="4"/>
      <c r="DET66" s="4"/>
      <c r="DEU66" s="4"/>
      <c r="DEV66" s="4"/>
      <c r="DEW66" s="4"/>
      <c r="DEX66" s="4"/>
      <c r="DEY66" s="4"/>
      <c r="DEZ66" s="4"/>
      <c r="DFA66" s="4"/>
      <c r="DFB66" s="4"/>
      <c r="DFC66" s="4"/>
      <c r="DFD66" s="4"/>
      <c r="DFE66" s="4"/>
      <c r="DFF66" s="4"/>
      <c r="DFG66" s="4"/>
      <c r="DFH66" s="4"/>
      <c r="DFI66" s="4"/>
      <c r="DFJ66" s="4"/>
      <c r="DFK66" s="4"/>
      <c r="DFL66" s="4"/>
      <c r="DFM66" s="4"/>
      <c r="DFN66" s="4"/>
      <c r="DFO66" s="4"/>
      <c r="DFP66" s="4"/>
      <c r="DFQ66" s="4"/>
      <c r="DFR66" s="4"/>
      <c r="DFS66" s="4"/>
      <c r="DFT66" s="4"/>
      <c r="DFU66" s="4"/>
      <c r="DFV66" s="4"/>
      <c r="DFW66" s="4"/>
      <c r="DFX66" s="4"/>
      <c r="DFY66" s="4"/>
      <c r="DFZ66" s="4"/>
      <c r="DGA66" s="4"/>
      <c r="DGB66" s="4"/>
      <c r="DGC66" s="4"/>
      <c r="DGD66" s="4"/>
      <c r="DGE66" s="4"/>
      <c r="DGF66" s="4"/>
      <c r="DGG66" s="4"/>
      <c r="DGH66" s="4"/>
      <c r="DGI66" s="4"/>
      <c r="DGJ66" s="4"/>
      <c r="DGK66" s="4"/>
      <c r="DGL66" s="4"/>
      <c r="DGM66" s="4"/>
      <c r="DGN66" s="4"/>
      <c r="DGO66" s="4"/>
      <c r="DGP66" s="4"/>
      <c r="DGQ66" s="4"/>
      <c r="DGR66" s="4"/>
      <c r="DGS66" s="4"/>
      <c r="DGT66" s="4"/>
      <c r="DGU66" s="4"/>
      <c r="DGV66" s="4"/>
      <c r="DGW66" s="4"/>
      <c r="DGX66" s="4"/>
      <c r="DGY66" s="4"/>
      <c r="DGZ66" s="4"/>
      <c r="DHA66" s="4"/>
      <c r="DHB66" s="4"/>
      <c r="DHC66" s="4"/>
      <c r="DHD66" s="4"/>
      <c r="DHE66" s="4"/>
      <c r="DHF66" s="4"/>
      <c r="DHG66" s="4"/>
      <c r="DHH66" s="4"/>
      <c r="DHI66" s="4"/>
      <c r="DHJ66" s="4"/>
      <c r="DHK66" s="4"/>
      <c r="DHL66" s="4"/>
      <c r="DHM66" s="4"/>
      <c r="DHN66" s="4"/>
      <c r="DHO66" s="4"/>
      <c r="DHP66" s="4"/>
      <c r="DHQ66" s="4"/>
      <c r="DHR66" s="4"/>
      <c r="DHS66" s="4"/>
      <c r="DHT66" s="4"/>
      <c r="DHU66" s="4"/>
      <c r="DHV66" s="4"/>
      <c r="DHW66" s="4"/>
      <c r="DHX66" s="4"/>
      <c r="DHY66" s="4"/>
      <c r="DHZ66" s="4"/>
      <c r="DIA66" s="4"/>
      <c r="DIB66" s="4"/>
      <c r="DIC66" s="4"/>
      <c r="DID66" s="4"/>
      <c r="DIE66" s="4"/>
      <c r="DIF66" s="4"/>
      <c r="DIG66" s="4"/>
      <c r="DIH66" s="4"/>
      <c r="DII66" s="4"/>
      <c r="DIJ66" s="4"/>
      <c r="DIK66" s="4"/>
      <c r="DIL66" s="4"/>
      <c r="DIM66" s="4"/>
      <c r="DIN66" s="4"/>
      <c r="DIO66" s="4"/>
      <c r="DIP66" s="4"/>
      <c r="DIQ66" s="4"/>
      <c r="DIR66" s="4"/>
      <c r="DIS66" s="4"/>
      <c r="DIT66" s="4"/>
      <c r="DIU66" s="4"/>
      <c r="DIV66" s="4"/>
      <c r="DIW66" s="4"/>
      <c r="DIX66" s="4"/>
      <c r="DIY66" s="4"/>
      <c r="DIZ66" s="4"/>
      <c r="DJA66" s="4"/>
      <c r="DJB66" s="4"/>
      <c r="DJC66" s="4"/>
      <c r="DJD66" s="4"/>
      <c r="DJE66" s="4"/>
      <c r="DJF66" s="4"/>
      <c r="DJG66" s="4"/>
      <c r="DJH66" s="4"/>
      <c r="DJI66" s="4"/>
      <c r="DJJ66" s="4"/>
      <c r="DJK66" s="4"/>
      <c r="DJL66" s="4"/>
      <c r="DJM66" s="4"/>
      <c r="DJN66" s="4"/>
      <c r="DJO66" s="4"/>
      <c r="DJP66" s="4"/>
      <c r="DJQ66" s="4"/>
      <c r="DJR66" s="4"/>
      <c r="DJS66" s="4"/>
      <c r="DJT66" s="4"/>
      <c r="DJU66" s="4"/>
      <c r="DJV66" s="4"/>
      <c r="DJW66" s="4"/>
      <c r="DJX66" s="4"/>
      <c r="DJY66" s="4"/>
      <c r="DJZ66" s="4"/>
      <c r="DKA66" s="4"/>
      <c r="DKB66" s="4"/>
      <c r="DKC66" s="4"/>
      <c r="DKD66" s="4"/>
      <c r="DKE66" s="4"/>
      <c r="DKF66" s="4"/>
      <c r="DKG66" s="4"/>
      <c r="DKH66" s="4"/>
      <c r="DKI66" s="4"/>
      <c r="DKJ66" s="4"/>
      <c r="DKK66" s="4"/>
      <c r="DKL66" s="4"/>
      <c r="DKM66" s="4"/>
      <c r="DKN66" s="4"/>
      <c r="DKO66" s="4"/>
      <c r="DKP66" s="4"/>
      <c r="DKQ66" s="4"/>
      <c r="DKR66" s="4"/>
      <c r="DKS66" s="4"/>
      <c r="DKT66" s="4"/>
      <c r="DKU66" s="4"/>
      <c r="DKV66" s="4"/>
      <c r="DKW66" s="4"/>
      <c r="DKX66" s="4"/>
      <c r="DKY66" s="4"/>
      <c r="DKZ66" s="4"/>
      <c r="DLA66" s="4"/>
      <c r="DLB66" s="4"/>
      <c r="DLC66" s="4"/>
      <c r="DLD66" s="4"/>
      <c r="DLE66" s="4"/>
      <c r="DLF66" s="4"/>
      <c r="DLG66" s="4"/>
      <c r="DLH66" s="4"/>
      <c r="DLI66" s="4"/>
      <c r="DLJ66" s="4"/>
      <c r="DLK66" s="4"/>
      <c r="DLL66" s="4"/>
      <c r="DLM66" s="4"/>
      <c r="DLN66" s="4"/>
      <c r="DLO66" s="4"/>
      <c r="DLP66" s="4"/>
      <c r="DLQ66" s="4"/>
      <c r="DLR66" s="4"/>
      <c r="DLS66" s="4"/>
      <c r="DLT66" s="4"/>
      <c r="DLU66" s="4"/>
      <c r="DLV66" s="4"/>
      <c r="DLW66" s="4"/>
      <c r="DLX66" s="4"/>
      <c r="DLY66" s="4"/>
      <c r="DLZ66" s="4"/>
      <c r="DMA66" s="4"/>
      <c r="DMB66" s="4"/>
      <c r="DMC66" s="4"/>
      <c r="DMD66" s="4"/>
      <c r="DME66" s="4"/>
      <c r="DMF66" s="4"/>
      <c r="DMG66" s="4"/>
      <c r="DMH66" s="4"/>
      <c r="DMI66" s="4"/>
      <c r="DMJ66" s="4"/>
      <c r="DMK66" s="4"/>
      <c r="DML66" s="4"/>
      <c r="DMM66" s="4"/>
      <c r="DMN66" s="4"/>
      <c r="DMO66" s="4"/>
      <c r="DMP66" s="4"/>
      <c r="DMQ66" s="4"/>
      <c r="DMR66" s="4"/>
      <c r="DMS66" s="4"/>
      <c r="DMT66" s="4"/>
      <c r="DMU66" s="4"/>
      <c r="DMV66" s="4"/>
      <c r="DMW66" s="4"/>
      <c r="DMX66" s="4"/>
      <c r="DMY66" s="4"/>
      <c r="DMZ66" s="4"/>
      <c r="DNA66" s="4"/>
      <c r="DNB66" s="4"/>
      <c r="DNC66" s="4"/>
      <c r="DND66" s="4"/>
      <c r="DNE66" s="4"/>
      <c r="DNF66" s="4"/>
      <c r="DNG66" s="4"/>
      <c r="DNH66" s="4"/>
      <c r="DNI66" s="4"/>
      <c r="DNJ66" s="4"/>
      <c r="DNK66" s="4"/>
      <c r="DNL66" s="4"/>
      <c r="DNM66" s="4"/>
      <c r="DNN66" s="4"/>
      <c r="DNO66" s="4"/>
      <c r="DNP66" s="4"/>
      <c r="DNQ66" s="4"/>
      <c r="DNR66" s="4"/>
      <c r="DNS66" s="4"/>
      <c r="DNT66" s="4"/>
      <c r="DNU66" s="4"/>
      <c r="DNV66" s="4"/>
      <c r="DNW66" s="4"/>
      <c r="DNX66" s="4"/>
      <c r="DNY66" s="4"/>
      <c r="DNZ66" s="4"/>
      <c r="DOA66" s="4"/>
      <c r="DOB66" s="4"/>
      <c r="DOC66" s="4"/>
      <c r="DOD66" s="4"/>
      <c r="DOE66" s="4"/>
      <c r="DOF66" s="4"/>
      <c r="DOG66" s="4"/>
      <c r="DOH66" s="4"/>
      <c r="DOI66" s="4"/>
      <c r="DOJ66" s="4"/>
      <c r="DOK66" s="4"/>
      <c r="DOL66" s="4"/>
      <c r="DOM66" s="4"/>
      <c r="DON66" s="4"/>
      <c r="DOO66" s="4"/>
      <c r="DOP66" s="4"/>
      <c r="DOQ66" s="4"/>
      <c r="DOR66" s="4"/>
      <c r="DOS66" s="4"/>
      <c r="DOT66" s="4"/>
      <c r="DOU66" s="4"/>
      <c r="DOV66" s="4"/>
      <c r="DOW66" s="4"/>
      <c r="DOX66" s="4"/>
      <c r="DOY66" s="4"/>
      <c r="DOZ66" s="4"/>
      <c r="DPA66" s="4"/>
      <c r="DPB66" s="4"/>
      <c r="DPC66" s="4"/>
      <c r="DPD66" s="4"/>
      <c r="DPE66" s="4"/>
      <c r="DPF66" s="4"/>
      <c r="DPG66" s="4"/>
      <c r="DPH66" s="4"/>
      <c r="DPI66" s="4"/>
      <c r="DPJ66" s="4"/>
      <c r="DPK66" s="4"/>
      <c r="DPL66" s="4"/>
      <c r="DPM66" s="4"/>
      <c r="DPN66" s="4"/>
      <c r="DPO66" s="4"/>
      <c r="DPP66" s="4"/>
      <c r="DPQ66" s="4"/>
      <c r="DPR66" s="4"/>
      <c r="DPS66" s="4"/>
      <c r="DPT66" s="4"/>
      <c r="DPU66" s="4"/>
      <c r="DPV66" s="4"/>
      <c r="DPW66" s="4"/>
      <c r="DPX66" s="4"/>
      <c r="DPY66" s="4"/>
      <c r="DPZ66" s="4"/>
      <c r="DQA66" s="4"/>
      <c r="DQB66" s="4"/>
      <c r="DQC66" s="4"/>
      <c r="DQD66" s="4"/>
      <c r="DQE66" s="4"/>
      <c r="DQF66" s="4"/>
      <c r="DQG66" s="4"/>
      <c r="DQH66" s="4"/>
      <c r="DQI66" s="4"/>
      <c r="DQJ66" s="4"/>
      <c r="DQK66" s="4"/>
      <c r="DQL66" s="4"/>
      <c r="DQM66" s="4"/>
      <c r="DQN66" s="4"/>
      <c r="DQO66" s="4"/>
      <c r="DQP66" s="4"/>
      <c r="DQQ66" s="4"/>
      <c r="DQR66" s="4"/>
      <c r="DQS66" s="4"/>
      <c r="DQT66" s="4"/>
      <c r="DQU66" s="4"/>
      <c r="DQV66" s="4"/>
      <c r="DQW66" s="4"/>
      <c r="DQX66" s="4"/>
      <c r="DQY66" s="4"/>
      <c r="DQZ66" s="4"/>
      <c r="DRA66" s="4"/>
      <c r="DRB66" s="4"/>
      <c r="DRC66" s="4"/>
      <c r="DRD66" s="4"/>
      <c r="DRE66" s="4"/>
      <c r="DRF66" s="4"/>
      <c r="DRG66" s="4"/>
      <c r="DRH66" s="4"/>
      <c r="DRI66" s="4"/>
      <c r="DRJ66" s="4"/>
      <c r="DRK66" s="4"/>
      <c r="DRL66" s="4"/>
      <c r="DRM66" s="4"/>
      <c r="DRN66" s="4"/>
      <c r="DRO66" s="4"/>
      <c r="DRP66" s="4"/>
      <c r="DRQ66" s="4"/>
      <c r="DRR66" s="4"/>
      <c r="DRS66" s="4"/>
      <c r="DRT66" s="4"/>
      <c r="DRU66" s="4"/>
      <c r="DRV66" s="4"/>
      <c r="DRW66" s="4"/>
      <c r="DRX66" s="4"/>
      <c r="DRY66" s="4"/>
      <c r="DRZ66" s="4"/>
      <c r="DSA66" s="4"/>
      <c r="DSB66" s="4"/>
      <c r="DSC66" s="4"/>
      <c r="DSD66" s="4"/>
      <c r="DSE66" s="4"/>
      <c r="DSF66" s="4"/>
      <c r="DSG66" s="4"/>
      <c r="DSH66" s="4"/>
      <c r="DSI66" s="4"/>
      <c r="DSJ66" s="4"/>
      <c r="DSK66" s="4"/>
      <c r="DSL66" s="4"/>
      <c r="DSM66" s="4"/>
      <c r="DSN66" s="4"/>
      <c r="DSO66" s="4"/>
      <c r="DSP66" s="4"/>
      <c r="DSQ66" s="4"/>
      <c r="DSR66" s="4"/>
      <c r="DSS66" s="4"/>
      <c r="DST66" s="4"/>
      <c r="DSU66" s="4"/>
      <c r="DSV66" s="4"/>
      <c r="DSW66" s="4"/>
      <c r="DSX66" s="4"/>
      <c r="DSY66" s="4"/>
      <c r="DSZ66" s="4"/>
      <c r="DTA66" s="4"/>
      <c r="DTB66" s="4"/>
      <c r="DTC66" s="4"/>
      <c r="DTD66" s="4"/>
      <c r="DTE66" s="4"/>
      <c r="DTF66" s="4"/>
      <c r="DTG66" s="4"/>
      <c r="DTH66" s="4"/>
      <c r="DTI66" s="4"/>
      <c r="DTJ66" s="4"/>
      <c r="DTK66" s="4"/>
      <c r="DTL66" s="4"/>
      <c r="DTM66" s="4"/>
      <c r="DTN66" s="4"/>
      <c r="DTO66" s="4"/>
      <c r="DTP66" s="4"/>
      <c r="DTQ66" s="4"/>
      <c r="DTR66" s="4"/>
      <c r="DTS66" s="4"/>
      <c r="DTT66" s="4"/>
      <c r="DTU66" s="4"/>
      <c r="DTV66" s="4"/>
      <c r="DTW66" s="4"/>
      <c r="DTX66" s="4"/>
      <c r="DTY66" s="4"/>
      <c r="DTZ66" s="4"/>
      <c r="DUA66" s="4"/>
      <c r="DUB66" s="4"/>
      <c r="DUC66" s="4"/>
      <c r="DUD66" s="4"/>
      <c r="DUE66" s="4"/>
      <c r="DUF66" s="4"/>
      <c r="DUG66" s="4"/>
      <c r="DUH66" s="4"/>
      <c r="DUI66" s="4"/>
      <c r="DUJ66" s="4"/>
      <c r="DUK66" s="4"/>
      <c r="DUL66" s="4"/>
      <c r="DUM66" s="4"/>
      <c r="DUN66" s="4"/>
      <c r="DUO66" s="4"/>
      <c r="DUP66" s="4"/>
      <c r="DUQ66" s="4"/>
      <c r="DUR66" s="4"/>
      <c r="DUS66" s="4"/>
      <c r="DUT66" s="4"/>
      <c r="DUU66" s="4"/>
      <c r="DUV66" s="4"/>
      <c r="DUW66" s="4"/>
      <c r="DUX66" s="4"/>
      <c r="DUY66" s="4"/>
      <c r="DUZ66" s="4"/>
      <c r="DVA66" s="4"/>
      <c r="DVB66" s="4"/>
      <c r="DVC66" s="4"/>
      <c r="DVD66" s="4"/>
      <c r="DVE66" s="4"/>
      <c r="DVF66" s="4"/>
      <c r="DVG66" s="4"/>
      <c r="DVH66" s="4"/>
      <c r="DVI66" s="4"/>
      <c r="DVJ66" s="4"/>
      <c r="DVK66" s="4"/>
      <c r="DVL66" s="4"/>
      <c r="DVM66" s="4"/>
      <c r="DVN66" s="4"/>
      <c r="DVO66" s="4"/>
      <c r="DVP66" s="4"/>
      <c r="DVQ66" s="4"/>
      <c r="DVR66" s="4"/>
      <c r="DVS66" s="4"/>
      <c r="DVT66" s="4"/>
      <c r="DVU66" s="4"/>
      <c r="DVV66" s="4"/>
      <c r="DVW66" s="4"/>
      <c r="DVX66" s="4"/>
      <c r="DVY66" s="4"/>
      <c r="DVZ66" s="4"/>
      <c r="DWA66" s="4"/>
      <c r="DWB66" s="4"/>
      <c r="DWC66" s="4"/>
      <c r="DWD66" s="4"/>
      <c r="DWE66" s="4"/>
      <c r="DWF66" s="4"/>
      <c r="DWG66" s="4"/>
      <c r="DWH66" s="4"/>
      <c r="DWI66" s="4"/>
      <c r="DWJ66" s="4"/>
      <c r="DWK66" s="4"/>
      <c r="DWL66" s="4"/>
      <c r="DWM66" s="4"/>
      <c r="DWN66" s="4"/>
      <c r="DWO66" s="4"/>
      <c r="DWP66" s="4"/>
      <c r="DWQ66" s="4"/>
      <c r="DWR66" s="4"/>
      <c r="DWS66" s="4"/>
      <c r="DWT66" s="4"/>
      <c r="DWU66" s="4"/>
      <c r="DWV66" s="4"/>
      <c r="DWW66" s="4"/>
      <c r="DWX66" s="4"/>
      <c r="DWY66" s="4"/>
      <c r="DWZ66" s="4"/>
      <c r="DXA66" s="4"/>
      <c r="DXB66" s="4"/>
      <c r="DXC66" s="4"/>
      <c r="DXD66" s="4"/>
      <c r="DXE66" s="4"/>
      <c r="DXF66" s="4"/>
      <c r="DXG66" s="4"/>
      <c r="DXH66" s="4"/>
      <c r="DXI66" s="4"/>
      <c r="DXJ66" s="4"/>
      <c r="DXK66" s="4"/>
      <c r="DXL66" s="4"/>
      <c r="DXM66" s="4"/>
      <c r="DXN66" s="4"/>
      <c r="DXO66" s="4"/>
      <c r="DXP66" s="4"/>
      <c r="DXQ66" s="4"/>
      <c r="DXR66" s="4"/>
      <c r="DXS66" s="4"/>
      <c r="DXT66" s="4"/>
      <c r="DXU66" s="4"/>
      <c r="DXV66" s="4"/>
      <c r="DXW66" s="4"/>
      <c r="DXX66" s="4"/>
      <c r="DXY66" s="4"/>
      <c r="DXZ66" s="4"/>
      <c r="DYA66" s="4"/>
      <c r="DYB66" s="4"/>
      <c r="DYC66" s="4"/>
      <c r="DYD66" s="4"/>
      <c r="DYE66" s="4"/>
      <c r="DYF66" s="4"/>
      <c r="DYG66" s="4"/>
      <c r="DYH66" s="4"/>
      <c r="DYI66" s="4"/>
      <c r="DYJ66" s="4"/>
      <c r="DYK66" s="4"/>
      <c r="DYL66" s="4"/>
      <c r="DYM66" s="4"/>
      <c r="DYN66" s="4"/>
      <c r="DYO66" s="4"/>
      <c r="DYP66" s="4"/>
      <c r="DYQ66" s="4"/>
      <c r="DYR66" s="4"/>
      <c r="DYS66" s="4"/>
      <c r="DYT66" s="4"/>
      <c r="DYU66" s="4"/>
      <c r="DYV66" s="4"/>
      <c r="DYW66" s="4"/>
      <c r="DYX66" s="4"/>
      <c r="DYY66" s="4"/>
      <c r="DYZ66" s="4"/>
      <c r="DZA66" s="4"/>
      <c r="DZB66" s="4"/>
      <c r="DZC66" s="4"/>
      <c r="DZD66" s="4"/>
      <c r="DZE66" s="4"/>
      <c r="DZF66" s="4"/>
      <c r="DZG66" s="4"/>
      <c r="DZH66" s="4"/>
      <c r="DZI66" s="4"/>
      <c r="DZJ66" s="4"/>
      <c r="DZK66" s="4"/>
      <c r="DZL66" s="4"/>
      <c r="DZM66" s="4"/>
      <c r="DZN66" s="4"/>
      <c r="DZO66" s="4"/>
      <c r="DZP66" s="4"/>
      <c r="DZQ66" s="4"/>
      <c r="DZR66" s="4"/>
      <c r="DZS66" s="4"/>
      <c r="DZT66" s="4"/>
      <c r="DZU66" s="4"/>
      <c r="DZV66" s="4"/>
      <c r="DZW66" s="4"/>
      <c r="DZX66" s="4"/>
      <c r="DZY66" s="4"/>
      <c r="DZZ66" s="4"/>
      <c r="EAA66" s="4"/>
      <c r="EAB66" s="4"/>
      <c r="EAC66" s="4"/>
      <c r="EAD66" s="4"/>
      <c r="EAE66" s="4"/>
      <c r="EAF66" s="4"/>
      <c r="EAG66" s="4"/>
      <c r="EAH66" s="4"/>
      <c r="EAI66" s="4"/>
      <c r="EAJ66" s="4"/>
      <c r="EAK66" s="4"/>
      <c r="EAL66" s="4"/>
      <c r="EAM66" s="4"/>
      <c r="EAN66" s="4"/>
      <c r="EAO66" s="4"/>
      <c r="EAP66" s="4"/>
      <c r="EAQ66" s="4"/>
      <c r="EAR66" s="4"/>
      <c r="EAS66" s="4"/>
      <c r="EAT66" s="4"/>
      <c r="EAU66" s="4"/>
      <c r="EAV66" s="4"/>
      <c r="EAW66" s="4"/>
      <c r="EAX66" s="4"/>
      <c r="EAY66" s="4"/>
      <c r="EAZ66" s="4"/>
      <c r="EBA66" s="4"/>
      <c r="EBB66" s="4"/>
      <c r="EBC66" s="4"/>
      <c r="EBD66" s="4"/>
      <c r="EBE66" s="4"/>
      <c r="EBF66" s="4"/>
      <c r="EBG66" s="4"/>
      <c r="EBH66" s="4"/>
      <c r="EBI66" s="4"/>
      <c r="EBJ66" s="4"/>
      <c r="EBK66" s="4"/>
      <c r="EBL66" s="4"/>
      <c r="EBM66" s="4"/>
      <c r="EBN66" s="4"/>
      <c r="EBO66" s="4"/>
      <c r="EBP66" s="4"/>
      <c r="EBQ66" s="4"/>
      <c r="EBR66" s="4"/>
      <c r="EBS66" s="4"/>
      <c r="EBT66" s="4"/>
      <c r="EBU66" s="4"/>
      <c r="EBV66" s="4"/>
      <c r="EBW66" s="4"/>
      <c r="EBX66" s="4"/>
      <c r="EBY66" s="4"/>
      <c r="EBZ66" s="4"/>
      <c r="ECA66" s="4"/>
      <c r="ECB66" s="4"/>
      <c r="ECC66" s="4"/>
      <c r="ECD66" s="4"/>
      <c r="ECE66" s="4"/>
      <c r="ECF66" s="4"/>
      <c r="ECG66" s="4"/>
      <c r="ECH66" s="4"/>
      <c r="ECI66" s="4"/>
      <c r="ECJ66" s="4"/>
      <c r="ECK66" s="4"/>
      <c r="ECL66" s="4"/>
      <c r="ECM66" s="4"/>
      <c r="ECN66" s="4"/>
      <c r="ECO66" s="4"/>
      <c r="ECP66" s="4"/>
      <c r="ECQ66" s="4"/>
      <c r="ECR66" s="4"/>
      <c r="ECS66" s="4"/>
      <c r="ECT66" s="4"/>
      <c r="ECU66" s="4"/>
      <c r="ECV66" s="4"/>
      <c r="ECW66" s="4"/>
      <c r="ECX66" s="4"/>
      <c r="ECY66" s="4"/>
      <c r="ECZ66" s="4"/>
      <c r="EDA66" s="4"/>
      <c r="EDB66" s="4"/>
      <c r="EDC66" s="4"/>
      <c r="EDD66" s="4"/>
      <c r="EDE66" s="4"/>
      <c r="EDF66" s="4"/>
      <c r="EDG66" s="4"/>
      <c r="EDH66" s="4"/>
      <c r="EDI66" s="4"/>
      <c r="EDJ66" s="4"/>
      <c r="EDK66" s="4"/>
      <c r="EDL66" s="4"/>
      <c r="EDM66" s="4"/>
      <c r="EDN66" s="4"/>
      <c r="EDO66" s="4"/>
      <c r="EDP66" s="4"/>
      <c r="EDQ66" s="4"/>
      <c r="EDR66" s="4"/>
      <c r="EDS66" s="4"/>
      <c r="EDT66" s="4"/>
      <c r="EDU66" s="4"/>
      <c r="EDV66" s="4"/>
      <c r="EDW66" s="4"/>
      <c r="EDX66" s="4"/>
      <c r="EDY66" s="4"/>
      <c r="EDZ66" s="4"/>
      <c r="EEA66" s="4"/>
      <c r="EEB66" s="4"/>
      <c r="EEC66" s="4"/>
      <c r="EED66" s="4"/>
      <c r="EEE66" s="4"/>
      <c r="EEF66" s="4"/>
      <c r="EEG66" s="4"/>
      <c r="EEH66" s="4"/>
      <c r="EEI66" s="4"/>
      <c r="EEJ66" s="4"/>
      <c r="EEK66" s="4"/>
      <c r="EEL66" s="4"/>
      <c r="EEM66" s="4"/>
      <c r="EEN66" s="4"/>
      <c r="EEO66" s="4"/>
      <c r="EEP66" s="4"/>
      <c r="EEQ66" s="4"/>
      <c r="EER66" s="4"/>
      <c r="EES66" s="4"/>
      <c r="EET66" s="4"/>
      <c r="EEU66" s="4"/>
      <c r="EEV66" s="4"/>
      <c r="EEW66" s="4"/>
      <c r="EEX66" s="4"/>
      <c r="EEY66" s="4"/>
      <c r="EEZ66" s="4"/>
      <c r="EFA66" s="4"/>
      <c r="EFB66" s="4"/>
      <c r="EFC66" s="4"/>
      <c r="EFD66" s="4"/>
      <c r="EFE66" s="4"/>
      <c r="EFF66" s="4"/>
      <c r="EFG66" s="4"/>
      <c r="EFH66" s="4"/>
      <c r="EFI66" s="4"/>
      <c r="EFJ66" s="4"/>
      <c r="EFK66" s="4"/>
      <c r="EFL66" s="4"/>
      <c r="EFM66" s="4"/>
      <c r="EFN66" s="4"/>
      <c r="EFO66" s="4"/>
      <c r="EFP66" s="4"/>
      <c r="EFQ66" s="4"/>
      <c r="EFR66" s="4"/>
      <c r="EFS66" s="4"/>
      <c r="EFT66" s="4"/>
      <c r="EFU66" s="4"/>
      <c r="EFV66" s="4"/>
      <c r="EFW66" s="4"/>
      <c r="EFX66" s="4"/>
      <c r="EFY66" s="4"/>
      <c r="EFZ66" s="4"/>
      <c r="EGA66" s="4"/>
      <c r="EGB66" s="4"/>
      <c r="EGC66" s="4"/>
      <c r="EGD66" s="4"/>
      <c r="EGE66" s="4"/>
      <c r="EGF66" s="4"/>
      <c r="EGG66" s="4"/>
      <c r="EGH66" s="4"/>
      <c r="EGI66" s="4"/>
      <c r="EGJ66" s="4"/>
      <c r="EGK66" s="4"/>
      <c r="EGL66" s="4"/>
      <c r="EGM66" s="4"/>
      <c r="EGN66" s="4"/>
      <c r="EGO66" s="4"/>
      <c r="EGP66" s="4"/>
      <c r="EGQ66" s="4"/>
      <c r="EGR66" s="4"/>
      <c r="EGS66" s="4"/>
      <c r="EGT66" s="4"/>
      <c r="EGU66" s="4"/>
      <c r="EGV66" s="4"/>
      <c r="EGW66" s="4"/>
      <c r="EGX66" s="4"/>
      <c r="EGY66" s="4"/>
      <c r="EGZ66" s="4"/>
      <c r="EHA66" s="4"/>
      <c r="EHB66" s="4"/>
      <c r="EHC66" s="4"/>
      <c r="EHD66" s="4"/>
      <c r="EHE66" s="4"/>
      <c r="EHF66" s="4"/>
      <c r="EHG66" s="4"/>
      <c r="EHH66" s="4"/>
      <c r="EHI66" s="4"/>
      <c r="EHJ66" s="4"/>
      <c r="EHK66" s="4"/>
      <c r="EHL66" s="4"/>
      <c r="EHM66" s="4"/>
      <c r="EHN66" s="4"/>
      <c r="EHO66" s="4"/>
      <c r="EHP66" s="4"/>
      <c r="EHQ66" s="4"/>
      <c r="EHR66" s="4"/>
      <c r="EHS66" s="4"/>
      <c r="EHT66" s="4"/>
      <c r="EHU66" s="4"/>
      <c r="EHV66" s="4"/>
      <c r="EHW66" s="4"/>
      <c r="EHX66" s="4"/>
      <c r="EHY66" s="4"/>
      <c r="EHZ66" s="4"/>
      <c r="EIA66" s="4"/>
      <c r="EIB66" s="4"/>
      <c r="EIC66" s="4"/>
      <c r="EID66" s="4"/>
      <c r="EIE66" s="4"/>
      <c r="EIF66" s="4"/>
      <c r="EIG66" s="4"/>
      <c r="EIH66" s="4"/>
      <c r="EII66" s="4"/>
      <c r="EIJ66" s="4"/>
      <c r="EIK66" s="4"/>
      <c r="EIL66" s="4"/>
      <c r="EIM66" s="4"/>
      <c r="EIN66" s="4"/>
      <c r="EIO66" s="4"/>
      <c r="EIP66" s="4"/>
      <c r="EIQ66" s="4"/>
      <c r="EIR66" s="4"/>
      <c r="EIS66" s="4"/>
      <c r="EIT66" s="4"/>
      <c r="EIU66" s="4"/>
      <c r="EIV66" s="4"/>
      <c r="EIW66" s="4"/>
      <c r="EIX66" s="4"/>
      <c r="EIY66" s="4"/>
      <c r="EIZ66" s="4"/>
      <c r="EJA66" s="4"/>
      <c r="EJB66" s="4"/>
      <c r="EJC66" s="4"/>
      <c r="EJD66" s="4"/>
      <c r="EJE66" s="4"/>
      <c r="EJF66" s="4"/>
      <c r="EJG66" s="4"/>
      <c r="EJH66" s="4"/>
      <c r="EJI66" s="4"/>
      <c r="EJJ66" s="4"/>
      <c r="EJK66" s="4"/>
      <c r="EJL66" s="4"/>
      <c r="EJM66" s="4"/>
      <c r="EJN66" s="4"/>
      <c r="EJO66" s="4"/>
      <c r="EJP66" s="4"/>
      <c r="EJQ66" s="4"/>
      <c r="EJR66" s="4"/>
      <c r="EJS66" s="4"/>
      <c r="EJT66" s="4"/>
      <c r="EJU66" s="4"/>
      <c r="EJV66" s="4"/>
      <c r="EJW66" s="4"/>
      <c r="EJX66" s="4"/>
      <c r="EJY66" s="4"/>
      <c r="EJZ66" s="4"/>
      <c r="EKA66" s="4"/>
      <c r="EKB66" s="4"/>
      <c r="EKC66" s="4"/>
      <c r="EKD66" s="4"/>
      <c r="EKE66" s="4"/>
      <c r="EKF66" s="4"/>
      <c r="EKG66" s="4"/>
      <c r="EKH66" s="4"/>
      <c r="EKI66" s="4"/>
      <c r="EKJ66" s="4"/>
      <c r="EKK66" s="4"/>
      <c r="EKL66" s="4"/>
      <c r="EKM66" s="4"/>
      <c r="EKN66" s="4"/>
      <c r="EKO66" s="4"/>
      <c r="EKP66" s="4"/>
      <c r="EKQ66" s="4"/>
      <c r="EKR66" s="4"/>
      <c r="EKS66" s="4"/>
      <c r="EKT66" s="4"/>
      <c r="EKU66" s="4"/>
      <c r="EKV66" s="4"/>
      <c r="EKW66" s="4"/>
      <c r="EKX66" s="4"/>
      <c r="EKY66" s="4"/>
      <c r="EKZ66" s="4"/>
      <c r="ELA66" s="4"/>
      <c r="ELB66" s="4"/>
      <c r="ELC66" s="4"/>
      <c r="ELD66" s="4"/>
      <c r="ELE66" s="4"/>
      <c r="ELF66" s="4"/>
      <c r="ELG66" s="4"/>
      <c r="ELH66" s="4"/>
      <c r="ELI66" s="4"/>
      <c r="ELJ66" s="4"/>
      <c r="ELK66" s="4"/>
      <c r="ELL66" s="4"/>
      <c r="ELM66" s="4"/>
      <c r="ELN66" s="4"/>
      <c r="ELO66" s="4"/>
      <c r="ELP66" s="4"/>
      <c r="ELQ66" s="4"/>
      <c r="ELR66" s="4"/>
      <c r="ELS66" s="4"/>
      <c r="ELT66" s="4"/>
      <c r="ELU66" s="4"/>
      <c r="ELV66" s="4"/>
      <c r="ELW66" s="4"/>
      <c r="ELX66" s="4"/>
      <c r="ELY66" s="4"/>
      <c r="ELZ66" s="4"/>
      <c r="EMA66" s="4"/>
      <c r="EMB66" s="4"/>
      <c r="EMC66" s="4"/>
      <c r="EMD66" s="4"/>
      <c r="EME66" s="4"/>
      <c r="EMF66" s="4"/>
      <c r="EMG66" s="4"/>
      <c r="EMH66" s="4"/>
      <c r="EMI66" s="4"/>
      <c r="EMJ66" s="4"/>
      <c r="EMK66" s="4"/>
      <c r="EML66" s="4"/>
      <c r="EMM66" s="4"/>
      <c r="EMN66" s="4"/>
      <c r="EMO66" s="4"/>
      <c r="EMP66" s="4"/>
      <c r="EMQ66" s="4"/>
      <c r="EMR66" s="4"/>
      <c r="EMS66" s="4"/>
      <c r="EMT66" s="4"/>
      <c r="EMU66" s="4"/>
      <c r="EMV66" s="4"/>
      <c r="EMW66" s="4"/>
      <c r="EMX66" s="4"/>
      <c r="EMY66" s="4"/>
      <c r="EMZ66" s="4"/>
      <c r="ENA66" s="4"/>
      <c r="ENB66" s="4"/>
      <c r="ENC66" s="4"/>
      <c r="END66" s="4"/>
      <c r="ENE66" s="4"/>
      <c r="ENF66" s="4"/>
      <c r="ENG66" s="4"/>
      <c r="ENH66" s="4"/>
      <c r="ENI66" s="4"/>
      <c r="ENJ66" s="4"/>
      <c r="ENK66" s="4"/>
      <c r="ENL66" s="4"/>
      <c r="ENM66" s="4"/>
      <c r="ENN66" s="4"/>
      <c r="ENO66" s="4"/>
      <c r="ENP66" s="4"/>
      <c r="ENQ66" s="4"/>
      <c r="ENR66" s="4"/>
      <c r="ENS66" s="4"/>
      <c r="ENT66" s="4"/>
      <c r="ENU66" s="4"/>
      <c r="ENV66" s="4"/>
      <c r="ENW66" s="4"/>
      <c r="ENX66" s="4"/>
      <c r="ENY66" s="4"/>
      <c r="ENZ66" s="4"/>
      <c r="EOA66" s="4"/>
      <c r="EOB66" s="4"/>
      <c r="EOC66" s="4"/>
      <c r="EOD66" s="4"/>
      <c r="EOE66" s="4"/>
      <c r="EOF66" s="4"/>
      <c r="EOG66" s="4"/>
      <c r="EOH66" s="4"/>
      <c r="EOI66" s="4"/>
      <c r="EOJ66" s="4"/>
      <c r="EOK66" s="4"/>
      <c r="EOL66" s="4"/>
      <c r="EOM66" s="4"/>
      <c r="EON66" s="4"/>
      <c r="EOO66" s="4"/>
      <c r="EOP66" s="4"/>
      <c r="EOQ66" s="4"/>
      <c r="EOR66" s="4"/>
      <c r="EOS66" s="4"/>
      <c r="EOT66" s="4"/>
      <c r="EOU66" s="4"/>
      <c r="EOV66" s="4"/>
      <c r="EOW66" s="4"/>
      <c r="EOX66" s="4"/>
      <c r="EOY66" s="4"/>
      <c r="EOZ66" s="4"/>
      <c r="EPA66" s="4"/>
      <c r="EPB66" s="4"/>
      <c r="EPC66" s="4"/>
      <c r="EPD66" s="4"/>
      <c r="EPE66" s="4"/>
      <c r="EPF66" s="4"/>
      <c r="EPG66" s="4"/>
      <c r="EPH66" s="4"/>
      <c r="EPI66" s="4"/>
      <c r="EPJ66" s="4"/>
      <c r="EPK66" s="4"/>
      <c r="EPL66" s="4"/>
      <c r="EPM66" s="4"/>
      <c r="EPN66" s="4"/>
      <c r="EPO66" s="4"/>
      <c r="EPP66" s="4"/>
      <c r="EPQ66" s="4"/>
      <c r="EPR66" s="4"/>
      <c r="EPS66" s="4"/>
      <c r="EPT66" s="4"/>
      <c r="EPU66" s="4"/>
      <c r="EPV66" s="4"/>
      <c r="EPW66" s="4"/>
      <c r="EPX66" s="4"/>
      <c r="EPY66" s="4"/>
      <c r="EPZ66" s="4"/>
      <c r="EQA66" s="4"/>
      <c r="EQB66" s="4"/>
      <c r="EQC66" s="4"/>
      <c r="EQD66" s="4"/>
      <c r="EQE66" s="4"/>
      <c r="EQF66" s="4"/>
      <c r="EQG66" s="4"/>
      <c r="EQH66" s="4"/>
      <c r="EQI66" s="4"/>
      <c r="EQJ66" s="4"/>
      <c r="EQK66" s="4"/>
      <c r="EQL66" s="4"/>
      <c r="EQM66" s="4"/>
      <c r="EQN66" s="4"/>
      <c r="EQO66" s="4"/>
      <c r="EQP66" s="4"/>
      <c r="EQQ66" s="4"/>
      <c r="EQR66" s="4"/>
      <c r="EQS66" s="4"/>
      <c r="EQT66" s="4"/>
      <c r="EQU66" s="4"/>
      <c r="EQV66" s="4"/>
      <c r="EQW66" s="4"/>
      <c r="EQX66" s="4"/>
      <c r="EQY66" s="4"/>
      <c r="EQZ66" s="4"/>
      <c r="ERA66" s="4"/>
      <c r="ERB66" s="4"/>
      <c r="ERC66" s="4"/>
      <c r="ERD66" s="4"/>
      <c r="ERE66" s="4"/>
      <c r="ERF66" s="4"/>
      <c r="ERG66" s="4"/>
      <c r="ERH66" s="4"/>
      <c r="ERI66" s="4"/>
      <c r="ERJ66" s="4"/>
      <c r="ERK66" s="4"/>
      <c r="ERL66" s="4"/>
      <c r="ERM66" s="4"/>
      <c r="ERN66" s="4"/>
      <c r="ERO66" s="4"/>
      <c r="ERP66" s="4"/>
      <c r="ERQ66" s="4"/>
      <c r="ERR66" s="4"/>
      <c r="ERS66" s="4"/>
      <c r="ERT66" s="4"/>
      <c r="ERU66" s="4"/>
      <c r="ERV66" s="4"/>
      <c r="ERW66" s="4"/>
      <c r="ERX66" s="4"/>
      <c r="ERY66" s="4"/>
      <c r="ERZ66" s="4"/>
      <c r="ESA66" s="4"/>
      <c r="ESB66" s="4"/>
      <c r="ESC66" s="4"/>
      <c r="ESD66" s="4"/>
      <c r="ESE66" s="4"/>
      <c r="ESF66" s="4"/>
      <c r="ESG66" s="4"/>
      <c r="ESH66" s="4"/>
      <c r="ESI66" s="4"/>
      <c r="ESJ66" s="4"/>
      <c r="ESK66" s="4"/>
      <c r="ESL66" s="4"/>
      <c r="ESM66" s="4"/>
      <c r="ESN66" s="4"/>
      <c r="ESO66" s="4"/>
      <c r="ESP66" s="4"/>
      <c r="ESQ66" s="4"/>
      <c r="ESR66" s="4"/>
      <c r="ESS66" s="4"/>
      <c r="EST66" s="4"/>
      <c r="ESU66" s="4"/>
      <c r="ESV66" s="4"/>
      <c r="ESW66" s="4"/>
      <c r="ESX66" s="4"/>
      <c r="ESY66" s="4"/>
      <c r="ESZ66" s="4"/>
      <c r="ETA66" s="4"/>
      <c r="ETB66" s="4"/>
      <c r="ETC66" s="4"/>
      <c r="ETD66" s="4"/>
      <c r="ETE66" s="4"/>
      <c r="ETF66" s="4"/>
      <c r="ETG66" s="4"/>
      <c r="ETH66" s="4"/>
      <c r="ETI66" s="4"/>
      <c r="ETJ66" s="4"/>
      <c r="ETK66" s="4"/>
      <c r="ETL66" s="4"/>
      <c r="ETM66" s="4"/>
      <c r="ETN66" s="4"/>
      <c r="ETO66" s="4"/>
      <c r="ETP66" s="4"/>
      <c r="ETQ66" s="4"/>
      <c r="ETR66" s="4"/>
      <c r="ETS66" s="4"/>
      <c r="ETT66" s="4"/>
      <c r="ETU66" s="4"/>
      <c r="ETV66" s="4"/>
      <c r="ETW66" s="4"/>
      <c r="ETX66" s="4"/>
      <c r="ETY66" s="4"/>
      <c r="ETZ66" s="4"/>
      <c r="EUA66" s="4"/>
      <c r="EUB66" s="4"/>
      <c r="EUC66" s="4"/>
      <c r="EUD66" s="4"/>
      <c r="EUE66" s="4"/>
      <c r="EUF66" s="4"/>
      <c r="EUG66" s="4"/>
      <c r="EUH66" s="4"/>
      <c r="EUI66" s="4"/>
      <c r="EUJ66" s="4"/>
      <c r="EUK66" s="4"/>
      <c r="EUL66" s="4"/>
      <c r="EUM66" s="4"/>
      <c r="EUN66" s="4"/>
      <c r="EUO66" s="4"/>
      <c r="EUP66" s="4"/>
      <c r="EUQ66" s="4"/>
      <c r="EUR66" s="4"/>
      <c r="EUS66" s="4"/>
      <c r="EUT66" s="4"/>
      <c r="EUU66" s="4"/>
      <c r="EUV66" s="4"/>
      <c r="EUW66" s="4"/>
      <c r="EUX66" s="4"/>
      <c r="EUY66" s="4"/>
      <c r="EUZ66" s="4"/>
      <c r="EVA66" s="4"/>
      <c r="EVB66" s="4"/>
      <c r="EVC66" s="4"/>
      <c r="EVD66" s="4"/>
      <c r="EVE66" s="4"/>
      <c r="EVF66" s="4"/>
      <c r="EVG66" s="4"/>
      <c r="EVH66" s="4"/>
      <c r="EVI66" s="4"/>
      <c r="EVJ66" s="4"/>
      <c r="EVK66" s="4"/>
      <c r="EVL66" s="4"/>
      <c r="EVM66" s="4"/>
      <c r="EVN66" s="4"/>
      <c r="EVO66" s="4"/>
      <c r="EVP66" s="4"/>
      <c r="EVQ66" s="4"/>
      <c r="EVR66" s="4"/>
      <c r="EVS66" s="4"/>
      <c r="EVT66" s="4"/>
      <c r="EVU66" s="4"/>
      <c r="EVV66" s="4"/>
      <c r="EVW66" s="4"/>
      <c r="EVX66" s="4"/>
      <c r="EVY66" s="4"/>
      <c r="EVZ66" s="4"/>
      <c r="EWA66" s="4"/>
      <c r="EWB66" s="4"/>
      <c r="EWC66" s="4"/>
      <c r="EWD66" s="4"/>
      <c r="EWE66" s="4"/>
      <c r="EWF66" s="4"/>
      <c r="EWG66" s="4"/>
      <c r="EWH66" s="4"/>
      <c r="EWI66" s="4"/>
      <c r="EWJ66" s="4"/>
      <c r="EWK66" s="4"/>
      <c r="EWL66" s="4"/>
      <c r="EWM66" s="4"/>
      <c r="EWN66" s="4"/>
      <c r="EWO66" s="4"/>
      <c r="EWP66" s="4"/>
      <c r="EWQ66" s="4"/>
      <c r="EWR66" s="4"/>
      <c r="EWS66" s="4"/>
      <c r="EWT66" s="4"/>
      <c r="EWU66" s="4"/>
      <c r="EWV66" s="4"/>
      <c r="EWW66" s="4"/>
      <c r="EWX66" s="4"/>
      <c r="EWY66" s="4"/>
      <c r="EWZ66" s="4"/>
      <c r="EXA66" s="4"/>
      <c r="EXB66" s="4"/>
      <c r="EXC66" s="4"/>
      <c r="EXD66" s="4"/>
      <c r="EXE66" s="4"/>
      <c r="EXF66" s="4"/>
      <c r="EXG66" s="4"/>
      <c r="EXH66" s="4"/>
      <c r="EXI66" s="4"/>
      <c r="EXJ66" s="4"/>
      <c r="EXK66" s="4"/>
      <c r="EXL66" s="4"/>
      <c r="EXM66" s="4"/>
      <c r="EXN66" s="4"/>
      <c r="EXO66" s="4"/>
      <c r="EXP66" s="4"/>
      <c r="EXQ66" s="4"/>
      <c r="EXR66" s="4"/>
      <c r="EXS66" s="4"/>
      <c r="EXT66" s="4"/>
      <c r="EXU66" s="4"/>
      <c r="EXV66" s="4"/>
      <c r="EXW66" s="4"/>
      <c r="EXX66" s="4"/>
      <c r="EXY66" s="4"/>
      <c r="EXZ66" s="4"/>
      <c r="EYA66" s="4"/>
      <c r="EYB66" s="4"/>
      <c r="EYC66" s="4"/>
      <c r="EYD66" s="4"/>
      <c r="EYE66" s="4"/>
      <c r="EYF66" s="4"/>
      <c r="EYG66" s="4"/>
      <c r="EYH66" s="4"/>
      <c r="EYI66" s="4"/>
      <c r="EYJ66" s="4"/>
      <c r="EYK66" s="4"/>
      <c r="EYL66" s="4"/>
      <c r="EYM66" s="4"/>
      <c r="EYN66" s="4"/>
      <c r="EYO66" s="4"/>
      <c r="EYP66" s="4"/>
      <c r="EYQ66" s="4"/>
      <c r="EYR66" s="4"/>
      <c r="EYS66" s="4"/>
      <c r="EYT66" s="4"/>
      <c r="EYU66" s="4"/>
      <c r="EYV66" s="4"/>
      <c r="EYW66" s="4"/>
      <c r="EYX66" s="4"/>
      <c r="EYY66" s="4"/>
      <c r="EYZ66" s="4"/>
      <c r="EZA66" s="4"/>
      <c r="EZB66" s="4"/>
      <c r="EZC66" s="4"/>
      <c r="EZD66" s="4"/>
      <c r="EZE66" s="4"/>
      <c r="EZF66" s="4"/>
      <c r="EZG66" s="4"/>
      <c r="EZH66" s="4"/>
      <c r="EZI66" s="4"/>
      <c r="EZJ66" s="4"/>
      <c r="EZK66" s="4"/>
      <c r="EZL66" s="4"/>
      <c r="EZM66" s="4"/>
      <c r="EZN66" s="4"/>
      <c r="EZO66" s="4"/>
      <c r="EZP66" s="4"/>
      <c r="EZQ66" s="4"/>
      <c r="EZR66" s="4"/>
      <c r="EZS66" s="4"/>
      <c r="EZT66" s="4"/>
      <c r="EZU66" s="4"/>
      <c r="EZV66" s="4"/>
      <c r="EZW66" s="4"/>
      <c r="EZX66" s="4"/>
      <c r="EZY66" s="4"/>
      <c r="EZZ66" s="4"/>
      <c r="FAA66" s="4"/>
      <c r="FAB66" s="4"/>
      <c r="FAC66" s="4"/>
      <c r="FAD66" s="4"/>
      <c r="FAE66" s="4"/>
      <c r="FAF66" s="4"/>
      <c r="FAG66" s="4"/>
      <c r="FAH66" s="4"/>
      <c r="FAI66" s="4"/>
      <c r="FAJ66" s="4"/>
      <c r="FAK66" s="4"/>
      <c r="FAL66" s="4"/>
      <c r="FAM66" s="4"/>
      <c r="FAN66" s="4"/>
      <c r="FAO66" s="4"/>
      <c r="FAP66" s="4"/>
      <c r="FAQ66" s="4"/>
      <c r="FAR66" s="4"/>
      <c r="FAS66" s="4"/>
      <c r="FAT66" s="4"/>
      <c r="FAU66" s="4"/>
      <c r="FAV66" s="4"/>
      <c r="FAW66" s="4"/>
      <c r="FAX66" s="4"/>
      <c r="FAY66" s="4"/>
      <c r="FAZ66" s="4"/>
      <c r="FBA66" s="4"/>
      <c r="FBB66" s="4"/>
      <c r="FBC66" s="4"/>
      <c r="FBD66" s="4"/>
      <c r="FBE66" s="4"/>
      <c r="FBF66" s="4"/>
      <c r="FBG66" s="4"/>
      <c r="FBH66" s="4"/>
      <c r="FBI66" s="4"/>
      <c r="FBJ66" s="4"/>
      <c r="FBK66" s="4"/>
      <c r="FBL66" s="4"/>
      <c r="FBM66" s="4"/>
      <c r="FBN66" s="4"/>
      <c r="FBO66" s="4"/>
      <c r="FBP66" s="4"/>
      <c r="FBQ66" s="4"/>
      <c r="FBR66" s="4"/>
      <c r="FBS66" s="4"/>
      <c r="FBT66" s="4"/>
      <c r="FBU66" s="4"/>
      <c r="FBV66" s="4"/>
      <c r="FBW66" s="4"/>
      <c r="FBX66" s="4"/>
      <c r="FBY66" s="4"/>
      <c r="FBZ66" s="4"/>
      <c r="FCA66" s="4"/>
      <c r="FCB66" s="4"/>
      <c r="FCC66" s="4"/>
      <c r="FCD66" s="4"/>
      <c r="FCE66" s="4"/>
      <c r="FCF66" s="4"/>
      <c r="FCG66" s="4"/>
      <c r="FCH66" s="4"/>
      <c r="FCI66" s="4"/>
      <c r="FCJ66" s="4"/>
      <c r="FCK66" s="4"/>
      <c r="FCL66" s="4"/>
      <c r="FCM66" s="4"/>
      <c r="FCN66" s="4"/>
      <c r="FCO66" s="4"/>
      <c r="FCP66" s="4"/>
      <c r="FCQ66" s="4"/>
      <c r="FCR66" s="4"/>
      <c r="FCS66" s="4"/>
      <c r="FCT66" s="4"/>
      <c r="FCU66" s="4"/>
      <c r="FCV66" s="4"/>
      <c r="FCW66" s="4"/>
      <c r="FCX66" s="4"/>
      <c r="FCY66" s="4"/>
      <c r="FCZ66" s="4"/>
      <c r="FDA66" s="4"/>
      <c r="FDB66" s="4"/>
      <c r="FDC66" s="4"/>
      <c r="FDD66" s="4"/>
      <c r="FDE66" s="4"/>
      <c r="FDF66" s="4"/>
      <c r="FDG66" s="4"/>
      <c r="FDH66" s="4"/>
      <c r="FDI66" s="4"/>
      <c r="FDJ66" s="4"/>
      <c r="FDK66" s="4"/>
      <c r="FDL66" s="4"/>
      <c r="FDM66" s="4"/>
      <c r="FDN66" s="4"/>
      <c r="FDO66" s="4"/>
      <c r="FDP66" s="4"/>
      <c r="FDQ66" s="4"/>
      <c r="FDR66" s="4"/>
      <c r="FDS66" s="4"/>
      <c r="FDT66" s="4"/>
      <c r="FDU66" s="4"/>
      <c r="FDV66" s="4"/>
      <c r="FDW66" s="4"/>
      <c r="FDX66" s="4"/>
      <c r="FDY66" s="4"/>
      <c r="FDZ66" s="4"/>
      <c r="FEA66" s="4"/>
      <c r="FEB66" s="4"/>
      <c r="FEC66" s="4"/>
      <c r="FED66" s="4"/>
      <c r="FEE66" s="4"/>
      <c r="FEF66" s="4"/>
      <c r="FEG66" s="4"/>
      <c r="FEH66" s="4"/>
      <c r="FEI66" s="4"/>
      <c r="FEJ66" s="4"/>
      <c r="FEK66" s="4"/>
      <c r="FEL66" s="4"/>
      <c r="FEM66" s="4"/>
      <c r="FEN66" s="4"/>
      <c r="FEO66" s="4"/>
      <c r="FEP66" s="4"/>
      <c r="FEQ66" s="4"/>
      <c r="FER66" s="4"/>
      <c r="FES66" s="4"/>
      <c r="FET66" s="4"/>
      <c r="FEU66" s="4"/>
      <c r="FEV66" s="4"/>
      <c r="FEW66" s="4"/>
      <c r="FEX66" s="4"/>
      <c r="FEY66" s="4"/>
      <c r="FEZ66" s="4"/>
      <c r="FFA66" s="4"/>
      <c r="FFB66" s="4"/>
      <c r="FFC66" s="4"/>
      <c r="FFD66" s="4"/>
      <c r="FFE66" s="4"/>
      <c r="FFF66" s="4"/>
      <c r="FFG66" s="4"/>
      <c r="FFH66" s="4"/>
      <c r="FFI66" s="4"/>
      <c r="FFJ66" s="4"/>
      <c r="FFK66" s="4"/>
      <c r="FFL66" s="4"/>
      <c r="FFM66" s="4"/>
      <c r="FFN66" s="4"/>
      <c r="FFO66" s="4"/>
      <c r="FFP66" s="4"/>
      <c r="FFQ66" s="4"/>
      <c r="FFR66" s="4"/>
      <c r="FFS66" s="4"/>
      <c r="FFT66" s="4"/>
      <c r="FFU66" s="4"/>
      <c r="FFV66" s="4"/>
      <c r="FFW66" s="4"/>
      <c r="FFX66" s="4"/>
      <c r="FFY66" s="4"/>
      <c r="FFZ66" s="4"/>
      <c r="FGA66" s="4"/>
      <c r="FGB66" s="4"/>
      <c r="FGC66" s="4"/>
      <c r="FGD66" s="4"/>
      <c r="FGE66" s="4"/>
      <c r="FGF66" s="4"/>
      <c r="FGG66" s="4"/>
      <c r="FGH66" s="4"/>
      <c r="FGI66" s="4"/>
      <c r="FGJ66" s="4"/>
      <c r="FGK66" s="4"/>
      <c r="FGL66" s="4"/>
      <c r="FGM66" s="4"/>
      <c r="FGN66" s="4"/>
      <c r="FGO66" s="4"/>
      <c r="FGP66" s="4"/>
      <c r="FGQ66" s="4"/>
      <c r="FGR66" s="4"/>
      <c r="FGS66" s="4"/>
      <c r="FGT66" s="4"/>
      <c r="FGU66" s="4"/>
      <c r="FGV66" s="4"/>
      <c r="FGW66" s="4"/>
      <c r="FGX66" s="4"/>
      <c r="FGY66" s="4"/>
      <c r="FGZ66" s="4"/>
      <c r="FHA66" s="4"/>
      <c r="FHB66" s="4"/>
      <c r="FHC66" s="4"/>
      <c r="FHD66" s="4"/>
      <c r="FHE66" s="4"/>
      <c r="FHF66" s="4"/>
      <c r="FHG66" s="4"/>
      <c r="FHH66" s="4"/>
      <c r="FHI66" s="4"/>
      <c r="FHJ66" s="4"/>
      <c r="FHK66" s="4"/>
      <c r="FHL66" s="4"/>
      <c r="FHM66" s="4"/>
      <c r="FHN66" s="4"/>
      <c r="FHO66" s="4"/>
      <c r="FHP66" s="4"/>
      <c r="FHQ66" s="4"/>
      <c r="FHR66" s="4"/>
      <c r="FHS66" s="4"/>
      <c r="FHT66" s="4"/>
      <c r="FHU66" s="4"/>
      <c r="FHV66" s="4"/>
      <c r="FHW66" s="4"/>
      <c r="FHX66" s="4"/>
      <c r="FHY66" s="4"/>
      <c r="FHZ66" s="4"/>
      <c r="FIA66" s="4"/>
      <c r="FIB66" s="4"/>
      <c r="FIC66" s="4"/>
      <c r="FID66" s="4"/>
      <c r="FIE66" s="4"/>
      <c r="FIF66" s="4"/>
      <c r="FIG66" s="4"/>
      <c r="FIH66" s="4"/>
      <c r="FII66" s="4"/>
      <c r="FIJ66" s="4"/>
      <c r="FIK66" s="4"/>
      <c r="FIL66" s="4"/>
      <c r="FIM66" s="4"/>
      <c r="FIN66" s="4"/>
      <c r="FIO66" s="4"/>
      <c r="FIP66" s="4"/>
      <c r="FIQ66" s="4"/>
      <c r="FIR66" s="4"/>
      <c r="FIS66" s="4"/>
      <c r="FIT66" s="4"/>
      <c r="FIU66" s="4"/>
      <c r="FIV66" s="4"/>
      <c r="FIW66" s="4"/>
      <c r="FIX66" s="4"/>
      <c r="FIY66" s="4"/>
      <c r="FIZ66" s="4"/>
      <c r="FJA66" s="4"/>
      <c r="FJB66" s="4"/>
      <c r="FJC66" s="4"/>
      <c r="FJD66" s="4"/>
      <c r="FJE66" s="4"/>
      <c r="FJF66" s="4"/>
      <c r="FJG66" s="4"/>
      <c r="FJH66" s="4"/>
      <c r="FJI66" s="4"/>
      <c r="FJJ66" s="4"/>
      <c r="FJK66" s="4"/>
      <c r="FJL66" s="4"/>
      <c r="FJM66" s="4"/>
      <c r="FJN66" s="4"/>
      <c r="FJO66" s="4"/>
      <c r="FJP66" s="4"/>
      <c r="FJQ66" s="4"/>
      <c r="FJR66" s="4"/>
      <c r="FJS66" s="4"/>
      <c r="FJT66" s="4"/>
      <c r="FJU66" s="4"/>
      <c r="FJV66" s="4"/>
      <c r="FJW66" s="4"/>
      <c r="FJX66" s="4"/>
      <c r="FJY66" s="4"/>
      <c r="FJZ66" s="4"/>
      <c r="FKA66" s="4"/>
      <c r="FKB66" s="4"/>
      <c r="FKC66" s="4"/>
      <c r="FKD66" s="4"/>
      <c r="FKE66" s="4"/>
      <c r="FKF66" s="4"/>
      <c r="FKG66" s="4"/>
      <c r="FKH66" s="4"/>
      <c r="FKI66" s="4"/>
      <c r="FKJ66" s="4"/>
      <c r="FKK66" s="4"/>
      <c r="FKL66" s="4"/>
      <c r="FKM66" s="4"/>
      <c r="FKN66" s="4"/>
      <c r="FKO66" s="4"/>
      <c r="FKP66" s="4"/>
      <c r="FKQ66" s="4"/>
      <c r="FKR66" s="4"/>
      <c r="FKS66" s="4"/>
      <c r="FKT66" s="4"/>
      <c r="FKU66" s="4"/>
      <c r="FKV66" s="4"/>
      <c r="FKW66" s="4"/>
      <c r="FKX66" s="4"/>
      <c r="FKY66" s="4"/>
      <c r="FKZ66" s="4"/>
      <c r="FLA66" s="4"/>
      <c r="FLB66" s="4"/>
      <c r="FLC66" s="4"/>
      <c r="FLD66" s="4"/>
      <c r="FLE66" s="4"/>
      <c r="FLF66" s="4"/>
      <c r="FLG66" s="4"/>
      <c r="FLH66" s="4"/>
      <c r="FLI66" s="4"/>
      <c r="FLJ66" s="4"/>
      <c r="FLK66" s="4"/>
      <c r="FLL66" s="4"/>
      <c r="FLM66" s="4"/>
      <c r="FLN66" s="4"/>
      <c r="FLO66" s="4"/>
      <c r="FLP66" s="4"/>
      <c r="FLQ66" s="4"/>
      <c r="FLR66" s="4"/>
      <c r="FLS66" s="4"/>
      <c r="FLT66" s="4"/>
      <c r="FLU66" s="4"/>
      <c r="FLV66" s="4"/>
      <c r="FLW66" s="4"/>
      <c r="FLX66" s="4"/>
      <c r="FLY66" s="4"/>
      <c r="FLZ66" s="4"/>
      <c r="FMA66" s="4"/>
      <c r="FMB66" s="4"/>
      <c r="FMC66" s="4"/>
      <c r="FMD66" s="4"/>
      <c r="FME66" s="4"/>
      <c r="FMF66" s="4"/>
      <c r="FMG66" s="4"/>
      <c r="FMH66" s="4"/>
      <c r="FMI66" s="4"/>
      <c r="FMJ66" s="4"/>
      <c r="FMK66" s="4"/>
      <c r="FML66" s="4"/>
      <c r="FMM66" s="4"/>
      <c r="FMN66" s="4"/>
      <c r="FMO66" s="4"/>
      <c r="FMP66" s="4"/>
      <c r="FMQ66" s="4"/>
      <c r="FMR66" s="4"/>
      <c r="FMS66" s="4"/>
      <c r="FMT66" s="4"/>
      <c r="FMU66" s="4"/>
      <c r="FMV66" s="4"/>
      <c r="FMW66" s="4"/>
      <c r="FMX66" s="4"/>
      <c r="FMY66" s="4"/>
      <c r="FMZ66" s="4"/>
      <c r="FNA66" s="4"/>
      <c r="FNB66" s="4"/>
      <c r="FNC66" s="4"/>
      <c r="FND66" s="4"/>
      <c r="FNE66" s="4"/>
      <c r="FNF66" s="4"/>
      <c r="FNG66" s="4"/>
      <c r="FNH66" s="4"/>
      <c r="FNI66" s="4"/>
      <c r="FNJ66" s="4"/>
      <c r="FNK66" s="4"/>
      <c r="FNL66" s="4"/>
      <c r="FNM66" s="4"/>
      <c r="FNN66" s="4"/>
      <c r="FNO66" s="4"/>
      <c r="FNP66" s="4"/>
      <c r="FNQ66" s="4"/>
      <c r="FNR66" s="4"/>
      <c r="FNS66" s="4"/>
      <c r="FNT66" s="4"/>
      <c r="FNU66" s="4"/>
      <c r="FNV66" s="4"/>
      <c r="FNW66" s="4"/>
      <c r="FNX66" s="4"/>
      <c r="FNY66" s="4"/>
      <c r="FNZ66" s="4"/>
      <c r="FOA66" s="4"/>
      <c r="FOB66" s="4"/>
      <c r="FOC66" s="4"/>
      <c r="FOD66" s="4"/>
      <c r="FOE66" s="4"/>
      <c r="FOF66" s="4"/>
      <c r="FOG66" s="4"/>
      <c r="FOH66" s="4"/>
      <c r="FOI66" s="4"/>
      <c r="FOJ66" s="4"/>
      <c r="FOK66" s="4"/>
      <c r="FOL66" s="4"/>
      <c r="FOM66" s="4"/>
      <c r="FON66" s="4"/>
      <c r="FOO66" s="4"/>
      <c r="FOP66" s="4"/>
      <c r="FOQ66" s="4"/>
      <c r="FOR66" s="4"/>
      <c r="FOS66" s="4"/>
      <c r="FOT66" s="4"/>
      <c r="FOU66" s="4"/>
      <c r="FOV66" s="4"/>
      <c r="FOW66" s="4"/>
      <c r="FOX66" s="4"/>
      <c r="FOY66" s="4"/>
      <c r="FOZ66" s="4"/>
      <c r="FPA66" s="4"/>
      <c r="FPB66" s="4"/>
      <c r="FPC66" s="4"/>
      <c r="FPD66" s="4"/>
      <c r="FPE66" s="4"/>
      <c r="FPF66" s="4"/>
      <c r="FPG66" s="4"/>
      <c r="FPH66" s="4"/>
      <c r="FPI66" s="4"/>
      <c r="FPJ66" s="4"/>
      <c r="FPK66" s="4"/>
      <c r="FPL66" s="4"/>
      <c r="FPM66" s="4"/>
      <c r="FPN66" s="4"/>
      <c r="FPO66" s="4"/>
      <c r="FPP66" s="4"/>
      <c r="FPQ66" s="4"/>
      <c r="FPR66" s="4"/>
      <c r="FPS66" s="4"/>
      <c r="FPT66" s="4"/>
      <c r="FPU66" s="4"/>
      <c r="FPV66" s="4"/>
      <c r="FPW66" s="4"/>
      <c r="FPX66" s="4"/>
      <c r="FPY66" s="4"/>
      <c r="FPZ66" s="4"/>
      <c r="FQA66" s="4"/>
      <c r="FQB66" s="4"/>
      <c r="FQC66" s="4"/>
      <c r="FQD66" s="4"/>
      <c r="FQE66" s="4"/>
      <c r="FQF66" s="4"/>
      <c r="FQG66" s="4"/>
      <c r="FQH66" s="4"/>
      <c r="FQI66" s="4"/>
      <c r="FQJ66" s="4"/>
      <c r="FQK66" s="4"/>
      <c r="FQL66" s="4"/>
      <c r="FQM66" s="4"/>
      <c r="FQN66" s="4"/>
      <c r="FQO66" s="4"/>
      <c r="FQP66" s="4"/>
      <c r="FQQ66" s="4"/>
      <c r="FQR66" s="4"/>
      <c r="FQS66" s="4"/>
      <c r="FQT66" s="4"/>
      <c r="FQU66" s="4"/>
      <c r="FQV66" s="4"/>
      <c r="FQW66" s="4"/>
      <c r="FQX66" s="4"/>
      <c r="FQY66" s="4"/>
      <c r="FQZ66" s="4"/>
      <c r="FRA66" s="4"/>
      <c r="FRB66" s="4"/>
      <c r="FRC66" s="4"/>
      <c r="FRD66" s="4"/>
      <c r="FRE66" s="4"/>
      <c r="FRF66" s="4"/>
      <c r="FRG66" s="4"/>
      <c r="FRH66" s="4"/>
      <c r="FRI66" s="4"/>
      <c r="FRJ66" s="4"/>
      <c r="FRK66" s="4"/>
      <c r="FRL66" s="4"/>
      <c r="FRM66" s="4"/>
      <c r="FRN66" s="4"/>
      <c r="FRO66" s="4"/>
      <c r="FRP66" s="4"/>
      <c r="FRQ66" s="4"/>
      <c r="FRR66" s="4"/>
      <c r="FRS66" s="4"/>
      <c r="FRT66" s="4"/>
      <c r="FRU66" s="4"/>
      <c r="FRV66" s="4"/>
      <c r="FRW66" s="4"/>
      <c r="FRX66" s="4"/>
      <c r="FRY66" s="4"/>
      <c r="FRZ66" s="4"/>
      <c r="FSA66" s="4"/>
      <c r="FSB66" s="4"/>
      <c r="FSC66" s="4"/>
      <c r="FSD66" s="4"/>
      <c r="FSE66" s="4"/>
      <c r="FSF66" s="4"/>
      <c r="FSG66" s="4"/>
      <c r="FSH66" s="4"/>
      <c r="FSI66" s="4"/>
      <c r="FSJ66" s="4"/>
      <c r="FSK66" s="4"/>
      <c r="FSL66" s="4"/>
      <c r="FSM66" s="4"/>
      <c r="FSN66" s="4"/>
      <c r="FSO66" s="4"/>
      <c r="FSP66" s="4"/>
      <c r="FSQ66" s="4"/>
      <c r="FSR66" s="4"/>
      <c r="FSS66" s="4"/>
      <c r="FST66" s="4"/>
      <c r="FSU66" s="4"/>
      <c r="FSV66" s="4"/>
      <c r="FSW66" s="4"/>
      <c r="FSX66" s="4"/>
      <c r="FSY66" s="4"/>
      <c r="FSZ66" s="4"/>
      <c r="FTA66" s="4"/>
      <c r="FTB66" s="4"/>
      <c r="FTC66" s="4"/>
      <c r="FTD66" s="4"/>
      <c r="FTE66" s="4"/>
      <c r="FTF66" s="4"/>
      <c r="FTG66" s="4"/>
      <c r="FTH66" s="4"/>
      <c r="FTI66" s="4"/>
      <c r="FTJ66" s="4"/>
      <c r="FTK66" s="4"/>
      <c r="FTL66" s="4"/>
      <c r="FTM66" s="4"/>
      <c r="FTN66" s="4"/>
      <c r="FTO66" s="4"/>
      <c r="FTP66" s="4"/>
      <c r="FTQ66" s="4"/>
      <c r="FTR66" s="4"/>
      <c r="FTS66" s="4"/>
      <c r="FTT66" s="4"/>
      <c r="FTU66" s="4"/>
      <c r="FTV66" s="4"/>
      <c r="FTW66" s="4"/>
      <c r="FTX66" s="4"/>
      <c r="FTY66" s="4"/>
      <c r="FTZ66" s="4"/>
      <c r="FUA66" s="4"/>
      <c r="FUB66" s="4"/>
      <c r="FUC66" s="4"/>
      <c r="FUD66" s="4"/>
      <c r="FUE66" s="4"/>
      <c r="FUF66" s="4"/>
      <c r="FUG66" s="4"/>
      <c r="FUH66" s="4"/>
      <c r="FUI66" s="4"/>
      <c r="FUJ66" s="4"/>
      <c r="FUK66" s="4"/>
      <c r="FUL66" s="4"/>
      <c r="FUM66" s="4"/>
      <c r="FUN66" s="4"/>
      <c r="FUO66" s="4"/>
      <c r="FUP66" s="4"/>
      <c r="FUQ66" s="4"/>
      <c r="FUR66" s="4"/>
      <c r="FUS66" s="4"/>
      <c r="FUT66" s="4"/>
      <c r="FUU66" s="4"/>
      <c r="FUV66" s="4"/>
      <c r="FUW66" s="4"/>
      <c r="FUX66" s="4"/>
      <c r="FUY66" s="4"/>
      <c r="FUZ66" s="4"/>
      <c r="FVA66" s="4"/>
      <c r="FVB66" s="4"/>
      <c r="FVC66" s="4"/>
      <c r="FVD66" s="4"/>
      <c r="FVE66" s="4"/>
      <c r="FVF66" s="4"/>
      <c r="FVG66" s="4"/>
      <c r="FVH66" s="4"/>
      <c r="FVI66" s="4"/>
      <c r="FVJ66" s="4"/>
      <c r="FVK66" s="4"/>
      <c r="FVL66" s="4"/>
      <c r="FVM66" s="4"/>
      <c r="FVN66" s="4"/>
      <c r="FVO66" s="4"/>
      <c r="FVP66" s="4"/>
      <c r="FVQ66" s="4"/>
      <c r="FVR66" s="4"/>
      <c r="FVS66" s="4"/>
      <c r="FVT66" s="4"/>
      <c r="FVU66" s="4"/>
      <c r="FVV66" s="4"/>
      <c r="FVW66" s="4"/>
      <c r="FVX66" s="4"/>
      <c r="FVY66" s="4"/>
      <c r="FVZ66" s="4"/>
      <c r="FWA66" s="4"/>
      <c r="FWB66" s="4"/>
      <c r="FWC66" s="4"/>
      <c r="FWD66" s="4"/>
      <c r="FWE66" s="4"/>
      <c r="FWF66" s="4"/>
      <c r="FWG66" s="4"/>
      <c r="FWH66" s="4"/>
      <c r="FWI66" s="4"/>
      <c r="FWJ66" s="4"/>
      <c r="FWK66" s="4"/>
      <c r="FWL66" s="4"/>
      <c r="FWM66" s="4"/>
      <c r="FWN66" s="4"/>
      <c r="FWO66" s="4"/>
      <c r="FWP66" s="4"/>
      <c r="FWQ66" s="4"/>
      <c r="FWR66" s="4"/>
      <c r="FWS66" s="4"/>
      <c r="FWT66" s="4"/>
      <c r="FWU66" s="4"/>
      <c r="FWV66" s="4"/>
      <c r="FWW66" s="4"/>
      <c r="FWX66" s="4"/>
      <c r="FWY66" s="4"/>
      <c r="FWZ66" s="4"/>
      <c r="FXA66" s="4"/>
      <c r="FXB66" s="4"/>
      <c r="FXC66" s="4"/>
      <c r="FXD66" s="4"/>
      <c r="FXE66" s="4"/>
      <c r="FXF66" s="4"/>
      <c r="FXG66" s="4"/>
      <c r="FXH66" s="4"/>
      <c r="FXI66" s="4"/>
      <c r="FXJ66" s="4"/>
      <c r="FXK66" s="4"/>
      <c r="FXL66" s="4"/>
      <c r="FXM66" s="4"/>
      <c r="FXN66" s="4"/>
      <c r="FXO66" s="4"/>
      <c r="FXP66" s="4"/>
      <c r="FXQ66" s="4"/>
      <c r="FXR66" s="4"/>
      <c r="FXS66" s="4"/>
      <c r="FXT66" s="4"/>
      <c r="FXU66" s="4"/>
      <c r="FXV66" s="4"/>
      <c r="FXW66" s="4"/>
      <c r="FXX66" s="4"/>
      <c r="FXY66" s="4"/>
      <c r="FXZ66" s="4"/>
      <c r="FYA66" s="4"/>
      <c r="FYB66" s="4"/>
      <c r="FYC66" s="4"/>
      <c r="FYD66" s="4"/>
      <c r="FYE66" s="4"/>
      <c r="FYF66" s="4"/>
      <c r="FYG66" s="4"/>
      <c r="FYH66" s="4"/>
      <c r="FYI66" s="4"/>
      <c r="FYJ66" s="4"/>
      <c r="FYK66" s="4"/>
      <c r="FYL66" s="4"/>
      <c r="FYM66" s="4"/>
      <c r="FYN66" s="4"/>
      <c r="FYO66" s="4"/>
      <c r="FYP66" s="4"/>
      <c r="FYQ66" s="4"/>
      <c r="FYR66" s="4"/>
      <c r="FYS66" s="4"/>
      <c r="FYT66" s="4"/>
      <c r="FYU66" s="4"/>
      <c r="FYV66" s="4"/>
      <c r="FYW66" s="4"/>
      <c r="FYX66" s="4"/>
      <c r="FYY66" s="4"/>
      <c r="FYZ66" s="4"/>
      <c r="FZA66" s="4"/>
      <c r="FZB66" s="4"/>
      <c r="FZC66" s="4"/>
      <c r="FZD66" s="4"/>
      <c r="FZE66" s="4"/>
      <c r="FZF66" s="4"/>
      <c r="FZG66" s="4"/>
      <c r="FZH66" s="4"/>
      <c r="FZI66" s="4"/>
      <c r="FZJ66" s="4"/>
      <c r="FZK66" s="4"/>
      <c r="FZL66" s="4"/>
      <c r="FZM66" s="4"/>
      <c r="FZN66" s="4"/>
      <c r="FZO66" s="4"/>
      <c r="FZP66" s="4"/>
      <c r="FZQ66" s="4"/>
      <c r="FZR66" s="4"/>
      <c r="FZS66" s="4"/>
      <c r="FZT66" s="4"/>
      <c r="FZU66" s="4"/>
      <c r="FZV66" s="4"/>
      <c r="FZW66" s="4"/>
      <c r="FZX66" s="4"/>
      <c r="FZY66" s="4"/>
      <c r="FZZ66" s="4"/>
      <c r="GAA66" s="4"/>
      <c r="GAB66" s="4"/>
      <c r="GAC66" s="4"/>
      <c r="GAD66" s="4"/>
      <c r="GAE66" s="4"/>
      <c r="GAF66" s="4"/>
      <c r="GAG66" s="4"/>
      <c r="GAH66" s="4"/>
      <c r="GAI66" s="4"/>
      <c r="GAJ66" s="4"/>
      <c r="GAK66" s="4"/>
      <c r="GAL66" s="4"/>
      <c r="GAM66" s="4"/>
      <c r="GAN66" s="4"/>
      <c r="GAO66" s="4"/>
      <c r="GAP66" s="4"/>
      <c r="GAQ66" s="4"/>
      <c r="GAR66" s="4"/>
      <c r="GAS66" s="4"/>
      <c r="GAT66" s="4"/>
      <c r="GAU66" s="4"/>
      <c r="GAV66" s="4"/>
      <c r="GAW66" s="4"/>
      <c r="GAX66" s="4"/>
      <c r="GAY66" s="4"/>
      <c r="GAZ66" s="4"/>
      <c r="GBA66" s="4"/>
      <c r="GBB66" s="4"/>
      <c r="GBC66" s="4"/>
      <c r="GBD66" s="4"/>
      <c r="GBE66" s="4"/>
      <c r="GBF66" s="4"/>
      <c r="GBG66" s="4"/>
      <c r="GBH66" s="4"/>
      <c r="GBI66" s="4"/>
      <c r="GBJ66" s="4"/>
      <c r="GBK66" s="4"/>
      <c r="GBL66" s="4"/>
      <c r="GBM66" s="4"/>
      <c r="GBN66" s="4"/>
      <c r="GBO66" s="4"/>
      <c r="GBP66" s="4"/>
      <c r="GBQ66" s="4"/>
      <c r="GBR66" s="4"/>
      <c r="GBS66" s="4"/>
      <c r="GBT66" s="4"/>
      <c r="GBU66" s="4"/>
      <c r="GBV66" s="4"/>
      <c r="GBW66" s="4"/>
      <c r="GBX66" s="4"/>
      <c r="GBY66" s="4"/>
      <c r="GBZ66" s="4"/>
      <c r="GCA66" s="4"/>
      <c r="GCB66" s="4"/>
      <c r="GCC66" s="4"/>
      <c r="GCD66" s="4"/>
      <c r="GCE66" s="4"/>
      <c r="GCF66" s="4"/>
      <c r="GCG66" s="4"/>
      <c r="GCH66" s="4"/>
      <c r="GCI66" s="4"/>
      <c r="GCJ66" s="4"/>
      <c r="GCK66" s="4"/>
      <c r="GCL66" s="4"/>
      <c r="GCM66" s="4"/>
      <c r="GCN66" s="4"/>
      <c r="GCO66" s="4"/>
      <c r="GCP66" s="4"/>
      <c r="GCQ66" s="4"/>
      <c r="GCR66" s="4"/>
      <c r="GCS66" s="4"/>
      <c r="GCT66" s="4"/>
      <c r="GCU66" s="4"/>
      <c r="GCV66" s="4"/>
      <c r="GCW66" s="4"/>
      <c r="GCX66" s="4"/>
      <c r="GCY66" s="4"/>
      <c r="GCZ66" s="4"/>
      <c r="GDA66" s="4"/>
      <c r="GDB66" s="4"/>
      <c r="GDC66" s="4"/>
      <c r="GDD66" s="4"/>
      <c r="GDE66" s="4"/>
      <c r="GDF66" s="4"/>
      <c r="GDG66" s="4"/>
      <c r="GDH66" s="4"/>
      <c r="GDI66" s="4"/>
      <c r="GDJ66" s="4"/>
      <c r="GDK66" s="4"/>
      <c r="GDL66" s="4"/>
      <c r="GDM66" s="4"/>
      <c r="GDN66" s="4"/>
      <c r="GDO66" s="4"/>
      <c r="GDP66" s="4"/>
      <c r="GDQ66" s="4"/>
      <c r="GDR66" s="4"/>
      <c r="GDS66" s="4"/>
      <c r="GDT66" s="4"/>
      <c r="GDU66" s="4"/>
      <c r="GDV66" s="4"/>
      <c r="GDW66" s="4"/>
      <c r="GDX66" s="4"/>
      <c r="GDY66" s="4"/>
      <c r="GDZ66" s="4"/>
      <c r="GEA66" s="4"/>
      <c r="GEB66" s="4"/>
      <c r="GEC66" s="4"/>
      <c r="GED66" s="4"/>
      <c r="GEE66" s="4"/>
      <c r="GEF66" s="4"/>
      <c r="GEG66" s="4"/>
      <c r="GEH66" s="4"/>
      <c r="GEI66" s="4"/>
      <c r="GEJ66" s="4"/>
      <c r="GEK66" s="4"/>
      <c r="GEL66" s="4"/>
      <c r="GEM66" s="4"/>
      <c r="GEN66" s="4"/>
      <c r="GEO66" s="4"/>
      <c r="GEP66" s="4"/>
      <c r="GEQ66" s="4"/>
      <c r="GER66" s="4"/>
      <c r="GES66" s="4"/>
      <c r="GET66" s="4"/>
      <c r="GEU66" s="4"/>
      <c r="GEV66" s="4"/>
      <c r="GEW66" s="4"/>
      <c r="GEX66" s="4"/>
      <c r="GEY66" s="4"/>
      <c r="GEZ66" s="4"/>
      <c r="GFA66" s="4"/>
      <c r="GFB66" s="4"/>
      <c r="GFC66" s="4"/>
      <c r="GFD66" s="4"/>
      <c r="GFE66" s="4"/>
      <c r="GFF66" s="4"/>
      <c r="GFG66" s="4"/>
      <c r="GFH66" s="4"/>
      <c r="GFI66" s="4"/>
      <c r="GFJ66" s="4"/>
      <c r="GFK66" s="4"/>
      <c r="GFL66" s="4"/>
      <c r="GFM66" s="4"/>
      <c r="GFN66" s="4"/>
      <c r="GFO66" s="4"/>
      <c r="GFP66" s="4"/>
      <c r="GFQ66" s="4"/>
      <c r="GFR66" s="4"/>
      <c r="GFS66" s="4"/>
      <c r="GFT66" s="4"/>
      <c r="GFU66" s="4"/>
      <c r="GFV66" s="4"/>
      <c r="GFW66" s="4"/>
      <c r="GFX66" s="4"/>
      <c r="GFY66" s="4"/>
      <c r="GFZ66" s="4"/>
      <c r="GGA66" s="4"/>
      <c r="GGB66" s="4"/>
      <c r="GGC66" s="4"/>
      <c r="GGD66" s="4"/>
      <c r="GGE66" s="4"/>
      <c r="GGF66" s="4"/>
      <c r="GGG66" s="4"/>
      <c r="GGH66" s="4"/>
      <c r="GGI66" s="4"/>
      <c r="GGJ66" s="4"/>
      <c r="GGK66" s="4"/>
      <c r="GGL66" s="4"/>
      <c r="GGM66" s="4"/>
      <c r="GGN66" s="4"/>
      <c r="GGO66" s="4"/>
      <c r="GGP66" s="4"/>
      <c r="GGQ66" s="4"/>
      <c r="GGR66" s="4"/>
      <c r="GGS66" s="4"/>
      <c r="GGT66" s="4"/>
      <c r="GGU66" s="4"/>
      <c r="GGV66" s="4"/>
      <c r="GGW66" s="4"/>
      <c r="GGX66" s="4"/>
      <c r="GGY66" s="4"/>
      <c r="GGZ66" s="4"/>
      <c r="GHA66" s="4"/>
      <c r="GHB66" s="4"/>
      <c r="GHC66" s="4"/>
      <c r="GHD66" s="4"/>
      <c r="GHE66" s="4"/>
      <c r="GHF66" s="4"/>
      <c r="GHG66" s="4"/>
      <c r="GHH66" s="4"/>
      <c r="GHI66" s="4"/>
      <c r="GHJ66" s="4"/>
      <c r="GHK66" s="4"/>
      <c r="GHL66" s="4"/>
      <c r="GHM66" s="4"/>
      <c r="GHN66" s="4"/>
      <c r="GHO66" s="4"/>
      <c r="GHP66" s="4"/>
      <c r="GHQ66" s="4"/>
      <c r="GHR66" s="4"/>
      <c r="GHS66" s="4"/>
      <c r="GHT66" s="4"/>
      <c r="GHU66" s="4"/>
      <c r="GHV66" s="4"/>
      <c r="GHW66" s="4"/>
      <c r="GHX66" s="4"/>
      <c r="GHY66" s="4"/>
      <c r="GHZ66" s="4"/>
      <c r="GIA66" s="4"/>
      <c r="GIB66" s="4"/>
      <c r="GIC66" s="4"/>
      <c r="GID66" s="4"/>
      <c r="GIE66" s="4"/>
      <c r="GIF66" s="4"/>
      <c r="GIG66" s="4"/>
      <c r="GIH66" s="4"/>
      <c r="GII66" s="4"/>
      <c r="GIJ66" s="4"/>
      <c r="GIK66" s="4"/>
      <c r="GIL66" s="4"/>
      <c r="GIM66" s="4"/>
      <c r="GIN66" s="4"/>
      <c r="GIO66" s="4"/>
      <c r="GIP66" s="4"/>
      <c r="GIQ66" s="4"/>
      <c r="GIR66" s="4"/>
      <c r="GIS66" s="4"/>
      <c r="GIT66" s="4"/>
      <c r="GIU66" s="4"/>
      <c r="GIV66" s="4"/>
      <c r="GIW66" s="4"/>
      <c r="GIX66" s="4"/>
      <c r="GIY66" s="4"/>
      <c r="GIZ66" s="4"/>
      <c r="GJA66" s="4"/>
      <c r="GJB66" s="4"/>
      <c r="GJC66" s="4"/>
      <c r="GJD66" s="4"/>
      <c r="GJE66" s="4"/>
      <c r="GJF66" s="4"/>
      <c r="GJG66" s="4"/>
      <c r="GJH66" s="4"/>
      <c r="GJI66" s="4"/>
      <c r="GJJ66" s="4"/>
      <c r="GJK66" s="4"/>
      <c r="GJL66" s="4"/>
      <c r="GJM66" s="4"/>
      <c r="GJN66" s="4"/>
      <c r="GJO66" s="4"/>
      <c r="GJP66" s="4"/>
      <c r="GJQ66" s="4"/>
      <c r="GJR66" s="4"/>
      <c r="GJS66" s="4"/>
      <c r="GJT66" s="4"/>
      <c r="GJU66" s="4"/>
      <c r="GJV66" s="4"/>
      <c r="GJW66" s="4"/>
      <c r="GJX66" s="4"/>
      <c r="GJY66" s="4"/>
      <c r="GJZ66" s="4"/>
      <c r="GKA66" s="4"/>
      <c r="GKB66" s="4"/>
      <c r="GKC66" s="4"/>
      <c r="GKD66" s="4"/>
      <c r="GKE66" s="4"/>
      <c r="GKF66" s="4"/>
      <c r="GKG66" s="4"/>
      <c r="GKH66" s="4"/>
      <c r="GKI66" s="4"/>
      <c r="GKJ66" s="4"/>
      <c r="GKK66" s="4"/>
      <c r="GKL66" s="4"/>
      <c r="GKM66" s="4"/>
      <c r="GKN66" s="4"/>
      <c r="GKO66" s="4"/>
      <c r="GKP66" s="4"/>
      <c r="GKQ66" s="4"/>
      <c r="GKR66" s="4"/>
      <c r="GKS66" s="4"/>
      <c r="GKT66" s="4"/>
      <c r="GKU66" s="4"/>
      <c r="GKV66" s="4"/>
      <c r="GKW66" s="4"/>
      <c r="GKX66" s="4"/>
      <c r="GKY66" s="4"/>
      <c r="GKZ66" s="4"/>
      <c r="GLA66" s="4"/>
      <c r="GLB66" s="4"/>
      <c r="GLC66" s="4"/>
      <c r="GLD66" s="4"/>
      <c r="GLE66" s="4"/>
      <c r="GLF66" s="4"/>
      <c r="GLG66" s="4"/>
      <c r="GLH66" s="4"/>
      <c r="GLI66" s="4"/>
      <c r="GLJ66" s="4"/>
      <c r="GLK66" s="4"/>
      <c r="GLL66" s="4"/>
      <c r="GLM66" s="4"/>
      <c r="GLN66" s="4"/>
      <c r="GLO66" s="4"/>
      <c r="GLP66" s="4"/>
      <c r="GLQ66" s="4"/>
      <c r="GLR66" s="4"/>
      <c r="GLS66" s="4"/>
      <c r="GLT66" s="4"/>
      <c r="GLU66" s="4"/>
      <c r="GLV66" s="4"/>
      <c r="GLW66" s="4"/>
      <c r="GLX66" s="4"/>
      <c r="GLY66" s="4"/>
      <c r="GLZ66" s="4"/>
      <c r="GMA66" s="4"/>
      <c r="GMB66" s="4"/>
      <c r="GMC66" s="4"/>
      <c r="GMD66" s="4"/>
      <c r="GME66" s="4"/>
      <c r="GMF66" s="4"/>
      <c r="GMG66" s="4"/>
      <c r="GMH66" s="4"/>
      <c r="GMI66" s="4"/>
      <c r="GMJ66" s="4"/>
      <c r="GMK66" s="4"/>
      <c r="GML66" s="4"/>
      <c r="GMM66" s="4"/>
      <c r="GMN66" s="4"/>
      <c r="GMO66" s="4"/>
      <c r="GMP66" s="4"/>
      <c r="GMQ66" s="4"/>
      <c r="GMR66" s="4"/>
      <c r="GMS66" s="4"/>
      <c r="GMT66" s="4"/>
      <c r="GMU66" s="4"/>
      <c r="GMV66" s="4"/>
      <c r="GMW66" s="4"/>
      <c r="GMX66" s="4"/>
      <c r="GMY66" s="4"/>
      <c r="GMZ66" s="4"/>
      <c r="GNA66" s="4"/>
      <c r="GNB66" s="4"/>
      <c r="GNC66" s="4"/>
      <c r="GND66" s="4"/>
      <c r="GNE66" s="4"/>
      <c r="GNF66" s="4"/>
      <c r="GNG66" s="4"/>
      <c r="GNH66" s="4"/>
      <c r="GNI66" s="4"/>
      <c r="GNJ66" s="4"/>
      <c r="GNK66" s="4"/>
      <c r="GNL66" s="4"/>
      <c r="GNM66" s="4"/>
      <c r="GNN66" s="4"/>
      <c r="GNO66" s="4"/>
      <c r="GNP66" s="4"/>
      <c r="GNQ66" s="4"/>
      <c r="GNR66" s="4"/>
      <c r="GNS66" s="4"/>
      <c r="GNT66" s="4"/>
      <c r="GNU66" s="4"/>
      <c r="GNV66" s="4"/>
      <c r="GNW66" s="4"/>
      <c r="GNX66" s="4"/>
      <c r="GNY66" s="4"/>
      <c r="GNZ66" s="4"/>
      <c r="GOA66" s="4"/>
      <c r="GOB66" s="4"/>
      <c r="GOC66" s="4"/>
      <c r="GOD66" s="4"/>
      <c r="GOE66" s="4"/>
      <c r="GOF66" s="4"/>
      <c r="GOG66" s="4"/>
      <c r="GOH66" s="4"/>
      <c r="GOI66" s="4"/>
      <c r="GOJ66" s="4"/>
      <c r="GOK66" s="4"/>
      <c r="GOL66" s="4"/>
      <c r="GOM66" s="4"/>
      <c r="GON66" s="4"/>
      <c r="GOO66" s="4"/>
      <c r="GOP66" s="4"/>
      <c r="GOQ66" s="4"/>
      <c r="GOR66" s="4"/>
      <c r="GOS66" s="4"/>
      <c r="GOT66" s="4"/>
      <c r="GOU66" s="4"/>
      <c r="GOV66" s="4"/>
      <c r="GOW66" s="4"/>
      <c r="GOX66" s="4"/>
      <c r="GOY66" s="4"/>
      <c r="GOZ66" s="4"/>
      <c r="GPA66" s="4"/>
      <c r="GPB66" s="4"/>
      <c r="GPC66" s="4"/>
      <c r="GPD66" s="4"/>
      <c r="GPE66" s="4"/>
      <c r="GPF66" s="4"/>
      <c r="GPG66" s="4"/>
      <c r="GPH66" s="4"/>
      <c r="GPI66" s="4"/>
      <c r="GPJ66" s="4"/>
      <c r="GPK66" s="4"/>
      <c r="GPL66" s="4"/>
      <c r="GPM66" s="4"/>
      <c r="GPN66" s="4"/>
      <c r="GPO66" s="4"/>
      <c r="GPP66" s="4"/>
      <c r="GPQ66" s="4"/>
      <c r="GPR66" s="4"/>
      <c r="GPS66" s="4"/>
      <c r="GPT66" s="4"/>
      <c r="GPU66" s="4"/>
      <c r="GPV66" s="4"/>
      <c r="GPW66" s="4"/>
      <c r="GPX66" s="4"/>
      <c r="GPY66" s="4"/>
      <c r="GPZ66" s="4"/>
      <c r="GQA66" s="4"/>
      <c r="GQB66" s="4"/>
      <c r="GQC66" s="4"/>
      <c r="GQD66" s="4"/>
      <c r="GQE66" s="4"/>
      <c r="GQF66" s="4"/>
      <c r="GQG66" s="4"/>
      <c r="GQH66" s="4"/>
      <c r="GQI66" s="4"/>
      <c r="GQJ66" s="4"/>
      <c r="GQK66" s="4"/>
      <c r="GQL66" s="4"/>
      <c r="GQM66" s="4"/>
      <c r="GQN66" s="4"/>
      <c r="GQO66" s="4"/>
      <c r="GQP66" s="4"/>
      <c r="GQQ66" s="4"/>
      <c r="GQR66" s="4"/>
      <c r="GQS66" s="4"/>
      <c r="GQT66" s="4"/>
      <c r="GQU66" s="4"/>
      <c r="GQV66" s="4"/>
      <c r="GQW66" s="4"/>
      <c r="GQX66" s="4"/>
      <c r="GQY66" s="4"/>
      <c r="GQZ66" s="4"/>
      <c r="GRA66" s="4"/>
      <c r="GRB66" s="4"/>
      <c r="GRC66" s="4"/>
      <c r="GRD66" s="4"/>
      <c r="GRE66" s="4"/>
      <c r="GRF66" s="4"/>
      <c r="GRG66" s="4"/>
      <c r="GRH66" s="4"/>
      <c r="GRI66" s="4"/>
      <c r="GRJ66" s="4"/>
      <c r="GRK66" s="4"/>
      <c r="GRL66" s="4"/>
      <c r="GRM66" s="4"/>
      <c r="GRN66" s="4"/>
      <c r="GRO66" s="4"/>
      <c r="GRP66" s="4"/>
      <c r="GRQ66" s="4"/>
      <c r="GRR66" s="4"/>
      <c r="GRS66" s="4"/>
      <c r="GRT66" s="4"/>
      <c r="GRU66" s="4"/>
      <c r="GRV66" s="4"/>
      <c r="GRW66" s="4"/>
      <c r="GRX66" s="4"/>
      <c r="GRY66" s="4"/>
      <c r="GRZ66" s="4"/>
      <c r="GSA66" s="4"/>
      <c r="GSB66" s="4"/>
      <c r="GSC66" s="4"/>
      <c r="GSD66" s="4"/>
      <c r="GSE66" s="4"/>
      <c r="GSF66" s="4"/>
      <c r="GSG66" s="4"/>
      <c r="GSH66" s="4"/>
      <c r="GSI66" s="4"/>
      <c r="GSJ66" s="4"/>
      <c r="GSK66" s="4"/>
      <c r="GSL66" s="4"/>
      <c r="GSM66" s="4"/>
      <c r="GSN66" s="4"/>
      <c r="GSO66" s="4"/>
      <c r="GSP66" s="4"/>
      <c r="GSQ66" s="4"/>
      <c r="GSR66" s="4"/>
      <c r="GSS66" s="4"/>
      <c r="GST66" s="4"/>
      <c r="GSU66" s="4"/>
      <c r="GSV66" s="4"/>
      <c r="GSW66" s="4"/>
      <c r="GSX66" s="4"/>
      <c r="GSY66" s="4"/>
      <c r="GSZ66" s="4"/>
      <c r="GTA66" s="4"/>
      <c r="GTB66" s="4"/>
      <c r="GTC66" s="4"/>
      <c r="GTD66" s="4"/>
      <c r="GTE66" s="4"/>
      <c r="GTF66" s="4"/>
      <c r="GTG66" s="4"/>
      <c r="GTH66" s="4"/>
      <c r="GTI66" s="4"/>
      <c r="GTJ66" s="4"/>
      <c r="GTK66" s="4"/>
      <c r="GTL66" s="4"/>
      <c r="GTM66" s="4"/>
      <c r="GTN66" s="4"/>
      <c r="GTO66" s="4"/>
      <c r="GTP66" s="4"/>
      <c r="GTQ66" s="4"/>
      <c r="GTR66" s="4"/>
      <c r="GTS66" s="4"/>
      <c r="GTT66" s="4"/>
      <c r="GTU66" s="4"/>
      <c r="GTV66" s="4"/>
      <c r="GTW66" s="4"/>
      <c r="GTX66" s="4"/>
      <c r="GTY66" s="4"/>
      <c r="GTZ66" s="4"/>
      <c r="GUA66" s="4"/>
      <c r="GUB66" s="4"/>
      <c r="GUC66" s="4"/>
      <c r="GUD66" s="4"/>
      <c r="GUE66" s="4"/>
      <c r="GUF66" s="4"/>
      <c r="GUG66" s="4"/>
      <c r="GUH66" s="4"/>
      <c r="GUI66" s="4"/>
      <c r="GUJ66" s="4"/>
      <c r="GUK66" s="4"/>
      <c r="GUL66" s="4"/>
      <c r="GUM66" s="4"/>
      <c r="GUN66" s="4"/>
      <c r="GUO66" s="4"/>
      <c r="GUP66" s="4"/>
      <c r="GUQ66" s="4"/>
      <c r="GUR66" s="4"/>
      <c r="GUS66" s="4"/>
      <c r="GUT66" s="4"/>
      <c r="GUU66" s="4"/>
      <c r="GUV66" s="4"/>
      <c r="GUW66" s="4"/>
      <c r="GUX66" s="4"/>
      <c r="GUY66" s="4"/>
      <c r="GUZ66" s="4"/>
      <c r="GVA66" s="4"/>
      <c r="GVB66" s="4"/>
      <c r="GVC66" s="4"/>
      <c r="GVD66" s="4"/>
      <c r="GVE66" s="4"/>
      <c r="GVF66" s="4"/>
      <c r="GVG66" s="4"/>
      <c r="GVH66" s="4"/>
      <c r="GVI66" s="4"/>
      <c r="GVJ66" s="4"/>
      <c r="GVK66" s="4"/>
      <c r="GVL66" s="4"/>
      <c r="GVM66" s="4"/>
      <c r="GVN66" s="4"/>
      <c r="GVO66" s="4"/>
      <c r="GVP66" s="4"/>
      <c r="GVQ66" s="4"/>
      <c r="GVR66" s="4"/>
      <c r="GVS66" s="4"/>
      <c r="GVT66" s="4"/>
      <c r="GVU66" s="4"/>
      <c r="GVV66" s="4"/>
      <c r="GVW66" s="4"/>
      <c r="GVX66" s="4"/>
      <c r="GVY66" s="4"/>
      <c r="GVZ66" s="4"/>
      <c r="GWA66" s="4"/>
      <c r="GWB66" s="4"/>
      <c r="GWC66" s="4"/>
      <c r="GWD66" s="4"/>
      <c r="GWE66" s="4"/>
      <c r="GWF66" s="4"/>
      <c r="GWG66" s="4"/>
      <c r="GWH66" s="4"/>
      <c r="GWI66" s="4"/>
      <c r="GWJ66" s="4"/>
      <c r="GWK66" s="4"/>
      <c r="GWL66" s="4"/>
      <c r="GWM66" s="4"/>
      <c r="GWN66" s="4"/>
      <c r="GWO66" s="4"/>
      <c r="GWP66" s="4"/>
      <c r="GWQ66" s="4"/>
      <c r="GWR66" s="4"/>
      <c r="GWS66" s="4"/>
      <c r="GWT66" s="4"/>
      <c r="GWU66" s="4"/>
      <c r="GWV66" s="4"/>
      <c r="GWW66" s="4"/>
      <c r="GWX66" s="4"/>
      <c r="GWY66" s="4"/>
      <c r="GWZ66" s="4"/>
      <c r="GXA66" s="4"/>
      <c r="GXB66" s="4"/>
      <c r="GXC66" s="4"/>
      <c r="GXD66" s="4"/>
      <c r="GXE66" s="4"/>
      <c r="GXF66" s="4"/>
      <c r="GXG66" s="4"/>
      <c r="GXH66" s="4"/>
      <c r="GXI66" s="4"/>
      <c r="GXJ66" s="4"/>
      <c r="GXK66" s="4"/>
      <c r="GXL66" s="4"/>
      <c r="GXM66" s="4"/>
      <c r="GXN66" s="4"/>
      <c r="GXO66" s="4"/>
      <c r="GXP66" s="4"/>
      <c r="GXQ66" s="4"/>
      <c r="GXR66" s="4"/>
      <c r="GXS66" s="4"/>
      <c r="GXT66" s="4"/>
      <c r="GXU66" s="4"/>
      <c r="GXV66" s="4"/>
      <c r="GXW66" s="4"/>
      <c r="GXX66" s="4"/>
      <c r="GXY66" s="4"/>
      <c r="GXZ66" s="4"/>
      <c r="GYA66" s="4"/>
      <c r="GYB66" s="4"/>
      <c r="GYC66" s="4"/>
      <c r="GYD66" s="4"/>
      <c r="GYE66" s="4"/>
      <c r="GYF66" s="4"/>
      <c r="GYG66" s="4"/>
      <c r="GYH66" s="4"/>
      <c r="GYI66" s="4"/>
      <c r="GYJ66" s="4"/>
      <c r="GYK66" s="4"/>
      <c r="GYL66" s="4"/>
      <c r="GYM66" s="4"/>
      <c r="GYN66" s="4"/>
      <c r="GYO66" s="4"/>
      <c r="GYP66" s="4"/>
      <c r="GYQ66" s="4"/>
      <c r="GYR66" s="4"/>
      <c r="GYS66" s="4"/>
      <c r="GYT66" s="4"/>
      <c r="GYU66" s="4"/>
      <c r="GYV66" s="4"/>
      <c r="GYW66" s="4"/>
      <c r="GYX66" s="4"/>
      <c r="GYY66" s="4"/>
      <c r="GYZ66" s="4"/>
      <c r="GZA66" s="4"/>
      <c r="GZB66" s="4"/>
      <c r="GZC66" s="4"/>
      <c r="GZD66" s="4"/>
      <c r="GZE66" s="4"/>
      <c r="GZF66" s="4"/>
      <c r="GZG66" s="4"/>
      <c r="GZH66" s="4"/>
      <c r="GZI66" s="4"/>
      <c r="GZJ66" s="4"/>
      <c r="GZK66" s="4"/>
      <c r="GZL66" s="4"/>
      <c r="GZM66" s="4"/>
      <c r="GZN66" s="4"/>
      <c r="GZO66" s="4"/>
      <c r="GZP66" s="4"/>
      <c r="GZQ66" s="4"/>
      <c r="GZR66" s="4"/>
      <c r="GZS66" s="4"/>
      <c r="GZT66" s="4"/>
      <c r="GZU66" s="4"/>
      <c r="GZV66" s="4"/>
      <c r="GZW66" s="4"/>
      <c r="GZX66" s="4"/>
      <c r="GZY66" s="4"/>
      <c r="GZZ66" s="4"/>
      <c r="HAA66" s="4"/>
      <c r="HAB66" s="4"/>
      <c r="HAC66" s="4"/>
      <c r="HAD66" s="4"/>
      <c r="HAE66" s="4"/>
      <c r="HAF66" s="4"/>
      <c r="HAG66" s="4"/>
      <c r="HAH66" s="4"/>
      <c r="HAI66" s="4"/>
      <c r="HAJ66" s="4"/>
      <c r="HAK66" s="4"/>
      <c r="HAL66" s="4"/>
      <c r="HAM66" s="4"/>
      <c r="HAN66" s="4"/>
      <c r="HAO66" s="4"/>
      <c r="HAP66" s="4"/>
      <c r="HAQ66" s="4"/>
      <c r="HAR66" s="4"/>
      <c r="HAS66" s="4"/>
      <c r="HAT66" s="4"/>
      <c r="HAU66" s="4"/>
      <c r="HAV66" s="4"/>
      <c r="HAW66" s="4"/>
      <c r="HAX66" s="4"/>
      <c r="HAY66" s="4"/>
      <c r="HAZ66" s="4"/>
      <c r="HBA66" s="4"/>
      <c r="HBB66" s="4"/>
      <c r="HBC66" s="4"/>
      <c r="HBD66" s="4"/>
      <c r="HBE66" s="4"/>
      <c r="HBF66" s="4"/>
      <c r="HBG66" s="4"/>
      <c r="HBH66" s="4"/>
      <c r="HBI66" s="4"/>
      <c r="HBJ66" s="4"/>
      <c r="HBK66" s="4"/>
      <c r="HBL66" s="4"/>
      <c r="HBM66" s="4"/>
      <c r="HBN66" s="4"/>
      <c r="HBO66" s="4"/>
      <c r="HBP66" s="4"/>
      <c r="HBQ66" s="4"/>
      <c r="HBR66" s="4"/>
      <c r="HBS66" s="4"/>
      <c r="HBT66" s="4"/>
      <c r="HBU66" s="4"/>
      <c r="HBV66" s="4"/>
      <c r="HBW66" s="4"/>
      <c r="HBX66" s="4"/>
      <c r="HBY66" s="4"/>
      <c r="HBZ66" s="4"/>
      <c r="HCA66" s="4"/>
      <c r="HCB66" s="4"/>
      <c r="HCC66" s="4"/>
      <c r="HCD66" s="4"/>
      <c r="HCE66" s="4"/>
      <c r="HCF66" s="4"/>
      <c r="HCG66" s="4"/>
      <c r="HCH66" s="4"/>
      <c r="HCI66" s="4"/>
      <c r="HCJ66" s="4"/>
      <c r="HCK66" s="4"/>
      <c r="HCL66" s="4"/>
      <c r="HCM66" s="4"/>
      <c r="HCN66" s="4"/>
      <c r="HCO66" s="4"/>
      <c r="HCP66" s="4"/>
      <c r="HCQ66" s="4"/>
      <c r="HCR66" s="4"/>
      <c r="HCS66" s="4"/>
      <c r="HCT66" s="4"/>
      <c r="HCU66" s="4"/>
      <c r="HCV66" s="4"/>
      <c r="HCW66" s="4"/>
      <c r="HCX66" s="4"/>
      <c r="HCY66" s="4"/>
      <c r="HCZ66" s="4"/>
      <c r="HDA66" s="4"/>
      <c r="HDB66" s="4"/>
      <c r="HDC66" s="4"/>
      <c r="HDD66" s="4"/>
      <c r="HDE66" s="4"/>
      <c r="HDF66" s="4"/>
      <c r="HDG66" s="4"/>
      <c r="HDH66" s="4"/>
      <c r="HDI66" s="4"/>
      <c r="HDJ66" s="4"/>
      <c r="HDK66" s="4"/>
      <c r="HDL66" s="4"/>
      <c r="HDM66" s="4"/>
      <c r="HDN66" s="4"/>
      <c r="HDO66" s="4"/>
      <c r="HDP66" s="4"/>
      <c r="HDQ66" s="4"/>
      <c r="HDR66" s="4"/>
      <c r="HDS66" s="4"/>
      <c r="HDT66" s="4"/>
      <c r="HDU66" s="4"/>
      <c r="HDV66" s="4"/>
      <c r="HDW66" s="4"/>
      <c r="HDX66" s="4"/>
      <c r="HDY66" s="4"/>
      <c r="HDZ66" s="4"/>
      <c r="HEA66" s="4"/>
      <c r="HEB66" s="4"/>
      <c r="HEC66" s="4"/>
      <c r="HED66" s="4"/>
      <c r="HEE66" s="4"/>
      <c r="HEF66" s="4"/>
      <c r="HEG66" s="4"/>
      <c r="HEH66" s="4"/>
      <c r="HEI66" s="4"/>
      <c r="HEJ66" s="4"/>
      <c r="HEK66" s="4"/>
      <c r="HEL66" s="4"/>
      <c r="HEM66" s="4"/>
      <c r="HEN66" s="4"/>
      <c r="HEO66" s="4"/>
      <c r="HEP66" s="4"/>
      <c r="HEQ66" s="4"/>
      <c r="HER66" s="4"/>
      <c r="HES66" s="4"/>
      <c r="HET66" s="4"/>
      <c r="HEU66" s="4"/>
      <c r="HEV66" s="4"/>
      <c r="HEW66" s="4"/>
      <c r="HEX66" s="4"/>
      <c r="HEY66" s="4"/>
      <c r="HEZ66" s="4"/>
      <c r="HFA66" s="4"/>
      <c r="HFB66" s="4"/>
      <c r="HFC66" s="4"/>
      <c r="HFD66" s="4"/>
      <c r="HFE66" s="4"/>
      <c r="HFF66" s="4"/>
      <c r="HFG66" s="4"/>
      <c r="HFH66" s="4"/>
      <c r="HFI66" s="4"/>
      <c r="HFJ66" s="4"/>
      <c r="HFK66" s="4"/>
      <c r="HFL66" s="4"/>
      <c r="HFM66" s="4"/>
      <c r="HFN66" s="4"/>
      <c r="HFO66" s="4"/>
      <c r="HFP66" s="4"/>
      <c r="HFQ66" s="4"/>
      <c r="HFR66" s="4"/>
      <c r="HFS66" s="4"/>
      <c r="HFT66" s="4"/>
      <c r="HFU66" s="4"/>
      <c r="HFV66" s="4"/>
      <c r="HFW66" s="4"/>
      <c r="HFX66" s="4"/>
      <c r="HFY66" s="4"/>
      <c r="HFZ66" s="4"/>
      <c r="HGA66" s="4"/>
      <c r="HGB66" s="4"/>
      <c r="HGC66" s="4"/>
      <c r="HGD66" s="4"/>
      <c r="HGE66" s="4"/>
      <c r="HGF66" s="4"/>
      <c r="HGG66" s="4"/>
      <c r="HGH66" s="4"/>
      <c r="HGI66" s="4"/>
      <c r="HGJ66" s="4"/>
      <c r="HGK66" s="4"/>
      <c r="HGL66" s="4"/>
      <c r="HGM66" s="4"/>
      <c r="HGN66" s="4"/>
      <c r="HGO66" s="4"/>
      <c r="HGP66" s="4"/>
      <c r="HGQ66" s="4"/>
      <c r="HGR66" s="4"/>
      <c r="HGS66" s="4"/>
      <c r="HGT66" s="4"/>
      <c r="HGU66" s="4"/>
      <c r="HGV66" s="4"/>
      <c r="HGW66" s="4"/>
      <c r="HGX66" s="4"/>
      <c r="HGY66" s="4"/>
      <c r="HGZ66" s="4"/>
      <c r="HHA66" s="4"/>
      <c r="HHB66" s="4"/>
      <c r="HHC66" s="4"/>
      <c r="HHD66" s="4"/>
      <c r="HHE66" s="4"/>
      <c r="HHF66" s="4"/>
      <c r="HHG66" s="4"/>
      <c r="HHH66" s="4"/>
      <c r="HHI66" s="4"/>
      <c r="HHJ66" s="4"/>
      <c r="HHK66" s="4"/>
      <c r="HHL66" s="4"/>
      <c r="HHM66" s="4"/>
      <c r="HHN66" s="4"/>
      <c r="HHO66" s="4"/>
      <c r="HHP66" s="4"/>
      <c r="HHQ66" s="4"/>
      <c r="HHR66" s="4"/>
      <c r="HHS66" s="4"/>
      <c r="HHT66" s="4"/>
      <c r="HHU66" s="4"/>
      <c r="HHV66" s="4"/>
      <c r="HHW66" s="4"/>
      <c r="HHX66" s="4"/>
      <c r="HHY66" s="4"/>
      <c r="HHZ66" s="4"/>
      <c r="HIA66" s="4"/>
      <c r="HIB66" s="4"/>
      <c r="HIC66" s="4"/>
      <c r="HID66" s="4"/>
      <c r="HIE66" s="4"/>
      <c r="HIF66" s="4"/>
      <c r="HIG66" s="4"/>
      <c r="HIH66" s="4"/>
      <c r="HII66" s="4"/>
      <c r="HIJ66" s="4"/>
      <c r="HIK66" s="4"/>
      <c r="HIL66" s="4"/>
      <c r="HIM66" s="4"/>
      <c r="HIN66" s="4"/>
      <c r="HIO66" s="4"/>
      <c r="HIP66" s="4"/>
      <c r="HIQ66" s="4"/>
      <c r="HIR66" s="4"/>
      <c r="HIS66" s="4"/>
      <c r="HIT66" s="4"/>
      <c r="HIU66" s="4"/>
      <c r="HIV66" s="4"/>
      <c r="HIW66" s="4"/>
      <c r="HIX66" s="4"/>
      <c r="HIY66" s="4"/>
      <c r="HIZ66" s="4"/>
      <c r="HJA66" s="4"/>
      <c r="HJB66" s="4"/>
      <c r="HJC66" s="4"/>
      <c r="HJD66" s="4"/>
      <c r="HJE66" s="4"/>
      <c r="HJF66" s="4"/>
      <c r="HJG66" s="4"/>
      <c r="HJH66" s="4"/>
      <c r="HJI66" s="4"/>
      <c r="HJJ66" s="4"/>
      <c r="HJK66" s="4"/>
      <c r="HJL66" s="4"/>
      <c r="HJM66" s="4"/>
      <c r="HJN66" s="4"/>
      <c r="HJO66" s="4"/>
      <c r="HJP66" s="4"/>
      <c r="HJQ66" s="4"/>
      <c r="HJR66" s="4"/>
      <c r="HJS66" s="4"/>
      <c r="HJT66" s="4"/>
      <c r="HJU66" s="4"/>
      <c r="HJV66" s="4"/>
      <c r="HJW66" s="4"/>
      <c r="HJX66" s="4"/>
      <c r="HJY66" s="4"/>
      <c r="HJZ66" s="4"/>
      <c r="HKA66" s="4"/>
      <c r="HKB66" s="4"/>
      <c r="HKC66" s="4"/>
      <c r="HKD66" s="4"/>
      <c r="HKE66" s="4"/>
      <c r="HKF66" s="4"/>
      <c r="HKG66" s="4"/>
      <c r="HKH66" s="4"/>
      <c r="HKI66" s="4"/>
      <c r="HKJ66" s="4"/>
      <c r="HKK66" s="4"/>
      <c r="HKL66" s="4"/>
      <c r="HKM66" s="4"/>
      <c r="HKN66" s="4"/>
      <c r="HKO66" s="4"/>
      <c r="HKP66" s="4"/>
      <c r="HKQ66" s="4"/>
      <c r="HKR66" s="4"/>
      <c r="HKS66" s="4"/>
      <c r="HKT66" s="4"/>
      <c r="HKU66" s="4"/>
      <c r="HKV66" s="4"/>
      <c r="HKW66" s="4"/>
      <c r="HKX66" s="4"/>
      <c r="HKY66" s="4"/>
      <c r="HKZ66" s="4"/>
      <c r="HLA66" s="4"/>
      <c r="HLB66" s="4"/>
      <c r="HLC66" s="4"/>
      <c r="HLD66" s="4"/>
      <c r="HLE66" s="4"/>
      <c r="HLF66" s="4"/>
      <c r="HLG66" s="4"/>
      <c r="HLH66" s="4"/>
      <c r="HLI66" s="4"/>
      <c r="HLJ66" s="4"/>
      <c r="HLK66" s="4"/>
      <c r="HLL66" s="4"/>
      <c r="HLM66" s="4"/>
      <c r="HLN66" s="4"/>
      <c r="HLO66" s="4"/>
      <c r="HLP66" s="4"/>
      <c r="HLQ66" s="4"/>
      <c r="HLR66" s="4"/>
      <c r="HLS66" s="4"/>
      <c r="HLT66" s="4"/>
      <c r="HLU66" s="4"/>
      <c r="HLV66" s="4"/>
      <c r="HLW66" s="4"/>
      <c r="HLX66" s="4"/>
      <c r="HLY66" s="4"/>
      <c r="HLZ66" s="4"/>
      <c r="HMA66" s="4"/>
      <c r="HMB66" s="4"/>
      <c r="HMC66" s="4"/>
      <c r="HMD66" s="4"/>
      <c r="HME66" s="4"/>
      <c r="HMF66" s="4"/>
      <c r="HMG66" s="4"/>
      <c r="HMH66" s="4"/>
      <c r="HMI66" s="4"/>
      <c r="HMJ66" s="4"/>
      <c r="HMK66" s="4"/>
      <c r="HML66" s="4"/>
      <c r="HMM66" s="4"/>
      <c r="HMN66" s="4"/>
      <c r="HMO66" s="4"/>
      <c r="HMP66" s="4"/>
      <c r="HMQ66" s="4"/>
      <c r="HMR66" s="4"/>
      <c r="HMS66" s="4"/>
      <c r="HMT66" s="4"/>
      <c r="HMU66" s="4"/>
      <c r="HMV66" s="4"/>
      <c r="HMW66" s="4"/>
      <c r="HMX66" s="4"/>
      <c r="HMY66" s="4"/>
      <c r="HMZ66" s="4"/>
      <c r="HNA66" s="4"/>
      <c r="HNB66" s="4"/>
      <c r="HNC66" s="4"/>
      <c r="HND66" s="4"/>
      <c r="HNE66" s="4"/>
      <c r="HNF66" s="4"/>
      <c r="HNG66" s="4"/>
      <c r="HNH66" s="4"/>
      <c r="HNI66" s="4"/>
      <c r="HNJ66" s="4"/>
      <c r="HNK66" s="4"/>
      <c r="HNL66" s="4"/>
      <c r="HNM66" s="4"/>
      <c r="HNN66" s="4"/>
      <c r="HNO66" s="4"/>
      <c r="HNP66" s="4"/>
      <c r="HNQ66" s="4"/>
      <c r="HNR66" s="4"/>
      <c r="HNS66" s="4"/>
      <c r="HNT66" s="4"/>
      <c r="HNU66" s="4"/>
      <c r="HNV66" s="4"/>
      <c r="HNW66" s="4"/>
      <c r="HNX66" s="4"/>
      <c r="HNY66" s="4"/>
      <c r="HNZ66" s="4"/>
      <c r="HOA66" s="4"/>
      <c r="HOB66" s="4"/>
      <c r="HOC66" s="4"/>
      <c r="HOD66" s="4"/>
      <c r="HOE66" s="4"/>
      <c r="HOF66" s="4"/>
      <c r="HOG66" s="4"/>
      <c r="HOH66" s="4"/>
      <c r="HOI66" s="4"/>
      <c r="HOJ66" s="4"/>
      <c r="HOK66" s="4"/>
      <c r="HOL66" s="4"/>
      <c r="HOM66" s="4"/>
      <c r="HON66" s="4"/>
      <c r="HOO66" s="4"/>
      <c r="HOP66" s="4"/>
      <c r="HOQ66" s="4"/>
      <c r="HOR66" s="4"/>
      <c r="HOS66" s="4"/>
      <c r="HOT66" s="4"/>
      <c r="HOU66" s="4"/>
      <c r="HOV66" s="4"/>
      <c r="HOW66" s="4"/>
      <c r="HOX66" s="4"/>
      <c r="HOY66" s="4"/>
      <c r="HOZ66" s="4"/>
      <c r="HPA66" s="4"/>
      <c r="HPB66" s="4"/>
      <c r="HPC66" s="4"/>
      <c r="HPD66" s="4"/>
      <c r="HPE66" s="4"/>
      <c r="HPF66" s="4"/>
      <c r="HPG66" s="4"/>
      <c r="HPH66" s="4"/>
      <c r="HPI66" s="4"/>
      <c r="HPJ66" s="4"/>
      <c r="HPK66" s="4"/>
      <c r="HPL66" s="4"/>
      <c r="HPM66" s="4"/>
      <c r="HPN66" s="4"/>
      <c r="HPO66" s="4"/>
      <c r="HPP66" s="4"/>
      <c r="HPQ66" s="4"/>
      <c r="HPR66" s="4"/>
      <c r="HPS66" s="4"/>
      <c r="HPT66" s="4"/>
      <c r="HPU66" s="4"/>
      <c r="HPV66" s="4"/>
      <c r="HPW66" s="4"/>
      <c r="HPX66" s="4"/>
      <c r="HPY66" s="4"/>
      <c r="HPZ66" s="4"/>
      <c r="HQA66" s="4"/>
      <c r="HQB66" s="4"/>
      <c r="HQC66" s="4"/>
      <c r="HQD66" s="4"/>
      <c r="HQE66" s="4"/>
      <c r="HQF66" s="4"/>
      <c r="HQG66" s="4"/>
      <c r="HQH66" s="4"/>
      <c r="HQI66" s="4"/>
      <c r="HQJ66" s="4"/>
      <c r="HQK66" s="4"/>
      <c r="HQL66" s="4"/>
      <c r="HQM66" s="4"/>
      <c r="HQN66" s="4"/>
      <c r="HQO66" s="4"/>
      <c r="HQP66" s="4"/>
      <c r="HQQ66" s="4"/>
      <c r="HQR66" s="4"/>
      <c r="HQS66" s="4"/>
      <c r="HQT66" s="4"/>
      <c r="HQU66" s="4"/>
      <c r="HQV66" s="4"/>
      <c r="HQW66" s="4"/>
      <c r="HQX66" s="4"/>
      <c r="HQY66" s="4"/>
      <c r="HQZ66" s="4"/>
      <c r="HRA66" s="4"/>
      <c r="HRB66" s="4"/>
      <c r="HRC66" s="4"/>
      <c r="HRD66" s="4"/>
      <c r="HRE66" s="4"/>
      <c r="HRF66" s="4"/>
      <c r="HRG66" s="4"/>
      <c r="HRH66" s="4"/>
      <c r="HRI66" s="4"/>
      <c r="HRJ66" s="4"/>
      <c r="HRK66" s="4"/>
      <c r="HRL66" s="4"/>
      <c r="HRM66" s="4"/>
      <c r="HRN66" s="4"/>
      <c r="HRO66" s="4"/>
      <c r="HRP66" s="4"/>
      <c r="HRQ66" s="4"/>
      <c r="HRR66" s="4"/>
      <c r="HRS66" s="4"/>
      <c r="HRT66" s="4"/>
      <c r="HRU66" s="4"/>
      <c r="HRV66" s="4"/>
      <c r="HRW66" s="4"/>
      <c r="HRX66" s="4"/>
      <c r="HRY66" s="4"/>
      <c r="HRZ66" s="4"/>
      <c r="HSA66" s="4"/>
      <c r="HSB66" s="4"/>
      <c r="HSC66" s="4"/>
      <c r="HSD66" s="4"/>
      <c r="HSE66" s="4"/>
      <c r="HSF66" s="4"/>
      <c r="HSG66" s="4"/>
      <c r="HSH66" s="4"/>
      <c r="HSI66" s="4"/>
      <c r="HSJ66" s="4"/>
      <c r="HSK66" s="4"/>
      <c r="HSL66" s="4"/>
      <c r="HSM66" s="4"/>
      <c r="HSN66" s="4"/>
      <c r="HSO66" s="4"/>
      <c r="HSP66" s="4"/>
      <c r="HSQ66" s="4"/>
      <c r="HSR66" s="4"/>
      <c r="HSS66" s="4"/>
      <c r="HST66" s="4"/>
      <c r="HSU66" s="4"/>
      <c r="HSV66" s="4"/>
      <c r="HSW66" s="4"/>
      <c r="HSX66" s="4"/>
      <c r="HSY66" s="4"/>
      <c r="HSZ66" s="4"/>
      <c r="HTA66" s="4"/>
      <c r="HTB66" s="4"/>
      <c r="HTC66" s="4"/>
      <c r="HTD66" s="4"/>
      <c r="HTE66" s="4"/>
      <c r="HTF66" s="4"/>
      <c r="HTG66" s="4"/>
      <c r="HTH66" s="4"/>
      <c r="HTI66" s="4"/>
      <c r="HTJ66" s="4"/>
      <c r="HTK66" s="4"/>
      <c r="HTL66" s="4"/>
      <c r="HTM66" s="4"/>
      <c r="HTN66" s="4"/>
      <c r="HTO66" s="4"/>
      <c r="HTP66" s="4"/>
      <c r="HTQ66" s="4"/>
      <c r="HTR66" s="4"/>
      <c r="HTS66" s="4"/>
      <c r="HTT66" s="4"/>
      <c r="HTU66" s="4"/>
      <c r="HTV66" s="4"/>
      <c r="HTW66" s="4"/>
      <c r="HTX66" s="4"/>
      <c r="HTY66" s="4"/>
      <c r="HTZ66" s="4"/>
      <c r="HUA66" s="4"/>
      <c r="HUB66" s="4"/>
      <c r="HUC66" s="4"/>
      <c r="HUD66" s="4"/>
      <c r="HUE66" s="4"/>
      <c r="HUF66" s="4"/>
      <c r="HUG66" s="4"/>
      <c r="HUH66" s="4"/>
      <c r="HUI66" s="4"/>
      <c r="HUJ66" s="4"/>
      <c r="HUK66" s="4"/>
      <c r="HUL66" s="4"/>
      <c r="HUM66" s="4"/>
      <c r="HUN66" s="4"/>
      <c r="HUO66" s="4"/>
      <c r="HUP66" s="4"/>
      <c r="HUQ66" s="4"/>
      <c r="HUR66" s="4"/>
      <c r="HUS66" s="4"/>
      <c r="HUT66" s="4"/>
      <c r="HUU66" s="4"/>
      <c r="HUV66" s="4"/>
      <c r="HUW66" s="4"/>
      <c r="HUX66" s="4"/>
      <c r="HUY66" s="4"/>
      <c r="HUZ66" s="4"/>
      <c r="HVA66" s="4"/>
      <c r="HVB66" s="4"/>
      <c r="HVC66" s="4"/>
      <c r="HVD66" s="4"/>
      <c r="HVE66" s="4"/>
      <c r="HVF66" s="4"/>
      <c r="HVG66" s="4"/>
      <c r="HVH66" s="4"/>
      <c r="HVI66" s="4"/>
      <c r="HVJ66" s="4"/>
      <c r="HVK66" s="4"/>
      <c r="HVL66" s="4"/>
      <c r="HVM66" s="4"/>
      <c r="HVN66" s="4"/>
      <c r="HVO66" s="4"/>
      <c r="HVP66" s="4"/>
      <c r="HVQ66" s="4"/>
      <c r="HVR66" s="4"/>
      <c r="HVS66" s="4"/>
      <c r="HVT66" s="4"/>
      <c r="HVU66" s="4"/>
      <c r="HVV66" s="4"/>
      <c r="HVW66" s="4"/>
      <c r="HVX66" s="4"/>
      <c r="HVY66" s="4"/>
      <c r="HVZ66" s="4"/>
      <c r="HWA66" s="4"/>
      <c r="HWB66" s="4"/>
      <c r="HWC66" s="4"/>
      <c r="HWD66" s="4"/>
      <c r="HWE66" s="4"/>
      <c r="HWF66" s="4"/>
      <c r="HWG66" s="4"/>
      <c r="HWH66" s="4"/>
      <c r="HWI66" s="4"/>
      <c r="HWJ66" s="4"/>
      <c r="HWK66" s="4"/>
      <c r="HWL66" s="4"/>
      <c r="HWM66" s="4"/>
      <c r="HWN66" s="4"/>
      <c r="HWO66" s="4"/>
      <c r="HWP66" s="4"/>
      <c r="HWQ66" s="4"/>
      <c r="HWR66" s="4"/>
      <c r="HWS66" s="4"/>
      <c r="HWT66" s="4"/>
      <c r="HWU66" s="4"/>
      <c r="HWV66" s="4"/>
      <c r="HWW66" s="4"/>
      <c r="HWX66" s="4"/>
      <c r="HWY66" s="4"/>
      <c r="HWZ66" s="4"/>
      <c r="HXA66" s="4"/>
      <c r="HXB66" s="4"/>
      <c r="HXC66" s="4"/>
      <c r="HXD66" s="4"/>
      <c r="HXE66" s="4"/>
      <c r="HXF66" s="4"/>
      <c r="HXG66" s="4"/>
      <c r="HXH66" s="4"/>
      <c r="HXI66" s="4"/>
      <c r="HXJ66" s="4"/>
      <c r="HXK66" s="4"/>
      <c r="HXL66" s="4"/>
      <c r="HXM66" s="4"/>
      <c r="HXN66" s="4"/>
      <c r="HXO66" s="4"/>
      <c r="HXP66" s="4"/>
      <c r="HXQ66" s="4"/>
      <c r="HXR66" s="4"/>
      <c r="HXS66" s="4"/>
      <c r="HXT66" s="4"/>
      <c r="HXU66" s="4"/>
      <c r="HXV66" s="4"/>
      <c r="HXW66" s="4"/>
      <c r="HXX66" s="4"/>
      <c r="HXY66" s="4"/>
      <c r="HXZ66" s="4"/>
      <c r="HYA66" s="4"/>
      <c r="HYB66" s="4"/>
      <c r="HYC66" s="4"/>
      <c r="HYD66" s="4"/>
      <c r="HYE66" s="4"/>
      <c r="HYF66" s="4"/>
      <c r="HYG66" s="4"/>
      <c r="HYH66" s="4"/>
      <c r="HYI66" s="4"/>
      <c r="HYJ66" s="4"/>
      <c r="HYK66" s="4"/>
      <c r="HYL66" s="4"/>
      <c r="HYM66" s="4"/>
      <c r="HYN66" s="4"/>
      <c r="HYO66" s="4"/>
      <c r="HYP66" s="4"/>
      <c r="HYQ66" s="4"/>
      <c r="HYR66" s="4"/>
      <c r="HYS66" s="4"/>
      <c r="HYT66" s="4"/>
      <c r="HYU66" s="4"/>
      <c r="HYV66" s="4"/>
      <c r="HYW66" s="4"/>
      <c r="HYX66" s="4"/>
      <c r="HYY66" s="4"/>
      <c r="HYZ66" s="4"/>
      <c r="HZA66" s="4"/>
      <c r="HZB66" s="4"/>
      <c r="HZC66" s="4"/>
      <c r="HZD66" s="4"/>
      <c r="HZE66" s="4"/>
      <c r="HZF66" s="4"/>
      <c r="HZG66" s="4"/>
      <c r="HZH66" s="4"/>
      <c r="HZI66" s="4"/>
      <c r="HZJ66" s="4"/>
      <c r="HZK66" s="4"/>
      <c r="HZL66" s="4"/>
      <c r="HZM66" s="4"/>
      <c r="HZN66" s="4"/>
      <c r="HZO66" s="4"/>
      <c r="HZP66" s="4"/>
      <c r="HZQ66" s="4"/>
      <c r="HZR66" s="4"/>
      <c r="HZS66" s="4"/>
      <c r="HZT66" s="4"/>
      <c r="HZU66" s="4"/>
      <c r="HZV66" s="4"/>
      <c r="HZW66" s="4"/>
      <c r="HZX66" s="4"/>
      <c r="HZY66" s="4"/>
      <c r="HZZ66" s="4"/>
      <c r="IAA66" s="4"/>
      <c r="IAB66" s="4"/>
      <c r="IAC66" s="4"/>
      <c r="IAD66" s="4"/>
      <c r="IAE66" s="4"/>
      <c r="IAF66" s="4"/>
      <c r="IAG66" s="4"/>
      <c r="IAH66" s="4"/>
      <c r="IAI66" s="4"/>
      <c r="IAJ66" s="4"/>
      <c r="IAK66" s="4"/>
      <c r="IAL66" s="4"/>
      <c r="IAM66" s="4"/>
      <c r="IAN66" s="4"/>
      <c r="IAO66" s="4"/>
      <c r="IAP66" s="4"/>
      <c r="IAQ66" s="4"/>
      <c r="IAR66" s="4"/>
      <c r="IAS66" s="4"/>
      <c r="IAT66" s="4"/>
      <c r="IAU66" s="4"/>
      <c r="IAV66" s="4"/>
      <c r="IAW66" s="4"/>
      <c r="IAX66" s="4"/>
      <c r="IAY66" s="4"/>
      <c r="IAZ66" s="4"/>
      <c r="IBA66" s="4"/>
      <c r="IBB66" s="4"/>
      <c r="IBC66" s="4"/>
      <c r="IBD66" s="4"/>
      <c r="IBE66" s="4"/>
      <c r="IBF66" s="4"/>
      <c r="IBG66" s="4"/>
      <c r="IBH66" s="4"/>
      <c r="IBI66" s="4"/>
      <c r="IBJ66" s="4"/>
      <c r="IBK66" s="4"/>
      <c r="IBL66" s="4"/>
      <c r="IBM66" s="4"/>
      <c r="IBN66" s="4"/>
      <c r="IBO66" s="4"/>
      <c r="IBP66" s="4"/>
      <c r="IBQ66" s="4"/>
      <c r="IBR66" s="4"/>
      <c r="IBS66" s="4"/>
      <c r="IBT66" s="4"/>
      <c r="IBU66" s="4"/>
      <c r="IBV66" s="4"/>
      <c r="IBW66" s="4"/>
      <c r="IBX66" s="4"/>
      <c r="IBY66" s="4"/>
      <c r="IBZ66" s="4"/>
      <c r="ICA66" s="4"/>
      <c r="ICB66" s="4"/>
      <c r="ICC66" s="4"/>
      <c r="ICD66" s="4"/>
      <c r="ICE66" s="4"/>
      <c r="ICF66" s="4"/>
      <c r="ICG66" s="4"/>
      <c r="ICH66" s="4"/>
      <c r="ICI66" s="4"/>
      <c r="ICJ66" s="4"/>
      <c r="ICK66" s="4"/>
      <c r="ICL66" s="4"/>
      <c r="ICM66" s="4"/>
      <c r="ICN66" s="4"/>
      <c r="ICO66" s="4"/>
      <c r="ICP66" s="4"/>
      <c r="ICQ66" s="4"/>
      <c r="ICR66" s="4"/>
      <c r="ICS66" s="4"/>
      <c r="ICT66" s="4"/>
      <c r="ICU66" s="4"/>
      <c r="ICV66" s="4"/>
      <c r="ICW66" s="4"/>
      <c r="ICX66" s="4"/>
      <c r="ICY66" s="4"/>
      <c r="ICZ66" s="4"/>
      <c r="IDA66" s="4"/>
      <c r="IDB66" s="4"/>
      <c r="IDC66" s="4"/>
      <c r="IDD66" s="4"/>
      <c r="IDE66" s="4"/>
      <c r="IDF66" s="4"/>
      <c r="IDG66" s="4"/>
      <c r="IDH66" s="4"/>
      <c r="IDI66" s="4"/>
      <c r="IDJ66" s="4"/>
      <c r="IDK66" s="4"/>
      <c r="IDL66" s="4"/>
      <c r="IDM66" s="4"/>
      <c r="IDN66" s="4"/>
      <c r="IDO66" s="4"/>
      <c r="IDP66" s="4"/>
      <c r="IDQ66" s="4"/>
      <c r="IDR66" s="4"/>
      <c r="IDS66" s="4"/>
      <c r="IDT66" s="4"/>
      <c r="IDU66" s="4"/>
      <c r="IDV66" s="4"/>
      <c r="IDW66" s="4"/>
      <c r="IDX66" s="4"/>
      <c r="IDY66" s="4"/>
      <c r="IDZ66" s="4"/>
      <c r="IEA66" s="4"/>
      <c r="IEB66" s="4"/>
      <c r="IEC66" s="4"/>
      <c r="IED66" s="4"/>
      <c r="IEE66" s="4"/>
      <c r="IEF66" s="4"/>
      <c r="IEG66" s="4"/>
      <c r="IEH66" s="4"/>
      <c r="IEI66" s="4"/>
      <c r="IEJ66" s="4"/>
      <c r="IEK66" s="4"/>
      <c r="IEL66" s="4"/>
      <c r="IEM66" s="4"/>
      <c r="IEN66" s="4"/>
      <c r="IEO66" s="4"/>
      <c r="IEP66" s="4"/>
      <c r="IEQ66" s="4"/>
      <c r="IER66" s="4"/>
      <c r="IES66" s="4"/>
      <c r="IET66" s="4"/>
      <c r="IEU66" s="4"/>
      <c r="IEV66" s="4"/>
      <c r="IEW66" s="4"/>
      <c r="IEX66" s="4"/>
      <c r="IEY66" s="4"/>
      <c r="IEZ66" s="4"/>
      <c r="IFA66" s="4"/>
      <c r="IFB66" s="4"/>
      <c r="IFC66" s="4"/>
      <c r="IFD66" s="4"/>
      <c r="IFE66" s="4"/>
      <c r="IFF66" s="4"/>
      <c r="IFG66" s="4"/>
      <c r="IFH66" s="4"/>
      <c r="IFI66" s="4"/>
      <c r="IFJ66" s="4"/>
      <c r="IFK66" s="4"/>
      <c r="IFL66" s="4"/>
      <c r="IFM66" s="4"/>
      <c r="IFN66" s="4"/>
      <c r="IFO66" s="4"/>
      <c r="IFP66" s="4"/>
      <c r="IFQ66" s="4"/>
      <c r="IFR66" s="4"/>
      <c r="IFS66" s="4"/>
      <c r="IFT66" s="4"/>
      <c r="IFU66" s="4"/>
      <c r="IFV66" s="4"/>
      <c r="IFW66" s="4"/>
      <c r="IFX66" s="4"/>
      <c r="IFY66" s="4"/>
      <c r="IFZ66" s="4"/>
      <c r="IGA66" s="4"/>
      <c r="IGB66" s="4"/>
      <c r="IGC66" s="4"/>
      <c r="IGD66" s="4"/>
      <c r="IGE66" s="4"/>
      <c r="IGF66" s="4"/>
      <c r="IGG66" s="4"/>
      <c r="IGH66" s="4"/>
      <c r="IGI66" s="4"/>
      <c r="IGJ66" s="4"/>
      <c r="IGK66" s="4"/>
      <c r="IGL66" s="4"/>
      <c r="IGM66" s="4"/>
      <c r="IGN66" s="4"/>
      <c r="IGO66" s="4"/>
      <c r="IGP66" s="4"/>
      <c r="IGQ66" s="4"/>
      <c r="IGR66" s="4"/>
      <c r="IGS66" s="4"/>
      <c r="IGT66" s="4"/>
      <c r="IGU66" s="4"/>
      <c r="IGV66" s="4"/>
      <c r="IGW66" s="4"/>
      <c r="IGX66" s="4"/>
      <c r="IGY66" s="4"/>
      <c r="IGZ66" s="4"/>
      <c r="IHA66" s="4"/>
      <c r="IHB66" s="4"/>
      <c r="IHC66" s="4"/>
      <c r="IHD66" s="4"/>
      <c r="IHE66" s="4"/>
      <c r="IHF66" s="4"/>
      <c r="IHG66" s="4"/>
      <c r="IHH66" s="4"/>
      <c r="IHI66" s="4"/>
      <c r="IHJ66" s="4"/>
      <c r="IHK66" s="4"/>
      <c r="IHL66" s="4"/>
      <c r="IHM66" s="4"/>
      <c r="IHN66" s="4"/>
      <c r="IHO66" s="4"/>
      <c r="IHP66" s="4"/>
      <c r="IHQ66" s="4"/>
      <c r="IHR66" s="4"/>
      <c r="IHS66" s="4"/>
      <c r="IHT66" s="4"/>
      <c r="IHU66" s="4"/>
      <c r="IHV66" s="4"/>
      <c r="IHW66" s="4"/>
      <c r="IHX66" s="4"/>
      <c r="IHY66" s="4"/>
      <c r="IHZ66" s="4"/>
      <c r="IIA66" s="4"/>
      <c r="IIB66" s="4"/>
      <c r="IIC66" s="4"/>
      <c r="IID66" s="4"/>
      <c r="IIE66" s="4"/>
      <c r="IIF66" s="4"/>
      <c r="IIG66" s="4"/>
      <c r="IIH66" s="4"/>
      <c r="III66" s="4"/>
      <c r="IIJ66" s="4"/>
      <c r="IIK66" s="4"/>
      <c r="IIL66" s="4"/>
      <c r="IIM66" s="4"/>
      <c r="IIN66" s="4"/>
      <c r="IIO66" s="4"/>
      <c r="IIP66" s="4"/>
      <c r="IIQ66" s="4"/>
      <c r="IIR66" s="4"/>
      <c r="IIS66" s="4"/>
      <c r="IIT66" s="4"/>
      <c r="IIU66" s="4"/>
      <c r="IIV66" s="4"/>
      <c r="IIW66" s="4"/>
      <c r="IIX66" s="4"/>
      <c r="IIY66" s="4"/>
      <c r="IIZ66" s="4"/>
      <c r="IJA66" s="4"/>
      <c r="IJB66" s="4"/>
      <c r="IJC66" s="4"/>
      <c r="IJD66" s="4"/>
      <c r="IJE66" s="4"/>
      <c r="IJF66" s="4"/>
      <c r="IJG66" s="4"/>
      <c r="IJH66" s="4"/>
      <c r="IJI66" s="4"/>
      <c r="IJJ66" s="4"/>
      <c r="IJK66" s="4"/>
      <c r="IJL66" s="4"/>
      <c r="IJM66" s="4"/>
      <c r="IJN66" s="4"/>
      <c r="IJO66" s="4"/>
      <c r="IJP66" s="4"/>
      <c r="IJQ66" s="4"/>
      <c r="IJR66" s="4"/>
      <c r="IJS66" s="4"/>
      <c r="IJT66" s="4"/>
      <c r="IJU66" s="4"/>
      <c r="IJV66" s="4"/>
      <c r="IJW66" s="4"/>
      <c r="IJX66" s="4"/>
      <c r="IJY66" s="4"/>
      <c r="IJZ66" s="4"/>
      <c r="IKA66" s="4"/>
      <c r="IKB66" s="4"/>
      <c r="IKC66" s="4"/>
      <c r="IKD66" s="4"/>
      <c r="IKE66" s="4"/>
      <c r="IKF66" s="4"/>
      <c r="IKG66" s="4"/>
      <c r="IKH66" s="4"/>
      <c r="IKI66" s="4"/>
      <c r="IKJ66" s="4"/>
      <c r="IKK66" s="4"/>
      <c r="IKL66" s="4"/>
      <c r="IKM66" s="4"/>
      <c r="IKN66" s="4"/>
      <c r="IKO66" s="4"/>
      <c r="IKP66" s="4"/>
      <c r="IKQ66" s="4"/>
      <c r="IKR66" s="4"/>
      <c r="IKS66" s="4"/>
      <c r="IKT66" s="4"/>
      <c r="IKU66" s="4"/>
      <c r="IKV66" s="4"/>
      <c r="IKW66" s="4"/>
      <c r="IKX66" s="4"/>
      <c r="IKY66" s="4"/>
      <c r="IKZ66" s="4"/>
      <c r="ILA66" s="4"/>
      <c r="ILB66" s="4"/>
      <c r="ILC66" s="4"/>
      <c r="ILD66" s="4"/>
      <c r="ILE66" s="4"/>
      <c r="ILF66" s="4"/>
      <c r="ILG66" s="4"/>
      <c r="ILH66" s="4"/>
      <c r="ILI66" s="4"/>
      <c r="ILJ66" s="4"/>
      <c r="ILK66" s="4"/>
      <c r="ILL66" s="4"/>
      <c r="ILM66" s="4"/>
      <c r="ILN66" s="4"/>
      <c r="ILO66" s="4"/>
      <c r="ILP66" s="4"/>
      <c r="ILQ66" s="4"/>
      <c r="ILR66" s="4"/>
      <c r="ILS66" s="4"/>
      <c r="ILT66" s="4"/>
      <c r="ILU66" s="4"/>
      <c r="ILV66" s="4"/>
      <c r="ILW66" s="4"/>
      <c r="ILX66" s="4"/>
      <c r="ILY66" s="4"/>
      <c r="ILZ66" s="4"/>
      <c r="IMA66" s="4"/>
      <c r="IMB66" s="4"/>
      <c r="IMC66" s="4"/>
      <c r="IMD66" s="4"/>
      <c r="IME66" s="4"/>
      <c r="IMF66" s="4"/>
      <c r="IMG66" s="4"/>
      <c r="IMH66" s="4"/>
      <c r="IMI66" s="4"/>
      <c r="IMJ66" s="4"/>
      <c r="IMK66" s="4"/>
      <c r="IML66" s="4"/>
      <c r="IMM66" s="4"/>
      <c r="IMN66" s="4"/>
      <c r="IMO66" s="4"/>
      <c r="IMP66" s="4"/>
      <c r="IMQ66" s="4"/>
      <c r="IMR66" s="4"/>
      <c r="IMS66" s="4"/>
      <c r="IMT66" s="4"/>
      <c r="IMU66" s="4"/>
      <c r="IMV66" s="4"/>
      <c r="IMW66" s="4"/>
      <c r="IMX66" s="4"/>
      <c r="IMY66" s="4"/>
      <c r="IMZ66" s="4"/>
      <c r="INA66" s="4"/>
      <c r="INB66" s="4"/>
      <c r="INC66" s="4"/>
      <c r="IND66" s="4"/>
      <c r="INE66" s="4"/>
      <c r="INF66" s="4"/>
      <c r="ING66" s="4"/>
      <c r="INH66" s="4"/>
      <c r="INI66" s="4"/>
      <c r="INJ66" s="4"/>
      <c r="INK66" s="4"/>
      <c r="INL66" s="4"/>
      <c r="INM66" s="4"/>
      <c r="INN66" s="4"/>
      <c r="INO66" s="4"/>
      <c r="INP66" s="4"/>
      <c r="INQ66" s="4"/>
      <c r="INR66" s="4"/>
      <c r="INS66" s="4"/>
      <c r="INT66" s="4"/>
      <c r="INU66" s="4"/>
      <c r="INV66" s="4"/>
      <c r="INW66" s="4"/>
      <c r="INX66" s="4"/>
      <c r="INY66" s="4"/>
      <c r="INZ66" s="4"/>
      <c r="IOA66" s="4"/>
      <c r="IOB66" s="4"/>
      <c r="IOC66" s="4"/>
      <c r="IOD66" s="4"/>
      <c r="IOE66" s="4"/>
      <c r="IOF66" s="4"/>
      <c r="IOG66" s="4"/>
      <c r="IOH66" s="4"/>
      <c r="IOI66" s="4"/>
      <c r="IOJ66" s="4"/>
      <c r="IOK66" s="4"/>
      <c r="IOL66" s="4"/>
      <c r="IOM66" s="4"/>
      <c r="ION66" s="4"/>
      <c r="IOO66" s="4"/>
      <c r="IOP66" s="4"/>
      <c r="IOQ66" s="4"/>
      <c r="IOR66" s="4"/>
      <c r="IOS66" s="4"/>
      <c r="IOT66" s="4"/>
      <c r="IOU66" s="4"/>
      <c r="IOV66" s="4"/>
      <c r="IOW66" s="4"/>
      <c r="IOX66" s="4"/>
      <c r="IOY66" s="4"/>
      <c r="IOZ66" s="4"/>
      <c r="IPA66" s="4"/>
      <c r="IPB66" s="4"/>
      <c r="IPC66" s="4"/>
      <c r="IPD66" s="4"/>
      <c r="IPE66" s="4"/>
      <c r="IPF66" s="4"/>
      <c r="IPG66" s="4"/>
      <c r="IPH66" s="4"/>
      <c r="IPI66" s="4"/>
      <c r="IPJ66" s="4"/>
      <c r="IPK66" s="4"/>
      <c r="IPL66" s="4"/>
      <c r="IPM66" s="4"/>
      <c r="IPN66" s="4"/>
      <c r="IPO66" s="4"/>
      <c r="IPP66" s="4"/>
      <c r="IPQ66" s="4"/>
      <c r="IPR66" s="4"/>
      <c r="IPS66" s="4"/>
      <c r="IPT66" s="4"/>
      <c r="IPU66" s="4"/>
      <c r="IPV66" s="4"/>
      <c r="IPW66" s="4"/>
      <c r="IPX66" s="4"/>
      <c r="IPY66" s="4"/>
      <c r="IPZ66" s="4"/>
      <c r="IQA66" s="4"/>
      <c r="IQB66" s="4"/>
      <c r="IQC66" s="4"/>
      <c r="IQD66" s="4"/>
      <c r="IQE66" s="4"/>
      <c r="IQF66" s="4"/>
      <c r="IQG66" s="4"/>
      <c r="IQH66" s="4"/>
      <c r="IQI66" s="4"/>
      <c r="IQJ66" s="4"/>
      <c r="IQK66" s="4"/>
      <c r="IQL66" s="4"/>
      <c r="IQM66" s="4"/>
      <c r="IQN66" s="4"/>
      <c r="IQO66" s="4"/>
      <c r="IQP66" s="4"/>
      <c r="IQQ66" s="4"/>
      <c r="IQR66" s="4"/>
      <c r="IQS66" s="4"/>
      <c r="IQT66" s="4"/>
      <c r="IQU66" s="4"/>
      <c r="IQV66" s="4"/>
      <c r="IQW66" s="4"/>
      <c r="IQX66" s="4"/>
      <c r="IQY66" s="4"/>
      <c r="IQZ66" s="4"/>
      <c r="IRA66" s="4"/>
      <c r="IRB66" s="4"/>
      <c r="IRC66" s="4"/>
      <c r="IRD66" s="4"/>
      <c r="IRE66" s="4"/>
      <c r="IRF66" s="4"/>
      <c r="IRG66" s="4"/>
      <c r="IRH66" s="4"/>
      <c r="IRI66" s="4"/>
      <c r="IRJ66" s="4"/>
      <c r="IRK66" s="4"/>
      <c r="IRL66" s="4"/>
      <c r="IRM66" s="4"/>
      <c r="IRN66" s="4"/>
      <c r="IRO66" s="4"/>
      <c r="IRP66" s="4"/>
      <c r="IRQ66" s="4"/>
      <c r="IRR66" s="4"/>
      <c r="IRS66" s="4"/>
      <c r="IRT66" s="4"/>
      <c r="IRU66" s="4"/>
      <c r="IRV66" s="4"/>
      <c r="IRW66" s="4"/>
      <c r="IRX66" s="4"/>
      <c r="IRY66" s="4"/>
      <c r="IRZ66" s="4"/>
      <c r="ISA66" s="4"/>
      <c r="ISB66" s="4"/>
      <c r="ISC66" s="4"/>
      <c r="ISD66" s="4"/>
      <c r="ISE66" s="4"/>
      <c r="ISF66" s="4"/>
      <c r="ISG66" s="4"/>
      <c r="ISH66" s="4"/>
      <c r="ISI66" s="4"/>
      <c r="ISJ66" s="4"/>
      <c r="ISK66" s="4"/>
      <c r="ISL66" s="4"/>
      <c r="ISM66" s="4"/>
      <c r="ISN66" s="4"/>
      <c r="ISO66" s="4"/>
      <c r="ISP66" s="4"/>
      <c r="ISQ66" s="4"/>
      <c r="ISR66" s="4"/>
      <c r="ISS66" s="4"/>
      <c r="IST66" s="4"/>
      <c r="ISU66" s="4"/>
      <c r="ISV66" s="4"/>
      <c r="ISW66" s="4"/>
      <c r="ISX66" s="4"/>
      <c r="ISY66" s="4"/>
      <c r="ISZ66" s="4"/>
      <c r="ITA66" s="4"/>
      <c r="ITB66" s="4"/>
      <c r="ITC66" s="4"/>
      <c r="ITD66" s="4"/>
      <c r="ITE66" s="4"/>
      <c r="ITF66" s="4"/>
      <c r="ITG66" s="4"/>
      <c r="ITH66" s="4"/>
      <c r="ITI66" s="4"/>
      <c r="ITJ66" s="4"/>
      <c r="ITK66" s="4"/>
      <c r="ITL66" s="4"/>
      <c r="ITM66" s="4"/>
      <c r="ITN66" s="4"/>
      <c r="ITO66" s="4"/>
      <c r="ITP66" s="4"/>
      <c r="ITQ66" s="4"/>
      <c r="ITR66" s="4"/>
      <c r="ITS66" s="4"/>
      <c r="ITT66" s="4"/>
      <c r="ITU66" s="4"/>
      <c r="ITV66" s="4"/>
      <c r="ITW66" s="4"/>
      <c r="ITX66" s="4"/>
      <c r="ITY66" s="4"/>
      <c r="ITZ66" s="4"/>
      <c r="IUA66" s="4"/>
      <c r="IUB66" s="4"/>
      <c r="IUC66" s="4"/>
      <c r="IUD66" s="4"/>
      <c r="IUE66" s="4"/>
      <c r="IUF66" s="4"/>
      <c r="IUG66" s="4"/>
      <c r="IUH66" s="4"/>
      <c r="IUI66" s="4"/>
      <c r="IUJ66" s="4"/>
      <c r="IUK66" s="4"/>
      <c r="IUL66" s="4"/>
      <c r="IUM66" s="4"/>
      <c r="IUN66" s="4"/>
      <c r="IUO66" s="4"/>
      <c r="IUP66" s="4"/>
      <c r="IUQ66" s="4"/>
      <c r="IUR66" s="4"/>
      <c r="IUS66" s="4"/>
      <c r="IUT66" s="4"/>
      <c r="IUU66" s="4"/>
      <c r="IUV66" s="4"/>
      <c r="IUW66" s="4"/>
      <c r="IUX66" s="4"/>
      <c r="IUY66" s="4"/>
      <c r="IUZ66" s="4"/>
      <c r="IVA66" s="4"/>
      <c r="IVB66" s="4"/>
      <c r="IVC66" s="4"/>
      <c r="IVD66" s="4"/>
      <c r="IVE66" s="4"/>
      <c r="IVF66" s="4"/>
      <c r="IVG66" s="4"/>
      <c r="IVH66" s="4"/>
      <c r="IVI66" s="4"/>
      <c r="IVJ66" s="4"/>
      <c r="IVK66" s="4"/>
      <c r="IVL66" s="4"/>
      <c r="IVM66" s="4"/>
      <c r="IVN66" s="4"/>
      <c r="IVO66" s="4"/>
      <c r="IVP66" s="4"/>
      <c r="IVQ66" s="4"/>
      <c r="IVR66" s="4"/>
      <c r="IVS66" s="4"/>
      <c r="IVT66" s="4"/>
      <c r="IVU66" s="4"/>
      <c r="IVV66" s="4"/>
      <c r="IVW66" s="4"/>
      <c r="IVX66" s="4"/>
      <c r="IVY66" s="4"/>
      <c r="IVZ66" s="4"/>
      <c r="IWA66" s="4"/>
      <c r="IWB66" s="4"/>
      <c r="IWC66" s="4"/>
      <c r="IWD66" s="4"/>
      <c r="IWE66" s="4"/>
      <c r="IWF66" s="4"/>
      <c r="IWG66" s="4"/>
      <c r="IWH66" s="4"/>
      <c r="IWI66" s="4"/>
      <c r="IWJ66" s="4"/>
      <c r="IWK66" s="4"/>
      <c r="IWL66" s="4"/>
      <c r="IWM66" s="4"/>
      <c r="IWN66" s="4"/>
      <c r="IWO66" s="4"/>
      <c r="IWP66" s="4"/>
      <c r="IWQ66" s="4"/>
      <c r="IWR66" s="4"/>
      <c r="IWS66" s="4"/>
      <c r="IWT66" s="4"/>
      <c r="IWU66" s="4"/>
      <c r="IWV66" s="4"/>
      <c r="IWW66" s="4"/>
      <c r="IWX66" s="4"/>
      <c r="IWY66" s="4"/>
      <c r="IWZ66" s="4"/>
      <c r="IXA66" s="4"/>
      <c r="IXB66" s="4"/>
      <c r="IXC66" s="4"/>
      <c r="IXD66" s="4"/>
      <c r="IXE66" s="4"/>
      <c r="IXF66" s="4"/>
      <c r="IXG66" s="4"/>
      <c r="IXH66" s="4"/>
      <c r="IXI66" s="4"/>
      <c r="IXJ66" s="4"/>
      <c r="IXK66" s="4"/>
      <c r="IXL66" s="4"/>
      <c r="IXM66" s="4"/>
      <c r="IXN66" s="4"/>
      <c r="IXO66" s="4"/>
      <c r="IXP66" s="4"/>
      <c r="IXQ66" s="4"/>
      <c r="IXR66" s="4"/>
      <c r="IXS66" s="4"/>
      <c r="IXT66" s="4"/>
      <c r="IXU66" s="4"/>
      <c r="IXV66" s="4"/>
      <c r="IXW66" s="4"/>
      <c r="IXX66" s="4"/>
      <c r="IXY66" s="4"/>
      <c r="IXZ66" s="4"/>
      <c r="IYA66" s="4"/>
      <c r="IYB66" s="4"/>
      <c r="IYC66" s="4"/>
      <c r="IYD66" s="4"/>
      <c r="IYE66" s="4"/>
      <c r="IYF66" s="4"/>
      <c r="IYG66" s="4"/>
      <c r="IYH66" s="4"/>
      <c r="IYI66" s="4"/>
      <c r="IYJ66" s="4"/>
      <c r="IYK66" s="4"/>
      <c r="IYL66" s="4"/>
      <c r="IYM66" s="4"/>
      <c r="IYN66" s="4"/>
      <c r="IYO66" s="4"/>
      <c r="IYP66" s="4"/>
      <c r="IYQ66" s="4"/>
      <c r="IYR66" s="4"/>
      <c r="IYS66" s="4"/>
      <c r="IYT66" s="4"/>
      <c r="IYU66" s="4"/>
      <c r="IYV66" s="4"/>
      <c r="IYW66" s="4"/>
      <c r="IYX66" s="4"/>
      <c r="IYY66" s="4"/>
      <c r="IYZ66" s="4"/>
      <c r="IZA66" s="4"/>
      <c r="IZB66" s="4"/>
      <c r="IZC66" s="4"/>
      <c r="IZD66" s="4"/>
      <c r="IZE66" s="4"/>
      <c r="IZF66" s="4"/>
      <c r="IZG66" s="4"/>
      <c r="IZH66" s="4"/>
      <c r="IZI66" s="4"/>
      <c r="IZJ66" s="4"/>
      <c r="IZK66" s="4"/>
      <c r="IZL66" s="4"/>
      <c r="IZM66" s="4"/>
      <c r="IZN66" s="4"/>
      <c r="IZO66" s="4"/>
      <c r="IZP66" s="4"/>
      <c r="IZQ66" s="4"/>
      <c r="IZR66" s="4"/>
      <c r="IZS66" s="4"/>
      <c r="IZT66" s="4"/>
      <c r="IZU66" s="4"/>
      <c r="IZV66" s="4"/>
      <c r="IZW66" s="4"/>
      <c r="IZX66" s="4"/>
      <c r="IZY66" s="4"/>
      <c r="IZZ66" s="4"/>
      <c r="JAA66" s="4"/>
      <c r="JAB66" s="4"/>
      <c r="JAC66" s="4"/>
      <c r="JAD66" s="4"/>
      <c r="JAE66" s="4"/>
      <c r="JAF66" s="4"/>
      <c r="JAG66" s="4"/>
      <c r="JAH66" s="4"/>
      <c r="JAI66" s="4"/>
      <c r="JAJ66" s="4"/>
      <c r="JAK66" s="4"/>
      <c r="JAL66" s="4"/>
      <c r="JAM66" s="4"/>
      <c r="JAN66" s="4"/>
      <c r="JAO66" s="4"/>
      <c r="JAP66" s="4"/>
      <c r="JAQ66" s="4"/>
      <c r="JAR66" s="4"/>
      <c r="JAS66" s="4"/>
      <c r="JAT66" s="4"/>
      <c r="JAU66" s="4"/>
      <c r="JAV66" s="4"/>
      <c r="JAW66" s="4"/>
      <c r="JAX66" s="4"/>
      <c r="JAY66" s="4"/>
      <c r="JAZ66" s="4"/>
      <c r="JBA66" s="4"/>
      <c r="JBB66" s="4"/>
      <c r="JBC66" s="4"/>
      <c r="JBD66" s="4"/>
      <c r="JBE66" s="4"/>
      <c r="JBF66" s="4"/>
      <c r="JBG66" s="4"/>
      <c r="JBH66" s="4"/>
      <c r="JBI66" s="4"/>
      <c r="JBJ66" s="4"/>
      <c r="JBK66" s="4"/>
      <c r="JBL66" s="4"/>
      <c r="JBM66" s="4"/>
      <c r="JBN66" s="4"/>
      <c r="JBO66" s="4"/>
      <c r="JBP66" s="4"/>
      <c r="JBQ66" s="4"/>
      <c r="JBR66" s="4"/>
      <c r="JBS66" s="4"/>
      <c r="JBT66" s="4"/>
      <c r="JBU66" s="4"/>
      <c r="JBV66" s="4"/>
      <c r="JBW66" s="4"/>
      <c r="JBX66" s="4"/>
      <c r="JBY66" s="4"/>
      <c r="JBZ66" s="4"/>
      <c r="JCA66" s="4"/>
      <c r="JCB66" s="4"/>
      <c r="JCC66" s="4"/>
      <c r="JCD66" s="4"/>
      <c r="JCE66" s="4"/>
      <c r="JCF66" s="4"/>
      <c r="JCG66" s="4"/>
      <c r="JCH66" s="4"/>
      <c r="JCI66" s="4"/>
      <c r="JCJ66" s="4"/>
      <c r="JCK66" s="4"/>
      <c r="JCL66" s="4"/>
      <c r="JCM66" s="4"/>
      <c r="JCN66" s="4"/>
      <c r="JCO66" s="4"/>
      <c r="JCP66" s="4"/>
      <c r="JCQ66" s="4"/>
      <c r="JCR66" s="4"/>
      <c r="JCS66" s="4"/>
      <c r="JCT66" s="4"/>
      <c r="JCU66" s="4"/>
      <c r="JCV66" s="4"/>
      <c r="JCW66" s="4"/>
      <c r="JCX66" s="4"/>
      <c r="JCY66" s="4"/>
      <c r="JCZ66" s="4"/>
      <c r="JDA66" s="4"/>
      <c r="JDB66" s="4"/>
      <c r="JDC66" s="4"/>
      <c r="JDD66" s="4"/>
      <c r="JDE66" s="4"/>
      <c r="JDF66" s="4"/>
      <c r="JDG66" s="4"/>
      <c r="JDH66" s="4"/>
      <c r="JDI66" s="4"/>
      <c r="JDJ66" s="4"/>
      <c r="JDK66" s="4"/>
      <c r="JDL66" s="4"/>
      <c r="JDM66" s="4"/>
      <c r="JDN66" s="4"/>
      <c r="JDO66" s="4"/>
      <c r="JDP66" s="4"/>
      <c r="JDQ66" s="4"/>
      <c r="JDR66" s="4"/>
      <c r="JDS66" s="4"/>
      <c r="JDT66" s="4"/>
      <c r="JDU66" s="4"/>
      <c r="JDV66" s="4"/>
      <c r="JDW66" s="4"/>
      <c r="JDX66" s="4"/>
      <c r="JDY66" s="4"/>
      <c r="JDZ66" s="4"/>
      <c r="JEA66" s="4"/>
      <c r="JEB66" s="4"/>
      <c r="JEC66" s="4"/>
      <c r="JED66" s="4"/>
      <c r="JEE66" s="4"/>
      <c r="JEF66" s="4"/>
      <c r="JEG66" s="4"/>
      <c r="JEH66" s="4"/>
      <c r="JEI66" s="4"/>
      <c r="JEJ66" s="4"/>
      <c r="JEK66" s="4"/>
      <c r="JEL66" s="4"/>
      <c r="JEM66" s="4"/>
      <c r="JEN66" s="4"/>
      <c r="JEO66" s="4"/>
      <c r="JEP66" s="4"/>
      <c r="JEQ66" s="4"/>
      <c r="JER66" s="4"/>
      <c r="JES66" s="4"/>
      <c r="JET66" s="4"/>
      <c r="JEU66" s="4"/>
      <c r="JEV66" s="4"/>
      <c r="JEW66" s="4"/>
      <c r="JEX66" s="4"/>
      <c r="JEY66" s="4"/>
      <c r="JEZ66" s="4"/>
      <c r="JFA66" s="4"/>
      <c r="JFB66" s="4"/>
      <c r="JFC66" s="4"/>
      <c r="JFD66" s="4"/>
      <c r="JFE66" s="4"/>
      <c r="JFF66" s="4"/>
      <c r="JFG66" s="4"/>
      <c r="JFH66" s="4"/>
      <c r="JFI66" s="4"/>
      <c r="JFJ66" s="4"/>
      <c r="JFK66" s="4"/>
      <c r="JFL66" s="4"/>
      <c r="JFM66" s="4"/>
      <c r="JFN66" s="4"/>
      <c r="JFO66" s="4"/>
      <c r="JFP66" s="4"/>
      <c r="JFQ66" s="4"/>
      <c r="JFR66" s="4"/>
      <c r="JFS66" s="4"/>
      <c r="JFT66" s="4"/>
      <c r="JFU66" s="4"/>
      <c r="JFV66" s="4"/>
      <c r="JFW66" s="4"/>
      <c r="JFX66" s="4"/>
      <c r="JFY66" s="4"/>
      <c r="JFZ66" s="4"/>
      <c r="JGA66" s="4"/>
      <c r="JGB66" s="4"/>
      <c r="JGC66" s="4"/>
      <c r="JGD66" s="4"/>
      <c r="JGE66" s="4"/>
      <c r="JGF66" s="4"/>
      <c r="JGG66" s="4"/>
      <c r="JGH66" s="4"/>
      <c r="JGI66" s="4"/>
      <c r="JGJ66" s="4"/>
      <c r="JGK66" s="4"/>
      <c r="JGL66" s="4"/>
      <c r="JGM66" s="4"/>
      <c r="JGN66" s="4"/>
      <c r="JGO66" s="4"/>
      <c r="JGP66" s="4"/>
      <c r="JGQ66" s="4"/>
      <c r="JGR66" s="4"/>
      <c r="JGS66" s="4"/>
      <c r="JGT66" s="4"/>
      <c r="JGU66" s="4"/>
      <c r="JGV66" s="4"/>
      <c r="JGW66" s="4"/>
      <c r="JGX66" s="4"/>
      <c r="JGY66" s="4"/>
      <c r="JGZ66" s="4"/>
      <c r="JHA66" s="4"/>
      <c r="JHB66" s="4"/>
      <c r="JHC66" s="4"/>
      <c r="JHD66" s="4"/>
      <c r="JHE66" s="4"/>
      <c r="JHF66" s="4"/>
      <c r="JHG66" s="4"/>
      <c r="JHH66" s="4"/>
      <c r="JHI66" s="4"/>
      <c r="JHJ66" s="4"/>
      <c r="JHK66" s="4"/>
      <c r="JHL66" s="4"/>
      <c r="JHM66" s="4"/>
      <c r="JHN66" s="4"/>
      <c r="JHO66" s="4"/>
      <c r="JHP66" s="4"/>
      <c r="JHQ66" s="4"/>
      <c r="JHR66" s="4"/>
      <c r="JHS66" s="4"/>
      <c r="JHT66" s="4"/>
      <c r="JHU66" s="4"/>
      <c r="JHV66" s="4"/>
      <c r="JHW66" s="4"/>
      <c r="JHX66" s="4"/>
      <c r="JHY66" s="4"/>
      <c r="JHZ66" s="4"/>
      <c r="JIA66" s="4"/>
      <c r="JIB66" s="4"/>
      <c r="JIC66" s="4"/>
      <c r="JID66" s="4"/>
      <c r="JIE66" s="4"/>
      <c r="JIF66" s="4"/>
      <c r="JIG66" s="4"/>
      <c r="JIH66" s="4"/>
      <c r="JII66" s="4"/>
      <c r="JIJ66" s="4"/>
      <c r="JIK66" s="4"/>
      <c r="JIL66" s="4"/>
      <c r="JIM66" s="4"/>
      <c r="JIN66" s="4"/>
      <c r="JIO66" s="4"/>
      <c r="JIP66" s="4"/>
      <c r="JIQ66" s="4"/>
      <c r="JIR66" s="4"/>
      <c r="JIS66" s="4"/>
      <c r="JIT66" s="4"/>
      <c r="JIU66" s="4"/>
      <c r="JIV66" s="4"/>
      <c r="JIW66" s="4"/>
      <c r="JIX66" s="4"/>
      <c r="JIY66" s="4"/>
      <c r="JIZ66" s="4"/>
      <c r="JJA66" s="4"/>
      <c r="JJB66" s="4"/>
      <c r="JJC66" s="4"/>
      <c r="JJD66" s="4"/>
      <c r="JJE66" s="4"/>
      <c r="JJF66" s="4"/>
      <c r="JJG66" s="4"/>
      <c r="JJH66" s="4"/>
      <c r="JJI66" s="4"/>
      <c r="JJJ66" s="4"/>
      <c r="JJK66" s="4"/>
      <c r="JJL66" s="4"/>
      <c r="JJM66" s="4"/>
      <c r="JJN66" s="4"/>
      <c r="JJO66" s="4"/>
      <c r="JJP66" s="4"/>
      <c r="JJQ66" s="4"/>
      <c r="JJR66" s="4"/>
      <c r="JJS66" s="4"/>
      <c r="JJT66" s="4"/>
      <c r="JJU66" s="4"/>
      <c r="JJV66" s="4"/>
      <c r="JJW66" s="4"/>
      <c r="JJX66" s="4"/>
      <c r="JJY66" s="4"/>
      <c r="JJZ66" s="4"/>
      <c r="JKA66" s="4"/>
      <c r="JKB66" s="4"/>
      <c r="JKC66" s="4"/>
      <c r="JKD66" s="4"/>
      <c r="JKE66" s="4"/>
      <c r="JKF66" s="4"/>
      <c r="JKG66" s="4"/>
      <c r="JKH66" s="4"/>
      <c r="JKI66" s="4"/>
      <c r="JKJ66" s="4"/>
      <c r="JKK66" s="4"/>
      <c r="JKL66" s="4"/>
      <c r="JKM66" s="4"/>
      <c r="JKN66" s="4"/>
      <c r="JKO66" s="4"/>
      <c r="JKP66" s="4"/>
      <c r="JKQ66" s="4"/>
      <c r="JKR66" s="4"/>
      <c r="JKS66" s="4"/>
      <c r="JKT66" s="4"/>
      <c r="JKU66" s="4"/>
      <c r="JKV66" s="4"/>
      <c r="JKW66" s="4"/>
      <c r="JKX66" s="4"/>
      <c r="JKY66" s="4"/>
      <c r="JKZ66" s="4"/>
      <c r="JLA66" s="4"/>
      <c r="JLB66" s="4"/>
      <c r="JLC66" s="4"/>
      <c r="JLD66" s="4"/>
      <c r="JLE66" s="4"/>
      <c r="JLF66" s="4"/>
      <c r="JLG66" s="4"/>
      <c r="JLH66" s="4"/>
      <c r="JLI66" s="4"/>
      <c r="JLJ66" s="4"/>
      <c r="JLK66" s="4"/>
      <c r="JLL66" s="4"/>
      <c r="JLM66" s="4"/>
      <c r="JLN66" s="4"/>
      <c r="JLO66" s="4"/>
      <c r="JLP66" s="4"/>
      <c r="JLQ66" s="4"/>
      <c r="JLR66" s="4"/>
      <c r="JLS66" s="4"/>
      <c r="JLT66" s="4"/>
      <c r="JLU66" s="4"/>
      <c r="JLV66" s="4"/>
      <c r="JLW66" s="4"/>
      <c r="JLX66" s="4"/>
      <c r="JLY66" s="4"/>
      <c r="JLZ66" s="4"/>
      <c r="JMA66" s="4"/>
      <c r="JMB66" s="4"/>
      <c r="JMC66" s="4"/>
      <c r="JMD66" s="4"/>
      <c r="JME66" s="4"/>
      <c r="JMF66" s="4"/>
      <c r="JMG66" s="4"/>
      <c r="JMH66" s="4"/>
      <c r="JMI66" s="4"/>
      <c r="JMJ66" s="4"/>
      <c r="JMK66" s="4"/>
      <c r="JML66" s="4"/>
      <c r="JMM66" s="4"/>
      <c r="JMN66" s="4"/>
      <c r="JMO66" s="4"/>
      <c r="JMP66" s="4"/>
      <c r="JMQ66" s="4"/>
      <c r="JMR66" s="4"/>
      <c r="JMS66" s="4"/>
      <c r="JMT66" s="4"/>
      <c r="JMU66" s="4"/>
      <c r="JMV66" s="4"/>
      <c r="JMW66" s="4"/>
      <c r="JMX66" s="4"/>
      <c r="JMY66" s="4"/>
      <c r="JMZ66" s="4"/>
      <c r="JNA66" s="4"/>
      <c r="JNB66" s="4"/>
      <c r="JNC66" s="4"/>
      <c r="JND66" s="4"/>
      <c r="JNE66" s="4"/>
      <c r="JNF66" s="4"/>
      <c r="JNG66" s="4"/>
      <c r="JNH66" s="4"/>
      <c r="JNI66" s="4"/>
      <c r="JNJ66" s="4"/>
      <c r="JNK66" s="4"/>
      <c r="JNL66" s="4"/>
      <c r="JNM66" s="4"/>
      <c r="JNN66" s="4"/>
      <c r="JNO66" s="4"/>
      <c r="JNP66" s="4"/>
      <c r="JNQ66" s="4"/>
      <c r="JNR66" s="4"/>
      <c r="JNS66" s="4"/>
      <c r="JNT66" s="4"/>
      <c r="JNU66" s="4"/>
      <c r="JNV66" s="4"/>
      <c r="JNW66" s="4"/>
      <c r="JNX66" s="4"/>
      <c r="JNY66" s="4"/>
      <c r="JNZ66" s="4"/>
      <c r="JOA66" s="4"/>
      <c r="JOB66" s="4"/>
      <c r="JOC66" s="4"/>
      <c r="JOD66" s="4"/>
      <c r="JOE66" s="4"/>
      <c r="JOF66" s="4"/>
      <c r="JOG66" s="4"/>
      <c r="JOH66" s="4"/>
      <c r="JOI66" s="4"/>
      <c r="JOJ66" s="4"/>
      <c r="JOK66" s="4"/>
      <c r="JOL66" s="4"/>
      <c r="JOM66" s="4"/>
      <c r="JON66" s="4"/>
      <c r="JOO66" s="4"/>
      <c r="JOP66" s="4"/>
      <c r="JOQ66" s="4"/>
      <c r="JOR66" s="4"/>
      <c r="JOS66" s="4"/>
      <c r="JOT66" s="4"/>
      <c r="JOU66" s="4"/>
      <c r="JOV66" s="4"/>
      <c r="JOW66" s="4"/>
      <c r="JOX66" s="4"/>
      <c r="JOY66" s="4"/>
      <c r="JOZ66" s="4"/>
      <c r="JPA66" s="4"/>
      <c r="JPB66" s="4"/>
      <c r="JPC66" s="4"/>
      <c r="JPD66" s="4"/>
      <c r="JPE66" s="4"/>
      <c r="JPF66" s="4"/>
      <c r="JPG66" s="4"/>
      <c r="JPH66" s="4"/>
      <c r="JPI66" s="4"/>
      <c r="JPJ66" s="4"/>
      <c r="JPK66" s="4"/>
      <c r="JPL66" s="4"/>
      <c r="JPM66" s="4"/>
      <c r="JPN66" s="4"/>
      <c r="JPO66" s="4"/>
      <c r="JPP66" s="4"/>
      <c r="JPQ66" s="4"/>
      <c r="JPR66" s="4"/>
      <c r="JPS66" s="4"/>
      <c r="JPT66" s="4"/>
      <c r="JPU66" s="4"/>
      <c r="JPV66" s="4"/>
      <c r="JPW66" s="4"/>
      <c r="JPX66" s="4"/>
      <c r="JPY66" s="4"/>
      <c r="JPZ66" s="4"/>
      <c r="JQA66" s="4"/>
      <c r="JQB66" s="4"/>
      <c r="JQC66" s="4"/>
      <c r="JQD66" s="4"/>
      <c r="JQE66" s="4"/>
      <c r="JQF66" s="4"/>
      <c r="JQG66" s="4"/>
      <c r="JQH66" s="4"/>
      <c r="JQI66" s="4"/>
      <c r="JQJ66" s="4"/>
      <c r="JQK66" s="4"/>
      <c r="JQL66" s="4"/>
      <c r="JQM66" s="4"/>
      <c r="JQN66" s="4"/>
      <c r="JQO66" s="4"/>
      <c r="JQP66" s="4"/>
      <c r="JQQ66" s="4"/>
      <c r="JQR66" s="4"/>
      <c r="JQS66" s="4"/>
      <c r="JQT66" s="4"/>
      <c r="JQU66" s="4"/>
      <c r="JQV66" s="4"/>
      <c r="JQW66" s="4"/>
      <c r="JQX66" s="4"/>
      <c r="JQY66" s="4"/>
      <c r="JQZ66" s="4"/>
      <c r="JRA66" s="4"/>
      <c r="JRB66" s="4"/>
      <c r="JRC66" s="4"/>
      <c r="JRD66" s="4"/>
      <c r="JRE66" s="4"/>
      <c r="JRF66" s="4"/>
      <c r="JRG66" s="4"/>
      <c r="JRH66" s="4"/>
      <c r="JRI66" s="4"/>
      <c r="JRJ66" s="4"/>
      <c r="JRK66" s="4"/>
      <c r="JRL66" s="4"/>
      <c r="JRM66" s="4"/>
      <c r="JRN66" s="4"/>
      <c r="JRO66" s="4"/>
      <c r="JRP66" s="4"/>
      <c r="JRQ66" s="4"/>
      <c r="JRR66" s="4"/>
      <c r="JRS66" s="4"/>
      <c r="JRT66" s="4"/>
      <c r="JRU66" s="4"/>
      <c r="JRV66" s="4"/>
      <c r="JRW66" s="4"/>
      <c r="JRX66" s="4"/>
      <c r="JRY66" s="4"/>
      <c r="JRZ66" s="4"/>
      <c r="JSA66" s="4"/>
      <c r="JSB66" s="4"/>
      <c r="JSC66" s="4"/>
      <c r="JSD66" s="4"/>
      <c r="JSE66" s="4"/>
      <c r="JSF66" s="4"/>
      <c r="JSG66" s="4"/>
      <c r="JSH66" s="4"/>
      <c r="JSI66" s="4"/>
      <c r="JSJ66" s="4"/>
      <c r="JSK66" s="4"/>
      <c r="JSL66" s="4"/>
      <c r="JSM66" s="4"/>
      <c r="JSN66" s="4"/>
      <c r="JSO66" s="4"/>
      <c r="JSP66" s="4"/>
      <c r="JSQ66" s="4"/>
      <c r="JSR66" s="4"/>
      <c r="JSS66" s="4"/>
      <c r="JST66" s="4"/>
      <c r="JSU66" s="4"/>
      <c r="JSV66" s="4"/>
      <c r="JSW66" s="4"/>
      <c r="JSX66" s="4"/>
      <c r="JSY66" s="4"/>
      <c r="JSZ66" s="4"/>
      <c r="JTA66" s="4"/>
      <c r="JTB66" s="4"/>
      <c r="JTC66" s="4"/>
      <c r="JTD66" s="4"/>
      <c r="JTE66" s="4"/>
      <c r="JTF66" s="4"/>
      <c r="JTG66" s="4"/>
      <c r="JTH66" s="4"/>
      <c r="JTI66" s="4"/>
      <c r="JTJ66" s="4"/>
      <c r="JTK66" s="4"/>
      <c r="JTL66" s="4"/>
      <c r="JTM66" s="4"/>
      <c r="JTN66" s="4"/>
      <c r="JTO66" s="4"/>
      <c r="JTP66" s="4"/>
      <c r="JTQ66" s="4"/>
      <c r="JTR66" s="4"/>
      <c r="JTS66" s="4"/>
      <c r="JTT66" s="4"/>
      <c r="JTU66" s="4"/>
      <c r="JTV66" s="4"/>
      <c r="JTW66" s="4"/>
      <c r="JTX66" s="4"/>
      <c r="JTY66" s="4"/>
      <c r="JTZ66" s="4"/>
      <c r="JUA66" s="4"/>
      <c r="JUB66" s="4"/>
      <c r="JUC66" s="4"/>
      <c r="JUD66" s="4"/>
      <c r="JUE66" s="4"/>
      <c r="JUF66" s="4"/>
      <c r="JUG66" s="4"/>
      <c r="JUH66" s="4"/>
      <c r="JUI66" s="4"/>
      <c r="JUJ66" s="4"/>
      <c r="JUK66" s="4"/>
      <c r="JUL66" s="4"/>
      <c r="JUM66" s="4"/>
      <c r="JUN66" s="4"/>
      <c r="JUO66" s="4"/>
      <c r="JUP66" s="4"/>
      <c r="JUQ66" s="4"/>
      <c r="JUR66" s="4"/>
      <c r="JUS66" s="4"/>
      <c r="JUT66" s="4"/>
      <c r="JUU66" s="4"/>
      <c r="JUV66" s="4"/>
      <c r="JUW66" s="4"/>
      <c r="JUX66" s="4"/>
      <c r="JUY66" s="4"/>
      <c r="JUZ66" s="4"/>
      <c r="JVA66" s="4"/>
      <c r="JVB66" s="4"/>
      <c r="JVC66" s="4"/>
      <c r="JVD66" s="4"/>
      <c r="JVE66" s="4"/>
      <c r="JVF66" s="4"/>
      <c r="JVG66" s="4"/>
      <c r="JVH66" s="4"/>
      <c r="JVI66" s="4"/>
      <c r="JVJ66" s="4"/>
      <c r="JVK66" s="4"/>
      <c r="JVL66" s="4"/>
      <c r="JVM66" s="4"/>
      <c r="JVN66" s="4"/>
      <c r="JVO66" s="4"/>
      <c r="JVP66" s="4"/>
      <c r="JVQ66" s="4"/>
      <c r="JVR66" s="4"/>
      <c r="JVS66" s="4"/>
      <c r="JVT66" s="4"/>
      <c r="JVU66" s="4"/>
      <c r="JVV66" s="4"/>
      <c r="JVW66" s="4"/>
      <c r="JVX66" s="4"/>
      <c r="JVY66" s="4"/>
      <c r="JVZ66" s="4"/>
      <c r="JWA66" s="4"/>
      <c r="JWB66" s="4"/>
      <c r="JWC66" s="4"/>
      <c r="JWD66" s="4"/>
      <c r="JWE66" s="4"/>
      <c r="JWF66" s="4"/>
      <c r="JWG66" s="4"/>
      <c r="JWH66" s="4"/>
      <c r="JWI66" s="4"/>
      <c r="JWJ66" s="4"/>
      <c r="JWK66" s="4"/>
      <c r="JWL66" s="4"/>
      <c r="JWM66" s="4"/>
      <c r="JWN66" s="4"/>
      <c r="JWO66" s="4"/>
      <c r="JWP66" s="4"/>
      <c r="JWQ66" s="4"/>
      <c r="JWR66" s="4"/>
      <c r="JWS66" s="4"/>
      <c r="JWT66" s="4"/>
      <c r="JWU66" s="4"/>
      <c r="JWV66" s="4"/>
      <c r="JWW66" s="4"/>
      <c r="JWX66" s="4"/>
      <c r="JWY66" s="4"/>
      <c r="JWZ66" s="4"/>
      <c r="JXA66" s="4"/>
      <c r="JXB66" s="4"/>
      <c r="JXC66" s="4"/>
      <c r="JXD66" s="4"/>
      <c r="JXE66" s="4"/>
      <c r="JXF66" s="4"/>
      <c r="JXG66" s="4"/>
      <c r="JXH66" s="4"/>
      <c r="JXI66" s="4"/>
      <c r="JXJ66" s="4"/>
      <c r="JXK66" s="4"/>
      <c r="JXL66" s="4"/>
      <c r="JXM66" s="4"/>
      <c r="JXN66" s="4"/>
      <c r="JXO66" s="4"/>
      <c r="JXP66" s="4"/>
      <c r="JXQ66" s="4"/>
      <c r="JXR66" s="4"/>
      <c r="JXS66" s="4"/>
      <c r="JXT66" s="4"/>
      <c r="JXU66" s="4"/>
      <c r="JXV66" s="4"/>
      <c r="JXW66" s="4"/>
      <c r="JXX66" s="4"/>
      <c r="JXY66" s="4"/>
      <c r="JXZ66" s="4"/>
      <c r="JYA66" s="4"/>
      <c r="JYB66" s="4"/>
      <c r="JYC66" s="4"/>
      <c r="JYD66" s="4"/>
      <c r="JYE66" s="4"/>
      <c r="JYF66" s="4"/>
      <c r="JYG66" s="4"/>
      <c r="JYH66" s="4"/>
      <c r="JYI66" s="4"/>
      <c r="JYJ66" s="4"/>
      <c r="JYK66" s="4"/>
      <c r="JYL66" s="4"/>
      <c r="JYM66" s="4"/>
      <c r="JYN66" s="4"/>
      <c r="JYO66" s="4"/>
      <c r="JYP66" s="4"/>
      <c r="JYQ66" s="4"/>
      <c r="JYR66" s="4"/>
      <c r="JYS66" s="4"/>
      <c r="JYT66" s="4"/>
      <c r="JYU66" s="4"/>
      <c r="JYV66" s="4"/>
      <c r="JYW66" s="4"/>
      <c r="JYX66" s="4"/>
      <c r="JYY66" s="4"/>
      <c r="JYZ66" s="4"/>
      <c r="JZA66" s="4"/>
      <c r="JZB66" s="4"/>
      <c r="JZC66" s="4"/>
      <c r="JZD66" s="4"/>
      <c r="JZE66" s="4"/>
      <c r="JZF66" s="4"/>
      <c r="JZG66" s="4"/>
      <c r="JZH66" s="4"/>
      <c r="JZI66" s="4"/>
      <c r="JZJ66" s="4"/>
      <c r="JZK66" s="4"/>
      <c r="JZL66" s="4"/>
      <c r="JZM66" s="4"/>
      <c r="JZN66" s="4"/>
      <c r="JZO66" s="4"/>
      <c r="JZP66" s="4"/>
      <c r="JZQ66" s="4"/>
      <c r="JZR66" s="4"/>
      <c r="JZS66" s="4"/>
      <c r="JZT66" s="4"/>
      <c r="JZU66" s="4"/>
      <c r="JZV66" s="4"/>
      <c r="JZW66" s="4"/>
      <c r="JZX66" s="4"/>
      <c r="JZY66" s="4"/>
      <c r="JZZ66" s="4"/>
      <c r="KAA66" s="4"/>
      <c r="KAB66" s="4"/>
      <c r="KAC66" s="4"/>
      <c r="KAD66" s="4"/>
      <c r="KAE66" s="4"/>
      <c r="KAF66" s="4"/>
      <c r="KAG66" s="4"/>
      <c r="KAH66" s="4"/>
      <c r="KAI66" s="4"/>
      <c r="KAJ66" s="4"/>
      <c r="KAK66" s="4"/>
      <c r="KAL66" s="4"/>
      <c r="KAM66" s="4"/>
      <c r="KAN66" s="4"/>
      <c r="KAO66" s="4"/>
      <c r="KAP66" s="4"/>
      <c r="KAQ66" s="4"/>
      <c r="KAR66" s="4"/>
      <c r="KAS66" s="4"/>
      <c r="KAT66" s="4"/>
      <c r="KAU66" s="4"/>
      <c r="KAV66" s="4"/>
      <c r="KAW66" s="4"/>
      <c r="KAX66" s="4"/>
      <c r="KAY66" s="4"/>
      <c r="KAZ66" s="4"/>
      <c r="KBA66" s="4"/>
      <c r="KBB66" s="4"/>
      <c r="KBC66" s="4"/>
      <c r="KBD66" s="4"/>
      <c r="KBE66" s="4"/>
      <c r="KBF66" s="4"/>
      <c r="KBG66" s="4"/>
      <c r="KBH66" s="4"/>
      <c r="KBI66" s="4"/>
      <c r="KBJ66" s="4"/>
      <c r="KBK66" s="4"/>
      <c r="KBL66" s="4"/>
      <c r="KBM66" s="4"/>
      <c r="KBN66" s="4"/>
      <c r="KBO66" s="4"/>
      <c r="KBP66" s="4"/>
      <c r="KBQ66" s="4"/>
      <c r="KBR66" s="4"/>
      <c r="KBS66" s="4"/>
      <c r="KBT66" s="4"/>
      <c r="KBU66" s="4"/>
      <c r="KBV66" s="4"/>
      <c r="KBW66" s="4"/>
      <c r="KBX66" s="4"/>
      <c r="KBY66" s="4"/>
      <c r="KBZ66" s="4"/>
      <c r="KCA66" s="4"/>
      <c r="KCB66" s="4"/>
      <c r="KCC66" s="4"/>
      <c r="KCD66" s="4"/>
      <c r="KCE66" s="4"/>
      <c r="KCF66" s="4"/>
      <c r="KCG66" s="4"/>
      <c r="KCH66" s="4"/>
      <c r="KCI66" s="4"/>
      <c r="KCJ66" s="4"/>
      <c r="KCK66" s="4"/>
      <c r="KCL66" s="4"/>
      <c r="KCM66" s="4"/>
      <c r="KCN66" s="4"/>
      <c r="KCO66" s="4"/>
      <c r="KCP66" s="4"/>
      <c r="KCQ66" s="4"/>
      <c r="KCR66" s="4"/>
      <c r="KCS66" s="4"/>
      <c r="KCT66" s="4"/>
      <c r="KCU66" s="4"/>
      <c r="KCV66" s="4"/>
      <c r="KCW66" s="4"/>
      <c r="KCX66" s="4"/>
      <c r="KCY66" s="4"/>
      <c r="KCZ66" s="4"/>
      <c r="KDA66" s="4"/>
      <c r="KDB66" s="4"/>
      <c r="KDC66" s="4"/>
      <c r="KDD66" s="4"/>
      <c r="KDE66" s="4"/>
      <c r="KDF66" s="4"/>
      <c r="KDG66" s="4"/>
      <c r="KDH66" s="4"/>
      <c r="KDI66" s="4"/>
      <c r="KDJ66" s="4"/>
      <c r="KDK66" s="4"/>
      <c r="KDL66" s="4"/>
      <c r="KDM66" s="4"/>
      <c r="KDN66" s="4"/>
      <c r="KDO66" s="4"/>
      <c r="KDP66" s="4"/>
      <c r="KDQ66" s="4"/>
      <c r="KDR66" s="4"/>
      <c r="KDS66" s="4"/>
      <c r="KDT66" s="4"/>
      <c r="KDU66" s="4"/>
      <c r="KDV66" s="4"/>
      <c r="KDW66" s="4"/>
      <c r="KDX66" s="4"/>
      <c r="KDY66" s="4"/>
      <c r="KDZ66" s="4"/>
      <c r="KEA66" s="4"/>
      <c r="KEB66" s="4"/>
      <c r="KEC66" s="4"/>
      <c r="KED66" s="4"/>
      <c r="KEE66" s="4"/>
      <c r="KEF66" s="4"/>
      <c r="KEG66" s="4"/>
      <c r="KEH66" s="4"/>
      <c r="KEI66" s="4"/>
      <c r="KEJ66" s="4"/>
      <c r="KEK66" s="4"/>
      <c r="KEL66" s="4"/>
      <c r="KEM66" s="4"/>
      <c r="KEN66" s="4"/>
      <c r="KEO66" s="4"/>
      <c r="KEP66" s="4"/>
      <c r="KEQ66" s="4"/>
      <c r="KER66" s="4"/>
      <c r="KES66" s="4"/>
      <c r="KET66" s="4"/>
      <c r="KEU66" s="4"/>
      <c r="KEV66" s="4"/>
      <c r="KEW66" s="4"/>
      <c r="KEX66" s="4"/>
      <c r="KEY66" s="4"/>
      <c r="KEZ66" s="4"/>
      <c r="KFA66" s="4"/>
      <c r="KFB66" s="4"/>
      <c r="KFC66" s="4"/>
      <c r="KFD66" s="4"/>
      <c r="KFE66" s="4"/>
      <c r="KFF66" s="4"/>
      <c r="KFG66" s="4"/>
      <c r="KFH66" s="4"/>
      <c r="KFI66" s="4"/>
      <c r="KFJ66" s="4"/>
      <c r="KFK66" s="4"/>
      <c r="KFL66" s="4"/>
      <c r="KFM66" s="4"/>
      <c r="KFN66" s="4"/>
      <c r="KFO66" s="4"/>
      <c r="KFP66" s="4"/>
      <c r="KFQ66" s="4"/>
      <c r="KFR66" s="4"/>
      <c r="KFS66" s="4"/>
      <c r="KFT66" s="4"/>
      <c r="KFU66" s="4"/>
      <c r="KFV66" s="4"/>
      <c r="KFW66" s="4"/>
      <c r="KFX66" s="4"/>
      <c r="KFY66" s="4"/>
      <c r="KFZ66" s="4"/>
      <c r="KGA66" s="4"/>
      <c r="KGB66" s="4"/>
      <c r="KGC66" s="4"/>
      <c r="KGD66" s="4"/>
      <c r="KGE66" s="4"/>
      <c r="KGF66" s="4"/>
      <c r="KGG66" s="4"/>
      <c r="KGH66" s="4"/>
      <c r="KGI66" s="4"/>
      <c r="KGJ66" s="4"/>
      <c r="KGK66" s="4"/>
      <c r="KGL66" s="4"/>
      <c r="KGM66" s="4"/>
      <c r="KGN66" s="4"/>
      <c r="KGO66" s="4"/>
      <c r="KGP66" s="4"/>
      <c r="KGQ66" s="4"/>
      <c r="KGR66" s="4"/>
      <c r="KGS66" s="4"/>
      <c r="KGT66" s="4"/>
      <c r="KGU66" s="4"/>
      <c r="KGV66" s="4"/>
      <c r="KGW66" s="4"/>
      <c r="KGX66" s="4"/>
      <c r="KGY66" s="4"/>
      <c r="KGZ66" s="4"/>
      <c r="KHA66" s="4"/>
      <c r="KHB66" s="4"/>
      <c r="KHC66" s="4"/>
      <c r="KHD66" s="4"/>
      <c r="KHE66" s="4"/>
      <c r="KHF66" s="4"/>
      <c r="KHG66" s="4"/>
      <c r="KHH66" s="4"/>
      <c r="KHI66" s="4"/>
      <c r="KHJ66" s="4"/>
      <c r="KHK66" s="4"/>
      <c r="KHL66" s="4"/>
      <c r="KHM66" s="4"/>
      <c r="KHN66" s="4"/>
      <c r="KHO66" s="4"/>
      <c r="KHP66" s="4"/>
      <c r="KHQ66" s="4"/>
      <c r="KHR66" s="4"/>
      <c r="KHS66" s="4"/>
      <c r="KHT66" s="4"/>
      <c r="KHU66" s="4"/>
      <c r="KHV66" s="4"/>
      <c r="KHW66" s="4"/>
      <c r="KHX66" s="4"/>
      <c r="KHY66" s="4"/>
      <c r="KHZ66" s="4"/>
      <c r="KIA66" s="4"/>
      <c r="KIB66" s="4"/>
      <c r="KIC66" s="4"/>
      <c r="KID66" s="4"/>
      <c r="KIE66" s="4"/>
      <c r="KIF66" s="4"/>
      <c r="KIG66" s="4"/>
      <c r="KIH66" s="4"/>
      <c r="KII66" s="4"/>
      <c r="KIJ66" s="4"/>
      <c r="KIK66" s="4"/>
      <c r="KIL66" s="4"/>
      <c r="KIM66" s="4"/>
      <c r="KIN66" s="4"/>
      <c r="KIO66" s="4"/>
      <c r="KIP66" s="4"/>
      <c r="KIQ66" s="4"/>
      <c r="KIR66" s="4"/>
      <c r="KIS66" s="4"/>
      <c r="KIT66" s="4"/>
      <c r="KIU66" s="4"/>
      <c r="KIV66" s="4"/>
      <c r="KIW66" s="4"/>
      <c r="KIX66" s="4"/>
      <c r="KIY66" s="4"/>
      <c r="KIZ66" s="4"/>
      <c r="KJA66" s="4"/>
      <c r="KJB66" s="4"/>
      <c r="KJC66" s="4"/>
      <c r="KJD66" s="4"/>
      <c r="KJE66" s="4"/>
      <c r="KJF66" s="4"/>
      <c r="KJG66" s="4"/>
      <c r="KJH66" s="4"/>
      <c r="KJI66" s="4"/>
      <c r="KJJ66" s="4"/>
      <c r="KJK66" s="4"/>
      <c r="KJL66" s="4"/>
      <c r="KJM66" s="4"/>
      <c r="KJN66" s="4"/>
      <c r="KJO66" s="4"/>
      <c r="KJP66" s="4"/>
      <c r="KJQ66" s="4"/>
      <c r="KJR66" s="4"/>
      <c r="KJS66" s="4"/>
      <c r="KJT66" s="4"/>
      <c r="KJU66" s="4"/>
      <c r="KJV66" s="4"/>
      <c r="KJW66" s="4"/>
      <c r="KJX66" s="4"/>
      <c r="KJY66" s="4"/>
      <c r="KJZ66" s="4"/>
      <c r="KKA66" s="4"/>
      <c r="KKB66" s="4"/>
      <c r="KKC66" s="4"/>
      <c r="KKD66" s="4"/>
      <c r="KKE66" s="4"/>
      <c r="KKF66" s="4"/>
      <c r="KKG66" s="4"/>
      <c r="KKH66" s="4"/>
      <c r="KKI66" s="4"/>
      <c r="KKJ66" s="4"/>
      <c r="KKK66" s="4"/>
      <c r="KKL66" s="4"/>
      <c r="KKM66" s="4"/>
      <c r="KKN66" s="4"/>
      <c r="KKO66" s="4"/>
      <c r="KKP66" s="4"/>
      <c r="KKQ66" s="4"/>
      <c r="KKR66" s="4"/>
      <c r="KKS66" s="4"/>
      <c r="KKT66" s="4"/>
      <c r="KKU66" s="4"/>
      <c r="KKV66" s="4"/>
      <c r="KKW66" s="4"/>
      <c r="KKX66" s="4"/>
      <c r="KKY66" s="4"/>
      <c r="KKZ66" s="4"/>
      <c r="KLA66" s="4"/>
      <c r="KLB66" s="4"/>
      <c r="KLC66" s="4"/>
      <c r="KLD66" s="4"/>
      <c r="KLE66" s="4"/>
      <c r="KLF66" s="4"/>
      <c r="KLG66" s="4"/>
      <c r="KLH66" s="4"/>
      <c r="KLI66" s="4"/>
      <c r="KLJ66" s="4"/>
      <c r="KLK66" s="4"/>
      <c r="KLL66" s="4"/>
      <c r="KLM66" s="4"/>
      <c r="KLN66" s="4"/>
      <c r="KLO66" s="4"/>
      <c r="KLP66" s="4"/>
      <c r="KLQ66" s="4"/>
      <c r="KLR66" s="4"/>
      <c r="KLS66" s="4"/>
      <c r="KLT66" s="4"/>
      <c r="KLU66" s="4"/>
      <c r="KLV66" s="4"/>
      <c r="KLW66" s="4"/>
      <c r="KLX66" s="4"/>
      <c r="KLY66" s="4"/>
      <c r="KLZ66" s="4"/>
      <c r="KMA66" s="4"/>
      <c r="KMB66" s="4"/>
      <c r="KMC66" s="4"/>
      <c r="KMD66" s="4"/>
      <c r="KME66" s="4"/>
      <c r="KMF66" s="4"/>
      <c r="KMG66" s="4"/>
      <c r="KMH66" s="4"/>
      <c r="KMI66" s="4"/>
      <c r="KMJ66" s="4"/>
      <c r="KMK66" s="4"/>
      <c r="KML66" s="4"/>
      <c r="KMM66" s="4"/>
      <c r="KMN66" s="4"/>
      <c r="KMO66" s="4"/>
      <c r="KMP66" s="4"/>
      <c r="KMQ66" s="4"/>
      <c r="KMR66" s="4"/>
      <c r="KMS66" s="4"/>
      <c r="KMT66" s="4"/>
      <c r="KMU66" s="4"/>
      <c r="KMV66" s="4"/>
      <c r="KMW66" s="4"/>
      <c r="KMX66" s="4"/>
      <c r="KMY66" s="4"/>
      <c r="KMZ66" s="4"/>
      <c r="KNA66" s="4"/>
      <c r="KNB66" s="4"/>
      <c r="KNC66" s="4"/>
      <c r="KND66" s="4"/>
      <c r="KNE66" s="4"/>
      <c r="KNF66" s="4"/>
      <c r="KNG66" s="4"/>
      <c r="KNH66" s="4"/>
      <c r="KNI66" s="4"/>
      <c r="KNJ66" s="4"/>
      <c r="KNK66" s="4"/>
      <c r="KNL66" s="4"/>
      <c r="KNM66" s="4"/>
      <c r="KNN66" s="4"/>
      <c r="KNO66" s="4"/>
      <c r="KNP66" s="4"/>
      <c r="KNQ66" s="4"/>
      <c r="KNR66" s="4"/>
      <c r="KNS66" s="4"/>
      <c r="KNT66" s="4"/>
      <c r="KNU66" s="4"/>
      <c r="KNV66" s="4"/>
      <c r="KNW66" s="4"/>
      <c r="KNX66" s="4"/>
      <c r="KNY66" s="4"/>
      <c r="KNZ66" s="4"/>
      <c r="KOA66" s="4"/>
      <c r="KOB66" s="4"/>
      <c r="KOC66" s="4"/>
      <c r="KOD66" s="4"/>
      <c r="KOE66" s="4"/>
      <c r="KOF66" s="4"/>
      <c r="KOG66" s="4"/>
      <c r="KOH66" s="4"/>
      <c r="KOI66" s="4"/>
      <c r="KOJ66" s="4"/>
      <c r="KOK66" s="4"/>
      <c r="KOL66" s="4"/>
      <c r="KOM66" s="4"/>
      <c r="KON66" s="4"/>
      <c r="KOO66" s="4"/>
      <c r="KOP66" s="4"/>
      <c r="KOQ66" s="4"/>
      <c r="KOR66" s="4"/>
      <c r="KOS66" s="4"/>
      <c r="KOT66" s="4"/>
      <c r="KOU66" s="4"/>
      <c r="KOV66" s="4"/>
      <c r="KOW66" s="4"/>
      <c r="KOX66" s="4"/>
      <c r="KOY66" s="4"/>
      <c r="KOZ66" s="4"/>
      <c r="KPA66" s="4"/>
      <c r="KPB66" s="4"/>
      <c r="KPC66" s="4"/>
      <c r="KPD66" s="4"/>
      <c r="KPE66" s="4"/>
      <c r="KPF66" s="4"/>
      <c r="KPG66" s="4"/>
      <c r="KPH66" s="4"/>
      <c r="KPI66" s="4"/>
      <c r="KPJ66" s="4"/>
      <c r="KPK66" s="4"/>
      <c r="KPL66" s="4"/>
      <c r="KPM66" s="4"/>
      <c r="KPN66" s="4"/>
      <c r="KPO66" s="4"/>
      <c r="KPP66" s="4"/>
      <c r="KPQ66" s="4"/>
      <c r="KPR66" s="4"/>
      <c r="KPS66" s="4"/>
      <c r="KPT66" s="4"/>
      <c r="KPU66" s="4"/>
      <c r="KPV66" s="4"/>
      <c r="KPW66" s="4"/>
      <c r="KPX66" s="4"/>
      <c r="KPY66" s="4"/>
      <c r="KPZ66" s="4"/>
      <c r="KQA66" s="4"/>
      <c r="KQB66" s="4"/>
      <c r="KQC66" s="4"/>
      <c r="KQD66" s="4"/>
      <c r="KQE66" s="4"/>
      <c r="KQF66" s="4"/>
      <c r="KQG66" s="4"/>
      <c r="KQH66" s="4"/>
      <c r="KQI66" s="4"/>
      <c r="KQJ66" s="4"/>
      <c r="KQK66" s="4"/>
      <c r="KQL66" s="4"/>
      <c r="KQM66" s="4"/>
      <c r="KQN66" s="4"/>
      <c r="KQO66" s="4"/>
      <c r="KQP66" s="4"/>
      <c r="KQQ66" s="4"/>
      <c r="KQR66" s="4"/>
      <c r="KQS66" s="4"/>
      <c r="KQT66" s="4"/>
      <c r="KQU66" s="4"/>
      <c r="KQV66" s="4"/>
      <c r="KQW66" s="4"/>
      <c r="KQX66" s="4"/>
      <c r="KQY66" s="4"/>
      <c r="KQZ66" s="4"/>
      <c r="KRA66" s="4"/>
      <c r="KRB66" s="4"/>
      <c r="KRC66" s="4"/>
      <c r="KRD66" s="4"/>
      <c r="KRE66" s="4"/>
      <c r="KRF66" s="4"/>
      <c r="KRG66" s="4"/>
      <c r="KRH66" s="4"/>
      <c r="KRI66" s="4"/>
      <c r="KRJ66" s="4"/>
      <c r="KRK66" s="4"/>
      <c r="KRL66" s="4"/>
      <c r="KRM66" s="4"/>
      <c r="KRN66" s="4"/>
      <c r="KRO66" s="4"/>
      <c r="KRP66" s="4"/>
      <c r="KRQ66" s="4"/>
      <c r="KRR66" s="4"/>
      <c r="KRS66" s="4"/>
      <c r="KRT66" s="4"/>
      <c r="KRU66" s="4"/>
      <c r="KRV66" s="4"/>
      <c r="KRW66" s="4"/>
      <c r="KRX66" s="4"/>
      <c r="KRY66" s="4"/>
      <c r="KRZ66" s="4"/>
      <c r="KSA66" s="4"/>
      <c r="KSB66" s="4"/>
      <c r="KSC66" s="4"/>
      <c r="KSD66" s="4"/>
      <c r="KSE66" s="4"/>
      <c r="KSF66" s="4"/>
      <c r="KSG66" s="4"/>
      <c r="KSH66" s="4"/>
      <c r="KSI66" s="4"/>
      <c r="KSJ66" s="4"/>
      <c r="KSK66" s="4"/>
      <c r="KSL66" s="4"/>
      <c r="KSM66" s="4"/>
      <c r="KSN66" s="4"/>
      <c r="KSO66" s="4"/>
      <c r="KSP66" s="4"/>
      <c r="KSQ66" s="4"/>
      <c r="KSR66" s="4"/>
      <c r="KSS66" s="4"/>
      <c r="KST66" s="4"/>
      <c r="KSU66" s="4"/>
      <c r="KSV66" s="4"/>
      <c r="KSW66" s="4"/>
      <c r="KSX66" s="4"/>
      <c r="KSY66" s="4"/>
      <c r="KSZ66" s="4"/>
      <c r="KTA66" s="4"/>
      <c r="KTB66" s="4"/>
      <c r="KTC66" s="4"/>
      <c r="KTD66" s="4"/>
      <c r="KTE66" s="4"/>
      <c r="KTF66" s="4"/>
      <c r="KTG66" s="4"/>
      <c r="KTH66" s="4"/>
      <c r="KTI66" s="4"/>
      <c r="KTJ66" s="4"/>
      <c r="KTK66" s="4"/>
      <c r="KTL66" s="4"/>
      <c r="KTM66" s="4"/>
      <c r="KTN66" s="4"/>
      <c r="KTO66" s="4"/>
      <c r="KTP66" s="4"/>
      <c r="KTQ66" s="4"/>
      <c r="KTR66" s="4"/>
      <c r="KTS66" s="4"/>
      <c r="KTT66" s="4"/>
      <c r="KTU66" s="4"/>
      <c r="KTV66" s="4"/>
      <c r="KTW66" s="4"/>
      <c r="KTX66" s="4"/>
      <c r="KTY66" s="4"/>
      <c r="KTZ66" s="4"/>
      <c r="KUA66" s="4"/>
      <c r="KUB66" s="4"/>
      <c r="KUC66" s="4"/>
      <c r="KUD66" s="4"/>
      <c r="KUE66" s="4"/>
      <c r="KUF66" s="4"/>
      <c r="KUG66" s="4"/>
      <c r="KUH66" s="4"/>
      <c r="KUI66" s="4"/>
      <c r="KUJ66" s="4"/>
      <c r="KUK66" s="4"/>
      <c r="KUL66" s="4"/>
      <c r="KUM66" s="4"/>
      <c r="KUN66" s="4"/>
      <c r="KUO66" s="4"/>
      <c r="KUP66" s="4"/>
      <c r="KUQ66" s="4"/>
      <c r="KUR66" s="4"/>
      <c r="KUS66" s="4"/>
      <c r="KUT66" s="4"/>
      <c r="KUU66" s="4"/>
      <c r="KUV66" s="4"/>
      <c r="KUW66" s="4"/>
      <c r="KUX66" s="4"/>
      <c r="KUY66" s="4"/>
      <c r="KUZ66" s="4"/>
      <c r="KVA66" s="4"/>
      <c r="KVB66" s="4"/>
      <c r="KVC66" s="4"/>
      <c r="KVD66" s="4"/>
      <c r="KVE66" s="4"/>
      <c r="KVF66" s="4"/>
      <c r="KVG66" s="4"/>
      <c r="KVH66" s="4"/>
      <c r="KVI66" s="4"/>
      <c r="KVJ66" s="4"/>
      <c r="KVK66" s="4"/>
      <c r="KVL66" s="4"/>
      <c r="KVM66" s="4"/>
      <c r="KVN66" s="4"/>
      <c r="KVO66" s="4"/>
      <c r="KVP66" s="4"/>
      <c r="KVQ66" s="4"/>
      <c r="KVR66" s="4"/>
      <c r="KVS66" s="4"/>
      <c r="KVT66" s="4"/>
      <c r="KVU66" s="4"/>
      <c r="KVV66" s="4"/>
      <c r="KVW66" s="4"/>
      <c r="KVX66" s="4"/>
      <c r="KVY66" s="4"/>
      <c r="KVZ66" s="4"/>
      <c r="KWA66" s="4"/>
      <c r="KWB66" s="4"/>
      <c r="KWC66" s="4"/>
      <c r="KWD66" s="4"/>
      <c r="KWE66" s="4"/>
      <c r="KWF66" s="4"/>
      <c r="KWG66" s="4"/>
      <c r="KWH66" s="4"/>
      <c r="KWI66" s="4"/>
      <c r="KWJ66" s="4"/>
      <c r="KWK66" s="4"/>
      <c r="KWL66" s="4"/>
      <c r="KWM66" s="4"/>
      <c r="KWN66" s="4"/>
      <c r="KWO66" s="4"/>
      <c r="KWP66" s="4"/>
      <c r="KWQ66" s="4"/>
      <c r="KWR66" s="4"/>
      <c r="KWS66" s="4"/>
      <c r="KWT66" s="4"/>
      <c r="KWU66" s="4"/>
      <c r="KWV66" s="4"/>
      <c r="KWW66" s="4"/>
      <c r="KWX66" s="4"/>
      <c r="KWY66" s="4"/>
      <c r="KWZ66" s="4"/>
      <c r="KXA66" s="4"/>
      <c r="KXB66" s="4"/>
      <c r="KXC66" s="4"/>
      <c r="KXD66" s="4"/>
      <c r="KXE66" s="4"/>
      <c r="KXF66" s="4"/>
      <c r="KXG66" s="4"/>
      <c r="KXH66" s="4"/>
      <c r="KXI66" s="4"/>
      <c r="KXJ66" s="4"/>
      <c r="KXK66" s="4"/>
      <c r="KXL66" s="4"/>
      <c r="KXM66" s="4"/>
      <c r="KXN66" s="4"/>
      <c r="KXO66" s="4"/>
      <c r="KXP66" s="4"/>
      <c r="KXQ66" s="4"/>
      <c r="KXR66" s="4"/>
      <c r="KXS66" s="4"/>
      <c r="KXT66" s="4"/>
      <c r="KXU66" s="4"/>
      <c r="KXV66" s="4"/>
      <c r="KXW66" s="4"/>
      <c r="KXX66" s="4"/>
      <c r="KXY66" s="4"/>
      <c r="KXZ66" s="4"/>
      <c r="KYA66" s="4"/>
      <c r="KYB66" s="4"/>
      <c r="KYC66" s="4"/>
      <c r="KYD66" s="4"/>
      <c r="KYE66" s="4"/>
      <c r="KYF66" s="4"/>
      <c r="KYG66" s="4"/>
      <c r="KYH66" s="4"/>
      <c r="KYI66" s="4"/>
      <c r="KYJ66" s="4"/>
      <c r="KYK66" s="4"/>
      <c r="KYL66" s="4"/>
      <c r="KYM66" s="4"/>
      <c r="KYN66" s="4"/>
      <c r="KYO66" s="4"/>
      <c r="KYP66" s="4"/>
      <c r="KYQ66" s="4"/>
      <c r="KYR66" s="4"/>
      <c r="KYS66" s="4"/>
      <c r="KYT66" s="4"/>
      <c r="KYU66" s="4"/>
      <c r="KYV66" s="4"/>
      <c r="KYW66" s="4"/>
      <c r="KYX66" s="4"/>
      <c r="KYY66" s="4"/>
      <c r="KYZ66" s="4"/>
      <c r="KZA66" s="4"/>
      <c r="KZB66" s="4"/>
      <c r="KZC66" s="4"/>
      <c r="KZD66" s="4"/>
      <c r="KZE66" s="4"/>
      <c r="KZF66" s="4"/>
      <c r="KZG66" s="4"/>
      <c r="KZH66" s="4"/>
      <c r="KZI66" s="4"/>
      <c r="KZJ66" s="4"/>
      <c r="KZK66" s="4"/>
      <c r="KZL66" s="4"/>
      <c r="KZM66" s="4"/>
      <c r="KZN66" s="4"/>
      <c r="KZO66" s="4"/>
      <c r="KZP66" s="4"/>
      <c r="KZQ66" s="4"/>
      <c r="KZR66" s="4"/>
      <c r="KZS66" s="4"/>
      <c r="KZT66" s="4"/>
      <c r="KZU66" s="4"/>
      <c r="KZV66" s="4"/>
      <c r="KZW66" s="4"/>
      <c r="KZX66" s="4"/>
      <c r="KZY66" s="4"/>
      <c r="KZZ66" s="4"/>
      <c r="LAA66" s="4"/>
      <c r="LAB66" s="4"/>
      <c r="LAC66" s="4"/>
      <c r="LAD66" s="4"/>
      <c r="LAE66" s="4"/>
      <c r="LAF66" s="4"/>
      <c r="LAG66" s="4"/>
      <c r="LAH66" s="4"/>
      <c r="LAI66" s="4"/>
      <c r="LAJ66" s="4"/>
      <c r="LAK66" s="4"/>
      <c r="LAL66" s="4"/>
      <c r="LAM66" s="4"/>
      <c r="LAN66" s="4"/>
      <c r="LAO66" s="4"/>
      <c r="LAP66" s="4"/>
      <c r="LAQ66" s="4"/>
      <c r="LAR66" s="4"/>
      <c r="LAS66" s="4"/>
      <c r="LAT66" s="4"/>
      <c r="LAU66" s="4"/>
      <c r="LAV66" s="4"/>
      <c r="LAW66" s="4"/>
      <c r="LAX66" s="4"/>
      <c r="LAY66" s="4"/>
      <c r="LAZ66" s="4"/>
      <c r="LBA66" s="4"/>
      <c r="LBB66" s="4"/>
      <c r="LBC66" s="4"/>
      <c r="LBD66" s="4"/>
      <c r="LBE66" s="4"/>
      <c r="LBF66" s="4"/>
      <c r="LBG66" s="4"/>
      <c r="LBH66" s="4"/>
      <c r="LBI66" s="4"/>
      <c r="LBJ66" s="4"/>
      <c r="LBK66" s="4"/>
      <c r="LBL66" s="4"/>
      <c r="LBM66" s="4"/>
      <c r="LBN66" s="4"/>
      <c r="LBO66" s="4"/>
      <c r="LBP66" s="4"/>
      <c r="LBQ66" s="4"/>
      <c r="LBR66" s="4"/>
      <c r="LBS66" s="4"/>
      <c r="LBT66" s="4"/>
      <c r="LBU66" s="4"/>
      <c r="LBV66" s="4"/>
      <c r="LBW66" s="4"/>
      <c r="LBX66" s="4"/>
      <c r="LBY66" s="4"/>
      <c r="LBZ66" s="4"/>
      <c r="LCA66" s="4"/>
      <c r="LCB66" s="4"/>
      <c r="LCC66" s="4"/>
      <c r="LCD66" s="4"/>
      <c r="LCE66" s="4"/>
      <c r="LCF66" s="4"/>
      <c r="LCG66" s="4"/>
      <c r="LCH66" s="4"/>
      <c r="LCI66" s="4"/>
      <c r="LCJ66" s="4"/>
      <c r="LCK66" s="4"/>
      <c r="LCL66" s="4"/>
      <c r="LCM66" s="4"/>
      <c r="LCN66" s="4"/>
      <c r="LCO66" s="4"/>
      <c r="LCP66" s="4"/>
      <c r="LCQ66" s="4"/>
      <c r="LCR66" s="4"/>
      <c r="LCS66" s="4"/>
      <c r="LCT66" s="4"/>
      <c r="LCU66" s="4"/>
      <c r="LCV66" s="4"/>
      <c r="LCW66" s="4"/>
      <c r="LCX66" s="4"/>
      <c r="LCY66" s="4"/>
      <c r="LCZ66" s="4"/>
      <c r="LDA66" s="4"/>
      <c r="LDB66" s="4"/>
      <c r="LDC66" s="4"/>
      <c r="LDD66" s="4"/>
      <c r="LDE66" s="4"/>
      <c r="LDF66" s="4"/>
      <c r="LDG66" s="4"/>
      <c r="LDH66" s="4"/>
      <c r="LDI66" s="4"/>
      <c r="LDJ66" s="4"/>
      <c r="LDK66" s="4"/>
      <c r="LDL66" s="4"/>
      <c r="LDM66" s="4"/>
      <c r="LDN66" s="4"/>
      <c r="LDO66" s="4"/>
      <c r="LDP66" s="4"/>
      <c r="LDQ66" s="4"/>
      <c r="LDR66" s="4"/>
      <c r="LDS66" s="4"/>
      <c r="LDT66" s="4"/>
      <c r="LDU66" s="4"/>
      <c r="LDV66" s="4"/>
      <c r="LDW66" s="4"/>
      <c r="LDX66" s="4"/>
      <c r="LDY66" s="4"/>
      <c r="LDZ66" s="4"/>
      <c r="LEA66" s="4"/>
      <c r="LEB66" s="4"/>
      <c r="LEC66" s="4"/>
      <c r="LED66" s="4"/>
      <c r="LEE66" s="4"/>
      <c r="LEF66" s="4"/>
      <c r="LEG66" s="4"/>
      <c r="LEH66" s="4"/>
      <c r="LEI66" s="4"/>
      <c r="LEJ66" s="4"/>
      <c r="LEK66" s="4"/>
      <c r="LEL66" s="4"/>
      <c r="LEM66" s="4"/>
      <c r="LEN66" s="4"/>
      <c r="LEO66" s="4"/>
      <c r="LEP66" s="4"/>
      <c r="LEQ66" s="4"/>
      <c r="LER66" s="4"/>
      <c r="LES66" s="4"/>
      <c r="LET66" s="4"/>
      <c r="LEU66" s="4"/>
      <c r="LEV66" s="4"/>
      <c r="LEW66" s="4"/>
      <c r="LEX66" s="4"/>
      <c r="LEY66" s="4"/>
      <c r="LEZ66" s="4"/>
      <c r="LFA66" s="4"/>
      <c r="LFB66" s="4"/>
      <c r="LFC66" s="4"/>
      <c r="LFD66" s="4"/>
      <c r="LFE66" s="4"/>
      <c r="LFF66" s="4"/>
      <c r="LFG66" s="4"/>
      <c r="LFH66" s="4"/>
      <c r="LFI66" s="4"/>
      <c r="LFJ66" s="4"/>
      <c r="LFK66" s="4"/>
      <c r="LFL66" s="4"/>
      <c r="LFM66" s="4"/>
      <c r="LFN66" s="4"/>
      <c r="LFO66" s="4"/>
      <c r="LFP66" s="4"/>
      <c r="LFQ66" s="4"/>
      <c r="LFR66" s="4"/>
      <c r="LFS66" s="4"/>
      <c r="LFT66" s="4"/>
      <c r="LFU66" s="4"/>
      <c r="LFV66" s="4"/>
      <c r="LFW66" s="4"/>
      <c r="LFX66" s="4"/>
      <c r="LFY66" s="4"/>
      <c r="LFZ66" s="4"/>
      <c r="LGA66" s="4"/>
      <c r="LGB66" s="4"/>
      <c r="LGC66" s="4"/>
      <c r="LGD66" s="4"/>
      <c r="LGE66" s="4"/>
      <c r="LGF66" s="4"/>
      <c r="LGG66" s="4"/>
      <c r="LGH66" s="4"/>
      <c r="LGI66" s="4"/>
      <c r="LGJ66" s="4"/>
      <c r="LGK66" s="4"/>
      <c r="LGL66" s="4"/>
      <c r="LGM66" s="4"/>
      <c r="LGN66" s="4"/>
      <c r="LGO66" s="4"/>
      <c r="LGP66" s="4"/>
      <c r="LGQ66" s="4"/>
      <c r="LGR66" s="4"/>
      <c r="LGS66" s="4"/>
      <c r="LGT66" s="4"/>
      <c r="LGU66" s="4"/>
      <c r="LGV66" s="4"/>
      <c r="LGW66" s="4"/>
      <c r="LGX66" s="4"/>
      <c r="LGY66" s="4"/>
      <c r="LGZ66" s="4"/>
      <c r="LHA66" s="4"/>
      <c r="LHB66" s="4"/>
      <c r="LHC66" s="4"/>
      <c r="LHD66" s="4"/>
      <c r="LHE66" s="4"/>
      <c r="LHF66" s="4"/>
      <c r="LHG66" s="4"/>
      <c r="LHH66" s="4"/>
      <c r="LHI66" s="4"/>
      <c r="LHJ66" s="4"/>
      <c r="LHK66" s="4"/>
      <c r="LHL66" s="4"/>
      <c r="LHM66" s="4"/>
      <c r="LHN66" s="4"/>
      <c r="LHO66" s="4"/>
      <c r="LHP66" s="4"/>
      <c r="LHQ66" s="4"/>
      <c r="LHR66" s="4"/>
      <c r="LHS66" s="4"/>
      <c r="LHT66" s="4"/>
      <c r="LHU66" s="4"/>
      <c r="LHV66" s="4"/>
      <c r="LHW66" s="4"/>
      <c r="LHX66" s="4"/>
      <c r="LHY66" s="4"/>
      <c r="LHZ66" s="4"/>
      <c r="LIA66" s="4"/>
      <c r="LIB66" s="4"/>
      <c r="LIC66" s="4"/>
      <c r="LID66" s="4"/>
      <c r="LIE66" s="4"/>
      <c r="LIF66" s="4"/>
      <c r="LIG66" s="4"/>
      <c r="LIH66" s="4"/>
      <c r="LII66" s="4"/>
      <c r="LIJ66" s="4"/>
      <c r="LIK66" s="4"/>
      <c r="LIL66" s="4"/>
      <c r="LIM66" s="4"/>
      <c r="LIN66" s="4"/>
      <c r="LIO66" s="4"/>
      <c r="LIP66" s="4"/>
      <c r="LIQ66" s="4"/>
      <c r="LIR66" s="4"/>
      <c r="LIS66" s="4"/>
      <c r="LIT66" s="4"/>
      <c r="LIU66" s="4"/>
      <c r="LIV66" s="4"/>
      <c r="LIW66" s="4"/>
      <c r="LIX66" s="4"/>
      <c r="LIY66" s="4"/>
      <c r="LIZ66" s="4"/>
      <c r="LJA66" s="4"/>
      <c r="LJB66" s="4"/>
      <c r="LJC66" s="4"/>
      <c r="LJD66" s="4"/>
      <c r="LJE66" s="4"/>
      <c r="LJF66" s="4"/>
      <c r="LJG66" s="4"/>
      <c r="LJH66" s="4"/>
      <c r="LJI66" s="4"/>
      <c r="LJJ66" s="4"/>
      <c r="LJK66" s="4"/>
      <c r="LJL66" s="4"/>
      <c r="LJM66" s="4"/>
      <c r="LJN66" s="4"/>
      <c r="LJO66" s="4"/>
      <c r="LJP66" s="4"/>
      <c r="LJQ66" s="4"/>
      <c r="LJR66" s="4"/>
      <c r="LJS66" s="4"/>
      <c r="LJT66" s="4"/>
      <c r="LJU66" s="4"/>
      <c r="LJV66" s="4"/>
      <c r="LJW66" s="4"/>
      <c r="LJX66" s="4"/>
      <c r="LJY66" s="4"/>
      <c r="LJZ66" s="4"/>
      <c r="LKA66" s="4"/>
      <c r="LKB66" s="4"/>
      <c r="LKC66" s="4"/>
      <c r="LKD66" s="4"/>
      <c r="LKE66" s="4"/>
      <c r="LKF66" s="4"/>
      <c r="LKG66" s="4"/>
      <c r="LKH66" s="4"/>
      <c r="LKI66" s="4"/>
      <c r="LKJ66" s="4"/>
      <c r="LKK66" s="4"/>
      <c r="LKL66" s="4"/>
      <c r="LKM66" s="4"/>
      <c r="LKN66" s="4"/>
      <c r="LKO66" s="4"/>
      <c r="LKP66" s="4"/>
      <c r="LKQ66" s="4"/>
      <c r="LKR66" s="4"/>
      <c r="LKS66" s="4"/>
      <c r="LKT66" s="4"/>
      <c r="LKU66" s="4"/>
      <c r="LKV66" s="4"/>
      <c r="LKW66" s="4"/>
      <c r="LKX66" s="4"/>
      <c r="LKY66" s="4"/>
      <c r="LKZ66" s="4"/>
      <c r="LLA66" s="4"/>
      <c r="LLB66" s="4"/>
      <c r="LLC66" s="4"/>
      <c r="LLD66" s="4"/>
      <c r="LLE66" s="4"/>
      <c r="LLF66" s="4"/>
      <c r="LLG66" s="4"/>
      <c r="LLH66" s="4"/>
      <c r="LLI66" s="4"/>
      <c r="LLJ66" s="4"/>
      <c r="LLK66" s="4"/>
      <c r="LLL66" s="4"/>
      <c r="LLM66" s="4"/>
      <c r="LLN66" s="4"/>
      <c r="LLO66" s="4"/>
      <c r="LLP66" s="4"/>
      <c r="LLQ66" s="4"/>
      <c r="LLR66" s="4"/>
      <c r="LLS66" s="4"/>
      <c r="LLT66" s="4"/>
      <c r="LLU66" s="4"/>
      <c r="LLV66" s="4"/>
      <c r="LLW66" s="4"/>
      <c r="LLX66" s="4"/>
      <c r="LLY66" s="4"/>
      <c r="LLZ66" s="4"/>
      <c r="LMA66" s="4"/>
      <c r="LMB66" s="4"/>
      <c r="LMC66" s="4"/>
      <c r="LMD66" s="4"/>
      <c r="LME66" s="4"/>
      <c r="LMF66" s="4"/>
      <c r="LMG66" s="4"/>
      <c r="LMH66" s="4"/>
      <c r="LMI66" s="4"/>
      <c r="LMJ66" s="4"/>
      <c r="LMK66" s="4"/>
      <c r="LML66" s="4"/>
      <c r="LMM66" s="4"/>
      <c r="LMN66" s="4"/>
      <c r="LMO66" s="4"/>
      <c r="LMP66" s="4"/>
      <c r="LMQ66" s="4"/>
      <c r="LMR66" s="4"/>
      <c r="LMS66" s="4"/>
      <c r="LMT66" s="4"/>
      <c r="LMU66" s="4"/>
      <c r="LMV66" s="4"/>
      <c r="LMW66" s="4"/>
      <c r="LMX66" s="4"/>
      <c r="LMY66" s="4"/>
      <c r="LMZ66" s="4"/>
      <c r="LNA66" s="4"/>
      <c r="LNB66" s="4"/>
      <c r="LNC66" s="4"/>
      <c r="LND66" s="4"/>
      <c r="LNE66" s="4"/>
      <c r="LNF66" s="4"/>
      <c r="LNG66" s="4"/>
      <c r="LNH66" s="4"/>
      <c r="LNI66" s="4"/>
      <c r="LNJ66" s="4"/>
      <c r="LNK66" s="4"/>
      <c r="LNL66" s="4"/>
      <c r="LNM66" s="4"/>
      <c r="LNN66" s="4"/>
      <c r="LNO66" s="4"/>
      <c r="LNP66" s="4"/>
      <c r="LNQ66" s="4"/>
      <c r="LNR66" s="4"/>
      <c r="LNS66" s="4"/>
      <c r="LNT66" s="4"/>
      <c r="LNU66" s="4"/>
      <c r="LNV66" s="4"/>
      <c r="LNW66" s="4"/>
      <c r="LNX66" s="4"/>
      <c r="LNY66" s="4"/>
      <c r="LNZ66" s="4"/>
      <c r="LOA66" s="4"/>
      <c r="LOB66" s="4"/>
      <c r="LOC66" s="4"/>
      <c r="LOD66" s="4"/>
      <c r="LOE66" s="4"/>
      <c r="LOF66" s="4"/>
      <c r="LOG66" s="4"/>
      <c r="LOH66" s="4"/>
      <c r="LOI66" s="4"/>
      <c r="LOJ66" s="4"/>
      <c r="LOK66" s="4"/>
      <c r="LOL66" s="4"/>
      <c r="LOM66" s="4"/>
      <c r="LON66" s="4"/>
      <c r="LOO66" s="4"/>
      <c r="LOP66" s="4"/>
      <c r="LOQ66" s="4"/>
      <c r="LOR66" s="4"/>
      <c r="LOS66" s="4"/>
      <c r="LOT66" s="4"/>
      <c r="LOU66" s="4"/>
      <c r="LOV66" s="4"/>
      <c r="LOW66" s="4"/>
      <c r="LOX66" s="4"/>
      <c r="LOY66" s="4"/>
      <c r="LOZ66" s="4"/>
      <c r="LPA66" s="4"/>
      <c r="LPB66" s="4"/>
      <c r="LPC66" s="4"/>
      <c r="LPD66" s="4"/>
      <c r="LPE66" s="4"/>
      <c r="LPF66" s="4"/>
      <c r="LPG66" s="4"/>
      <c r="LPH66" s="4"/>
      <c r="LPI66" s="4"/>
      <c r="LPJ66" s="4"/>
      <c r="LPK66" s="4"/>
      <c r="LPL66" s="4"/>
      <c r="LPM66" s="4"/>
      <c r="LPN66" s="4"/>
      <c r="LPO66" s="4"/>
      <c r="LPP66" s="4"/>
      <c r="LPQ66" s="4"/>
      <c r="LPR66" s="4"/>
      <c r="LPS66" s="4"/>
      <c r="LPT66" s="4"/>
      <c r="LPU66" s="4"/>
      <c r="LPV66" s="4"/>
      <c r="LPW66" s="4"/>
      <c r="LPX66" s="4"/>
      <c r="LPY66" s="4"/>
      <c r="LPZ66" s="4"/>
      <c r="LQA66" s="4"/>
      <c r="LQB66" s="4"/>
      <c r="LQC66" s="4"/>
      <c r="LQD66" s="4"/>
      <c r="LQE66" s="4"/>
      <c r="LQF66" s="4"/>
      <c r="LQG66" s="4"/>
      <c r="LQH66" s="4"/>
      <c r="LQI66" s="4"/>
      <c r="LQJ66" s="4"/>
      <c r="LQK66" s="4"/>
      <c r="LQL66" s="4"/>
      <c r="LQM66" s="4"/>
      <c r="LQN66" s="4"/>
      <c r="LQO66" s="4"/>
      <c r="LQP66" s="4"/>
      <c r="LQQ66" s="4"/>
      <c r="LQR66" s="4"/>
      <c r="LQS66" s="4"/>
      <c r="LQT66" s="4"/>
      <c r="LQU66" s="4"/>
      <c r="LQV66" s="4"/>
      <c r="LQW66" s="4"/>
      <c r="LQX66" s="4"/>
      <c r="LQY66" s="4"/>
      <c r="LQZ66" s="4"/>
      <c r="LRA66" s="4"/>
      <c r="LRB66" s="4"/>
      <c r="LRC66" s="4"/>
      <c r="LRD66" s="4"/>
      <c r="LRE66" s="4"/>
      <c r="LRF66" s="4"/>
      <c r="LRG66" s="4"/>
      <c r="LRH66" s="4"/>
      <c r="LRI66" s="4"/>
      <c r="LRJ66" s="4"/>
      <c r="LRK66" s="4"/>
      <c r="LRL66" s="4"/>
      <c r="LRM66" s="4"/>
      <c r="LRN66" s="4"/>
      <c r="LRO66" s="4"/>
      <c r="LRP66" s="4"/>
      <c r="LRQ66" s="4"/>
      <c r="LRR66" s="4"/>
      <c r="LRS66" s="4"/>
      <c r="LRT66" s="4"/>
      <c r="LRU66" s="4"/>
      <c r="LRV66" s="4"/>
      <c r="LRW66" s="4"/>
      <c r="LRX66" s="4"/>
      <c r="LRY66" s="4"/>
      <c r="LRZ66" s="4"/>
      <c r="LSA66" s="4"/>
      <c r="LSB66" s="4"/>
      <c r="LSC66" s="4"/>
      <c r="LSD66" s="4"/>
      <c r="LSE66" s="4"/>
      <c r="LSF66" s="4"/>
      <c r="LSG66" s="4"/>
      <c r="LSH66" s="4"/>
      <c r="LSI66" s="4"/>
      <c r="LSJ66" s="4"/>
      <c r="LSK66" s="4"/>
      <c r="LSL66" s="4"/>
      <c r="LSM66" s="4"/>
      <c r="LSN66" s="4"/>
      <c r="LSO66" s="4"/>
      <c r="LSP66" s="4"/>
      <c r="LSQ66" s="4"/>
      <c r="LSR66" s="4"/>
      <c r="LSS66" s="4"/>
      <c r="LST66" s="4"/>
      <c r="LSU66" s="4"/>
      <c r="LSV66" s="4"/>
      <c r="LSW66" s="4"/>
      <c r="LSX66" s="4"/>
      <c r="LSY66" s="4"/>
      <c r="LSZ66" s="4"/>
      <c r="LTA66" s="4"/>
      <c r="LTB66" s="4"/>
      <c r="LTC66" s="4"/>
      <c r="LTD66" s="4"/>
      <c r="LTE66" s="4"/>
      <c r="LTF66" s="4"/>
      <c r="LTG66" s="4"/>
      <c r="LTH66" s="4"/>
      <c r="LTI66" s="4"/>
      <c r="LTJ66" s="4"/>
      <c r="LTK66" s="4"/>
      <c r="LTL66" s="4"/>
      <c r="LTM66" s="4"/>
      <c r="LTN66" s="4"/>
      <c r="LTO66" s="4"/>
      <c r="LTP66" s="4"/>
      <c r="LTQ66" s="4"/>
      <c r="LTR66" s="4"/>
      <c r="LTS66" s="4"/>
      <c r="LTT66" s="4"/>
      <c r="LTU66" s="4"/>
      <c r="LTV66" s="4"/>
      <c r="LTW66" s="4"/>
      <c r="LTX66" s="4"/>
      <c r="LTY66" s="4"/>
      <c r="LTZ66" s="4"/>
      <c r="LUA66" s="4"/>
      <c r="LUB66" s="4"/>
      <c r="LUC66" s="4"/>
      <c r="LUD66" s="4"/>
      <c r="LUE66" s="4"/>
      <c r="LUF66" s="4"/>
      <c r="LUG66" s="4"/>
      <c r="LUH66" s="4"/>
      <c r="LUI66" s="4"/>
      <c r="LUJ66" s="4"/>
      <c r="LUK66" s="4"/>
      <c r="LUL66" s="4"/>
      <c r="LUM66" s="4"/>
      <c r="LUN66" s="4"/>
      <c r="LUO66" s="4"/>
      <c r="LUP66" s="4"/>
      <c r="LUQ66" s="4"/>
      <c r="LUR66" s="4"/>
      <c r="LUS66" s="4"/>
      <c r="LUT66" s="4"/>
      <c r="LUU66" s="4"/>
      <c r="LUV66" s="4"/>
      <c r="LUW66" s="4"/>
      <c r="LUX66" s="4"/>
      <c r="LUY66" s="4"/>
      <c r="LUZ66" s="4"/>
      <c r="LVA66" s="4"/>
      <c r="LVB66" s="4"/>
      <c r="LVC66" s="4"/>
      <c r="LVD66" s="4"/>
      <c r="LVE66" s="4"/>
      <c r="LVF66" s="4"/>
      <c r="LVG66" s="4"/>
      <c r="LVH66" s="4"/>
      <c r="LVI66" s="4"/>
      <c r="LVJ66" s="4"/>
      <c r="LVK66" s="4"/>
      <c r="LVL66" s="4"/>
      <c r="LVM66" s="4"/>
      <c r="LVN66" s="4"/>
      <c r="LVO66" s="4"/>
      <c r="LVP66" s="4"/>
      <c r="LVQ66" s="4"/>
      <c r="LVR66" s="4"/>
      <c r="LVS66" s="4"/>
      <c r="LVT66" s="4"/>
      <c r="LVU66" s="4"/>
      <c r="LVV66" s="4"/>
      <c r="LVW66" s="4"/>
      <c r="LVX66" s="4"/>
      <c r="LVY66" s="4"/>
      <c r="LVZ66" s="4"/>
      <c r="LWA66" s="4"/>
      <c r="LWB66" s="4"/>
      <c r="LWC66" s="4"/>
      <c r="LWD66" s="4"/>
      <c r="LWE66" s="4"/>
      <c r="LWF66" s="4"/>
      <c r="LWG66" s="4"/>
      <c r="LWH66" s="4"/>
      <c r="LWI66" s="4"/>
      <c r="LWJ66" s="4"/>
      <c r="LWK66" s="4"/>
      <c r="LWL66" s="4"/>
      <c r="LWM66" s="4"/>
      <c r="LWN66" s="4"/>
      <c r="LWO66" s="4"/>
      <c r="LWP66" s="4"/>
      <c r="LWQ66" s="4"/>
      <c r="LWR66" s="4"/>
      <c r="LWS66" s="4"/>
      <c r="LWT66" s="4"/>
      <c r="LWU66" s="4"/>
      <c r="LWV66" s="4"/>
      <c r="LWW66" s="4"/>
      <c r="LWX66" s="4"/>
      <c r="LWY66" s="4"/>
      <c r="LWZ66" s="4"/>
      <c r="LXA66" s="4"/>
      <c r="LXB66" s="4"/>
      <c r="LXC66" s="4"/>
      <c r="LXD66" s="4"/>
      <c r="LXE66" s="4"/>
      <c r="LXF66" s="4"/>
      <c r="LXG66" s="4"/>
      <c r="LXH66" s="4"/>
      <c r="LXI66" s="4"/>
      <c r="LXJ66" s="4"/>
      <c r="LXK66" s="4"/>
      <c r="LXL66" s="4"/>
      <c r="LXM66" s="4"/>
      <c r="LXN66" s="4"/>
      <c r="LXO66" s="4"/>
      <c r="LXP66" s="4"/>
      <c r="LXQ66" s="4"/>
      <c r="LXR66" s="4"/>
      <c r="LXS66" s="4"/>
      <c r="LXT66" s="4"/>
      <c r="LXU66" s="4"/>
      <c r="LXV66" s="4"/>
      <c r="LXW66" s="4"/>
      <c r="LXX66" s="4"/>
      <c r="LXY66" s="4"/>
      <c r="LXZ66" s="4"/>
      <c r="LYA66" s="4"/>
      <c r="LYB66" s="4"/>
      <c r="LYC66" s="4"/>
      <c r="LYD66" s="4"/>
      <c r="LYE66" s="4"/>
      <c r="LYF66" s="4"/>
      <c r="LYG66" s="4"/>
      <c r="LYH66" s="4"/>
      <c r="LYI66" s="4"/>
      <c r="LYJ66" s="4"/>
      <c r="LYK66" s="4"/>
      <c r="LYL66" s="4"/>
      <c r="LYM66" s="4"/>
      <c r="LYN66" s="4"/>
      <c r="LYO66" s="4"/>
      <c r="LYP66" s="4"/>
      <c r="LYQ66" s="4"/>
      <c r="LYR66" s="4"/>
      <c r="LYS66" s="4"/>
      <c r="LYT66" s="4"/>
      <c r="LYU66" s="4"/>
      <c r="LYV66" s="4"/>
      <c r="LYW66" s="4"/>
      <c r="LYX66" s="4"/>
      <c r="LYY66" s="4"/>
      <c r="LYZ66" s="4"/>
      <c r="LZA66" s="4"/>
      <c r="LZB66" s="4"/>
      <c r="LZC66" s="4"/>
      <c r="LZD66" s="4"/>
      <c r="LZE66" s="4"/>
      <c r="LZF66" s="4"/>
      <c r="LZG66" s="4"/>
      <c r="LZH66" s="4"/>
      <c r="LZI66" s="4"/>
      <c r="LZJ66" s="4"/>
      <c r="LZK66" s="4"/>
      <c r="LZL66" s="4"/>
      <c r="LZM66" s="4"/>
      <c r="LZN66" s="4"/>
      <c r="LZO66" s="4"/>
      <c r="LZP66" s="4"/>
      <c r="LZQ66" s="4"/>
      <c r="LZR66" s="4"/>
      <c r="LZS66" s="4"/>
      <c r="LZT66" s="4"/>
      <c r="LZU66" s="4"/>
      <c r="LZV66" s="4"/>
      <c r="LZW66" s="4"/>
      <c r="LZX66" s="4"/>
      <c r="LZY66" s="4"/>
      <c r="LZZ66" s="4"/>
      <c r="MAA66" s="4"/>
      <c r="MAB66" s="4"/>
      <c r="MAC66" s="4"/>
      <c r="MAD66" s="4"/>
      <c r="MAE66" s="4"/>
      <c r="MAF66" s="4"/>
      <c r="MAG66" s="4"/>
      <c r="MAH66" s="4"/>
      <c r="MAI66" s="4"/>
      <c r="MAJ66" s="4"/>
      <c r="MAK66" s="4"/>
      <c r="MAL66" s="4"/>
      <c r="MAM66" s="4"/>
      <c r="MAN66" s="4"/>
      <c r="MAO66" s="4"/>
      <c r="MAP66" s="4"/>
      <c r="MAQ66" s="4"/>
      <c r="MAR66" s="4"/>
      <c r="MAS66" s="4"/>
      <c r="MAT66" s="4"/>
      <c r="MAU66" s="4"/>
      <c r="MAV66" s="4"/>
      <c r="MAW66" s="4"/>
      <c r="MAX66" s="4"/>
      <c r="MAY66" s="4"/>
      <c r="MAZ66" s="4"/>
      <c r="MBA66" s="4"/>
      <c r="MBB66" s="4"/>
      <c r="MBC66" s="4"/>
      <c r="MBD66" s="4"/>
      <c r="MBE66" s="4"/>
      <c r="MBF66" s="4"/>
      <c r="MBG66" s="4"/>
      <c r="MBH66" s="4"/>
      <c r="MBI66" s="4"/>
      <c r="MBJ66" s="4"/>
      <c r="MBK66" s="4"/>
      <c r="MBL66" s="4"/>
      <c r="MBM66" s="4"/>
      <c r="MBN66" s="4"/>
      <c r="MBO66" s="4"/>
      <c r="MBP66" s="4"/>
      <c r="MBQ66" s="4"/>
      <c r="MBR66" s="4"/>
      <c r="MBS66" s="4"/>
      <c r="MBT66" s="4"/>
      <c r="MBU66" s="4"/>
      <c r="MBV66" s="4"/>
      <c r="MBW66" s="4"/>
      <c r="MBX66" s="4"/>
      <c r="MBY66" s="4"/>
      <c r="MBZ66" s="4"/>
      <c r="MCA66" s="4"/>
      <c r="MCB66" s="4"/>
      <c r="MCC66" s="4"/>
      <c r="MCD66" s="4"/>
      <c r="MCE66" s="4"/>
      <c r="MCF66" s="4"/>
      <c r="MCG66" s="4"/>
      <c r="MCH66" s="4"/>
      <c r="MCI66" s="4"/>
      <c r="MCJ66" s="4"/>
      <c r="MCK66" s="4"/>
      <c r="MCL66" s="4"/>
      <c r="MCM66" s="4"/>
      <c r="MCN66" s="4"/>
      <c r="MCO66" s="4"/>
      <c r="MCP66" s="4"/>
      <c r="MCQ66" s="4"/>
      <c r="MCR66" s="4"/>
      <c r="MCS66" s="4"/>
      <c r="MCT66" s="4"/>
      <c r="MCU66" s="4"/>
      <c r="MCV66" s="4"/>
      <c r="MCW66" s="4"/>
      <c r="MCX66" s="4"/>
      <c r="MCY66" s="4"/>
      <c r="MCZ66" s="4"/>
      <c r="MDA66" s="4"/>
      <c r="MDB66" s="4"/>
      <c r="MDC66" s="4"/>
      <c r="MDD66" s="4"/>
      <c r="MDE66" s="4"/>
      <c r="MDF66" s="4"/>
      <c r="MDG66" s="4"/>
      <c r="MDH66" s="4"/>
      <c r="MDI66" s="4"/>
      <c r="MDJ66" s="4"/>
      <c r="MDK66" s="4"/>
      <c r="MDL66" s="4"/>
      <c r="MDM66" s="4"/>
      <c r="MDN66" s="4"/>
      <c r="MDO66" s="4"/>
      <c r="MDP66" s="4"/>
      <c r="MDQ66" s="4"/>
      <c r="MDR66" s="4"/>
      <c r="MDS66" s="4"/>
      <c r="MDT66" s="4"/>
      <c r="MDU66" s="4"/>
      <c r="MDV66" s="4"/>
      <c r="MDW66" s="4"/>
      <c r="MDX66" s="4"/>
      <c r="MDY66" s="4"/>
      <c r="MDZ66" s="4"/>
      <c r="MEA66" s="4"/>
      <c r="MEB66" s="4"/>
      <c r="MEC66" s="4"/>
      <c r="MED66" s="4"/>
      <c r="MEE66" s="4"/>
      <c r="MEF66" s="4"/>
      <c r="MEG66" s="4"/>
      <c r="MEH66" s="4"/>
      <c r="MEI66" s="4"/>
      <c r="MEJ66" s="4"/>
      <c r="MEK66" s="4"/>
      <c r="MEL66" s="4"/>
      <c r="MEM66" s="4"/>
      <c r="MEN66" s="4"/>
      <c r="MEO66" s="4"/>
      <c r="MEP66" s="4"/>
      <c r="MEQ66" s="4"/>
      <c r="MER66" s="4"/>
      <c r="MES66" s="4"/>
      <c r="MET66" s="4"/>
      <c r="MEU66" s="4"/>
      <c r="MEV66" s="4"/>
      <c r="MEW66" s="4"/>
      <c r="MEX66" s="4"/>
      <c r="MEY66" s="4"/>
      <c r="MEZ66" s="4"/>
      <c r="MFA66" s="4"/>
      <c r="MFB66" s="4"/>
      <c r="MFC66" s="4"/>
      <c r="MFD66" s="4"/>
      <c r="MFE66" s="4"/>
      <c r="MFF66" s="4"/>
      <c r="MFG66" s="4"/>
      <c r="MFH66" s="4"/>
      <c r="MFI66" s="4"/>
      <c r="MFJ66" s="4"/>
      <c r="MFK66" s="4"/>
      <c r="MFL66" s="4"/>
      <c r="MFM66" s="4"/>
      <c r="MFN66" s="4"/>
      <c r="MFO66" s="4"/>
      <c r="MFP66" s="4"/>
      <c r="MFQ66" s="4"/>
      <c r="MFR66" s="4"/>
      <c r="MFS66" s="4"/>
      <c r="MFT66" s="4"/>
      <c r="MFU66" s="4"/>
      <c r="MFV66" s="4"/>
      <c r="MFW66" s="4"/>
      <c r="MFX66" s="4"/>
      <c r="MFY66" s="4"/>
      <c r="MFZ66" s="4"/>
      <c r="MGA66" s="4"/>
      <c r="MGB66" s="4"/>
      <c r="MGC66" s="4"/>
      <c r="MGD66" s="4"/>
      <c r="MGE66" s="4"/>
      <c r="MGF66" s="4"/>
      <c r="MGG66" s="4"/>
      <c r="MGH66" s="4"/>
      <c r="MGI66" s="4"/>
      <c r="MGJ66" s="4"/>
      <c r="MGK66" s="4"/>
      <c r="MGL66" s="4"/>
      <c r="MGM66" s="4"/>
      <c r="MGN66" s="4"/>
      <c r="MGO66" s="4"/>
      <c r="MGP66" s="4"/>
      <c r="MGQ66" s="4"/>
      <c r="MGR66" s="4"/>
      <c r="MGS66" s="4"/>
      <c r="MGT66" s="4"/>
      <c r="MGU66" s="4"/>
      <c r="MGV66" s="4"/>
      <c r="MGW66" s="4"/>
      <c r="MGX66" s="4"/>
      <c r="MGY66" s="4"/>
      <c r="MGZ66" s="4"/>
      <c r="MHA66" s="4"/>
      <c r="MHB66" s="4"/>
      <c r="MHC66" s="4"/>
      <c r="MHD66" s="4"/>
      <c r="MHE66" s="4"/>
      <c r="MHF66" s="4"/>
      <c r="MHG66" s="4"/>
      <c r="MHH66" s="4"/>
      <c r="MHI66" s="4"/>
      <c r="MHJ66" s="4"/>
      <c r="MHK66" s="4"/>
      <c r="MHL66" s="4"/>
      <c r="MHM66" s="4"/>
      <c r="MHN66" s="4"/>
      <c r="MHO66" s="4"/>
      <c r="MHP66" s="4"/>
      <c r="MHQ66" s="4"/>
      <c r="MHR66" s="4"/>
      <c r="MHS66" s="4"/>
      <c r="MHT66" s="4"/>
      <c r="MHU66" s="4"/>
      <c r="MHV66" s="4"/>
      <c r="MHW66" s="4"/>
      <c r="MHX66" s="4"/>
      <c r="MHY66" s="4"/>
      <c r="MHZ66" s="4"/>
      <c r="MIA66" s="4"/>
      <c r="MIB66" s="4"/>
      <c r="MIC66" s="4"/>
      <c r="MID66" s="4"/>
      <c r="MIE66" s="4"/>
      <c r="MIF66" s="4"/>
      <c r="MIG66" s="4"/>
      <c r="MIH66" s="4"/>
      <c r="MII66" s="4"/>
      <c r="MIJ66" s="4"/>
      <c r="MIK66" s="4"/>
      <c r="MIL66" s="4"/>
      <c r="MIM66" s="4"/>
      <c r="MIN66" s="4"/>
      <c r="MIO66" s="4"/>
      <c r="MIP66" s="4"/>
      <c r="MIQ66" s="4"/>
      <c r="MIR66" s="4"/>
      <c r="MIS66" s="4"/>
      <c r="MIT66" s="4"/>
      <c r="MIU66" s="4"/>
      <c r="MIV66" s="4"/>
      <c r="MIW66" s="4"/>
      <c r="MIX66" s="4"/>
      <c r="MIY66" s="4"/>
      <c r="MIZ66" s="4"/>
      <c r="MJA66" s="4"/>
      <c r="MJB66" s="4"/>
      <c r="MJC66" s="4"/>
      <c r="MJD66" s="4"/>
      <c r="MJE66" s="4"/>
      <c r="MJF66" s="4"/>
      <c r="MJG66" s="4"/>
      <c r="MJH66" s="4"/>
      <c r="MJI66" s="4"/>
      <c r="MJJ66" s="4"/>
      <c r="MJK66" s="4"/>
      <c r="MJL66" s="4"/>
      <c r="MJM66" s="4"/>
      <c r="MJN66" s="4"/>
      <c r="MJO66" s="4"/>
      <c r="MJP66" s="4"/>
      <c r="MJQ66" s="4"/>
      <c r="MJR66" s="4"/>
      <c r="MJS66" s="4"/>
      <c r="MJT66" s="4"/>
      <c r="MJU66" s="4"/>
      <c r="MJV66" s="4"/>
      <c r="MJW66" s="4"/>
      <c r="MJX66" s="4"/>
      <c r="MJY66" s="4"/>
      <c r="MJZ66" s="4"/>
      <c r="MKA66" s="4"/>
      <c r="MKB66" s="4"/>
      <c r="MKC66" s="4"/>
      <c r="MKD66" s="4"/>
      <c r="MKE66" s="4"/>
      <c r="MKF66" s="4"/>
      <c r="MKG66" s="4"/>
      <c r="MKH66" s="4"/>
      <c r="MKI66" s="4"/>
      <c r="MKJ66" s="4"/>
      <c r="MKK66" s="4"/>
      <c r="MKL66" s="4"/>
      <c r="MKM66" s="4"/>
      <c r="MKN66" s="4"/>
      <c r="MKO66" s="4"/>
      <c r="MKP66" s="4"/>
      <c r="MKQ66" s="4"/>
      <c r="MKR66" s="4"/>
      <c r="MKS66" s="4"/>
      <c r="MKT66" s="4"/>
      <c r="MKU66" s="4"/>
      <c r="MKV66" s="4"/>
      <c r="MKW66" s="4"/>
      <c r="MKX66" s="4"/>
      <c r="MKY66" s="4"/>
      <c r="MKZ66" s="4"/>
      <c r="MLA66" s="4"/>
      <c r="MLB66" s="4"/>
      <c r="MLC66" s="4"/>
      <c r="MLD66" s="4"/>
      <c r="MLE66" s="4"/>
      <c r="MLF66" s="4"/>
      <c r="MLG66" s="4"/>
      <c r="MLH66" s="4"/>
      <c r="MLI66" s="4"/>
      <c r="MLJ66" s="4"/>
      <c r="MLK66" s="4"/>
      <c r="MLL66" s="4"/>
      <c r="MLM66" s="4"/>
      <c r="MLN66" s="4"/>
      <c r="MLO66" s="4"/>
      <c r="MLP66" s="4"/>
      <c r="MLQ66" s="4"/>
      <c r="MLR66" s="4"/>
      <c r="MLS66" s="4"/>
      <c r="MLT66" s="4"/>
      <c r="MLU66" s="4"/>
      <c r="MLV66" s="4"/>
      <c r="MLW66" s="4"/>
      <c r="MLX66" s="4"/>
      <c r="MLY66" s="4"/>
      <c r="MLZ66" s="4"/>
      <c r="MMA66" s="4"/>
      <c r="MMB66" s="4"/>
      <c r="MMC66" s="4"/>
      <c r="MMD66" s="4"/>
      <c r="MME66" s="4"/>
      <c r="MMF66" s="4"/>
      <c r="MMG66" s="4"/>
      <c r="MMH66" s="4"/>
      <c r="MMI66" s="4"/>
      <c r="MMJ66" s="4"/>
      <c r="MMK66" s="4"/>
      <c r="MML66" s="4"/>
      <c r="MMM66" s="4"/>
      <c r="MMN66" s="4"/>
      <c r="MMO66" s="4"/>
      <c r="MMP66" s="4"/>
      <c r="MMQ66" s="4"/>
      <c r="MMR66" s="4"/>
      <c r="MMS66" s="4"/>
      <c r="MMT66" s="4"/>
      <c r="MMU66" s="4"/>
      <c r="MMV66" s="4"/>
      <c r="MMW66" s="4"/>
      <c r="MMX66" s="4"/>
      <c r="MMY66" s="4"/>
      <c r="MMZ66" s="4"/>
      <c r="MNA66" s="4"/>
      <c r="MNB66" s="4"/>
      <c r="MNC66" s="4"/>
      <c r="MND66" s="4"/>
      <c r="MNE66" s="4"/>
      <c r="MNF66" s="4"/>
      <c r="MNG66" s="4"/>
      <c r="MNH66" s="4"/>
      <c r="MNI66" s="4"/>
      <c r="MNJ66" s="4"/>
      <c r="MNK66" s="4"/>
      <c r="MNL66" s="4"/>
      <c r="MNM66" s="4"/>
      <c r="MNN66" s="4"/>
      <c r="MNO66" s="4"/>
      <c r="MNP66" s="4"/>
      <c r="MNQ66" s="4"/>
      <c r="MNR66" s="4"/>
      <c r="MNS66" s="4"/>
      <c r="MNT66" s="4"/>
      <c r="MNU66" s="4"/>
      <c r="MNV66" s="4"/>
      <c r="MNW66" s="4"/>
      <c r="MNX66" s="4"/>
      <c r="MNY66" s="4"/>
      <c r="MNZ66" s="4"/>
      <c r="MOA66" s="4"/>
      <c r="MOB66" s="4"/>
      <c r="MOC66" s="4"/>
      <c r="MOD66" s="4"/>
      <c r="MOE66" s="4"/>
      <c r="MOF66" s="4"/>
      <c r="MOG66" s="4"/>
      <c r="MOH66" s="4"/>
      <c r="MOI66" s="4"/>
      <c r="MOJ66" s="4"/>
      <c r="MOK66" s="4"/>
      <c r="MOL66" s="4"/>
      <c r="MOM66" s="4"/>
      <c r="MON66" s="4"/>
      <c r="MOO66" s="4"/>
      <c r="MOP66" s="4"/>
      <c r="MOQ66" s="4"/>
      <c r="MOR66" s="4"/>
      <c r="MOS66" s="4"/>
      <c r="MOT66" s="4"/>
      <c r="MOU66" s="4"/>
      <c r="MOV66" s="4"/>
      <c r="MOW66" s="4"/>
      <c r="MOX66" s="4"/>
      <c r="MOY66" s="4"/>
      <c r="MOZ66" s="4"/>
      <c r="MPA66" s="4"/>
      <c r="MPB66" s="4"/>
      <c r="MPC66" s="4"/>
      <c r="MPD66" s="4"/>
      <c r="MPE66" s="4"/>
      <c r="MPF66" s="4"/>
      <c r="MPG66" s="4"/>
      <c r="MPH66" s="4"/>
      <c r="MPI66" s="4"/>
      <c r="MPJ66" s="4"/>
      <c r="MPK66" s="4"/>
      <c r="MPL66" s="4"/>
      <c r="MPM66" s="4"/>
      <c r="MPN66" s="4"/>
      <c r="MPO66" s="4"/>
      <c r="MPP66" s="4"/>
      <c r="MPQ66" s="4"/>
      <c r="MPR66" s="4"/>
      <c r="MPS66" s="4"/>
      <c r="MPT66" s="4"/>
      <c r="MPU66" s="4"/>
      <c r="MPV66" s="4"/>
      <c r="MPW66" s="4"/>
      <c r="MPX66" s="4"/>
      <c r="MPY66" s="4"/>
      <c r="MPZ66" s="4"/>
      <c r="MQA66" s="4"/>
      <c r="MQB66" s="4"/>
      <c r="MQC66" s="4"/>
      <c r="MQD66" s="4"/>
      <c r="MQE66" s="4"/>
      <c r="MQF66" s="4"/>
      <c r="MQG66" s="4"/>
      <c r="MQH66" s="4"/>
      <c r="MQI66" s="4"/>
      <c r="MQJ66" s="4"/>
      <c r="MQK66" s="4"/>
      <c r="MQL66" s="4"/>
      <c r="MQM66" s="4"/>
      <c r="MQN66" s="4"/>
      <c r="MQO66" s="4"/>
      <c r="MQP66" s="4"/>
      <c r="MQQ66" s="4"/>
      <c r="MQR66" s="4"/>
      <c r="MQS66" s="4"/>
      <c r="MQT66" s="4"/>
      <c r="MQU66" s="4"/>
      <c r="MQV66" s="4"/>
      <c r="MQW66" s="4"/>
      <c r="MQX66" s="4"/>
      <c r="MQY66" s="4"/>
      <c r="MQZ66" s="4"/>
      <c r="MRA66" s="4"/>
      <c r="MRB66" s="4"/>
      <c r="MRC66" s="4"/>
      <c r="MRD66" s="4"/>
      <c r="MRE66" s="4"/>
      <c r="MRF66" s="4"/>
      <c r="MRG66" s="4"/>
      <c r="MRH66" s="4"/>
      <c r="MRI66" s="4"/>
      <c r="MRJ66" s="4"/>
      <c r="MRK66" s="4"/>
      <c r="MRL66" s="4"/>
      <c r="MRM66" s="4"/>
      <c r="MRN66" s="4"/>
      <c r="MRO66" s="4"/>
      <c r="MRP66" s="4"/>
      <c r="MRQ66" s="4"/>
      <c r="MRR66" s="4"/>
      <c r="MRS66" s="4"/>
      <c r="MRT66" s="4"/>
      <c r="MRU66" s="4"/>
      <c r="MRV66" s="4"/>
      <c r="MRW66" s="4"/>
      <c r="MRX66" s="4"/>
      <c r="MRY66" s="4"/>
      <c r="MRZ66" s="4"/>
      <c r="MSA66" s="4"/>
      <c r="MSB66" s="4"/>
      <c r="MSC66" s="4"/>
      <c r="MSD66" s="4"/>
      <c r="MSE66" s="4"/>
      <c r="MSF66" s="4"/>
      <c r="MSG66" s="4"/>
      <c r="MSH66" s="4"/>
      <c r="MSI66" s="4"/>
      <c r="MSJ66" s="4"/>
      <c r="MSK66" s="4"/>
      <c r="MSL66" s="4"/>
      <c r="MSM66" s="4"/>
      <c r="MSN66" s="4"/>
      <c r="MSO66" s="4"/>
      <c r="MSP66" s="4"/>
      <c r="MSQ66" s="4"/>
      <c r="MSR66" s="4"/>
      <c r="MSS66" s="4"/>
      <c r="MST66" s="4"/>
      <c r="MSU66" s="4"/>
      <c r="MSV66" s="4"/>
      <c r="MSW66" s="4"/>
      <c r="MSX66" s="4"/>
      <c r="MSY66" s="4"/>
      <c r="MSZ66" s="4"/>
      <c r="MTA66" s="4"/>
      <c r="MTB66" s="4"/>
      <c r="MTC66" s="4"/>
      <c r="MTD66" s="4"/>
      <c r="MTE66" s="4"/>
      <c r="MTF66" s="4"/>
      <c r="MTG66" s="4"/>
      <c r="MTH66" s="4"/>
      <c r="MTI66" s="4"/>
      <c r="MTJ66" s="4"/>
      <c r="MTK66" s="4"/>
      <c r="MTL66" s="4"/>
      <c r="MTM66" s="4"/>
      <c r="MTN66" s="4"/>
      <c r="MTO66" s="4"/>
      <c r="MTP66" s="4"/>
      <c r="MTQ66" s="4"/>
      <c r="MTR66" s="4"/>
      <c r="MTS66" s="4"/>
      <c r="MTT66" s="4"/>
      <c r="MTU66" s="4"/>
      <c r="MTV66" s="4"/>
      <c r="MTW66" s="4"/>
      <c r="MTX66" s="4"/>
      <c r="MTY66" s="4"/>
      <c r="MTZ66" s="4"/>
      <c r="MUA66" s="4"/>
      <c r="MUB66" s="4"/>
      <c r="MUC66" s="4"/>
      <c r="MUD66" s="4"/>
      <c r="MUE66" s="4"/>
      <c r="MUF66" s="4"/>
      <c r="MUG66" s="4"/>
      <c r="MUH66" s="4"/>
      <c r="MUI66" s="4"/>
      <c r="MUJ66" s="4"/>
      <c r="MUK66" s="4"/>
      <c r="MUL66" s="4"/>
      <c r="MUM66" s="4"/>
      <c r="MUN66" s="4"/>
      <c r="MUO66" s="4"/>
      <c r="MUP66" s="4"/>
      <c r="MUQ66" s="4"/>
      <c r="MUR66" s="4"/>
      <c r="MUS66" s="4"/>
      <c r="MUT66" s="4"/>
      <c r="MUU66" s="4"/>
      <c r="MUV66" s="4"/>
      <c r="MUW66" s="4"/>
      <c r="MUX66" s="4"/>
      <c r="MUY66" s="4"/>
      <c r="MUZ66" s="4"/>
      <c r="MVA66" s="4"/>
      <c r="MVB66" s="4"/>
      <c r="MVC66" s="4"/>
      <c r="MVD66" s="4"/>
      <c r="MVE66" s="4"/>
      <c r="MVF66" s="4"/>
      <c r="MVG66" s="4"/>
      <c r="MVH66" s="4"/>
      <c r="MVI66" s="4"/>
      <c r="MVJ66" s="4"/>
      <c r="MVK66" s="4"/>
      <c r="MVL66" s="4"/>
      <c r="MVM66" s="4"/>
      <c r="MVN66" s="4"/>
      <c r="MVO66" s="4"/>
      <c r="MVP66" s="4"/>
      <c r="MVQ66" s="4"/>
      <c r="MVR66" s="4"/>
      <c r="MVS66" s="4"/>
      <c r="MVT66" s="4"/>
      <c r="MVU66" s="4"/>
      <c r="MVV66" s="4"/>
      <c r="MVW66" s="4"/>
      <c r="MVX66" s="4"/>
      <c r="MVY66" s="4"/>
      <c r="MVZ66" s="4"/>
      <c r="MWA66" s="4"/>
      <c r="MWB66" s="4"/>
      <c r="MWC66" s="4"/>
      <c r="MWD66" s="4"/>
      <c r="MWE66" s="4"/>
      <c r="MWF66" s="4"/>
      <c r="MWG66" s="4"/>
      <c r="MWH66" s="4"/>
      <c r="MWI66" s="4"/>
      <c r="MWJ66" s="4"/>
      <c r="MWK66" s="4"/>
      <c r="MWL66" s="4"/>
      <c r="MWM66" s="4"/>
      <c r="MWN66" s="4"/>
      <c r="MWO66" s="4"/>
      <c r="MWP66" s="4"/>
      <c r="MWQ66" s="4"/>
      <c r="MWR66" s="4"/>
      <c r="MWS66" s="4"/>
      <c r="MWT66" s="4"/>
      <c r="MWU66" s="4"/>
      <c r="MWV66" s="4"/>
      <c r="MWW66" s="4"/>
      <c r="MWX66" s="4"/>
      <c r="MWY66" s="4"/>
      <c r="MWZ66" s="4"/>
      <c r="MXA66" s="4"/>
      <c r="MXB66" s="4"/>
      <c r="MXC66" s="4"/>
      <c r="MXD66" s="4"/>
      <c r="MXE66" s="4"/>
      <c r="MXF66" s="4"/>
      <c r="MXG66" s="4"/>
      <c r="MXH66" s="4"/>
      <c r="MXI66" s="4"/>
      <c r="MXJ66" s="4"/>
      <c r="MXK66" s="4"/>
      <c r="MXL66" s="4"/>
      <c r="MXM66" s="4"/>
      <c r="MXN66" s="4"/>
      <c r="MXO66" s="4"/>
      <c r="MXP66" s="4"/>
      <c r="MXQ66" s="4"/>
      <c r="MXR66" s="4"/>
      <c r="MXS66" s="4"/>
      <c r="MXT66" s="4"/>
      <c r="MXU66" s="4"/>
      <c r="MXV66" s="4"/>
      <c r="MXW66" s="4"/>
      <c r="MXX66" s="4"/>
      <c r="MXY66" s="4"/>
      <c r="MXZ66" s="4"/>
      <c r="MYA66" s="4"/>
      <c r="MYB66" s="4"/>
      <c r="MYC66" s="4"/>
      <c r="MYD66" s="4"/>
      <c r="MYE66" s="4"/>
      <c r="MYF66" s="4"/>
      <c r="MYG66" s="4"/>
      <c r="MYH66" s="4"/>
      <c r="MYI66" s="4"/>
      <c r="MYJ66" s="4"/>
      <c r="MYK66" s="4"/>
      <c r="MYL66" s="4"/>
      <c r="MYM66" s="4"/>
      <c r="MYN66" s="4"/>
      <c r="MYO66" s="4"/>
      <c r="MYP66" s="4"/>
      <c r="MYQ66" s="4"/>
      <c r="MYR66" s="4"/>
      <c r="MYS66" s="4"/>
      <c r="MYT66" s="4"/>
      <c r="MYU66" s="4"/>
      <c r="MYV66" s="4"/>
      <c r="MYW66" s="4"/>
      <c r="MYX66" s="4"/>
      <c r="MYY66" s="4"/>
      <c r="MYZ66" s="4"/>
      <c r="MZA66" s="4"/>
      <c r="MZB66" s="4"/>
      <c r="MZC66" s="4"/>
      <c r="MZD66" s="4"/>
      <c r="MZE66" s="4"/>
      <c r="MZF66" s="4"/>
      <c r="MZG66" s="4"/>
      <c r="MZH66" s="4"/>
      <c r="MZI66" s="4"/>
      <c r="MZJ66" s="4"/>
      <c r="MZK66" s="4"/>
      <c r="MZL66" s="4"/>
      <c r="MZM66" s="4"/>
      <c r="MZN66" s="4"/>
      <c r="MZO66" s="4"/>
      <c r="MZP66" s="4"/>
      <c r="MZQ66" s="4"/>
      <c r="MZR66" s="4"/>
      <c r="MZS66" s="4"/>
      <c r="MZT66" s="4"/>
      <c r="MZU66" s="4"/>
      <c r="MZV66" s="4"/>
      <c r="MZW66" s="4"/>
      <c r="MZX66" s="4"/>
      <c r="MZY66" s="4"/>
      <c r="MZZ66" s="4"/>
      <c r="NAA66" s="4"/>
      <c r="NAB66" s="4"/>
      <c r="NAC66" s="4"/>
      <c r="NAD66" s="4"/>
      <c r="NAE66" s="4"/>
      <c r="NAF66" s="4"/>
      <c r="NAG66" s="4"/>
      <c r="NAH66" s="4"/>
      <c r="NAI66" s="4"/>
      <c r="NAJ66" s="4"/>
      <c r="NAK66" s="4"/>
      <c r="NAL66" s="4"/>
      <c r="NAM66" s="4"/>
      <c r="NAN66" s="4"/>
      <c r="NAO66" s="4"/>
      <c r="NAP66" s="4"/>
      <c r="NAQ66" s="4"/>
      <c r="NAR66" s="4"/>
      <c r="NAS66" s="4"/>
      <c r="NAT66" s="4"/>
      <c r="NAU66" s="4"/>
      <c r="NAV66" s="4"/>
      <c r="NAW66" s="4"/>
      <c r="NAX66" s="4"/>
      <c r="NAY66" s="4"/>
      <c r="NAZ66" s="4"/>
      <c r="NBA66" s="4"/>
      <c r="NBB66" s="4"/>
      <c r="NBC66" s="4"/>
      <c r="NBD66" s="4"/>
      <c r="NBE66" s="4"/>
      <c r="NBF66" s="4"/>
      <c r="NBG66" s="4"/>
      <c r="NBH66" s="4"/>
      <c r="NBI66" s="4"/>
      <c r="NBJ66" s="4"/>
      <c r="NBK66" s="4"/>
      <c r="NBL66" s="4"/>
      <c r="NBM66" s="4"/>
      <c r="NBN66" s="4"/>
      <c r="NBO66" s="4"/>
      <c r="NBP66" s="4"/>
      <c r="NBQ66" s="4"/>
      <c r="NBR66" s="4"/>
      <c r="NBS66" s="4"/>
      <c r="NBT66" s="4"/>
      <c r="NBU66" s="4"/>
      <c r="NBV66" s="4"/>
      <c r="NBW66" s="4"/>
      <c r="NBX66" s="4"/>
      <c r="NBY66" s="4"/>
      <c r="NBZ66" s="4"/>
      <c r="NCA66" s="4"/>
      <c r="NCB66" s="4"/>
      <c r="NCC66" s="4"/>
      <c r="NCD66" s="4"/>
      <c r="NCE66" s="4"/>
      <c r="NCF66" s="4"/>
      <c r="NCG66" s="4"/>
      <c r="NCH66" s="4"/>
      <c r="NCI66" s="4"/>
      <c r="NCJ66" s="4"/>
      <c r="NCK66" s="4"/>
      <c r="NCL66" s="4"/>
      <c r="NCM66" s="4"/>
      <c r="NCN66" s="4"/>
      <c r="NCO66" s="4"/>
      <c r="NCP66" s="4"/>
      <c r="NCQ66" s="4"/>
      <c r="NCR66" s="4"/>
      <c r="NCS66" s="4"/>
      <c r="NCT66" s="4"/>
      <c r="NCU66" s="4"/>
      <c r="NCV66" s="4"/>
      <c r="NCW66" s="4"/>
      <c r="NCX66" s="4"/>
      <c r="NCY66" s="4"/>
      <c r="NCZ66" s="4"/>
      <c r="NDA66" s="4"/>
      <c r="NDB66" s="4"/>
      <c r="NDC66" s="4"/>
      <c r="NDD66" s="4"/>
      <c r="NDE66" s="4"/>
      <c r="NDF66" s="4"/>
      <c r="NDG66" s="4"/>
      <c r="NDH66" s="4"/>
      <c r="NDI66" s="4"/>
      <c r="NDJ66" s="4"/>
      <c r="NDK66" s="4"/>
      <c r="NDL66" s="4"/>
      <c r="NDM66" s="4"/>
      <c r="NDN66" s="4"/>
      <c r="NDO66" s="4"/>
      <c r="NDP66" s="4"/>
      <c r="NDQ66" s="4"/>
      <c r="NDR66" s="4"/>
      <c r="NDS66" s="4"/>
      <c r="NDT66" s="4"/>
      <c r="NDU66" s="4"/>
      <c r="NDV66" s="4"/>
      <c r="NDW66" s="4"/>
      <c r="NDX66" s="4"/>
      <c r="NDY66" s="4"/>
      <c r="NDZ66" s="4"/>
      <c r="NEA66" s="4"/>
      <c r="NEB66" s="4"/>
      <c r="NEC66" s="4"/>
      <c r="NED66" s="4"/>
      <c r="NEE66" s="4"/>
      <c r="NEF66" s="4"/>
      <c r="NEG66" s="4"/>
      <c r="NEH66" s="4"/>
      <c r="NEI66" s="4"/>
      <c r="NEJ66" s="4"/>
      <c r="NEK66" s="4"/>
      <c r="NEL66" s="4"/>
      <c r="NEM66" s="4"/>
      <c r="NEN66" s="4"/>
      <c r="NEO66" s="4"/>
      <c r="NEP66" s="4"/>
      <c r="NEQ66" s="4"/>
      <c r="NER66" s="4"/>
      <c r="NES66" s="4"/>
      <c r="NET66" s="4"/>
      <c r="NEU66" s="4"/>
      <c r="NEV66" s="4"/>
      <c r="NEW66" s="4"/>
      <c r="NEX66" s="4"/>
      <c r="NEY66" s="4"/>
      <c r="NEZ66" s="4"/>
      <c r="NFA66" s="4"/>
      <c r="NFB66" s="4"/>
      <c r="NFC66" s="4"/>
      <c r="NFD66" s="4"/>
      <c r="NFE66" s="4"/>
      <c r="NFF66" s="4"/>
      <c r="NFG66" s="4"/>
      <c r="NFH66" s="4"/>
      <c r="NFI66" s="4"/>
      <c r="NFJ66" s="4"/>
      <c r="NFK66" s="4"/>
      <c r="NFL66" s="4"/>
      <c r="NFM66" s="4"/>
      <c r="NFN66" s="4"/>
      <c r="NFO66" s="4"/>
      <c r="NFP66" s="4"/>
      <c r="NFQ66" s="4"/>
      <c r="NFR66" s="4"/>
      <c r="NFS66" s="4"/>
      <c r="NFT66" s="4"/>
      <c r="NFU66" s="4"/>
      <c r="NFV66" s="4"/>
      <c r="NFW66" s="4"/>
      <c r="NFX66" s="4"/>
      <c r="NFY66" s="4"/>
      <c r="NFZ66" s="4"/>
      <c r="NGA66" s="4"/>
      <c r="NGB66" s="4"/>
      <c r="NGC66" s="4"/>
      <c r="NGD66" s="4"/>
      <c r="NGE66" s="4"/>
      <c r="NGF66" s="4"/>
      <c r="NGG66" s="4"/>
      <c r="NGH66" s="4"/>
      <c r="NGI66" s="4"/>
      <c r="NGJ66" s="4"/>
      <c r="NGK66" s="4"/>
      <c r="NGL66" s="4"/>
      <c r="NGM66" s="4"/>
      <c r="NGN66" s="4"/>
      <c r="NGO66" s="4"/>
      <c r="NGP66" s="4"/>
      <c r="NGQ66" s="4"/>
      <c r="NGR66" s="4"/>
      <c r="NGS66" s="4"/>
      <c r="NGT66" s="4"/>
      <c r="NGU66" s="4"/>
      <c r="NGV66" s="4"/>
      <c r="NGW66" s="4"/>
      <c r="NGX66" s="4"/>
      <c r="NGY66" s="4"/>
      <c r="NGZ66" s="4"/>
      <c r="NHA66" s="4"/>
      <c r="NHB66" s="4"/>
      <c r="NHC66" s="4"/>
      <c r="NHD66" s="4"/>
      <c r="NHE66" s="4"/>
      <c r="NHF66" s="4"/>
      <c r="NHG66" s="4"/>
      <c r="NHH66" s="4"/>
      <c r="NHI66" s="4"/>
      <c r="NHJ66" s="4"/>
      <c r="NHK66" s="4"/>
      <c r="NHL66" s="4"/>
      <c r="NHM66" s="4"/>
      <c r="NHN66" s="4"/>
      <c r="NHO66" s="4"/>
      <c r="NHP66" s="4"/>
      <c r="NHQ66" s="4"/>
      <c r="NHR66" s="4"/>
      <c r="NHS66" s="4"/>
      <c r="NHT66" s="4"/>
      <c r="NHU66" s="4"/>
      <c r="NHV66" s="4"/>
      <c r="NHW66" s="4"/>
      <c r="NHX66" s="4"/>
      <c r="NHY66" s="4"/>
      <c r="NHZ66" s="4"/>
      <c r="NIA66" s="4"/>
      <c r="NIB66" s="4"/>
      <c r="NIC66" s="4"/>
      <c r="NID66" s="4"/>
      <c r="NIE66" s="4"/>
      <c r="NIF66" s="4"/>
      <c r="NIG66" s="4"/>
      <c r="NIH66" s="4"/>
      <c r="NII66" s="4"/>
      <c r="NIJ66" s="4"/>
      <c r="NIK66" s="4"/>
      <c r="NIL66" s="4"/>
      <c r="NIM66" s="4"/>
      <c r="NIN66" s="4"/>
      <c r="NIO66" s="4"/>
      <c r="NIP66" s="4"/>
      <c r="NIQ66" s="4"/>
      <c r="NIR66" s="4"/>
      <c r="NIS66" s="4"/>
      <c r="NIT66" s="4"/>
      <c r="NIU66" s="4"/>
      <c r="NIV66" s="4"/>
      <c r="NIW66" s="4"/>
      <c r="NIX66" s="4"/>
      <c r="NIY66" s="4"/>
      <c r="NIZ66" s="4"/>
      <c r="NJA66" s="4"/>
      <c r="NJB66" s="4"/>
      <c r="NJC66" s="4"/>
      <c r="NJD66" s="4"/>
      <c r="NJE66" s="4"/>
      <c r="NJF66" s="4"/>
      <c r="NJG66" s="4"/>
      <c r="NJH66" s="4"/>
      <c r="NJI66" s="4"/>
      <c r="NJJ66" s="4"/>
      <c r="NJK66" s="4"/>
      <c r="NJL66" s="4"/>
      <c r="NJM66" s="4"/>
      <c r="NJN66" s="4"/>
      <c r="NJO66" s="4"/>
      <c r="NJP66" s="4"/>
      <c r="NJQ66" s="4"/>
      <c r="NJR66" s="4"/>
      <c r="NJS66" s="4"/>
      <c r="NJT66" s="4"/>
      <c r="NJU66" s="4"/>
      <c r="NJV66" s="4"/>
      <c r="NJW66" s="4"/>
      <c r="NJX66" s="4"/>
      <c r="NJY66" s="4"/>
      <c r="NJZ66" s="4"/>
      <c r="NKA66" s="4"/>
      <c r="NKB66" s="4"/>
      <c r="NKC66" s="4"/>
      <c r="NKD66" s="4"/>
      <c r="NKE66" s="4"/>
      <c r="NKF66" s="4"/>
      <c r="NKG66" s="4"/>
      <c r="NKH66" s="4"/>
      <c r="NKI66" s="4"/>
      <c r="NKJ66" s="4"/>
      <c r="NKK66" s="4"/>
      <c r="NKL66" s="4"/>
      <c r="NKM66" s="4"/>
      <c r="NKN66" s="4"/>
      <c r="NKO66" s="4"/>
      <c r="NKP66" s="4"/>
      <c r="NKQ66" s="4"/>
      <c r="NKR66" s="4"/>
      <c r="NKS66" s="4"/>
      <c r="NKT66" s="4"/>
      <c r="NKU66" s="4"/>
      <c r="NKV66" s="4"/>
      <c r="NKW66" s="4"/>
      <c r="NKX66" s="4"/>
      <c r="NKY66" s="4"/>
      <c r="NKZ66" s="4"/>
      <c r="NLA66" s="4"/>
      <c r="NLB66" s="4"/>
      <c r="NLC66" s="4"/>
      <c r="NLD66" s="4"/>
      <c r="NLE66" s="4"/>
      <c r="NLF66" s="4"/>
      <c r="NLG66" s="4"/>
      <c r="NLH66" s="4"/>
      <c r="NLI66" s="4"/>
      <c r="NLJ66" s="4"/>
      <c r="NLK66" s="4"/>
      <c r="NLL66" s="4"/>
      <c r="NLM66" s="4"/>
      <c r="NLN66" s="4"/>
      <c r="NLO66" s="4"/>
      <c r="NLP66" s="4"/>
      <c r="NLQ66" s="4"/>
      <c r="NLR66" s="4"/>
      <c r="NLS66" s="4"/>
      <c r="NLT66" s="4"/>
      <c r="NLU66" s="4"/>
      <c r="NLV66" s="4"/>
      <c r="NLW66" s="4"/>
      <c r="NLX66" s="4"/>
      <c r="NLY66" s="4"/>
      <c r="NLZ66" s="4"/>
      <c r="NMA66" s="4"/>
      <c r="NMB66" s="4"/>
      <c r="NMC66" s="4"/>
      <c r="NMD66" s="4"/>
      <c r="NME66" s="4"/>
      <c r="NMF66" s="4"/>
      <c r="NMG66" s="4"/>
      <c r="NMH66" s="4"/>
      <c r="NMI66" s="4"/>
      <c r="NMJ66" s="4"/>
      <c r="NMK66" s="4"/>
      <c r="NML66" s="4"/>
      <c r="NMM66" s="4"/>
      <c r="NMN66" s="4"/>
      <c r="NMO66" s="4"/>
      <c r="NMP66" s="4"/>
      <c r="NMQ66" s="4"/>
      <c r="NMR66" s="4"/>
      <c r="NMS66" s="4"/>
      <c r="NMT66" s="4"/>
      <c r="NMU66" s="4"/>
      <c r="NMV66" s="4"/>
      <c r="NMW66" s="4"/>
      <c r="NMX66" s="4"/>
      <c r="NMY66" s="4"/>
      <c r="NMZ66" s="4"/>
      <c r="NNA66" s="4"/>
      <c r="NNB66" s="4"/>
      <c r="NNC66" s="4"/>
      <c r="NND66" s="4"/>
      <c r="NNE66" s="4"/>
      <c r="NNF66" s="4"/>
      <c r="NNG66" s="4"/>
      <c r="NNH66" s="4"/>
      <c r="NNI66" s="4"/>
      <c r="NNJ66" s="4"/>
      <c r="NNK66" s="4"/>
      <c r="NNL66" s="4"/>
      <c r="NNM66" s="4"/>
      <c r="NNN66" s="4"/>
      <c r="NNO66" s="4"/>
      <c r="NNP66" s="4"/>
      <c r="NNQ66" s="4"/>
      <c r="NNR66" s="4"/>
      <c r="NNS66" s="4"/>
      <c r="NNT66" s="4"/>
      <c r="NNU66" s="4"/>
      <c r="NNV66" s="4"/>
      <c r="NNW66" s="4"/>
      <c r="NNX66" s="4"/>
      <c r="NNY66" s="4"/>
      <c r="NNZ66" s="4"/>
      <c r="NOA66" s="4"/>
      <c r="NOB66" s="4"/>
      <c r="NOC66" s="4"/>
      <c r="NOD66" s="4"/>
      <c r="NOE66" s="4"/>
      <c r="NOF66" s="4"/>
      <c r="NOG66" s="4"/>
      <c r="NOH66" s="4"/>
      <c r="NOI66" s="4"/>
      <c r="NOJ66" s="4"/>
      <c r="NOK66" s="4"/>
      <c r="NOL66" s="4"/>
      <c r="NOM66" s="4"/>
      <c r="NON66" s="4"/>
      <c r="NOO66" s="4"/>
      <c r="NOP66" s="4"/>
      <c r="NOQ66" s="4"/>
      <c r="NOR66" s="4"/>
      <c r="NOS66" s="4"/>
      <c r="NOT66" s="4"/>
      <c r="NOU66" s="4"/>
      <c r="NOV66" s="4"/>
      <c r="NOW66" s="4"/>
      <c r="NOX66" s="4"/>
      <c r="NOY66" s="4"/>
      <c r="NOZ66" s="4"/>
      <c r="NPA66" s="4"/>
      <c r="NPB66" s="4"/>
      <c r="NPC66" s="4"/>
      <c r="NPD66" s="4"/>
      <c r="NPE66" s="4"/>
      <c r="NPF66" s="4"/>
      <c r="NPG66" s="4"/>
      <c r="NPH66" s="4"/>
      <c r="NPI66" s="4"/>
      <c r="NPJ66" s="4"/>
      <c r="NPK66" s="4"/>
      <c r="NPL66" s="4"/>
      <c r="NPM66" s="4"/>
      <c r="NPN66" s="4"/>
      <c r="NPO66" s="4"/>
      <c r="NPP66" s="4"/>
      <c r="NPQ66" s="4"/>
      <c r="NPR66" s="4"/>
      <c r="NPS66" s="4"/>
      <c r="NPT66" s="4"/>
      <c r="NPU66" s="4"/>
      <c r="NPV66" s="4"/>
      <c r="NPW66" s="4"/>
      <c r="NPX66" s="4"/>
      <c r="NPY66" s="4"/>
      <c r="NPZ66" s="4"/>
      <c r="NQA66" s="4"/>
      <c r="NQB66" s="4"/>
      <c r="NQC66" s="4"/>
      <c r="NQD66" s="4"/>
      <c r="NQE66" s="4"/>
      <c r="NQF66" s="4"/>
      <c r="NQG66" s="4"/>
      <c r="NQH66" s="4"/>
      <c r="NQI66" s="4"/>
      <c r="NQJ66" s="4"/>
      <c r="NQK66" s="4"/>
      <c r="NQL66" s="4"/>
      <c r="NQM66" s="4"/>
      <c r="NQN66" s="4"/>
      <c r="NQO66" s="4"/>
      <c r="NQP66" s="4"/>
      <c r="NQQ66" s="4"/>
      <c r="NQR66" s="4"/>
      <c r="NQS66" s="4"/>
      <c r="NQT66" s="4"/>
      <c r="NQU66" s="4"/>
      <c r="NQV66" s="4"/>
      <c r="NQW66" s="4"/>
      <c r="NQX66" s="4"/>
      <c r="NQY66" s="4"/>
      <c r="NQZ66" s="4"/>
      <c r="NRA66" s="4"/>
      <c r="NRB66" s="4"/>
      <c r="NRC66" s="4"/>
      <c r="NRD66" s="4"/>
      <c r="NRE66" s="4"/>
      <c r="NRF66" s="4"/>
      <c r="NRG66" s="4"/>
      <c r="NRH66" s="4"/>
      <c r="NRI66" s="4"/>
      <c r="NRJ66" s="4"/>
      <c r="NRK66" s="4"/>
      <c r="NRL66" s="4"/>
      <c r="NRM66" s="4"/>
      <c r="NRN66" s="4"/>
      <c r="NRO66" s="4"/>
      <c r="NRP66" s="4"/>
      <c r="NRQ66" s="4"/>
      <c r="NRR66" s="4"/>
      <c r="NRS66" s="4"/>
      <c r="NRT66" s="4"/>
      <c r="NRU66" s="4"/>
      <c r="NRV66" s="4"/>
      <c r="NRW66" s="4"/>
      <c r="NRX66" s="4"/>
      <c r="NRY66" s="4"/>
      <c r="NRZ66" s="4"/>
      <c r="NSA66" s="4"/>
      <c r="NSB66" s="4"/>
      <c r="NSC66" s="4"/>
      <c r="NSD66" s="4"/>
      <c r="NSE66" s="4"/>
      <c r="NSF66" s="4"/>
      <c r="NSG66" s="4"/>
      <c r="NSH66" s="4"/>
      <c r="NSI66" s="4"/>
      <c r="NSJ66" s="4"/>
      <c r="NSK66" s="4"/>
      <c r="NSL66" s="4"/>
      <c r="NSM66" s="4"/>
      <c r="NSN66" s="4"/>
      <c r="NSO66" s="4"/>
      <c r="NSP66" s="4"/>
      <c r="NSQ66" s="4"/>
      <c r="NSR66" s="4"/>
      <c r="NSS66" s="4"/>
      <c r="NST66" s="4"/>
      <c r="NSU66" s="4"/>
      <c r="NSV66" s="4"/>
      <c r="NSW66" s="4"/>
      <c r="NSX66" s="4"/>
      <c r="NSY66" s="4"/>
      <c r="NSZ66" s="4"/>
      <c r="NTA66" s="4"/>
      <c r="NTB66" s="4"/>
      <c r="NTC66" s="4"/>
      <c r="NTD66" s="4"/>
      <c r="NTE66" s="4"/>
      <c r="NTF66" s="4"/>
      <c r="NTG66" s="4"/>
      <c r="NTH66" s="4"/>
      <c r="NTI66" s="4"/>
      <c r="NTJ66" s="4"/>
      <c r="NTK66" s="4"/>
      <c r="NTL66" s="4"/>
      <c r="NTM66" s="4"/>
      <c r="NTN66" s="4"/>
      <c r="NTO66" s="4"/>
      <c r="NTP66" s="4"/>
      <c r="NTQ66" s="4"/>
      <c r="NTR66" s="4"/>
      <c r="NTS66" s="4"/>
      <c r="NTT66" s="4"/>
      <c r="NTU66" s="4"/>
      <c r="NTV66" s="4"/>
      <c r="NTW66" s="4"/>
      <c r="NTX66" s="4"/>
      <c r="NTY66" s="4"/>
      <c r="NTZ66" s="4"/>
      <c r="NUA66" s="4"/>
      <c r="NUB66" s="4"/>
      <c r="NUC66" s="4"/>
      <c r="NUD66" s="4"/>
      <c r="NUE66" s="4"/>
      <c r="NUF66" s="4"/>
      <c r="NUG66" s="4"/>
      <c r="NUH66" s="4"/>
      <c r="NUI66" s="4"/>
      <c r="NUJ66" s="4"/>
      <c r="NUK66" s="4"/>
      <c r="NUL66" s="4"/>
      <c r="NUM66" s="4"/>
      <c r="NUN66" s="4"/>
      <c r="NUO66" s="4"/>
      <c r="NUP66" s="4"/>
      <c r="NUQ66" s="4"/>
      <c r="NUR66" s="4"/>
      <c r="NUS66" s="4"/>
      <c r="NUT66" s="4"/>
      <c r="NUU66" s="4"/>
      <c r="NUV66" s="4"/>
      <c r="NUW66" s="4"/>
      <c r="NUX66" s="4"/>
      <c r="NUY66" s="4"/>
      <c r="NUZ66" s="4"/>
      <c r="NVA66" s="4"/>
      <c r="NVB66" s="4"/>
      <c r="NVC66" s="4"/>
      <c r="NVD66" s="4"/>
      <c r="NVE66" s="4"/>
      <c r="NVF66" s="4"/>
      <c r="NVG66" s="4"/>
      <c r="NVH66" s="4"/>
      <c r="NVI66" s="4"/>
      <c r="NVJ66" s="4"/>
      <c r="NVK66" s="4"/>
      <c r="NVL66" s="4"/>
      <c r="NVM66" s="4"/>
      <c r="NVN66" s="4"/>
      <c r="NVO66" s="4"/>
      <c r="NVP66" s="4"/>
      <c r="NVQ66" s="4"/>
      <c r="NVR66" s="4"/>
      <c r="NVS66" s="4"/>
      <c r="NVT66" s="4"/>
      <c r="NVU66" s="4"/>
      <c r="NVV66" s="4"/>
      <c r="NVW66" s="4"/>
      <c r="NVX66" s="4"/>
      <c r="NVY66" s="4"/>
      <c r="NVZ66" s="4"/>
      <c r="NWA66" s="4"/>
      <c r="NWB66" s="4"/>
      <c r="NWC66" s="4"/>
      <c r="NWD66" s="4"/>
      <c r="NWE66" s="4"/>
      <c r="NWF66" s="4"/>
      <c r="NWG66" s="4"/>
      <c r="NWH66" s="4"/>
      <c r="NWI66" s="4"/>
      <c r="NWJ66" s="4"/>
      <c r="NWK66" s="4"/>
      <c r="NWL66" s="4"/>
      <c r="NWM66" s="4"/>
      <c r="NWN66" s="4"/>
      <c r="NWO66" s="4"/>
      <c r="NWP66" s="4"/>
      <c r="NWQ66" s="4"/>
      <c r="NWR66" s="4"/>
      <c r="NWS66" s="4"/>
      <c r="NWT66" s="4"/>
      <c r="NWU66" s="4"/>
      <c r="NWV66" s="4"/>
      <c r="NWW66" s="4"/>
      <c r="NWX66" s="4"/>
      <c r="NWY66" s="4"/>
      <c r="NWZ66" s="4"/>
      <c r="NXA66" s="4"/>
      <c r="NXB66" s="4"/>
      <c r="NXC66" s="4"/>
      <c r="NXD66" s="4"/>
      <c r="NXE66" s="4"/>
      <c r="NXF66" s="4"/>
      <c r="NXG66" s="4"/>
      <c r="NXH66" s="4"/>
      <c r="NXI66" s="4"/>
      <c r="NXJ66" s="4"/>
      <c r="NXK66" s="4"/>
      <c r="NXL66" s="4"/>
      <c r="NXM66" s="4"/>
      <c r="NXN66" s="4"/>
      <c r="NXO66" s="4"/>
      <c r="NXP66" s="4"/>
      <c r="NXQ66" s="4"/>
      <c r="NXR66" s="4"/>
      <c r="NXS66" s="4"/>
      <c r="NXT66" s="4"/>
      <c r="NXU66" s="4"/>
      <c r="NXV66" s="4"/>
      <c r="NXW66" s="4"/>
      <c r="NXX66" s="4"/>
      <c r="NXY66" s="4"/>
      <c r="NXZ66" s="4"/>
      <c r="NYA66" s="4"/>
      <c r="NYB66" s="4"/>
      <c r="NYC66" s="4"/>
      <c r="NYD66" s="4"/>
      <c r="NYE66" s="4"/>
      <c r="NYF66" s="4"/>
      <c r="NYG66" s="4"/>
      <c r="NYH66" s="4"/>
      <c r="NYI66" s="4"/>
      <c r="NYJ66" s="4"/>
      <c r="NYK66" s="4"/>
      <c r="NYL66" s="4"/>
      <c r="NYM66" s="4"/>
      <c r="NYN66" s="4"/>
      <c r="NYO66" s="4"/>
      <c r="NYP66" s="4"/>
      <c r="NYQ66" s="4"/>
      <c r="NYR66" s="4"/>
      <c r="NYS66" s="4"/>
      <c r="NYT66" s="4"/>
      <c r="NYU66" s="4"/>
      <c r="NYV66" s="4"/>
      <c r="NYW66" s="4"/>
      <c r="NYX66" s="4"/>
      <c r="NYY66" s="4"/>
      <c r="NYZ66" s="4"/>
      <c r="NZA66" s="4"/>
      <c r="NZB66" s="4"/>
      <c r="NZC66" s="4"/>
      <c r="NZD66" s="4"/>
      <c r="NZE66" s="4"/>
      <c r="NZF66" s="4"/>
      <c r="NZG66" s="4"/>
      <c r="NZH66" s="4"/>
      <c r="NZI66" s="4"/>
      <c r="NZJ66" s="4"/>
      <c r="NZK66" s="4"/>
      <c r="NZL66" s="4"/>
      <c r="NZM66" s="4"/>
      <c r="NZN66" s="4"/>
      <c r="NZO66" s="4"/>
      <c r="NZP66" s="4"/>
      <c r="NZQ66" s="4"/>
      <c r="NZR66" s="4"/>
      <c r="NZS66" s="4"/>
      <c r="NZT66" s="4"/>
      <c r="NZU66" s="4"/>
      <c r="NZV66" s="4"/>
      <c r="NZW66" s="4"/>
      <c r="NZX66" s="4"/>
      <c r="NZY66" s="4"/>
      <c r="NZZ66" s="4"/>
      <c r="OAA66" s="4"/>
      <c r="OAB66" s="4"/>
      <c r="OAC66" s="4"/>
      <c r="OAD66" s="4"/>
      <c r="OAE66" s="4"/>
      <c r="OAF66" s="4"/>
      <c r="OAG66" s="4"/>
      <c r="OAH66" s="4"/>
      <c r="OAI66" s="4"/>
      <c r="OAJ66" s="4"/>
      <c r="OAK66" s="4"/>
      <c r="OAL66" s="4"/>
      <c r="OAM66" s="4"/>
      <c r="OAN66" s="4"/>
      <c r="OAO66" s="4"/>
      <c r="OAP66" s="4"/>
      <c r="OAQ66" s="4"/>
      <c r="OAR66" s="4"/>
      <c r="OAS66" s="4"/>
      <c r="OAT66" s="4"/>
      <c r="OAU66" s="4"/>
      <c r="OAV66" s="4"/>
      <c r="OAW66" s="4"/>
      <c r="OAX66" s="4"/>
      <c r="OAY66" s="4"/>
      <c r="OAZ66" s="4"/>
      <c r="OBA66" s="4"/>
      <c r="OBB66" s="4"/>
      <c r="OBC66" s="4"/>
      <c r="OBD66" s="4"/>
      <c r="OBE66" s="4"/>
      <c r="OBF66" s="4"/>
      <c r="OBG66" s="4"/>
      <c r="OBH66" s="4"/>
      <c r="OBI66" s="4"/>
      <c r="OBJ66" s="4"/>
      <c r="OBK66" s="4"/>
      <c r="OBL66" s="4"/>
      <c r="OBM66" s="4"/>
      <c r="OBN66" s="4"/>
      <c r="OBO66" s="4"/>
      <c r="OBP66" s="4"/>
      <c r="OBQ66" s="4"/>
      <c r="OBR66" s="4"/>
      <c r="OBS66" s="4"/>
      <c r="OBT66" s="4"/>
      <c r="OBU66" s="4"/>
      <c r="OBV66" s="4"/>
      <c r="OBW66" s="4"/>
      <c r="OBX66" s="4"/>
      <c r="OBY66" s="4"/>
      <c r="OBZ66" s="4"/>
      <c r="OCA66" s="4"/>
      <c r="OCB66" s="4"/>
      <c r="OCC66" s="4"/>
      <c r="OCD66" s="4"/>
      <c r="OCE66" s="4"/>
      <c r="OCF66" s="4"/>
      <c r="OCG66" s="4"/>
      <c r="OCH66" s="4"/>
      <c r="OCI66" s="4"/>
      <c r="OCJ66" s="4"/>
      <c r="OCK66" s="4"/>
      <c r="OCL66" s="4"/>
      <c r="OCM66" s="4"/>
      <c r="OCN66" s="4"/>
      <c r="OCO66" s="4"/>
      <c r="OCP66" s="4"/>
      <c r="OCQ66" s="4"/>
      <c r="OCR66" s="4"/>
      <c r="OCS66" s="4"/>
      <c r="OCT66" s="4"/>
      <c r="OCU66" s="4"/>
      <c r="OCV66" s="4"/>
      <c r="OCW66" s="4"/>
      <c r="OCX66" s="4"/>
      <c r="OCY66" s="4"/>
      <c r="OCZ66" s="4"/>
      <c r="ODA66" s="4"/>
      <c r="ODB66" s="4"/>
      <c r="ODC66" s="4"/>
      <c r="ODD66" s="4"/>
      <c r="ODE66" s="4"/>
      <c r="ODF66" s="4"/>
      <c r="ODG66" s="4"/>
      <c r="ODH66" s="4"/>
      <c r="ODI66" s="4"/>
      <c r="ODJ66" s="4"/>
      <c r="ODK66" s="4"/>
      <c r="ODL66" s="4"/>
      <c r="ODM66" s="4"/>
      <c r="ODN66" s="4"/>
      <c r="ODO66" s="4"/>
      <c r="ODP66" s="4"/>
      <c r="ODQ66" s="4"/>
      <c r="ODR66" s="4"/>
      <c r="ODS66" s="4"/>
      <c r="ODT66" s="4"/>
      <c r="ODU66" s="4"/>
      <c r="ODV66" s="4"/>
      <c r="ODW66" s="4"/>
      <c r="ODX66" s="4"/>
      <c r="ODY66" s="4"/>
      <c r="ODZ66" s="4"/>
      <c r="OEA66" s="4"/>
      <c r="OEB66" s="4"/>
      <c r="OEC66" s="4"/>
      <c r="OED66" s="4"/>
      <c r="OEE66" s="4"/>
      <c r="OEF66" s="4"/>
      <c r="OEG66" s="4"/>
      <c r="OEH66" s="4"/>
      <c r="OEI66" s="4"/>
      <c r="OEJ66" s="4"/>
      <c r="OEK66" s="4"/>
      <c r="OEL66" s="4"/>
      <c r="OEM66" s="4"/>
      <c r="OEN66" s="4"/>
      <c r="OEO66" s="4"/>
      <c r="OEP66" s="4"/>
      <c r="OEQ66" s="4"/>
      <c r="OER66" s="4"/>
      <c r="OES66" s="4"/>
      <c r="OET66" s="4"/>
      <c r="OEU66" s="4"/>
      <c r="OEV66" s="4"/>
      <c r="OEW66" s="4"/>
      <c r="OEX66" s="4"/>
      <c r="OEY66" s="4"/>
      <c r="OEZ66" s="4"/>
      <c r="OFA66" s="4"/>
      <c r="OFB66" s="4"/>
      <c r="OFC66" s="4"/>
      <c r="OFD66" s="4"/>
      <c r="OFE66" s="4"/>
      <c r="OFF66" s="4"/>
      <c r="OFG66" s="4"/>
      <c r="OFH66" s="4"/>
      <c r="OFI66" s="4"/>
      <c r="OFJ66" s="4"/>
      <c r="OFK66" s="4"/>
      <c r="OFL66" s="4"/>
      <c r="OFM66" s="4"/>
      <c r="OFN66" s="4"/>
      <c r="OFO66" s="4"/>
      <c r="OFP66" s="4"/>
      <c r="OFQ66" s="4"/>
      <c r="OFR66" s="4"/>
      <c r="OFS66" s="4"/>
      <c r="OFT66" s="4"/>
      <c r="OFU66" s="4"/>
      <c r="OFV66" s="4"/>
      <c r="OFW66" s="4"/>
      <c r="OFX66" s="4"/>
      <c r="OFY66" s="4"/>
      <c r="OFZ66" s="4"/>
      <c r="OGA66" s="4"/>
      <c r="OGB66" s="4"/>
      <c r="OGC66" s="4"/>
      <c r="OGD66" s="4"/>
      <c r="OGE66" s="4"/>
      <c r="OGF66" s="4"/>
      <c r="OGG66" s="4"/>
      <c r="OGH66" s="4"/>
      <c r="OGI66" s="4"/>
      <c r="OGJ66" s="4"/>
      <c r="OGK66" s="4"/>
      <c r="OGL66" s="4"/>
      <c r="OGM66" s="4"/>
      <c r="OGN66" s="4"/>
      <c r="OGO66" s="4"/>
      <c r="OGP66" s="4"/>
      <c r="OGQ66" s="4"/>
      <c r="OGR66" s="4"/>
      <c r="OGS66" s="4"/>
      <c r="OGT66" s="4"/>
      <c r="OGU66" s="4"/>
      <c r="OGV66" s="4"/>
      <c r="OGW66" s="4"/>
      <c r="OGX66" s="4"/>
      <c r="OGY66" s="4"/>
      <c r="OGZ66" s="4"/>
      <c r="OHA66" s="4"/>
      <c r="OHB66" s="4"/>
      <c r="OHC66" s="4"/>
      <c r="OHD66" s="4"/>
      <c r="OHE66" s="4"/>
      <c r="OHF66" s="4"/>
      <c r="OHG66" s="4"/>
      <c r="OHH66" s="4"/>
      <c r="OHI66" s="4"/>
      <c r="OHJ66" s="4"/>
      <c r="OHK66" s="4"/>
      <c r="OHL66" s="4"/>
      <c r="OHM66" s="4"/>
      <c r="OHN66" s="4"/>
      <c r="OHO66" s="4"/>
      <c r="OHP66" s="4"/>
      <c r="OHQ66" s="4"/>
      <c r="OHR66" s="4"/>
      <c r="OHS66" s="4"/>
      <c r="OHT66" s="4"/>
      <c r="OHU66" s="4"/>
      <c r="OHV66" s="4"/>
      <c r="OHW66" s="4"/>
      <c r="OHX66" s="4"/>
      <c r="OHY66" s="4"/>
      <c r="OHZ66" s="4"/>
      <c r="OIA66" s="4"/>
      <c r="OIB66" s="4"/>
      <c r="OIC66" s="4"/>
      <c r="OID66" s="4"/>
      <c r="OIE66" s="4"/>
      <c r="OIF66" s="4"/>
      <c r="OIG66" s="4"/>
      <c r="OIH66" s="4"/>
      <c r="OII66" s="4"/>
      <c r="OIJ66" s="4"/>
      <c r="OIK66" s="4"/>
      <c r="OIL66" s="4"/>
      <c r="OIM66" s="4"/>
      <c r="OIN66" s="4"/>
      <c r="OIO66" s="4"/>
      <c r="OIP66" s="4"/>
      <c r="OIQ66" s="4"/>
      <c r="OIR66" s="4"/>
      <c r="OIS66" s="4"/>
      <c r="OIT66" s="4"/>
      <c r="OIU66" s="4"/>
      <c r="OIV66" s="4"/>
      <c r="OIW66" s="4"/>
      <c r="OIX66" s="4"/>
      <c r="OIY66" s="4"/>
      <c r="OIZ66" s="4"/>
      <c r="OJA66" s="4"/>
      <c r="OJB66" s="4"/>
      <c r="OJC66" s="4"/>
      <c r="OJD66" s="4"/>
      <c r="OJE66" s="4"/>
      <c r="OJF66" s="4"/>
      <c r="OJG66" s="4"/>
      <c r="OJH66" s="4"/>
      <c r="OJI66" s="4"/>
      <c r="OJJ66" s="4"/>
      <c r="OJK66" s="4"/>
      <c r="OJL66" s="4"/>
      <c r="OJM66" s="4"/>
      <c r="OJN66" s="4"/>
      <c r="OJO66" s="4"/>
      <c r="OJP66" s="4"/>
      <c r="OJQ66" s="4"/>
      <c r="OJR66" s="4"/>
      <c r="OJS66" s="4"/>
      <c r="OJT66" s="4"/>
      <c r="OJU66" s="4"/>
      <c r="OJV66" s="4"/>
      <c r="OJW66" s="4"/>
      <c r="OJX66" s="4"/>
      <c r="OJY66" s="4"/>
      <c r="OJZ66" s="4"/>
      <c r="OKA66" s="4"/>
      <c r="OKB66" s="4"/>
      <c r="OKC66" s="4"/>
      <c r="OKD66" s="4"/>
      <c r="OKE66" s="4"/>
      <c r="OKF66" s="4"/>
      <c r="OKG66" s="4"/>
      <c r="OKH66" s="4"/>
      <c r="OKI66" s="4"/>
      <c r="OKJ66" s="4"/>
      <c r="OKK66" s="4"/>
      <c r="OKL66" s="4"/>
      <c r="OKM66" s="4"/>
      <c r="OKN66" s="4"/>
      <c r="OKO66" s="4"/>
      <c r="OKP66" s="4"/>
      <c r="OKQ66" s="4"/>
      <c r="OKR66" s="4"/>
      <c r="OKS66" s="4"/>
      <c r="OKT66" s="4"/>
      <c r="OKU66" s="4"/>
      <c r="OKV66" s="4"/>
      <c r="OKW66" s="4"/>
      <c r="OKX66" s="4"/>
      <c r="OKY66" s="4"/>
      <c r="OKZ66" s="4"/>
      <c r="OLA66" s="4"/>
      <c r="OLB66" s="4"/>
      <c r="OLC66" s="4"/>
      <c r="OLD66" s="4"/>
      <c r="OLE66" s="4"/>
      <c r="OLF66" s="4"/>
      <c r="OLG66" s="4"/>
      <c r="OLH66" s="4"/>
      <c r="OLI66" s="4"/>
      <c r="OLJ66" s="4"/>
      <c r="OLK66" s="4"/>
      <c r="OLL66" s="4"/>
      <c r="OLM66" s="4"/>
      <c r="OLN66" s="4"/>
      <c r="OLO66" s="4"/>
      <c r="OLP66" s="4"/>
      <c r="OLQ66" s="4"/>
      <c r="OLR66" s="4"/>
      <c r="OLS66" s="4"/>
      <c r="OLT66" s="4"/>
      <c r="OLU66" s="4"/>
      <c r="OLV66" s="4"/>
      <c r="OLW66" s="4"/>
      <c r="OLX66" s="4"/>
      <c r="OLY66" s="4"/>
      <c r="OLZ66" s="4"/>
      <c r="OMA66" s="4"/>
      <c r="OMB66" s="4"/>
      <c r="OMC66" s="4"/>
      <c r="OMD66" s="4"/>
      <c r="OME66" s="4"/>
      <c r="OMF66" s="4"/>
      <c r="OMG66" s="4"/>
      <c r="OMH66" s="4"/>
      <c r="OMI66" s="4"/>
      <c r="OMJ66" s="4"/>
      <c r="OMK66" s="4"/>
      <c r="OML66" s="4"/>
      <c r="OMM66" s="4"/>
      <c r="OMN66" s="4"/>
      <c r="OMO66" s="4"/>
      <c r="OMP66" s="4"/>
      <c r="OMQ66" s="4"/>
      <c r="OMR66" s="4"/>
      <c r="OMS66" s="4"/>
      <c r="OMT66" s="4"/>
      <c r="OMU66" s="4"/>
      <c r="OMV66" s="4"/>
      <c r="OMW66" s="4"/>
      <c r="OMX66" s="4"/>
      <c r="OMY66" s="4"/>
      <c r="OMZ66" s="4"/>
      <c r="ONA66" s="4"/>
      <c r="ONB66" s="4"/>
      <c r="ONC66" s="4"/>
      <c r="OND66" s="4"/>
      <c r="ONE66" s="4"/>
      <c r="ONF66" s="4"/>
      <c r="ONG66" s="4"/>
      <c r="ONH66" s="4"/>
      <c r="ONI66" s="4"/>
      <c r="ONJ66" s="4"/>
      <c r="ONK66" s="4"/>
      <c r="ONL66" s="4"/>
      <c r="ONM66" s="4"/>
      <c r="ONN66" s="4"/>
      <c r="ONO66" s="4"/>
      <c r="ONP66" s="4"/>
      <c r="ONQ66" s="4"/>
      <c r="ONR66" s="4"/>
      <c r="ONS66" s="4"/>
      <c r="ONT66" s="4"/>
      <c r="ONU66" s="4"/>
      <c r="ONV66" s="4"/>
      <c r="ONW66" s="4"/>
      <c r="ONX66" s="4"/>
      <c r="ONY66" s="4"/>
      <c r="ONZ66" s="4"/>
      <c r="OOA66" s="4"/>
      <c r="OOB66" s="4"/>
      <c r="OOC66" s="4"/>
      <c r="OOD66" s="4"/>
      <c r="OOE66" s="4"/>
      <c r="OOF66" s="4"/>
      <c r="OOG66" s="4"/>
      <c r="OOH66" s="4"/>
      <c r="OOI66" s="4"/>
      <c r="OOJ66" s="4"/>
      <c r="OOK66" s="4"/>
      <c r="OOL66" s="4"/>
      <c r="OOM66" s="4"/>
      <c r="OON66" s="4"/>
      <c r="OOO66" s="4"/>
      <c r="OOP66" s="4"/>
      <c r="OOQ66" s="4"/>
      <c r="OOR66" s="4"/>
      <c r="OOS66" s="4"/>
      <c r="OOT66" s="4"/>
      <c r="OOU66" s="4"/>
      <c r="OOV66" s="4"/>
      <c r="OOW66" s="4"/>
      <c r="OOX66" s="4"/>
      <c r="OOY66" s="4"/>
      <c r="OOZ66" s="4"/>
      <c r="OPA66" s="4"/>
      <c r="OPB66" s="4"/>
      <c r="OPC66" s="4"/>
      <c r="OPD66" s="4"/>
      <c r="OPE66" s="4"/>
      <c r="OPF66" s="4"/>
      <c r="OPG66" s="4"/>
      <c r="OPH66" s="4"/>
      <c r="OPI66" s="4"/>
      <c r="OPJ66" s="4"/>
      <c r="OPK66" s="4"/>
      <c r="OPL66" s="4"/>
      <c r="OPM66" s="4"/>
      <c r="OPN66" s="4"/>
      <c r="OPO66" s="4"/>
      <c r="OPP66" s="4"/>
      <c r="OPQ66" s="4"/>
      <c r="OPR66" s="4"/>
      <c r="OPS66" s="4"/>
      <c r="OPT66" s="4"/>
      <c r="OPU66" s="4"/>
      <c r="OPV66" s="4"/>
      <c r="OPW66" s="4"/>
      <c r="OPX66" s="4"/>
      <c r="OPY66" s="4"/>
      <c r="OPZ66" s="4"/>
      <c r="OQA66" s="4"/>
      <c r="OQB66" s="4"/>
      <c r="OQC66" s="4"/>
      <c r="OQD66" s="4"/>
      <c r="OQE66" s="4"/>
      <c r="OQF66" s="4"/>
      <c r="OQG66" s="4"/>
      <c r="OQH66" s="4"/>
      <c r="OQI66" s="4"/>
      <c r="OQJ66" s="4"/>
      <c r="OQK66" s="4"/>
      <c r="OQL66" s="4"/>
      <c r="OQM66" s="4"/>
      <c r="OQN66" s="4"/>
      <c r="OQO66" s="4"/>
      <c r="OQP66" s="4"/>
      <c r="OQQ66" s="4"/>
      <c r="OQR66" s="4"/>
      <c r="OQS66" s="4"/>
      <c r="OQT66" s="4"/>
      <c r="OQU66" s="4"/>
      <c r="OQV66" s="4"/>
      <c r="OQW66" s="4"/>
      <c r="OQX66" s="4"/>
      <c r="OQY66" s="4"/>
      <c r="OQZ66" s="4"/>
      <c r="ORA66" s="4"/>
      <c r="ORB66" s="4"/>
      <c r="ORC66" s="4"/>
      <c r="ORD66" s="4"/>
      <c r="ORE66" s="4"/>
      <c r="ORF66" s="4"/>
      <c r="ORG66" s="4"/>
      <c r="ORH66" s="4"/>
      <c r="ORI66" s="4"/>
      <c r="ORJ66" s="4"/>
      <c r="ORK66" s="4"/>
      <c r="ORL66" s="4"/>
      <c r="ORM66" s="4"/>
      <c r="ORN66" s="4"/>
      <c r="ORO66" s="4"/>
      <c r="ORP66" s="4"/>
      <c r="ORQ66" s="4"/>
      <c r="ORR66" s="4"/>
      <c r="ORS66" s="4"/>
      <c r="ORT66" s="4"/>
      <c r="ORU66" s="4"/>
      <c r="ORV66" s="4"/>
      <c r="ORW66" s="4"/>
      <c r="ORX66" s="4"/>
      <c r="ORY66" s="4"/>
      <c r="ORZ66" s="4"/>
      <c r="OSA66" s="4"/>
      <c r="OSB66" s="4"/>
      <c r="OSC66" s="4"/>
      <c r="OSD66" s="4"/>
      <c r="OSE66" s="4"/>
      <c r="OSF66" s="4"/>
      <c r="OSG66" s="4"/>
      <c r="OSH66" s="4"/>
      <c r="OSI66" s="4"/>
      <c r="OSJ66" s="4"/>
      <c r="OSK66" s="4"/>
      <c r="OSL66" s="4"/>
      <c r="OSM66" s="4"/>
      <c r="OSN66" s="4"/>
      <c r="OSO66" s="4"/>
      <c r="OSP66" s="4"/>
      <c r="OSQ66" s="4"/>
      <c r="OSR66" s="4"/>
      <c r="OSS66" s="4"/>
      <c r="OST66" s="4"/>
      <c r="OSU66" s="4"/>
      <c r="OSV66" s="4"/>
      <c r="OSW66" s="4"/>
      <c r="OSX66" s="4"/>
      <c r="OSY66" s="4"/>
      <c r="OSZ66" s="4"/>
      <c r="OTA66" s="4"/>
      <c r="OTB66" s="4"/>
      <c r="OTC66" s="4"/>
      <c r="OTD66" s="4"/>
      <c r="OTE66" s="4"/>
      <c r="OTF66" s="4"/>
      <c r="OTG66" s="4"/>
      <c r="OTH66" s="4"/>
      <c r="OTI66" s="4"/>
      <c r="OTJ66" s="4"/>
      <c r="OTK66" s="4"/>
      <c r="OTL66" s="4"/>
      <c r="OTM66" s="4"/>
      <c r="OTN66" s="4"/>
      <c r="OTO66" s="4"/>
      <c r="OTP66" s="4"/>
      <c r="OTQ66" s="4"/>
      <c r="OTR66" s="4"/>
      <c r="OTS66" s="4"/>
      <c r="OTT66" s="4"/>
      <c r="OTU66" s="4"/>
      <c r="OTV66" s="4"/>
      <c r="OTW66" s="4"/>
      <c r="OTX66" s="4"/>
      <c r="OTY66" s="4"/>
      <c r="OTZ66" s="4"/>
      <c r="OUA66" s="4"/>
      <c r="OUB66" s="4"/>
      <c r="OUC66" s="4"/>
      <c r="OUD66" s="4"/>
      <c r="OUE66" s="4"/>
      <c r="OUF66" s="4"/>
      <c r="OUG66" s="4"/>
      <c r="OUH66" s="4"/>
      <c r="OUI66" s="4"/>
      <c r="OUJ66" s="4"/>
      <c r="OUK66" s="4"/>
      <c r="OUL66" s="4"/>
      <c r="OUM66" s="4"/>
      <c r="OUN66" s="4"/>
      <c r="OUO66" s="4"/>
      <c r="OUP66" s="4"/>
      <c r="OUQ66" s="4"/>
      <c r="OUR66" s="4"/>
      <c r="OUS66" s="4"/>
      <c r="OUT66" s="4"/>
      <c r="OUU66" s="4"/>
      <c r="OUV66" s="4"/>
      <c r="OUW66" s="4"/>
      <c r="OUX66" s="4"/>
      <c r="OUY66" s="4"/>
      <c r="OUZ66" s="4"/>
      <c r="OVA66" s="4"/>
      <c r="OVB66" s="4"/>
      <c r="OVC66" s="4"/>
      <c r="OVD66" s="4"/>
      <c r="OVE66" s="4"/>
      <c r="OVF66" s="4"/>
      <c r="OVG66" s="4"/>
      <c r="OVH66" s="4"/>
      <c r="OVI66" s="4"/>
      <c r="OVJ66" s="4"/>
      <c r="OVK66" s="4"/>
      <c r="OVL66" s="4"/>
      <c r="OVM66" s="4"/>
      <c r="OVN66" s="4"/>
      <c r="OVO66" s="4"/>
      <c r="OVP66" s="4"/>
      <c r="OVQ66" s="4"/>
      <c r="OVR66" s="4"/>
      <c r="OVS66" s="4"/>
      <c r="OVT66" s="4"/>
      <c r="OVU66" s="4"/>
      <c r="OVV66" s="4"/>
      <c r="OVW66" s="4"/>
      <c r="OVX66" s="4"/>
      <c r="OVY66" s="4"/>
      <c r="OVZ66" s="4"/>
      <c r="OWA66" s="4"/>
      <c r="OWB66" s="4"/>
      <c r="OWC66" s="4"/>
      <c r="OWD66" s="4"/>
      <c r="OWE66" s="4"/>
      <c r="OWF66" s="4"/>
      <c r="OWG66" s="4"/>
      <c r="OWH66" s="4"/>
      <c r="OWI66" s="4"/>
      <c r="OWJ66" s="4"/>
      <c r="OWK66" s="4"/>
      <c r="OWL66" s="4"/>
      <c r="OWM66" s="4"/>
      <c r="OWN66" s="4"/>
      <c r="OWO66" s="4"/>
      <c r="OWP66" s="4"/>
      <c r="OWQ66" s="4"/>
      <c r="OWR66" s="4"/>
      <c r="OWS66" s="4"/>
      <c r="OWT66" s="4"/>
      <c r="OWU66" s="4"/>
      <c r="OWV66" s="4"/>
      <c r="OWW66" s="4"/>
      <c r="OWX66" s="4"/>
      <c r="OWY66" s="4"/>
      <c r="OWZ66" s="4"/>
      <c r="OXA66" s="4"/>
      <c r="OXB66" s="4"/>
      <c r="OXC66" s="4"/>
      <c r="OXD66" s="4"/>
      <c r="OXE66" s="4"/>
      <c r="OXF66" s="4"/>
      <c r="OXG66" s="4"/>
      <c r="OXH66" s="4"/>
      <c r="OXI66" s="4"/>
      <c r="OXJ66" s="4"/>
      <c r="OXK66" s="4"/>
      <c r="OXL66" s="4"/>
      <c r="OXM66" s="4"/>
      <c r="OXN66" s="4"/>
      <c r="OXO66" s="4"/>
      <c r="OXP66" s="4"/>
      <c r="OXQ66" s="4"/>
      <c r="OXR66" s="4"/>
      <c r="OXS66" s="4"/>
      <c r="OXT66" s="4"/>
      <c r="OXU66" s="4"/>
      <c r="OXV66" s="4"/>
      <c r="OXW66" s="4"/>
      <c r="OXX66" s="4"/>
      <c r="OXY66" s="4"/>
      <c r="OXZ66" s="4"/>
      <c r="OYA66" s="4"/>
      <c r="OYB66" s="4"/>
      <c r="OYC66" s="4"/>
      <c r="OYD66" s="4"/>
      <c r="OYE66" s="4"/>
      <c r="OYF66" s="4"/>
      <c r="OYG66" s="4"/>
      <c r="OYH66" s="4"/>
      <c r="OYI66" s="4"/>
      <c r="OYJ66" s="4"/>
      <c r="OYK66" s="4"/>
      <c r="OYL66" s="4"/>
      <c r="OYM66" s="4"/>
      <c r="OYN66" s="4"/>
      <c r="OYO66" s="4"/>
      <c r="OYP66" s="4"/>
      <c r="OYQ66" s="4"/>
      <c r="OYR66" s="4"/>
      <c r="OYS66" s="4"/>
      <c r="OYT66" s="4"/>
      <c r="OYU66" s="4"/>
      <c r="OYV66" s="4"/>
      <c r="OYW66" s="4"/>
      <c r="OYX66" s="4"/>
      <c r="OYY66" s="4"/>
      <c r="OYZ66" s="4"/>
      <c r="OZA66" s="4"/>
      <c r="OZB66" s="4"/>
      <c r="OZC66" s="4"/>
      <c r="OZD66" s="4"/>
      <c r="OZE66" s="4"/>
      <c r="OZF66" s="4"/>
      <c r="OZG66" s="4"/>
      <c r="OZH66" s="4"/>
      <c r="OZI66" s="4"/>
      <c r="OZJ66" s="4"/>
      <c r="OZK66" s="4"/>
      <c r="OZL66" s="4"/>
      <c r="OZM66" s="4"/>
      <c r="OZN66" s="4"/>
      <c r="OZO66" s="4"/>
      <c r="OZP66" s="4"/>
      <c r="OZQ66" s="4"/>
      <c r="OZR66" s="4"/>
      <c r="OZS66" s="4"/>
      <c r="OZT66" s="4"/>
      <c r="OZU66" s="4"/>
      <c r="OZV66" s="4"/>
      <c r="OZW66" s="4"/>
      <c r="OZX66" s="4"/>
      <c r="OZY66" s="4"/>
      <c r="OZZ66" s="4"/>
      <c r="PAA66" s="4"/>
      <c r="PAB66" s="4"/>
      <c r="PAC66" s="4"/>
      <c r="PAD66" s="4"/>
      <c r="PAE66" s="4"/>
      <c r="PAF66" s="4"/>
      <c r="PAG66" s="4"/>
      <c r="PAH66" s="4"/>
      <c r="PAI66" s="4"/>
      <c r="PAJ66" s="4"/>
      <c r="PAK66" s="4"/>
      <c r="PAL66" s="4"/>
      <c r="PAM66" s="4"/>
      <c r="PAN66" s="4"/>
      <c r="PAO66" s="4"/>
      <c r="PAP66" s="4"/>
      <c r="PAQ66" s="4"/>
      <c r="PAR66" s="4"/>
      <c r="PAS66" s="4"/>
      <c r="PAT66" s="4"/>
      <c r="PAU66" s="4"/>
      <c r="PAV66" s="4"/>
      <c r="PAW66" s="4"/>
      <c r="PAX66" s="4"/>
      <c r="PAY66" s="4"/>
      <c r="PAZ66" s="4"/>
      <c r="PBA66" s="4"/>
      <c r="PBB66" s="4"/>
      <c r="PBC66" s="4"/>
      <c r="PBD66" s="4"/>
      <c r="PBE66" s="4"/>
      <c r="PBF66" s="4"/>
      <c r="PBG66" s="4"/>
      <c r="PBH66" s="4"/>
      <c r="PBI66" s="4"/>
      <c r="PBJ66" s="4"/>
      <c r="PBK66" s="4"/>
      <c r="PBL66" s="4"/>
      <c r="PBM66" s="4"/>
      <c r="PBN66" s="4"/>
      <c r="PBO66" s="4"/>
      <c r="PBP66" s="4"/>
      <c r="PBQ66" s="4"/>
      <c r="PBR66" s="4"/>
      <c r="PBS66" s="4"/>
      <c r="PBT66" s="4"/>
      <c r="PBU66" s="4"/>
      <c r="PBV66" s="4"/>
      <c r="PBW66" s="4"/>
      <c r="PBX66" s="4"/>
      <c r="PBY66" s="4"/>
      <c r="PBZ66" s="4"/>
      <c r="PCA66" s="4"/>
      <c r="PCB66" s="4"/>
      <c r="PCC66" s="4"/>
      <c r="PCD66" s="4"/>
      <c r="PCE66" s="4"/>
      <c r="PCF66" s="4"/>
      <c r="PCG66" s="4"/>
      <c r="PCH66" s="4"/>
      <c r="PCI66" s="4"/>
      <c r="PCJ66" s="4"/>
      <c r="PCK66" s="4"/>
      <c r="PCL66" s="4"/>
      <c r="PCM66" s="4"/>
      <c r="PCN66" s="4"/>
      <c r="PCO66" s="4"/>
      <c r="PCP66" s="4"/>
      <c r="PCQ66" s="4"/>
      <c r="PCR66" s="4"/>
      <c r="PCS66" s="4"/>
      <c r="PCT66" s="4"/>
      <c r="PCU66" s="4"/>
      <c r="PCV66" s="4"/>
      <c r="PCW66" s="4"/>
      <c r="PCX66" s="4"/>
      <c r="PCY66" s="4"/>
      <c r="PCZ66" s="4"/>
      <c r="PDA66" s="4"/>
      <c r="PDB66" s="4"/>
      <c r="PDC66" s="4"/>
      <c r="PDD66" s="4"/>
      <c r="PDE66" s="4"/>
      <c r="PDF66" s="4"/>
      <c r="PDG66" s="4"/>
      <c r="PDH66" s="4"/>
      <c r="PDI66" s="4"/>
      <c r="PDJ66" s="4"/>
      <c r="PDK66" s="4"/>
      <c r="PDL66" s="4"/>
      <c r="PDM66" s="4"/>
      <c r="PDN66" s="4"/>
      <c r="PDO66" s="4"/>
      <c r="PDP66" s="4"/>
      <c r="PDQ66" s="4"/>
      <c r="PDR66" s="4"/>
      <c r="PDS66" s="4"/>
      <c r="PDT66" s="4"/>
      <c r="PDU66" s="4"/>
      <c r="PDV66" s="4"/>
      <c r="PDW66" s="4"/>
      <c r="PDX66" s="4"/>
      <c r="PDY66" s="4"/>
      <c r="PDZ66" s="4"/>
      <c r="PEA66" s="4"/>
      <c r="PEB66" s="4"/>
      <c r="PEC66" s="4"/>
      <c r="PED66" s="4"/>
      <c r="PEE66" s="4"/>
      <c r="PEF66" s="4"/>
      <c r="PEG66" s="4"/>
      <c r="PEH66" s="4"/>
      <c r="PEI66" s="4"/>
      <c r="PEJ66" s="4"/>
      <c r="PEK66" s="4"/>
      <c r="PEL66" s="4"/>
      <c r="PEM66" s="4"/>
      <c r="PEN66" s="4"/>
      <c r="PEO66" s="4"/>
      <c r="PEP66" s="4"/>
      <c r="PEQ66" s="4"/>
      <c r="PER66" s="4"/>
      <c r="PES66" s="4"/>
      <c r="PET66" s="4"/>
      <c r="PEU66" s="4"/>
      <c r="PEV66" s="4"/>
      <c r="PEW66" s="4"/>
      <c r="PEX66" s="4"/>
      <c r="PEY66" s="4"/>
      <c r="PEZ66" s="4"/>
      <c r="PFA66" s="4"/>
      <c r="PFB66" s="4"/>
      <c r="PFC66" s="4"/>
      <c r="PFD66" s="4"/>
      <c r="PFE66" s="4"/>
      <c r="PFF66" s="4"/>
      <c r="PFG66" s="4"/>
      <c r="PFH66" s="4"/>
      <c r="PFI66" s="4"/>
      <c r="PFJ66" s="4"/>
      <c r="PFK66" s="4"/>
      <c r="PFL66" s="4"/>
      <c r="PFM66" s="4"/>
      <c r="PFN66" s="4"/>
      <c r="PFO66" s="4"/>
      <c r="PFP66" s="4"/>
      <c r="PFQ66" s="4"/>
      <c r="PFR66" s="4"/>
      <c r="PFS66" s="4"/>
      <c r="PFT66" s="4"/>
      <c r="PFU66" s="4"/>
      <c r="PFV66" s="4"/>
      <c r="PFW66" s="4"/>
      <c r="PFX66" s="4"/>
      <c r="PFY66" s="4"/>
      <c r="PFZ66" s="4"/>
      <c r="PGA66" s="4"/>
      <c r="PGB66" s="4"/>
      <c r="PGC66" s="4"/>
      <c r="PGD66" s="4"/>
      <c r="PGE66" s="4"/>
      <c r="PGF66" s="4"/>
      <c r="PGG66" s="4"/>
      <c r="PGH66" s="4"/>
      <c r="PGI66" s="4"/>
      <c r="PGJ66" s="4"/>
      <c r="PGK66" s="4"/>
      <c r="PGL66" s="4"/>
      <c r="PGM66" s="4"/>
      <c r="PGN66" s="4"/>
      <c r="PGO66" s="4"/>
      <c r="PGP66" s="4"/>
      <c r="PGQ66" s="4"/>
      <c r="PGR66" s="4"/>
      <c r="PGS66" s="4"/>
      <c r="PGT66" s="4"/>
      <c r="PGU66" s="4"/>
      <c r="PGV66" s="4"/>
      <c r="PGW66" s="4"/>
      <c r="PGX66" s="4"/>
      <c r="PGY66" s="4"/>
      <c r="PGZ66" s="4"/>
      <c r="PHA66" s="4"/>
      <c r="PHB66" s="4"/>
      <c r="PHC66" s="4"/>
      <c r="PHD66" s="4"/>
      <c r="PHE66" s="4"/>
      <c r="PHF66" s="4"/>
      <c r="PHG66" s="4"/>
      <c r="PHH66" s="4"/>
      <c r="PHI66" s="4"/>
      <c r="PHJ66" s="4"/>
      <c r="PHK66" s="4"/>
      <c r="PHL66" s="4"/>
      <c r="PHM66" s="4"/>
      <c r="PHN66" s="4"/>
      <c r="PHO66" s="4"/>
      <c r="PHP66" s="4"/>
      <c r="PHQ66" s="4"/>
      <c r="PHR66" s="4"/>
      <c r="PHS66" s="4"/>
      <c r="PHT66" s="4"/>
      <c r="PHU66" s="4"/>
      <c r="PHV66" s="4"/>
      <c r="PHW66" s="4"/>
      <c r="PHX66" s="4"/>
      <c r="PHY66" s="4"/>
      <c r="PHZ66" s="4"/>
      <c r="PIA66" s="4"/>
      <c r="PIB66" s="4"/>
      <c r="PIC66" s="4"/>
      <c r="PID66" s="4"/>
      <c r="PIE66" s="4"/>
      <c r="PIF66" s="4"/>
      <c r="PIG66" s="4"/>
      <c r="PIH66" s="4"/>
      <c r="PII66" s="4"/>
      <c r="PIJ66" s="4"/>
      <c r="PIK66" s="4"/>
      <c r="PIL66" s="4"/>
      <c r="PIM66" s="4"/>
      <c r="PIN66" s="4"/>
      <c r="PIO66" s="4"/>
      <c r="PIP66" s="4"/>
      <c r="PIQ66" s="4"/>
      <c r="PIR66" s="4"/>
      <c r="PIS66" s="4"/>
      <c r="PIT66" s="4"/>
      <c r="PIU66" s="4"/>
      <c r="PIV66" s="4"/>
      <c r="PIW66" s="4"/>
      <c r="PIX66" s="4"/>
      <c r="PIY66" s="4"/>
      <c r="PIZ66" s="4"/>
      <c r="PJA66" s="4"/>
      <c r="PJB66" s="4"/>
      <c r="PJC66" s="4"/>
      <c r="PJD66" s="4"/>
      <c r="PJE66" s="4"/>
      <c r="PJF66" s="4"/>
      <c r="PJG66" s="4"/>
      <c r="PJH66" s="4"/>
      <c r="PJI66" s="4"/>
      <c r="PJJ66" s="4"/>
      <c r="PJK66" s="4"/>
      <c r="PJL66" s="4"/>
      <c r="PJM66" s="4"/>
      <c r="PJN66" s="4"/>
      <c r="PJO66" s="4"/>
      <c r="PJP66" s="4"/>
      <c r="PJQ66" s="4"/>
      <c r="PJR66" s="4"/>
      <c r="PJS66" s="4"/>
      <c r="PJT66" s="4"/>
      <c r="PJU66" s="4"/>
      <c r="PJV66" s="4"/>
      <c r="PJW66" s="4"/>
      <c r="PJX66" s="4"/>
      <c r="PJY66" s="4"/>
      <c r="PJZ66" s="4"/>
      <c r="PKA66" s="4"/>
      <c r="PKB66" s="4"/>
      <c r="PKC66" s="4"/>
      <c r="PKD66" s="4"/>
      <c r="PKE66" s="4"/>
      <c r="PKF66" s="4"/>
      <c r="PKG66" s="4"/>
      <c r="PKH66" s="4"/>
      <c r="PKI66" s="4"/>
      <c r="PKJ66" s="4"/>
      <c r="PKK66" s="4"/>
      <c r="PKL66" s="4"/>
      <c r="PKM66" s="4"/>
      <c r="PKN66" s="4"/>
      <c r="PKO66" s="4"/>
      <c r="PKP66" s="4"/>
      <c r="PKQ66" s="4"/>
      <c r="PKR66" s="4"/>
      <c r="PKS66" s="4"/>
      <c r="PKT66" s="4"/>
      <c r="PKU66" s="4"/>
      <c r="PKV66" s="4"/>
      <c r="PKW66" s="4"/>
      <c r="PKX66" s="4"/>
      <c r="PKY66" s="4"/>
      <c r="PKZ66" s="4"/>
      <c r="PLA66" s="4"/>
      <c r="PLB66" s="4"/>
      <c r="PLC66" s="4"/>
      <c r="PLD66" s="4"/>
      <c r="PLE66" s="4"/>
      <c r="PLF66" s="4"/>
      <c r="PLG66" s="4"/>
      <c r="PLH66" s="4"/>
      <c r="PLI66" s="4"/>
      <c r="PLJ66" s="4"/>
      <c r="PLK66" s="4"/>
      <c r="PLL66" s="4"/>
      <c r="PLM66" s="4"/>
      <c r="PLN66" s="4"/>
      <c r="PLO66" s="4"/>
      <c r="PLP66" s="4"/>
      <c r="PLQ66" s="4"/>
      <c r="PLR66" s="4"/>
      <c r="PLS66" s="4"/>
      <c r="PLT66" s="4"/>
      <c r="PLU66" s="4"/>
      <c r="PLV66" s="4"/>
      <c r="PLW66" s="4"/>
      <c r="PLX66" s="4"/>
      <c r="PLY66" s="4"/>
      <c r="PLZ66" s="4"/>
      <c r="PMA66" s="4"/>
      <c r="PMB66" s="4"/>
      <c r="PMC66" s="4"/>
      <c r="PMD66" s="4"/>
      <c r="PME66" s="4"/>
      <c r="PMF66" s="4"/>
      <c r="PMG66" s="4"/>
      <c r="PMH66" s="4"/>
      <c r="PMI66" s="4"/>
      <c r="PMJ66" s="4"/>
      <c r="PMK66" s="4"/>
      <c r="PML66" s="4"/>
      <c r="PMM66" s="4"/>
      <c r="PMN66" s="4"/>
      <c r="PMO66" s="4"/>
      <c r="PMP66" s="4"/>
      <c r="PMQ66" s="4"/>
      <c r="PMR66" s="4"/>
      <c r="PMS66" s="4"/>
      <c r="PMT66" s="4"/>
      <c r="PMU66" s="4"/>
      <c r="PMV66" s="4"/>
      <c r="PMW66" s="4"/>
      <c r="PMX66" s="4"/>
      <c r="PMY66" s="4"/>
      <c r="PMZ66" s="4"/>
      <c r="PNA66" s="4"/>
      <c r="PNB66" s="4"/>
      <c r="PNC66" s="4"/>
      <c r="PND66" s="4"/>
      <c r="PNE66" s="4"/>
      <c r="PNF66" s="4"/>
      <c r="PNG66" s="4"/>
      <c r="PNH66" s="4"/>
      <c r="PNI66" s="4"/>
      <c r="PNJ66" s="4"/>
      <c r="PNK66" s="4"/>
      <c r="PNL66" s="4"/>
      <c r="PNM66" s="4"/>
      <c r="PNN66" s="4"/>
      <c r="PNO66" s="4"/>
      <c r="PNP66" s="4"/>
      <c r="PNQ66" s="4"/>
      <c r="PNR66" s="4"/>
      <c r="PNS66" s="4"/>
      <c r="PNT66" s="4"/>
      <c r="PNU66" s="4"/>
      <c r="PNV66" s="4"/>
      <c r="PNW66" s="4"/>
      <c r="PNX66" s="4"/>
      <c r="PNY66" s="4"/>
      <c r="PNZ66" s="4"/>
      <c r="POA66" s="4"/>
      <c r="POB66" s="4"/>
      <c r="POC66" s="4"/>
      <c r="POD66" s="4"/>
      <c r="POE66" s="4"/>
      <c r="POF66" s="4"/>
      <c r="POG66" s="4"/>
      <c r="POH66" s="4"/>
      <c r="POI66" s="4"/>
      <c r="POJ66" s="4"/>
      <c r="POK66" s="4"/>
      <c r="POL66" s="4"/>
      <c r="POM66" s="4"/>
      <c r="PON66" s="4"/>
      <c r="POO66" s="4"/>
      <c r="POP66" s="4"/>
      <c r="POQ66" s="4"/>
      <c r="POR66" s="4"/>
      <c r="POS66" s="4"/>
      <c r="POT66" s="4"/>
      <c r="POU66" s="4"/>
      <c r="POV66" s="4"/>
      <c r="POW66" s="4"/>
      <c r="POX66" s="4"/>
      <c r="POY66" s="4"/>
      <c r="POZ66" s="4"/>
      <c r="PPA66" s="4"/>
      <c r="PPB66" s="4"/>
      <c r="PPC66" s="4"/>
      <c r="PPD66" s="4"/>
      <c r="PPE66" s="4"/>
      <c r="PPF66" s="4"/>
      <c r="PPG66" s="4"/>
      <c r="PPH66" s="4"/>
      <c r="PPI66" s="4"/>
      <c r="PPJ66" s="4"/>
      <c r="PPK66" s="4"/>
      <c r="PPL66" s="4"/>
      <c r="PPM66" s="4"/>
      <c r="PPN66" s="4"/>
      <c r="PPO66" s="4"/>
      <c r="PPP66" s="4"/>
      <c r="PPQ66" s="4"/>
      <c r="PPR66" s="4"/>
      <c r="PPS66" s="4"/>
      <c r="PPT66" s="4"/>
      <c r="PPU66" s="4"/>
      <c r="PPV66" s="4"/>
      <c r="PPW66" s="4"/>
      <c r="PPX66" s="4"/>
      <c r="PPY66" s="4"/>
      <c r="PPZ66" s="4"/>
      <c r="PQA66" s="4"/>
      <c r="PQB66" s="4"/>
      <c r="PQC66" s="4"/>
      <c r="PQD66" s="4"/>
      <c r="PQE66" s="4"/>
      <c r="PQF66" s="4"/>
      <c r="PQG66" s="4"/>
      <c r="PQH66" s="4"/>
      <c r="PQI66" s="4"/>
      <c r="PQJ66" s="4"/>
      <c r="PQK66" s="4"/>
      <c r="PQL66" s="4"/>
      <c r="PQM66" s="4"/>
      <c r="PQN66" s="4"/>
      <c r="PQO66" s="4"/>
      <c r="PQP66" s="4"/>
      <c r="PQQ66" s="4"/>
      <c r="PQR66" s="4"/>
      <c r="PQS66" s="4"/>
      <c r="PQT66" s="4"/>
      <c r="PQU66" s="4"/>
      <c r="PQV66" s="4"/>
      <c r="PQW66" s="4"/>
      <c r="PQX66" s="4"/>
      <c r="PQY66" s="4"/>
      <c r="PQZ66" s="4"/>
      <c r="PRA66" s="4"/>
      <c r="PRB66" s="4"/>
      <c r="PRC66" s="4"/>
      <c r="PRD66" s="4"/>
      <c r="PRE66" s="4"/>
      <c r="PRF66" s="4"/>
      <c r="PRG66" s="4"/>
      <c r="PRH66" s="4"/>
      <c r="PRI66" s="4"/>
      <c r="PRJ66" s="4"/>
      <c r="PRK66" s="4"/>
      <c r="PRL66" s="4"/>
      <c r="PRM66" s="4"/>
      <c r="PRN66" s="4"/>
      <c r="PRO66" s="4"/>
      <c r="PRP66" s="4"/>
      <c r="PRQ66" s="4"/>
      <c r="PRR66" s="4"/>
      <c r="PRS66" s="4"/>
      <c r="PRT66" s="4"/>
      <c r="PRU66" s="4"/>
      <c r="PRV66" s="4"/>
      <c r="PRW66" s="4"/>
      <c r="PRX66" s="4"/>
      <c r="PRY66" s="4"/>
      <c r="PRZ66" s="4"/>
      <c r="PSA66" s="4"/>
      <c r="PSB66" s="4"/>
      <c r="PSC66" s="4"/>
      <c r="PSD66" s="4"/>
      <c r="PSE66" s="4"/>
      <c r="PSF66" s="4"/>
      <c r="PSG66" s="4"/>
      <c r="PSH66" s="4"/>
      <c r="PSI66" s="4"/>
      <c r="PSJ66" s="4"/>
      <c r="PSK66" s="4"/>
      <c r="PSL66" s="4"/>
      <c r="PSM66" s="4"/>
      <c r="PSN66" s="4"/>
      <c r="PSO66" s="4"/>
      <c r="PSP66" s="4"/>
      <c r="PSQ66" s="4"/>
      <c r="PSR66" s="4"/>
      <c r="PSS66" s="4"/>
      <c r="PST66" s="4"/>
      <c r="PSU66" s="4"/>
      <c r="PSV66" s="4"/>
      <c r="PSW66" s="4"/>
      <c r="PSX66" s="4"/>
      <c r="PSY66" s="4"/>
      <c r="PSZ66" s="4"/>
      <c r="PTA66" s="4"/>
      <c r="PTB66" s="4"/>
      <c r="PTC66" s="4"/>
      <c r="PTD66" s="4"/>
      <c r="PTE66" s="4"/>
      <c r="PTF66" s="4"/>
      <c r="PTG66" s="4"/>
      <c r="PTH66" s="4"/>
      <c r="PTI66" s="4"/>
      <c r="PTJ66" s="4"/>
      <c r="PTK66" s="4"/>
      <c r="PTL66" s="4"/>
      <c r="PTM66" s="4"/>
      <c r="PTN66" s="4"/>
      <c r="PTO66" s="4"/>
      <c r="PTP66" s="4"/>
      <c r="PTQ66" s="4"/>
      <c r="PTR66" s="4"/>
      <c r="PTS66" s="4"/>
      <c r="PTT66" s="4"/>
      <c r="PTU66" s="4"/>
      <c r="PTV66" s="4"/>
      <c r="PTW66" s="4"/>
      <c r="PTX66" s="4"/>
      <c r="PTY66" s="4"/>
      <c r="PTZ66" s="4"/>
      <c r="PUA66" s="4"/>
      <c r="PUB66" s="4"/>
      <c r="PUC66" s="4"/>
      <c r="PUD66" s="4"/>
      <c r="PUE66" s="4"/>
      <c r="PUF66" s="4"/>
      <c r="PUG66" s="4"/>
      <c r="PUH66" s="4"/>
      <c r="PUI66" s="4"/>
      <c r="PUJ66" s="4"/>
      <c r="PUK66" s="4"/>
      <c r="PUL66" s="4"/>
      <c r="PUM66" s="4"/>
      <c r="PUN66" s="4"/>
      <c r="PUO66" s="4"/>
      <c r="PUP66" s="4"/>
      <c r="PUQ66" s="4"/>
      <c r="PUR66" s="4"/>
      <c r="PUS66" s="4"/>
      <c r="PUT66" s="4"/>
      <c r="PUU66" s="4"/>
      <c r="PUV66" s="4"/>
      <c r="PUW66" s="4"/>
      <c r="PUX66" s="4"/>
      <c r="PUY66" s="4"/>
      <c r="PUZ66" s="4"/>
      <c r="PVA66" s="4"/>
      <c r="PVB66" s="4"/>
      <c r="PVC66" s="4"/>
      <c r="PVD66" s="4"/>
      <c r="PVE66" s="4"/>
      <c r="PVF66" s="4"/>
      <c r="PVG66" s="4"/>
      <c r="PVH66" s="4"/>
      <c r="PVI66" s="4"/>
      <c r="PVJ66" s="4"/>
      <c r="PVK66" s="4"/>
      <c r="PVL66" s="4"/>
      <c r="PVM66" s="4"/>
      <c r="PVN66" s="4"/>
      <c r="PVO66" s="4"/>
      <c r="PVP66" s="4"/>
      <c r="PVQ66" s="4"/>
      <c r="PVR66" s="4"/>
      <c r="PVS66" s="4"/>
      <c r="PVT66" s="4"/>
      <c r="PVU66" s="4"/>
      <c r="PVV66" s="4"/>
      <c r="PVW66" s="4"/>
      <c r="PVX66" s="4"/>
      <c r="PVY66" s="4"/>
      <c r="PVZ66" s="4"/>
      <c r="PWA66" s="4"/>
      <c r="PWB66" s="4"/>
      <c r="PWC66" s="4"/>
      <c r="PWD66" s="4"/>
      <c r="PWE66" s="4"/>
      <c r="PWF66" s="4"/>
      <c r="PWG66" s="4"/>
      <c r="PWH66" s="4"/>
      <c r="PWI66" s="4"/>
      <c r="PWJ66" s="4"/>
      <c r="PWK66" s="4"/>
      <c r="PWL66" s="4"/>
      <c r="PWM66" s="4"/>
      <c r="PWN66" s="4"/>
      <c r="PWO66" s="4"/>
      <c r="PWP66" s="4"/>
      <c r="PWQ66" s="4"/>
      <c r="PWR66" s="4"/>
      <c r="PWS66" s="4"/>
      <c r="PWT66" s="4"/>
      <c r="PWU66" s="4"/>
      <c r="PWV66" s="4"/>
      <c r="PWW66" s="4"/>
      <c r="PWX66" s="4"/>
      <c r="PWY66" s="4"/>
      <c r="PWZ66" s="4"/>
      <c r="PXA66" s="4"/>
      <c r="PXB66" s="4"/>
      <c r="PXC66" s="4"/>
      <c r="PXD66" s="4"/>
      <c r="PXE66" s="4"/>
      <c r="PXF66" s="4"/>
      <c r="PXG66" s="4"/>
      <c r="PXH66" s="4"/>
      <c r="PXI66" s="4"/>
      <c r="PXJ66" s="4"/>
      <c r="PXK66" s="4"/>
      <c r="PXL66" s="4"/>
      <c r="PXM66" s="4"/>
      <c r="PXN66" s="4"/>
      <c r="PXO66" s="4"/>
      <c r="PXP66" s="4"/>
      <c r="PXQ66" s="4"/>
      <c r="PXR66" s="4"/>
      <c r="PXS66" s="4"/>
      <c r="PXT66" s="4"/>
      <c r="PXU66" s="4"/>
      <c r="PXV66" s="4"/>
      <c r="PXW66" s="4"/>
      <c r="PXX66" s="4"/>
      <c r="PXY66" s="4"/>
      <c r="PXZ66" s="4"/>
      <c r="PYA66" s="4"/>
      <c r="PYB66" s="4"/>
      <c r="PYC66" s="4"/>
      <c r="PYD66" s="4"/>
      <c r="PYE66" s="4"/>
      <c r="PYF66" s="4"/>
      <c r="PYG66" s="4"/>
      <c r="PYH66" s="4"/>
      <c r="PYI66" s="4"/>
      <c r="PYJ66" s="4"/>
      <c r="PYK66" s="4"/>
      <c r="PYL66" s="4"/>
      <c r="PYM66" s="4"/>
      <c r="PYN66" s="4"/>
      <c r="PYO66" s="4"/>
      <c r="PYP66" s="4"/>
      <c r="PYQ66" s="4"/>
      <c r="PYR66" s="4"/>
      <c r="PYS66" s="4"/>
      <c r="PYT66" s="4"/>
      <c r="PYU66" s="4"/>
      <c r="PYV66" s="4"/>
      <c r="PYW66" s="4"/>
      <c r="PYX66" s="4"/>
      <c r="PYY66" s="4"/>
      <c r="PYZ66" s="4"/>
      <c r="PZA66" s="4"/>
      <c r="PZB66" s="4"/>
      <c r="PZC66" s="4"/>
      <c r="PZD66" s="4"/>
      <c r="PZE66" s="4"/>
      <c r="PZF66" s="4"/>
      <c r="PZG66" s="4"/>
      <c r="PZH66" s="4"/>
      <c r="PZI66" s="4"/>
      <c r="PZJ66" s="4"/>
      <c r="PZK66" s="4"/>
      <c r="PZL66" s="4"/>
      <c r="PZM66" s="4"/>
      <c r="PZN66" s="4"/>
      <c r="PZO66" s="4"/>
      <c r="PZP66" s="4"/>
      <c r="PZQ66" s="4"/>
      <c r="PZR66" s="4"/>
      <c r="PZS66" s="4"/>
      <c r="PZT66" s="4"/>
      <c r="PZU66" s="4"/>
      <c r="PZV66" s="4"/>
      <c r="PZW66" s="4"/>
      <c r="PZX66" s="4"/>
      <c r="PZY66" s="4"/>
      <c r="PZZ66" s="4"/>
      <c r="QAA66" s="4"/>
      <c r="QAB66" s="4"/>
      <c r="QAC66" s="4"/>
      <c r="QAD66" s="4"/>
      <c r="QAE66" s="4"/>
      <c r="QAF66" s="4"/>
      <c r="QAG66" s="4"/>
      <c r="QAH66" s="4"/>
      <c r="QAI66" s="4"/>
      <c r="QAJ66" s="4"/>
      <c r="QAK66" s="4"/>
      <c r="QAL66" s="4"/>
      <c r="QAM66" s="4"/>
      <c r="QAN66" s="4"/>
      <c r="QAO66" s="4"/>
      <c r="QAP66" s="4"/>
      <c r="QAQ66" s="4"/>
      <c r="QAR66" s="4"/>
      <c r="QAS66" s="4"/>
      <c r="QAT66" s="4"/>
      <c r="QAU66" s="4"/>
      <c r="QAV66" s="4"/>
      <c r="QAW66" s="4"/>
      <c r="QAX66" s="4"/>
      <c r="QAY66" s="4"/>
      <c r="QAZ66" s="4"/>
      <c r="QBA66" s="4"/>
      <c r="QBB66" s="4"/>
      <c r="QBC66" s="4"/>
      <c r="QBD66" s="4"/>
      <c r="QBE66" s="4"/>
      <c r="QBF66" s="4"/>
      <c r="QBG66" s="4"/>
      <c r="QBH66" s="4"/>
      <c r="QBI66" s="4"/>
      <c r="QBJ66" s="4"/>
      <c r="QBK66" s="4"/>
      <c r="QBL66" s="4"/>
      <c r="QBM66" s="4"/>
      <c r="QBN66" s="4"/>
      <c r="QBO66" s="4"/>
      <c r="QBP66" s="4"/>
      <c r="QBQ66" s="4"/>
      <c r="QBR66" s="4"/>
      <c r="QBS66" s="4"/>
      <c r="QBT66" s="4"/>
      <c r="QBU66" s="4"/>
      <c r="QBV66" s="4"/>
      <c r="QBW66" s="4"/>
      <c r="QBX66" s="4"/>
      <c r="QBY66" s="4"/>
      <c r="QBZ66" s="4"/>
      <c r="QCA66" s="4"/>
      <c r="QCB66" s="4"/>
      <c r="QCC66" s="4"/>
      <c r="QCD66" s="4"/>
      <c r="QCE66" s="4"/>
      <c r="QCF66" s="4"/>
      <c r="QCG66" s="4"/>
      <c r="QCH66" s="4"/>
      <c r="QCI66" s="4"/>
      <c r="QCJ66" s="4"/>
      <c r="QCK66" s="4"/>
      <c r="QCL66" s="4"/>
      <c r="QCM66" s="4"/>
      <c r="QCN66" s="4"/>
      <c r="QCO66" s="4"/>
      <c r="QCP66" s="4"/>
      <c r="QCQ66" s="4"/>
      <c r="QCR66" s="4"/>
      <c r="QCS66" s="4"/>
      <c r="QCT66" s="4"/>
      <c r="QCU66" s="4"/>
      <c r="QCV66" s="4"/>
      <c r="QCW66" s="4"/>
      <c r="QCX66" s="4"/>
      <c r="QCY66" s="4"/>
      <c r="QCZ66" s="4"/>
      <c r="QDA66" s="4"/>
      <c r="QDB66" s="4"/>
      <c r="QDC66" s="4"/>
      <c r="QDD66" s="4"/>
      <c r="QDE66" s="4"/>
      <c r="QDF66" s="4"/>
      <c r="QDG66" s="4"/>
      <c r="QDH66" s="4"/>
      <c r="QDI66" s="4"/>
      <c r="QDJ66" s="4"/>
      <c r="QDK66" s="4"/>
      <c r="QDL66" s="4"/>
      <c r="QDM66" s="4"/>
      <c r="QDN66" s="4"/>
      <c r="QDO66" s="4"/>
      <c r="QDP66" s="4"/>
      <c r="QDQ66" s="4"/>
      <c r="QDR66" s="4"/>
      <c r="QDS66" s="4"/>
      <c r="QDT66" s="4"/>
      <c r="QDU66" s="4"/>
      <c r="QDV66" s="4"/>
      <c r="QDW66" s="4"/>
      <c r="QDX66" s="4"/>
      <c r="QDY66" s="4"/>
      <c r="QDZ66" s="4"/>
      <c r="QEA66" s="4"/>
      <c r="QEB66" s="4"/>
      <c r="QEC66" s="4"/>
      <c r="QED66" s="4"/>
      <c r="QEE66" s="4"/>
      <c r="QEF66" s="4"/>
      <c r="QEG66" s="4"/>
      <c r="QEH66" s="4"/>
      <c r="QEI66" s="4"/>
      <c r="QEJ66" s="4"/>
      <c r="QEK66" s="4"/>
      <c r="QEL66" s="4"/>
      <c r="QEM66" s="4"/>
      <c r="QEN66" s="4"/>
      <c r="QEO66" s="4"/>
      <c r="QEP66" s="4"/>
      <c r="QEQ66" s="4"/>
      <c r="QER66" s="4"/>
      <c r="QES66" s="4"/>
      <c r="QET66" s="4"/>
      <c r="QEU66" s="4"/>
      <c r="QEV66" s="4"/>
      <c r="QEW66" s="4"/>
      <c r="QEX66" s="4"/>
      <c r="QEY66" s="4"/>
      <c r="QEZ66" s="4"/>
      <c r="QFA66" s="4"/>
      <c r="QFB66" s="4"/>
      <c r="QFC66" s="4"/>
      <c r="QFD66" s="4"/>
      <c r="QFE66" s="4"/>
      <c r="QFF66" s="4"/>
      <c r="QFG66" s="4"/>
      <c r="QFH66" s="4"/>
      <c r="QFI66" s="4"/>
      <c r="QFJ66" s="4"/>
      <c r="QFK66" s="4"/>
      <c r="QFL66" s="4"/>
      <c r="QFM66" s="4"/>
      <c r="QFN66" s="4"/>
      <c r="QFO66" s="4"/>
      <c r="QFP66" s="4"/>
      <c r="QFQ66" s="4"/>
      <c r="QFR66" s="4"/>
      <c r="QFS66" s="4"/>
      <c r="QFT66" s="4"/>
      <c r="QFU66" s="4"/>
      <c r="QFV66" s="4"/>
      <c r="QFW66" s="4"/>
      <c r="QFX66" s="4"/>
      <c r="QFY66" s="4"/>
      <c r="QFZ66" s="4"/>
      <c r="QGA66" s="4"/>
      <c r="QGB66" s="4"/>
      <c r="QGC66" s="4"/>
      <c r="QGD66" s="4"/>
      <c r="QGE66" s="4"/>
      <c r="QGF66" s="4"/>
      <c r="QGG66" s="4"/>
      <c r="QGH66" s="4"/>
      <c r="QGI66" s="4"/>
      <c r="QGJ66" s="4"/>
      <c r="QGK66" s="4"/>
      <c r="QGL66" s="4"/>
      <c r="QGM66" s="4"/>
      <c r="QGN66" s="4"/>
      <c r="QGO66" s="4"/>
      <c r="QGP66" s="4"/>
      <c r="QGQ66" s="4"/>
      <c r="QGR66" s="4"/>
      <c r="QGS66" s="4"/>
      <c r="QGT66" s="4"/>
      <c r="QGU66" s="4"/>
      <c r="QGV66" s="4"/>
      <c r="QGW66" s="4"/>
      <c r="QGX66" s="4"/>
      <c r="QGY66" s="4"/>
      <c r="QGZ66" s="4"/>
      <c r="QHA66" s="4"/>
      <c r="QHB66" s="4"/>
      <c r="QHC66" s="4"/>
      <c r="QHD66" s="4"/>
      <c r="QHE66" s="4"/>
      <c r="QHF66" s="4"/>
      <c r="QHG66" s="4"/>
      <c r="QHH66" s="4"/>
      <c r="QHI66" s="4"/>
      <c r="QHJ66" s="4"/>
      <c r="QHK66" s="4"/>
      <c r="QHL66" s="4"/>
      <c r="QHM66" s="4"/>
      <c r="QHN66" s="4"/>
      <c r="QHO66" s="4"/>
      <c r="QHP66" s="4"/>
      <c r="QHQ66" s="4"/>
      <c r="QHR66" s="4"/>
      <c r="QHS66" s="4"/>
      <c r="QHT66" s="4"/>
      <c r="QHU66" s="4"/>
      <c r="QHV66" s="4"/>
      <c r="QHW66" s="4"/>
      <c r="QHX66" s="4"/>
      <c r="QHY66" s="4"/>
      <c r="QHZ66" s="4"/>
      <c r="QIA66" s="4"/>
      <c r="QIB66" s="4"/>
      <c r="QIC66" s="4"/>
      <c r="QID66" s="4"/>
      <c r="QIE66" s="4"/>
      <c r="QIF66" s="4"/>
      <c r="QIG66" s="4"/>
      <c r="QIH66" s="4"/>
      <c r="QII66" s="4"/>
      <c r="QIJ66" s="4"/>
      <c r="QIK66" s="4"/>
      <c r="QIL66" s="4"/>
      <c r="QIM66" s="4"/>
      <c r="QIN66" s="4"/>
      <c r="QIO66" s="4"/>
      <c r="QIP66" s="4"/>
      <c r="QIQ66" s="4"/>
      <c r="QIR66" s="4"/>
      <c r="QIS66" s="4"/>
      <c r="QIT66" s="4"/>
      <c r="QIU66" s="4"/>
      <c r="QIV66" s="4"/>
      <c r="QIW66" s="4"/>
      <c r="QIX66" s="4"/>
      <c r="QIY66" s="4"/>
      <c r="QIZ66" s="4"/>
      <c r="QJA66" s="4"/>
      <c r="QJB66" s="4"/>
      <c r="QJC66" s="4"/>
      <c r="QJD66" s="4"/>
      <c r="QJE66" s="4"/>
      <c r="QJF66" s="4"/>
      <c r="QJG66" s="4"/>
      <c r="QJH66" s="4"/>
      <c r="QJI66" s="4"/>
      <c r="QJJ66" s="4"/>
      <c r="QJK66" s="4"/>
      <c r="QJL66" s="4"/>
      <c r="QJM66" s="4"/>
      <c r="QJN66" s="4"/>
      <c r="QJO66" s="4"/>
      <c r="QJP66" s="4"/>
      <c r="QJQ66" s="4"/>
      <c r="QJR66" s="4"/>
      <c r="QJS66" s="4"/>
      <c r="QJT66" s="4"/>
      <c r="QJU66" s="4"/>
      <c r="QJV66" s="4"/>
      <c r="QJW66" s="4"/>
      <c r="QJX66" s="4"/>
      <c r="QJY66" s="4"/>
      <c r="QJZ66" s="4"/>
      <c r="QKA66" s="4"/>
      <c r="QKB66" s="4"/>
      <c r="QKC66" s="4"/>
      <c r="QKD66" s="4"/>
      <c r="QKE66" s="4"/>
      <c r="QKF66" s="4"/>
      <c r="QKG66" s="4"/>
      <c r="QKH66" s="4"/>
      <c r="QKI66" s="4"/>
      <c r="QKJ66" s="4"/>
      <c r="QKK66" s="4"/>
      <c r="QKL66" s="4"/>
      <c r="QKM66" s="4"/>
      <c r="QKN66" s="4"/>
      <c r="QKO66" s="4"/>
      <c r="QKP66" s="4"/>
      <c r="QKQ66" s="4"/>
      <c r="QKR66" s="4"/>
      <c r="QKS66" s="4"/>
      <c r="QKT66" s="4"/>
      <c r="QKU66" s="4"/>
      <c r="QKV66" s="4"/>
      <c r="QKW66" s="4"/>
      <c r="QKX66" s="4"/>
      <c r="QKY66" s="4"/>
      <c r="QKZ66" s="4"/>
      <c r="QLA66" s="4"/>
      <c r="QLB66" s="4"/>
      <c r="QLC66" s="4"/>
      <c r="QLD66" s="4"/>
      <c r="QLE66" s="4"/>
      <c r="QLF66" s="4"/>
      <c r="QLG66" s="4"/>
      <c r="QLH66" s="4"/>
      <c r="QLI66" s="4"/>
      <c r="QLJ66" s="4"/>
      <c r="QLK66" s="4"/>
      <c r="QLL66" s="4"/>
      <c r="QLM66" s="4"/>
      <c r="QLN66" s="4"/>
      <c r="QLO66" s="4"/>
      <c r="QLP66" s="4"/>
      <c r="QLQ66" s="4"/>
      <c r="QLR66" s="4"/>
      <c r="QLS66" s="4"/>
      <c r="QLT66" s="4"/>
      <c r="QLU66" s="4"/>
      <c r="QLV66" s="4"/>
      <c r="QLW66" s="4"/>
      <c r="QLX66" s="4"/>
      <c r="QLY66" s="4"/>
      <c r="QLZ66" s="4"/>
      <c r="QMA66" s="4"/>
      <c r="QMB66" s="4"/>
      <c r="QMC66" s="4"/>
      <c r="QMD66" s="4"/>
      <c r="QME66" s="4"/>
      <c r="QMF66" s="4"/>
      <c r="QMG66" s="4"/>
      <c r="QMH66" s="4"/>
      <c r="QMI66" s="4"/>
      <c r="QMJ66" s="4"/>
      <c r="QMK66" s="4"/>
      <c r="QML66" s="4"/>
      <c r="QMM66" s="4"/>
      <c r="QMN66" s="4"/>
      <c r="QMO66" s="4"/>
      <c r="QMP66" s="4"/>
      <c r="QMQ66" s="4"/>
      <c r="QMR66" s="4"/>
      <c r="QMS66" s="4"/>
      <c r="QMT66" s="4"/>
      <c r="QMU66" s="4"/>
      <c r="QMV66" s="4"/>
      <c r="QMW66" s="4"/>
      <c r="QMX66" s="4"/>
      <c r="QMY66" s="4"/>
      <c r="QMZ66" s="4"/>
      <c r="QNA66" s="4"/>
      <c r="QNB66" s="4"/>
      <c r="QNC66" s="4"/>
      <c r="QND66" s="4"/>
      <c r="QNE66" s="4"/>
      <c r="QNF66" s="4"/>
      <c r="QNG66" s="4"/>
      <c r="QNH66" s="4"/>
      <c r="QNI66" s="4"/>
      <c r="QNJ66" s="4"/>
      <c r="QNK66" s="4"/>
      <c r="QNL66" s="4"/>
      <c r="QNM66" s="4"/>
      <c r="QNN66" s="4"/>
      <c r="QNO66" s="4"/>
      <c r="QNP66" s="4"/>
      <c r="QNQ66" s="4"/>
      <c r="QNR66" s="4"/>
      <c r="QNS66" s="4"/>
      <c r="QNT66" s="4"/>
      <c r="QNU66" s="4"/>
      <c r="QNV66" s="4"/>
      <c r="QNW66" s="4"/>
      <c r="QNX66" s="4"/>
      <c r="QNY66" s="4"/>
      <c r="QNZ66" s="4"/>
      <c r="QOA66" s="4"/>
      <c r="QOB66" s="4"/>
      <c r="QOC66" s="4"/>
      <c r="QOD66" s="4"/>
      <c r="QOE66" s="4"/>
      <c r="QOF66" s="4"/>
      <c r="QOG66" s="4"/>
      <c r="QOH66" s="4"/>
      <c r="QOI66" s="4"/>
      <c r="QOJ66" s="4"/>
      <c r="QOK66" s="4"/>
      <c r="QOL66" s="4"/>
      <c r="QOM66" s="4"/>
      <c r="QON66" s="4"/>
      <c r="QOO66" s="4"/>
      <c r="QOP66" s="4"/>
      <c r="QOQ66" s="4"/>
      <c r="QOR66" s="4"/>
      <c r="QOS66" s="4"/>
      <c r="QOT66" s="4"/>
      <c r="QOU66" s="4"/>
      <c r="QOV66" s="4"/>
      <c r="QOW66" s="4"/>
      <c r="QOX66" s="4"/>
      <c r="QOY66" s="4"/>
      <c r="QOZ66" s="4"/>
      <c r="QPA66" s="4"/>
      <c r="QPB66" s="4"/>
      <c r="QPC66" s="4"/>
      <c r="QPD66" s="4"/>
      <c r="QPE66" s="4"/>
      <c r="QPF66" s="4"/>
      <c r="QPG66" s="4"/>
      <c r="QPH66" s="4"/>
      <c r="QPI66" s="4"/>
      <c r="QPJ66" s="4"/>
      <c r="QPK66" s="4"/>
      <c r="QPL66" s="4"/>
      <c r="QPM66" s="4"/>
      <c r="QPN66" s="4"/>
      <c r="QPO66" s="4"/>
      <c r="QPP66" s="4"/>
      <c r="QPQ66" s="4"/>
      <c r="QPR66" s="4"/>
      <c r="QPS66" s="4"/>
      <c r="QPT66" s="4"/>
      <c r="QPU66" s="4"/>
      <c r="QPV66" s="4"/>
      <c r="QPW66" s="4"/>
      <c r="QPX66" s="4"/>
      <c r="QPY66" s="4"/>
      <c r="QPZ66" s="4"/>
      <c r="QQA66" s="4"/>
      <c r="QQB66" s="4"/>
      <c r="QQC66" s="4"/>
      <c r="QQD66" s="4"/>
      <c r="QQE66" s="4"/>
      <c r="QQF66" s="4"/>
      <c r="QQG66" s="4"/>
      <c r="QQH66" s="4"/>
      <c r="QQI66" s="4"/>
      <c r="QQJ66" s="4"/>
      <c r="QQK66" s="4"/>
      <c r="QQL66" s="4"/>
      <c r="QQM66" s="4"/>
      <c r="QQN66" s="4"/>
      <c r="QQO66" s="4"/>
      <c r="QQP66" s="4"/>
      <c r="QQQ66" s="4"/>
      <c r="QQR66" s="4"/>
      <c r="QQS66" s="4"/>
      <c r="QQT66" s="4"/>
      <c r="QQU66" s="4"/>
      <c r="QQV66" s="4"/>
      <c r="QQW66" s="4"/>
      <c r="QQX66" s="4"/>
      <c r="QQY66" s="4"/>
      <c r="QQZ66" s="4"/>
      <c r="QRA66" s="4"/>
      <c r="QRB66" s="4"/>
      <c r="QRC66" s="4"/>
      <c r="QRD66" s="4"/>
      <c r="QRE66" s="4"/>
      <c r="QRF66" s="4"/>
      <c r="QRG66" s="4"/>
      <c r="QRH66" s="4"/>
      <c r="QRI66" s="4"/>
      <c r="QRJ66" s="4"/>
      <c r="QRK66" s="4"/>
      <c r="QRL66" s="4"/>
      <c r="QRM66" s="4"/>
      <c r="QRN66" s="4"/>
      <c r="QRO66" s="4"/>
      <c r="QRP66" s="4"/>
      <c r="QRQ66" s="4"/>
      <c r="QRR66" s="4"/>
      <c r="QRS66" s="4"/>
      <c r="QRT66" s="4"/>
      <c r="QRU66" s="4"/>
      <c r="QRV66" s="4"/>
      <c r="QRW66" s="4"/>
      <c r="QRX66" s="4"/>
      <c r="QRY66" s="4"/>
      <c r="QRZ66" s="4"/>
      <c r="QSA66" s="4"/>
      <c r="QSB66" s="4"/>
      <c r="QSC66" s="4"/>
      <c r="QSD66" s="4"/>
      <c r="QSE66" s="4"/>
      <c r="QSF66" s="4"/>
      <c r="QSG66" s="4"/>
      <c r="QSH66" s="4"/>
      <c r="QSI66" s="4"/>
      <c r="QSJ66" s="4"/>
      <c r="QSK66" s="4"/>
      <c r="QSL66" s="4"/>
      <c r="QSM66" s="4"/>
      <c r="QSN66" s="4"/>
      <c r="QSO66" s="4"/>
      <c r="QSP66" s="4"/>
      <c r="QSQ66" s="4"/>
      <c r="QSR66" s="4"/>
      <c r="QSS66" s="4"/>
      <c r="QST66" s="4"/>
      <c r="QSU66" s="4"/>
      <c r="QSV66" s="4"/>
      <c r="QSW66" s="4"/>
      <c r="QSX66" s="4"/>
      <c r="QSY66" s="4"/>
      <c r="QSZ66" s="4"/>
      <c r="QTA66" s="4"/>
      <c r="QTB66" s="4"/>
      <c r="QTC66" s="4"/>
      <c r="QTD66" s="4"/>
      <c r="QTE66" s="4"/>
      <c r="QTF66" s="4"/>
      <c r="QTG66" s="4"/>
      <c r="QTH66" s="4"/>
      <c r="QTI66" s="4"/>
      <c r="QTJ66" s="4"/>
      <c r="QTK66" s="4"/>
      <c r="QTL66" s="4"/>
      <c r="QTM66" s="4"/>
      <c r="QTN66" s="4"/>
      <c r="QTO66" s="4"/>
      <c r="QTP66" s="4"/>
      <c r="QTQ66" s="4"/>
      <c r="QTR66" s="4"/>
      <c r="QTS66" s="4"/>
      <c r="QTT66" s="4"/>
      <c r="QTU66" s="4"/>
      <c r="QTV66" s="4"/>
      <c r="QTW66" s="4"/>
      <c r="QTX66" s="4"/>
      <c r="QTY66" s="4"/>
      <c r="QTZ66" s="4"/>
      <c r="QUA66" s="4"/>
      <c r="QUB66" s="4"/>
      <c r="QUC66" s="4"/>
      <c r="QUD66" s="4"/>
      <c r="QUE66" s="4"/>
      <c r="QUF66" s="4"/>
      <c r="QUG66" s="4"/>
      <c r="QUH66" s="4"/>
      <c r="QUI66" s="4"/>
      <c r="QUJ66" s="4"/>
      <c r="QUK66" s="4"/>
      <c r="QUL66" s="4"/>
      <c r="QUM66" s="4"/>
      <c r="QUN66" s="4"/>
      <c r="QUO66" s="4"/>
      <c r="QUP66" s="4"/>
      <c r="QUQ66" s="4"/>
      <c r="QUR66" s="4"/>
      <c r="QUS66" s="4"/>
      <c r="QUT66" s="4"/>
      <c r="QUU66" s="4"/>
      <c r="QUV66" s="4"/>
      <c r="QUW66" s="4"/>
      <c r="QUX66" s="4"/>
      <c r="QUY66" s="4"/>
      <c r="QUZ66" s="4"/>
      <c r="QVA66" s="4"/>
      <c r="QVB66" s="4"/>
      <c r="QVC66" s="4"/>
      <c r="QVD66" s="4"/>
      <c r="QVE66" s="4"/>
      <c r="QVF66" s="4"/>
      <c r="QVG66" s="4"/>
      <c r="QVH66" s="4"/>
      <c r="QVI66" s="4"/>
      <c r="QVJ66" s="4"/>
      <c r="QVK66" s="4"/>
      <c r="QVL66" s="4"/>
      <c r="QVM66" s="4"/>
      <c r="QVN66" s="4"/>
      <c r="QVO66" s="4"/>
      <c r="QVP66" s="4"/>
      <c r="QVQ66" s="4"/>
      <c r="QVR66" s="4"/>
      <c r="QVS66" s="4"/>
      <c r="QVT66" s="4"/>
      <c r="QVU66" s="4"/>
      <c r="QVV66" s="4"/>
      <c r="QVW66" s="4"/>
      <c r="QVX66" s="4"/>
      <c r="QVY66" s="4"/>
      <c r="QVZ66" s="4"/>
      <c r="QWA66" s="4"/>
      <c r="QWB66" s="4"/>
      <c r="QWC66" s="4"/>
      <c r="QWD66" s="4"/>
      <c r="QWE66" s="4"/>
      <c r="QWF66" s="4"/>
      <c r="QWG66" s="4"/>
      <c r="QWH66" s="4"/>
      <c r="QWI66" s="4"/>
      <c r="QWJ66" s="4"/>
      <c r="QWK66" s="4"/>
      <c r="QWL66" s="4"/>
      <c r="QWM66" s="4"/>
      <c r="QWN66" s="4"/>
      <c r="QWO66" s="4"/>
      <c r="QWP66" s="4"/>
      <c r="QWQ66" s="4"/>
      <c r="QWR66" s="4"/>
      <c r="QWS66" s="4"/>
      <c r="QWT66" s="4"/>
      <c r="QWU66" s="4"/>
      <c r="QWV66" s="4"/>
      <c r="QWW66" s="4"/>
      <c r="QWX66" s="4"/>
      <c r="QWY66" s="4"/>
      <c r="QWZ66" s="4"/>
      <c r="QXA66" s="4"/>
      <c r="QXB66" s="4"/>
      <c r="QXC66" s="4"/>
      <c r="QXD66" s="4"/>
      <c r="QXE66" s="4"/>
      <c r="QXF66" s="4"/>
      <c r="QXG66" s="4"/>
      <c r="QXH66" s="4"/>
      <c r="QXI66" s="4"/>
      <c r="QXJ66" s="4"/>
      <c r="QXK66" s="4"/>
      <c r="QXL66" s="4"/>
      <c r="QXM66" s="4"/>
      <c r="QXN66" s="4"/>
      <c r="QXO66" s="4"/>
      <c r="QXP66" s="4"/>
      <c r="QXQ66" s="4"/>
      <c r="QXR66" s="4"/>
      <c r="QXS66" s="4"/>
      <c r="QXT66" s="4"/>
      <c r="QXU66" s="4"/>
      <c r="QXV66" s="4"/>
      <c r="QXW66" s="4"/>
      <c r="QXX66" s="4"/>
      <c r="QXY66" s="4"/>
      <c r="QXZ66" s="4"/>
      <c r="QYA66" s="4"/>
      <c r="QYB66" s="4"/>
      <c r="QYC66" s="4"/>
      <c r="QYD66" s="4"/>
      <c r="QYE66" s="4"/>
      <c r="QYF66" s="4"/>
      <c r="QYG66" s="4"/>
      <c r="QYH66" s="4"/>
      <c r="QYI66" s="4"/>
      <c r="QYJ66" s="4"/>
      <c r="QYK66" s="4"/>
      <c r="QYL66" s="4"/>
      <c r="QYM66" s="4"/>
      <c r="QYN66" s="4"/>
      <c r="QYO66" s="4"/>
      <c r="QYP66" s="4"/>
      <c r="QYQ66" s="4"/>
      <c r="QYR66" s="4"/>
      <c r="QYS66" s="4"/>
      <c r="QYT66" s="4"/>
      <c r="QYU66" s="4"/>
      <c r="QYV66" s="4"/>
      <c r="QYW66" s="4"/>
      <c r="QYX66" s="4"/>
      <c r="QYY66" s="4"/>
      <c r="QYZ66" s="4"/>
      <c r="QZA66" s="4"/>
      <c r="QZB66" s="4"/>
      <c r="QZC66" s="4"/>
      <c r="QZD66" s="4"/>
      <c r="QZE66" s="4"/>
      <c r="QZF66" s="4"/>
      <c r="QZG66" s="4"/>
      <c r="QZH66" s="4"/>
      <c r="QZI66" s="4"/>
      <c r="QZJ66" s="4"/>
      <c r="QZK66" s="4"/>
      <c r="QZL66" s="4"/>
      <c r="QZM66" s="4"/>
      <c r="QZN66" s="4"/>
      <c r="QZO66" s="4"/>
      <c r="QZP66" s="4"/>
      <c r="QZQ66" s="4"/>
      <c r="QZR66" s="4"/>
      <c r="QZS66" s="4"/>
      <c r="QZT66" s="4"/>
      <c r="QZU66" s="4"/>
      <c r="QZV66" s="4"/>
      <c r="QZW66" s="4"/>
      <c r="QZX66" s="4"/>
      <c r="QZY66" s="4"/>
      <c r="QZZ66" s="4"/>
      <c r="RAA66" s="4"/>
      <c r="RAB66" s="4"/>
      <c r="RAC66" s="4"/>
      <c r="RAD66" s="4"/>
      <c r="RAE66" s="4"/>
      <c r="RAF66" s="4"/>
      <c r="RAG66" s="4"/>
      <c r="RAH66" s="4"/>
      <c r="RAI66" s="4"/>
      <c r="RAJ66" s="4"/>
      <c r="RAK66" s="4"/>
      <c r="RAL66" s="4"/>
      <c r="RAM66" s="4"/>
      <c r="RAN66" s="4"/>
      <c r="RAO66" s="4"/>
      <c r="RAP66" s="4"/>
      <c r="RAQ66" s="4"/>
      <c r="RAR66" s="4"/>
      <c r="RAS66" s="4"/>
      <c r="RAT66" s="4"/>
      <c r="RAU66" s="4"/>
      <c r="RAV66" s="4"/>
      <c r="RAW66" s="4"/>
      <c r="RAX66" s="4"/>
      <c r="RAY66" s="4"/>
      <c r="RAZ66" s="4"/>
      <c r="RBA66" s="4"/>
      <c r="RBB66" s="4"/>
      <c r="RBC66" s="4"/>
      <c r="RBD66" s="4"/>
      <c r="RBE66" s="4"/>
      <c r="RBF66" s="4"/>
      <c r="RBG66" s="4"/>
      <c r="RBH66" s="4"/>
      <c r="RBI66" s="4"/>
      <c r="RBJ66" s="4"/>
      <c r="RBK66" s="4"/>
      <c r="RBL66" s="4"/>
      <c r="RBM66" s="4"/>
      <c r="RBN66" s="4"/>
      <c r="RBO66" s="4"/>
      <c r="RBP66" s="4"/>
      <c r="RBQ66" s="4"/>
      <c r="RBR66" s="4"/>
      <c r="RBS66" s="4"/>
      <c r="RBT66" s="4"/>
      <c r="RBU66" s="4"/>
      <c r="RBV66" s="4"/>
      <c r="RBW66" s="4"/>
      <c r="RBX66" s="4"/>
      <c r="RBY66" s="4"/>
      <c r="RBZ66" s="4"/>
      <c r="RCA66" s="4"/>
      <c r="RCB66" s="4"/>
      <c r="RCC66" s="4"/>
      <c r="RCD66" s="4"/>
      <c r="RCE66" s="4"/>
      <c r="RCF66" s="4"/>
      <c r="RCG66" s="4"/>
      <c r="RCH66" s="4"/>
      <c r="RCI66" s="4"/>
      <c r="RCJ66" s="4"/>
      <c r="RCK66" s="4"/>
      <c r="RCL66" s="4"/>
      <c r="RCM66" s="4"/>
      <c r="RCN66" s="4"/>
      <c r="RCO66" s="4"/>
      <c r="RCP66" s="4"/>
      <c r="RCQ66" s="4"/>
      <c r="RCR66" s="4"/>
      <c r="RCS66" s="4"/>
      <c r="RCT66" s="4"/>
      <c r="RCU66" s="4"/>
      <c r="RCV66" s="4"/>
      <c r="RCW66" s="4"/>
      <c r="RCX66" s="4"/>
      <c r="RCY66" s="4"/>
      <c r="RCZ66" s="4"/>
      <c r="RDA66" s="4"/>
      <c r="RDB66" s="4"/>
      <c r="RDC66" s="4"/>
      <c r="RDD66" s="4"/>
      <c r="RDE66" s="4"/>
      <c r="RDF66" s="4"/>
      <c r="RDG66" s="4"/>
      <c r="RDH66" s="4"/>
      <c r="RDI66" s="4"/>
      <c r="RDJ66" s="4"/>
      <c r="RDK66" s="4"/>
      <c r="RDL66" s="4"/>
      <c r="RDM66" s="4"/>
      <c r="RDN66" s="4"/>
      <c r="RDO66" s="4"/>
      <c r="RDP66" s="4"/>
      <c r="RDQ66" s="4"/>
      <c r="RDR66" s="4"/>
      <c r="RDS66" s="4"/>
      <c r="RDT66" s="4"/>
      <c r="RDU66" s="4"/>
      <c r="RDV66" s="4"/>
      <c r="RDW66" s="4"/>
      <c r="RDX66" s="4"/>
      <c r="RDY66" s="4"/>
      <c r="RDZ66" s="4"/>
      <c r="REA66" s="4"/>
      <c r="REB66" s="4"/>
      <c r="REC66" s="4"/>
      <c r="RED66" s="4"/>
      <c r="REE66" s="4"/>
      <c r="REF66" s="4"/>
      <c r="REG66" s="4"/>
      <c r="REH66" s="4"/>
      <c r="REI66" s="4"/>
      <c r="REJ66" s="4"/>
      <c r="REK66" s="4"/>
      <c r="REL66" s="4"/>
      <c r="REM66" s="4"/>
      <c r="REN66" s="4"/>
      <c r="REO66" s="4"/>
      <c r="REP66" s="4"/>
      <c r="REQ66" s="4"/>
      <c r="RER66" s="4"/>
      <c r="RES66" s="4"/>
      <c r="RET66" s="4"/>
      <c r="REU66" s="4"/>
      <c r="REV66" s="4"/>
      <c r="REW66" s="4"/>
      <c r="REX66" s="4"/>
      <c r="REY66" s="4"/>
      <c r="REZ66" s="4"/>
      <c r="RFA66" s="4"/>
      <c r="RFB66" s="4"/>
      <c r="RFC66" s="4"/>
      <c r="RFD66" s="4"/>
      <c r="RFE66" s="4"/>
      <c r="RFF66" s="4"/>
      <c r="RFG66" s="4"/>
      <c r="RFH66" s="4"/>
      <c r="RFI66" s="4"/>
      <c r="RFJ66" s="4"/>
      <c r="RFK66" s="4"/>
      <c r="RFL66" s="4"/>
      <c r="RFM66" s="4"/>
      <c r="RFN66" s="4"/>
      <c r="RFO66" s="4"/>
      <c r="RFP66" s="4"/>
      <c r="RFQ66" s="4"/>
      <c r="RFR66" s="4"/>
      <c r="RFS66" s="4"/>
      <c r="RFT66" s="4"/>
      <c r="RFU66" s="4"/>
      <c r="RFV66" s="4"/>
      <c r="RFW66" s="4"/>
      <c r="RFX66" s="4"/>
      <c r="RFY66" s="4"/>
      <c r="RFZ66" s="4"/>
      <c r="RGA66" s="4"/>
      <c r="RGB66" s="4"/>
      <c r="RGC66" s="4"/>
      <c r="RGD66" s="4"/>
      <c r="RGE66" s="4"/>
      <c r="RGF66" s="4"/>
      <c r="RGG66" s="4"/>
      <c r="RGH66" s="4"/>
      <c r="RGI66" s="4"/>
      <c r="RGJ66" s="4"/>
      <c r="RGK66" s="4"/>
      <c r="RGL66" s="4"/>
      <c r="RGM66" s="4"/>
      <c r="RGN66" s="4"/>
      <c r="RGO66" s="4"/>
      <c r="RGP66" s="4"/>
      <c r="RGQ66" s="4"/>
      <c r="RGR66" s="4"/>
      <c r="RGS66" s="4"/>
      <c r="RGT66" s="4"/>
      <c r="RGU66" s="4"/>
      <c r="RGV66" s="4"/>
      <c r="RGW66" s="4"/>
      <c r="RGX66" s="4"/>
      <c r="RGY66" s="4"/>
      <c r="RGZ66" s="4"/>
      <c r="RHA66" s="4"/>
      <c r="RHB66" s="4"/>
      <c r="RHC66" s="4"/>
      <c r="RHD66" s="4"/>
      <c r="RHE66" s="4"/>
      <c r="RHF66" s="4"/>
      <c r="RHG66" s="4"/>
      <c r="RHH66" s="4"/>
      <c r="RHI66" s="4"/>
      <c r="RHJ66" s="4"/>
      <c r="RHK66" s="4"/>
      <c r="RHL66" s="4"/>
      <c r="RHM66" s="4"/>
      <c r="RHN66" s="4"/>
      <c r="RHO66" s="4"/>
      <c r="RHP66" s="4"/>
      <c r="RHQ66" s="4"/>
      <c r="RHR66" s="4"/>
      <c r="RHS66" s="4"/>
      <c r="RHT66" s="4"/>
      <c r="RHU66" s="4"/>
      <c r="RHV66" s="4"/>
      <c r="RHW66" s="4"/>
      <c r="RHX66" s="4"/>
      <c r="RHY66" s="4"/>
      <c r="RHZ66" s="4"/>
      <c r="RIA66" s="4"/>
      <c r="RIB66" s="4"/>
      <c r="RIC66" s="4"/>
      <c r="RID66" s="4"/>
      <c r="RIE66" s="4"/>
      <c r="RIF66" s="4"/>
      <c r="RIG66" s="4"/>
      <c r="RIH66" s="4"/>
      <c r="RII66" s="4"/>
      <c r="RIJ66" s="4"/>
      <c r="RIK66" s="4"/>
      <c r="RIL66" s="4"/>
      <c r="RIM66" s="4"/>
      <c r="RIN66" s="4"/>
      <c r="RIO66" s="4"/>
      <c r="RIP66" s="4"/>
      <c r="RIQ66" s="4"/>
      <c r="RIR66" s="4"/>
      <c r="RIS66" s="4"/>
      <c r="RIT66" s="4"/>
      <c r="RIU66" s="4"/>
      <c r="RIV66" s="4"/>
      <c r="RIW66" s="4"/>
      <c r="RIX66" s="4"/>
      <c r="RIY66" s="4"/>
      <c r="RIZ66" s="4"/>
      <c r="RJA66" s="4"/>
      <c r="RJB66" s="4"/>
      <c r="RJC66" s="4"/>
      <c r="RJD66" s="4"/>
      <c r="RJE66" s="4"/>
      <c r="RJF66" s="4"/>
      <c r="RJG66" s="4"/>
      <c r="RJH66" s="4"/>
      <c r="RJI66" s="4"/>
      <c r="RJJ66" s="4"/>
      <c r="RJK66" s="4"/>
      <c r="RJL66" s="4"/>
      <c r="RJM66" s="4"/>
      <c r="RJN66" s="4"/>
      <c r="RJO66" s="4"/>
      <c r="RJP66" s="4"/>
      <c r="RJQ66" s="4"/>
      <c r="RJR66" s="4"/>
      <c r="RJS66" s="4"/>
      <c r="RJT66" s="4"/>
      <c r="RJU66" s="4"/>
      <c r="RJV66" s="4"/>
      <c r="RJW66" s="4"/>
      <c r="RJX66" s="4"/>
      <c r="RJY66" s="4"/>
      <c r="RJZ66" s="4"/>
      <c r="RKA66" s="4"/>
      <c r="RKB66" s="4"/>
      <c r="RKC66" s="4"/>
      <c r="RKD66" s="4"/>
      <c r="RKE66" s="4"/>
      <c r="RKF66" s="4"/>
      <c r="RKG66" s="4"/>
      <c r="RKH66" s="4"/>
      <c r="RKI66" s="4"/>
      <c r="RKJ66" s="4"/>
      <c r="RKK66" s="4"/>
      <c r="RKL66" s="4"/>
      <c r="RKM66" s="4"/>
      <c r="RKN66" s="4"/>
      <c r="RKO66" s="4"/>
      <c r="RKP66" s="4"/>
      <c r="RKQ66" s="4"/>
      <c r="RKR66" s="4"/>
      <c r="RKS66" s="4"/>
      <c r="RKT66" s="4"/>
      <c r="RKU66" s="4"/>
      <c r="RKV66" s="4"/>
      <c r="RKW66" s="4"/>
      <c r="RKX66" s="4"/>
      <c r="RKY66" s="4"/>
      <c r="RKZ66" s="4"/>
      <c r="RLA66" s="4"/>
      <c r="RLB66" s="4"/>
      <c r="RLC66" s="4"/>
      <c r="RLD66" s="4"/>
      <c r="RLE66" s="4"/>
      <c r="RLF66" s="4"/>
      <c r="RLG66" s="4"/>
      <c r="RLH66" s="4"/>
      <c r="RLI66" s="4"/>
      <c r="RLJ66" s="4"/>
      <c r="RLK66" s="4"/>
      <c r="RLL66" s="4"/>
      <c r="RLM66" s="4"/>
      <c r="RLN66" s="4"/>
      <c r="RLO66" s="4"/>
      <c r="RLP66" s="4"/>
      <c r="RLQ66" s="4"/>
      <c r="RLR66" s="4"/>
      <c r="RLS66" s="4"/>
      <c r="RLT66" s="4"/>
      <c r="RLU66" s="4"/>
      <c r="RLV66" s="4"/>
      <c r="RLW66" s="4"/>
      <c r="RLX66" s="4"/>
      <c r="RLY66" s="4"/>
      <c r="RLZ66" s="4"/>
      <c r="RMA66" s="4"/>
      <c r="RMB66" s="4"/>
      <c r="RMC66" s="4"/>
      <c r="RMD66" s="4"/>
      <c r="RME66" s="4"/>
      <c r="RMF66" s="4"/>
      <c r="RMG66" s="4"/>
      <c r="RMH66" s="4"/>
      <c r="RMI66" s="4"/>
      <c r="RMJ66" s="4"/>
      <c r="RMK66" s="4"/>
      <c r="RML66" s="4"/>
      <c r="RMM66" s="4"/>
      <c r="RMN66" s="4"/>
      <c r="RMO66" s="4"/>
      <c r="RMP66" s="4"/>
      <c r="RMQ66" s="4"/>
      <c r="RMR66" s="4"/>
      <c r="RMS66" s="4"/>
      <c r="RMT66" s="4"/>
      <c r="RMU66" s="4"/>
      <c r="RMV66" s="4"/>
      <c r="RMW66" s="4"/>
      <c r="RMX66" s="4"/>
      <c r="RMY66" s="4"/>
      <c r="RMZ66" s="4"/>
      <c r="RNA66" s="4"/>
      <c r="RNB66" s="4"/>
      <c r="RNC66" s="4"/>
      <c r="RND66" s="4"/>
      <c r="RNE66" s="4"/>
      <c r="RNF66" s="4"/>
      <c r="RNG66" s="4"/>
      <c r="RNH66" s="4"/>
      <c r="RNI66" s="4"/>
      <c r="RNJ66" s="4"/>
      <c r="RNK66" s="4"/>
      <c r="RNL66" s="4"/>
      <c r="RNM66" s="4"/>
      <c r="RNN66" s="4"/>
      <c r="RNO66" s="4"/>
      <c r="RNP66" s="4"/>
      <c r="RNQ66" s="4"/>
      <c r="RNR66" s="4"/>
      <c r="RNS66" s="4"/>
      <c r="RNT66" s="4"/>
      <c r="RNU66" s="4"/>
      <c r="RNV66" s="4"/>
      <c r="RNW66" s="4"/>
      <c r="RNX66" s="4"/>
      <c r="RNY66" s="4"/>
      <c r="RNZ66" s="4"/>
      <c r="ROA66" s="4"/>
      <c r="ROB66" s="4"/>
      <c r="ROC66" s="4"/>
      <c r="ROD66" s="4"/>
      <c r="ROE66" s="4"/>
      <c r="ROF66" s="4"/>
      <c r="ROG66" s="4"/>
      <c r="ROH66" s="4"/>
      <c r="ROI66" s="4"/>
      <c r="ROJ66" s="4"/>
      <c r="ROK66" s="4"/>
      <c r="ROL66" s="4"/>
      <c r="ROM66" s="4"/>
      <c r="RON66" s="4"/>
      <c r="ROO66" s="4"/>
      <c r="ROP66" s="4"/>
      <c r="ROQ66" s="4"/>
      <c r="ROR66" s="4"/>
      <c r="ROS66" s="4"/>
      <c r="ROT66" s="4"/>
      <c r="ROU66" s="4"/>
      <c r="ROV66" s="4"/>
      <c r="ROW66" s="4"/>
      <c r="ROX66" s="4"/>
      <c r="ROY66" s="4"/>
      <c r="ROZ66" s="4"/>
      <c r="RPA66" s="4"/>
      <c r="RPB66" s="4"/>
      <c r="RPC66" s="4"/>
      <c r="RPD66" s="4"/>
      <c r="RPE66" s="4"/>
      <c r="RPF66" s="4"/>
      <c r="RPG66" s="4"/>
      <c r="RPH66" s="4"/>
      <c r="RPI66" s="4"/>
      <c r="RPJ66" s="4"/>
      <c r="RPK66" s="4"/>
      <c r="RPL66" s="4"/>
      <c r="RPM66" s="4"/>
      <c r="RPN66" s="4"/>
      <c r="RPO66" s="4"/>
      <c r="RPP66" s="4"/>
      <c r="RPQ66" s="4"/>
      <c r="RPR66" s="4"/>
      <c r="RPS66" s="4"/>
      <c r="RPT66" s="4"/>
      <c r="RPU66" s="4"/>
      <c r="RPV66" s="4"/>
      <c r="RPW66" s="4"/>
      <c r="RPX66" s="4"/>
      <c r="RPY66" s="4"/>
      <c r="RPZ66" s="4"/>
      <c r="RQA66" s="4"/>
      <c r="RQB66" s="4"/>
      <c r="RQC66" s="4"/>
      <c r="RQD66" s="4"/>
      <c r="RQE66" s="4"/>
      <c r="RQF66" s="4"/>
      <c r="RQG66" s="4"/>
      <c r="RQH66" s="4"/>
      <c r="RQI66" s="4"/>
      <c r="RQJ66" s="4"/>
      <c r="RQK66" s="4"/>
      <c r="RQL66" s="4"/>
      <c r="RQM66" s="4"/>
      <c r="RQN66" s="4"/>
      <c r="RQO66" s="4"/>
      <c r="RQP66" s="4"/>
      <c r="RQQ66" s="4"/>
      <c r="RQR66" s="4"/>
      <c r="RQS66" s="4"/>
      <c r="RQT66" s="4"/>
      <c r="RQU66" s="4"/>
      <c r="RQV66" s="4"/>
      <c r="RQW66" s="4"/>
      <c r="RQX66" s="4"/>
      <c r="RQY66" s="4"/>
      <c r="RQZ66" s="4"/>
      <c r="RRA66" s="4"/>
      <c r="RRB66" s="4"/>
      <c r="RRC66" s="4"/>
      <c r="RRD66" s="4"/>
      <c r="RRE66" s="4"/>
      <c r="RRF66" s="4"/>
      <c r="RRG66" s="4"/>
      <c r="RRH66" s="4"/>
      <c r="RRI66" s="4"/>
      <c r="RRJ66" s="4"/>
      <c r="RRK66" s="4"/>
      <c r="RRL66" s="4"/>
      <c r="RRM66" s="4"/>
      <c r="RRN66" s="4"/>
      <c r="RRO66" s="4"/>
      <c r="RRP66" s="4"/>
      <c r="RRQ66" s="4"/>
      <c r="RRR66" s="4"/>
      <c r="RRS66" s="4"/>
      <c r="RRT66" s="4"/>
      <c r="RRU66" s="4"/>
      <c r="RRV66" s="4"/>
      <c r="RRW66" s="4"/>
      <c r="RRX66" s="4"/>
      <c r="RRY66" s="4"/>
      <c r="RRZ66" s="4"/>
      <c r="RSA66" s="4"/>
      <c r="RSB66" s="4"/>
      <c r="RSC66" s="4"/>
      <c r="RSD66" s="4"/>
      <c r="RSE66" s="4"/>
      <c r="RSF66" s="4"/>
      <c r="RSG66" s="4"/>
      <c r="RSH66" s="4"/>
      <c r="RSI66" s="4"/>
      <c r="RSJ66" s="4"/>
      <c r="RSK66" s="4"/>
      <c r="RSL66" s="4"/>
      <c r="RSM66" s="4"/>
      <c r="RSN66" s="4"/>
      <c r="RSO66" s="4"/>
      <c r="RSP66" s="4"/>
      <c r="RSQ66" s="4"/>
      <c r="RSR66" s="4"/>
      <c r="RSS66" s="4"/>
      <c r="RST66" s="4"/>
      <c r="RSU66" s="4"/>
      <c r="RSV66" s="4"/>
      <c r="RSW66" s="4"/>
      <c r="RSX66" s="4"/>
      <c r="RSY66" s="4"/>
      <c r="RSZ66" s="4"/>
      <c r="RTA66" s="4"/>
      <c r="RTB66" s="4"/>
      <c r="RTC66" s="4"/>
      <c r="RTD66" s="4"/>
      <c r="RTE66" s="4"/>
      <c r="RTF66" s="4"/>
      <c r="RTG66" s="4"/>
      <c r="RTH66" s="4"/>
      <c r="RTI66" s="4"/>
      <c r="RTJ66" s="4"/>
      <c r="RTK66" s="4"/>
      <c r="RTL66" s="4"/>
      <c r="RTM66" s="4"/>
      <c r="RTN66" s="4"/>
      <c r="RTO66" s="4"/>
      <c r="RTP66" s="4"/>
      <c r="RTQ66" s="4"/>
      <c r="RTR66" s="4"/>
      <c r="RTS66" s="4"/>
      <c r="RTT66" s="4"/>
      <c r="RTU66" s="4"/>
      <c r="RTV66" s="4"/>
      <c r="RTW66" s="4"/>
      <c r="RTX66" s="4"/>
      <c r="RTY66" s="4"/>
      <c r="RTZ66" s="4"/>
      <c r="RUA66" s="4"/>
      <c r="RUB66" s="4"/>
      <c r="RUC66" s="4"/>
      <c r="RUD66" s="4"/>
      <c r="RUE66" s="4"/>
      <c r="RUF66" s="4"/>
      <c r="RUG66" s="4"/>
      <c r="RUH66" s="4"/>
      <c r="RUI66" s="4"/>
      <c r="RUJ66" s="4"/>
      <c r="RUK66" s="4"/>
      <c r="RUL66" s="4"/>
      <c r="RUM66" s="4"/>
      <c r="RUN66" s="4"/>
      <c r="RUO66" s="4"/>
      <c r="RUP66" s="4"/>
      <c r="RUQ66" s="4"/>
      <c r="RUR66" s="4"/>
      <c r="RUS66" s="4"/>
      <c r="RUT66" s="4"/>
      <c r="RUU66" s="4"/>
      <c r="RUV66" s="4"/>
      <c r="RUW66" s="4"/>
      <c r="RUX66" s="4"/>
      <c r="RUY66" s="4"/>
      <c r="RUZ66" s="4"/>
      <c r="RVA66" s="4"/>
      <c r="RVB66" s="4"/>
      <c r="RVC66" s="4"/>
      <c r="RVD66" s="4"/>
      <c r="RVE66" s="4"/>
      <c r="RVF66" s="4"/>
      <c r="RVG66" s="4"/>
      <c r="RVH66" s="4"/>
      <c r="RVI66" s="4"/>
      <c r="RVJ66" s="4"/>
      <c r="RVK66" s="4"/>
      <c r="RVL66" s="4"/>
      <c r="RVM66" s="4"/>
      <c r="RVN66" s="4"/>
      <c r="RVO66" s="4"/>
      <c r="RVP66" s="4"/>
      <c r="RVQ66" s="4"/>
      <c r="RVR66" s="4"/>
      <c r="RVS66" s="4"/>
      <c r="RVT66" s="4"/>
      <c r="RVU66" s="4"/>
      <c r="RVV66" s="4"/>
      <c r="RVW66" s="4"/>
      <c r="RVX66" s="4"/>
      <c r="RVY66" s="4"/>
      <c r="RVZ66" s="4"/>
      <c r="RWA66" s="4"/>
      <c r="RWB66" s="4"/>
      <c r="RWC66" s="4"/>
      <c r="RWD66" s="4"/>
      <c r="RWE66" s="4"/>
      <c r="RWF66" s="4"/>
      <c r="RWG66" s="4"/>
      <c r="RWH66" s="4"/>
      <c r="RWI66" s="4"/>
      <c r="RWJ66" s="4"/>
      <c r="RWK66" s="4"/>
      <c r="RWL66" s="4"/>
      <c r="RWM66" s="4"/>
      <c r="RWN66" s="4"/>
      <c r="RWO66" s="4"/>
      <c r="RWP66" s="4"/>
      <c r="RWQ66" s="4"/>
      <c r="RWR66" s="4"/>
      <c r="RWS66" s="4"/>
      <c r="RWT66" s="4"/>
      <c r="RWU66" s="4"/>
      <c r="RWV66" s="4"/>
      <c r="RWW66" s="4"/>
      <c r="RWX66" s="4"/>
      <c r="RWY66" s="4"/>
      <c r="RWZ66" s="4"/>
      <c r="RXA66" s="4"/>
      <c r="RXB66" s="4"/>
      <c r="RXC66" s="4"/>
      <c r="RXD66" s="4"/>
      <c r="RXE66" s="4"/>
      <c r="RXF66" s="4"/>
      <c r="RXG66" s="4"/>
      <c r="RXH66" s="4"/>
      <c r="RXI66" s="4"/>
      <c r="RXJ66" s="4"/>
      <c r="RXK66" s="4"/>
      <c r="RXL66" s="4"/>
      <c r="RXM66" s="4"/>
      <c r="RXN66" s="4"/>
      <c r="RXO66" s="4"/>
      <c r="RXP66" s="4"/>
      <c r="RXQ66" s="4"/>
      <c r="RXR66" s="4"/>
      <c r="RXS66" s="4"/>
      <c r="RXT66" s="4"/>
      <c r="RXU66" s="4"/>
      <c r="RXV66" s="4"/>
      <c r="RXW66" s="4"/>
      <c r="RXX66" s="4"/>
      <c r="RXY66" s="4"/>
      <c r="RXZ66" s="4"/>
      <c r="RYA66" s="4"/>
      <c r="RYB66" s="4"/>
      <c r="RYC66" s="4"/>
      <c r="RYD66" s="4"/>
      <c r="RYE66" s="4"/>
      <c r="RYF66" s="4"/>
      <c r="RYG66" s="4"/>
      <c r="RYH66" s="4"/>
      <c r="RYI66" s="4"/>
      <c r="RYJ66" s="4"/>
      <c r="RYK66" s="4"/>
      <c r="RYL66" s="4"/>
      <c r="RYM66" s="4"/>
      <c r="RYN66" s="4"/>
      <c r="RYO66" s="4"/>
      <c r="RYP66" s="4"/>
      <c r="RYQ66" s="4"/>
      <c r="RYR66" s="4"/>
      <c r="RYS66" s="4"/>
      <c r="RYT66" s="4"/>
      <c r="RYU66" s="4"/>
      <c r="RYV66" s="4"/>
      <c r="RYW66" s="4"/>
      <c r="RYX66" s="4"/>
      <c r="RYY66" s="4"/>
      <c r="RYZ66" s="4"/>
      <c r="RZA66" s="4"/>
      <c r="RZB66" s="4"/>
      <c r="RZC66" s="4"/>
      <c r="RZD66" s="4"/>
      <c r="RZE66" s="4"/>
      <c r="RZF66" s="4"/>
      <c r="RZG66" s="4"/>
      <c r="RZH66" s="4"/>
      <c r="RZI66" s="4"/>
      <c r="RZJ66" s="4"/>
      <c r="RZK66" s="4"/>
      <c r="RZL66" s="4"/>
      <c r="RZM66" s="4"/>
      <c r="RZN66" s="4"/>
      <c r="RZO66" s="4"/>
      <c r="RZP66" s="4"/>
      <c r="RZQ66" s="4"/>
      <c r="RZR66" s="4"/>
      <c r="RZS66" s="4"/>
      <c r="RZT66" s="4"/>
      <c r="RZU66" s="4"/>
      <c r="RZV66" s="4"/>
      <c r="RZW66" s="4"/>
      <c r="RZX66" s="4"/>
      <c r="RZY66" s="4"/>
      <c r="RZZ66" s="4"/>
      <c r="SAA66" s="4"/>
      <c r="SAB66" s="4"/>
      <c r="SAC66" s="4"/>
      <c r="SAD66" s="4"/>
      <c r="SAE66" s="4"/>
      <c r="SAF66" s="4"/>
      <c r="SAG66" s="4"/>
      <c r="SAH66" s="4"/>
      <c r="SAI66" s="4"/>
      <c r="SAJ66" s="4"/>
      <c r="SAK66" s="4"/>
      <c r="SAL66" s="4"/>
      <c r="SAM66" s="4"/>
      <c r="SAN66" s="4"/>
      <c r="SAO66" s="4"/>
      <c r="SAP66" s="4"/>
      <c r="SAQ66" s="4"/>
      <c r="SAR66" s="4"/>
      <c r="SAS66" s="4"/>
      <c r="SAT66" s="4"/>
      <c r="SAU66" s="4"/>
      <c r="SAV66" s="4"/>
      <c r="SAW66" s="4"/>
      <c r="SAX66" s="4"/>
      <c r="SAY66" s="4"/>
      <c r="SAZ66" s="4"/>
      <c r="SBA66" s="4"/>
      <c r="SBB66" s="4"/>
      <c r="SBC66" s="4"/>
      <c r="SBD66" s="4"/>
      <c r="SBE66" s="4"/>
      <c r="SBF66" s="4"/>
      <c r="SBG66" s="4"/>
      <c r="SBH66" s="4"/>
      <c r="SBI66" s="4"/>
      <c r="SBJ66" s="4"/>
      <c r="SBK66" s="4"/>
      <c r="SBL66" s="4"/>
      <c r="SBM66" s="4"/>
      <c r="SBN66" s="4"/>
      <c r="SBO66" s="4"/>
      <c r="SBP66" s="4"/>
      <c r="SBQ66" s="4"/>
      <c r="SBR66" s="4"/>
      <c r="SBS66" s="4"/>
      <c r="SBT66" s="4"/>
      <c r="SBU66" s="4"/>
      <c r="SBV66" s="4"/>
      <c r="SBW66" s="4"/>
      <c r="SBX66" s="4"/>
      <c r="SBY66" s="4"/>
      <c r="SBZ66" s="4"/>
      <c r="SCA66" s="4"/>
      <c r="SCB66" s="4"/>
      <c r="SCC66" s="4"/>
      <c r="SCD66" s="4"/>
      <c r="SCE66" s="4"/>
      <c r="SCF66" s="4"/>
      <c r="SCG66" s="4"/>
      <c r="SCH66" s="4"/>
      <c r="SCI66" s="4"/>
      <c r="SCJ66" s="4"/>
      <c r="SCK66" s="4"/>
      <c r="SCL66" s="4"/>
      <c r="SCM66" s="4"/>
      <c r="SCN66" s="4"/>
      <c r="SCO66" s="4"/>
      <c r="SCP66" s="4"/>
      <c r="SCQ66" s="4"/>
      <c r="SCR66" s="4"/>
      <c r="SCS66" s="4"/>
      <c r="SCT66" s="4"/>
      <c r="SCU66" s="4"/>
      <c r="SCV66" s="4"/>
      <c r="SCW66" s="4"/>
      <c r="SCX66" s="4"/>
      <c r="SCY66" s="4"/>
      <c r="SCZ66" s="4"/>
      <c r="SDA66" s="4"/>
      <c r="SDB66" s="4"/>
      <c r="SDC66" s="4"/>
      <c r="SDD66" s="4"/>
      <c r="SDE66" s="4"/>
      <c r="SDF66" s="4"/>
      <c r="SDG66" s="4"/>
      <c r="SDH66" s="4"/>
      <c r="SDI66" s="4"/>
      <c r="SDJ66" s="4"/>
      <c r="SDK66" s="4"/>
      <c r="SDL66" s="4"/>
      <c r="SDM66" s="4"/>
      <c r="SDN66" s="4"/>
      <c r="SDO66" s="4"/>
      <c r="SDP66" s="4"/>
      <c r="SDQ66" s="4"/>
      <c r="SDR66" s="4"/>
      <c r="SDS66" s="4"/>
      <c r="SDT66" s="4"/>
      <c r="SDU66" s="4"/>
      <c r="SDV66" s="4"/>
      <c r="SDW66" s="4"/>
      <c r="SDX66" s="4"/>
      <c r="SDY66" s="4"/>
      <c r="SDZ66" s="4"/>
      <c r="SEA66" s="4"/>
      <c r="SEB66" s="4"/>
      <c r="SEC66" s="4"/>
      <c r="SED66" s="4"/>
      <c r="SEE66" s="4"/>
      <c r="SEF66" s="4"/>
      <c r="SEG66" s="4"/>
      <c r="SEH66" s="4"/>
      <c r="SEI66" s="4"/>
      <c r="SEJ66" s="4"/>
      <c r="SEK66" s="4"/>
      <c r="SEL66" s="4"/>
      <c r="SEM66" s="4"/>
      <c r="SEN66" s="4"/>
      <c r="SEO66" s="4"/>
      <c r="SEP66" s="4"/>
      <c r="SEQ66" s="4"/>
      <c r="SER66" s="4"/>
      <c r="SES66" s="4"/>
      <c r="SET66" s="4"/>
      <c r="SEU66" s="4"/>
      <c r="SEV66" s="4"/>
      <c r="SEW66" s="4"/>
      <c r="SEX66" s="4"/>
      <c r="SEY66" s="4"/>
      <c r="SEZ66" s="4"/>
      <c r="SFA66" s="4"/>
      <c r="SFB66" s="4"/>
      <c r="SFC66" s="4"/>
      <c r="SFD66" s="4"/>
      <c r="SFE66" s="4"/>
      <c r="SFF66" s="4"/>
      <c r="SFG66" s="4"/>
      <c r="SFH66" s="4"/>
      <c r="SFI66" s="4"/>
      <c r="SFJ66" s="4"/>
      <c r="SFK66" s="4"/>
      <c r="SFL66" s="4"/>
      <c r="SFM66" s="4"/>
      <c r="SFN66" s="4"/>
      <c r="SFO66" s="4"/>
      <c r="SFP66" s="4"/>
      <c r="SFQ66" s="4"/>
      <c r="SFR66" s="4"/>
      <c r="SFS66" s="4"/>
      <c r="SFT66" s="4"/>
      <c r="SFU66" s="4"/>
      <c r="SFV66" s="4"/>
      <c r="SFW66" s="4"/>
      <c r="SFX66" s="4"/>
      <c r="SFY66" s="4"/>
      <c r="SFZ66" s="4"/>
      <c r="SGA66" s="4"/>
      <c r="SGB66" s="4"/>
      <c r="SGC66" s="4"/>
      <c r="SGD66" s="4"/>
      <c r="SGE66" s="4"/>
      <c r="SGF66" s="4"/>
      <c r="SGG66" s="4"/>
      <c r="SGH66" s="4"/>
      <c r="SGI66" s="4"/>
      <c r="SGJ66" s="4"/>
      <c r="SGK66" s="4"/>
      <c r="SGL66" s="4"/>
      <c r="SGM66" s="4"/>
      <c r="SGN66" s="4"/>
      <c r="SGO66" s="4"/>
      <c r="SGP66" s="4"/>
      <c r="SGQ66" s="4"/>
      <c r="SGR66" s="4"/>
      <c r="SGS66" s="4"/>
      <c r="SGT66" s="4"/>
      <c r="SGU66" s="4"/>
      <c r="SGV66" s="4"/>
      <c r="SGW66" s="4"/>
      <c r="SGX66" s="4"/>
      <c r="SGY66" s="4"/>
      <c r="SGZ66" s="4"/>
      <c r="SHA66" s="4"/>
      <c r="SHB66" s="4"/>
      <c r="SHC66" s="4"/>
      <c r="SHD66" s="4"/>
      <c r="SHE66" s="4"/>
      <c r="SHF66" s="4"/>
      <c r="SHG66" s="4"/>
      <c r="SHH66" s="4"/>
      <c r="SHI66" s="4"/>
      <c r="SHJ66" s="4"/>
      <c r="SHK66" s="4"/>
      <c r="SHL66" s="4"/>
      <c r="SHM66" s="4"/>
      <c r="SHN66" s="4"/>
      <c r="SHO66" s="4"/>
      <c r="SHP66" s="4"/>
      <c r="SHQ66" s="4"/>
      <c r="SHR66" s="4"/>
      <c r="SHS66" s="4"/>
      <c r="SHT66" s="4"/>
      <c r="SHU66" s="4"/>
      <c r="SHV66" s="4"/>
      <c r="SHW66" s="4"/>
      <c r="SHX66" s="4"/>
      <c r="SHY66" s="4"/>
      <c r="SHZ66" s="4"/>
      <c r="SIA66" s="4"/>
      <c r="SIB66" s="4"/>
      <c r="SIC66" s="4"/>
      <c r="SID66" s="4"/>
      <c r="SIE66" s="4"/>
      <c r="SIF66" s="4"/>
      <c r="SIG66" s="4"/>
      <c r="SIH66" s="4"/>
      <c r="SII66" s="4"/>
      <c r="SIJ66" s="4"/>
      <c r="SIK66" s="4"/>
      <c r="SIL66" s="4"/>
      <c r="SIM66" s="4"/>
      <c r="SIN66" s="4"/>
      <c r="SIO66" s="4"/>
      <c r="SIP66" s="4"/>
      <c r="SIQ66" s="4"/>
      <c r="SIR66" s="4"/>
      <c r="SIS66" s="4"/>
      <c r="SIT66" s="4"/>
      <c r="SIU66" s="4"/>
      <c r="SIV66" s="4"/>
      <c r="SIW66" s="4"/>
      <c r="SIX66" s="4"/>
      <c r="SIY66" s="4"/>
      <c r="SIZ66" s="4"/>
      <c r="SJA66" s="4"/>
      <c r="SJB66" s="4"/>
      <c r="SJC66" s="4"/>
      <c r="SJD66" s="4"/>
      <c r="SJE66" s="4"/>
      <c r="SJF66" s="4"/>
      <c r="SJG66" s="4"/>
      <c r="SJH66" s="4"/>
      <c r="SJI66" s="4"/>
      <c r="SJJ66" s="4"/>
      <c r="SJK66" s="4"/>
      <c r="SJL66" s="4"/>
      <c r="SJM66" s="4"/>
      <c r="SJN66" s="4"/>
      <c r="SJO66" s="4"/>
      <c r="SJP66" s="4"/>
      <c r="SJQ66" s="4"/>
      <c r="SJR66" s="4"/>
      <c r="SJS66" s="4"/>
      <c r="SJT66" s="4"/>
      <c r="SJU66" s="4"/>
      <c r="SJV66" s="4"/>
      <c r="SJW66" s="4"/>
      <c r="SJX66" s="4"/>
      <c r="SJY66" s="4"/>
      <c r="SJZ66" s="4"/>
      <c r="SKA66" s="4"/>
      <c r="SKB66" s="4"/>
      <c r="SKC66" s="4"/>
      <c r="SKD66" s="4"/>
      <c r="SKE66" s="4"/>
      <c r="SKF66" s="4"/>
      <c r="SKG66" s="4"/>
      <c r="SKH66" s="4"/>
      <c r="SKI66" s="4"/>
      <c r="SKJ66" s="4"/>
      <c r="SKK66" s="4"/>
      <c r="SKL66" s="4"/>
      <c r="SKM66" s="4"/>
      <c r="SKN66" s="4"/>
      <c r="SKO66" s="4"/>
      <c r="SKP66" s="4"/>
      <c r="SKQ66" s="4"/>
      <c r="SKR66" s="4"/>
      <c r="SKS66" s="4"/>
      <c r="SKT66" s="4"/>
      <c r="SKU66" s="4"/>
      <c r="SKV66" s="4"/>
      <c r="SKW66" s="4"/>
      <c r="SKX66" s="4"/>
      <c r="SKY66" s="4"/>
      <c r="SKZ66" s="4"/>
      <c r="SLA66" s="4"/>
      <c r="SLB66" s="4"/>
      <c r="SLC66" s="4"/>
      <c r="SLD66" s="4"/>
      <c r="SLE66" s="4"/>
      <c r="SLF66" s="4"/>
      <c r="SLG66" s="4"/>
      <c r="SLH66" s="4"/>
      <c r="SLI66" s="4"/>
      <c r="SLJ66" s="4"/>
      <c r="SLK66" s="4"/>
      <c r="SLL66" s="4"/>
      <c r="SLM66" s="4"/>
      <c r="SLN66" s="4"/>
      <c r="SLO66" s="4"/>
      <c r="SLP66" s="4"/>
      <c r="SLQ66" s="4"/>
      <c r="SLR66" s="4"/>
      <c r="SLS66" s="4"/>
      <c r="SLT66" s="4"/>
      <c r="SLU66" s="4"/>
      <c r="SLV66" s="4"/>
      <c r="SLW66" s="4"/>
      <c r="SLX66" s="4"/>
      <c r="SLY66" s="4"/>
      <c r="SLZ66" s="4"/>
      <c r="SMA66" s="4"/>
      <c r="SMB66" s="4"/>
      <c r="SMC66" s="4"/>
      <c r="SMD66" s="4"/>
      <c r="SME66" s="4"/>
      <c r="SMF66" s="4"/>
      <c r="SMG66" s="4"/>
      <c r="SMH66" s="4"/>
      <c r="SMI66" s="4"/>
      <c r="SMJ66" s="4"/>
      <c r="SMK66" s="4"/>
      <c r="SML66" s="4"/>
      <c r="SMM66" s="4"/>
      <c r="SMN66" s="4"/>
      <c r="SMO66" s="4"/>
      <c r="SMP66" s="4"/>
      <c r="SMQ66" s="4"/>
      <c r="SMR66" s="4"/>
      <c r="SMS66" s="4"/>
      <c r="SMT66" s="4"/>
      <c r="SMU66" s="4"/>
      <c r="SMV66" s="4"/>
      <c r="SMW66" s="4"/>
      <c r="SMX66" s="4"/>
      <c r="SMY66" s="4"/>
      <c r="SMZ66" s="4"/>
      <c r="SNA66" s="4"/>
      <c r="SNB66" s="4"/>
      <c r="SNC66" s="4"/>
      <c r="SND66" s="4"/>
      <c r="SNE66" s="4"/>
      <c r="SNF66" s="4"/>
      <c r="SNG66" s="4"/>
      <c r="SNH66" s="4"/>
      <c r="SNI66" s="4"/>
      <c r="SNJ66" s="4"/>
      <c r="SNK66" s="4"/>
      <c r="SNL66" s="4"/>
      <c r="SNM66" s="4"/>
      <c r="SNN66" s="4"/>
      <c r="SNO66" s="4"/>
      <c r="SNP66" s="4"/>
      <c r="SNQ66" s="4"/>
      <c r="SNR66" s="4"/>
      <c r="SNS66" s="4"/>
      <c r="SNT66" s="4"/>
      <c r="SNU66" s="4"/>
      <c r="SNV66" s="4"/>
      <c r="SNW66" s="4"/>
      <c r="SNX66" s="4"/>
      <c r="SNY66" s="4"/>
      <c r="SNZ66" s="4"/>
      <c r="SOA66" s="4"/>
      <c r="SOB66" s="4"/>
      <c r="SOC66" s="4"/>
      <c r="SOD66" s="4"/>
      <c r="SOE66" s="4"/>
      <c r="SOF66" s="4"/>
      <c r="SOG66" s="4"/>
      <c r="SOH66" s="4"/>
      <c r="SOI66" s="4"/>
      <c r="SOJ66" s="4"/>
      <c r="SOK66" s="4"/>
      <c r="SOL66" s="4"/>
      <c r="SOM66" s="4"/>
      <c r="SON66" s="4"/>
      <c r="SOO66" s="4"/>
      <c r="SOP66" s="4"/>
      <c r="SOQ66" s="4"/>
      <c r="SOR66" s="4"/>
      <c r="SOS66" s="4"/>
      <c r="SOT66" s="4"/>
      <c r="SOU66" s="4"/>
      <c r="SOV66" s="4"/>
      <c r="SOW66" s="4"/>
      <c r="SOX66" s="4"/>
      <c r="SOY66" s="4"/>
      <c r="SOZ66" s="4"/>
      <c r="SPA66" s="4"/>
      <c r="SPB66" s="4"/>
      <c r="SPC66" s="4"/>
      <c r="SPD66" s="4"/>
      <c r="SPE66" s="4"/>
      <c r="SPF66" s="4"/>
      <c r="SPG66" s="4"/>
      <c r="SPH66" s="4"/>
      <c r="SPI66" s="4"/>
      <c r="SPJ66" s="4"/>
      <c r="SPK66" s="4"/>
      <c r="SPL66" s="4"/>
      <c r="SPM66" s="4"/>
      <c r="SPN66" s="4"/>
      <c r="SPO66" s="4"/>
      <c r="SPP66" s="4"/>
      <c r="SPQ66" s="4"/>
      <c r="SPR66" s="4"/>
      <c r="SPS66" s="4"/>
      <c r="SPT66" s="4"/>
      <c r="SPU66" s="4"/>
      <c r="SPV66" s="4"/>
      <c r="SPW66" s="4"/>
      <c r="SPX66" s="4"/>
      <c r="SPY66" s="4"/>
      <c r="SPZ66" s="4"/>
      <c r="SQA66" s="4"/>
      <c r="SQB66" s="4"/>
      <c r="SQC66" s="4"/>
      <c r="SQD66" s="4"/>
      <c r="SQE66" s="4"/>
      <c r="SQF66" s="4"/>
      <c r="SQG66" s="4"/>
      <c r="SQH66" s="4"/>
      <c r="SQI66" s="4"/>
      <c r="SQJ66" s="4"/>
      <c r="SQK66" s="4"/>
      <c r="SQL66" s="4"/>
      <c r="SQM66" s="4"/>
      <c r="SQN66" s="4"/>
      <c r="SQO66" s="4"/>
      <c r="SQP66" s="4"/>
      <c r="SQQ66" s="4"/>
      <c r="SQR66" s="4"/>
      <c r="SQS66" s="4"/>
      <c r="SQT66" s="4"/>
      <c r="SQU66" s="4"/>
      <c r="SQV66" s="4"/>
      <c r="SQW66" s="4"/>
      <c r="SQX66" s="4"/>
      <c r="SQY66" s="4"/>
      <c r="SQZ66" s="4"/>
      <c r="SRA66" s="4"/>
      <c r="SRB66" s="4"/>
      <c r="SRC66" s="4"/>
      <c r="SRD66" s="4"/>
      <c r="SRE66" s="4"/>
      <c r="SRF66" s="4"/>
      <c r="SRG66" s="4"/>
      <c r="SRH66" s="4"/>
      <c r="SRI66" s="4"/>
      <c r="SRJ66" s="4"/>
      <c r="SRK66" s="4"/>
      <c r="SRL66" s="4"/>
      <c r="SRM66" s="4"/>
      <c r="SRN66" s="4"/>
      <c r="SRO66" s="4"/>
      <c r="SRP66" s="4"/>
      <c r="SRQ66" s="4"/>
      <c r="SRR66" s="4"/>
      <c r="SRS66" s="4"/>
      <c r="SRT66" s="4"/>
      <c r="SRU66" s="4"/>
      <c r="SRV66" s="4"/>
      <c r="SRW66" s="4"/>
      <c r="SRX66" s="4"/>
      <c r="SRY66" s="4"/>
      <c r="SRZ66" s="4"/>
      <c r="SSA66" s="4"/>
      <c r="SSB66" s="4"/>
      <c r="SSC66" s="4"/>
      <c r="SSD66" s="4"/>
      <c r="SSE66" s="4"/>
      <c r="SSF66" s="4"/>
      <c r="SSG66" s="4"/>
      <c r="SSH66" s="4"/>
      <c r="SSI66" s="4"/>
      <c r="SSJ66" s="4"/>
      <c r="SSK66" s="4"/>
      <c r="SSL66" s="4"/>
      <c r="SSM66" s="4"/>
      <c r="SSN66" s="4"/>
      <c r="SSO66" s="4"/>
      <c r="SSP66" s="4"/>
      <c r="SSQ66" s="4"/>
      <c r="SSR66" s="4"/>
      <c r="SSS66" s="4"/>
      <c r="SST66" s="4"/>
      <c r="SSU66" s="4"/>
      <c r="SSV66" s="4"/>
      <c r="SSW66" s="4"/>
      <c r="SSX66" s="4"/>
      <c r="SSY66" s="4"/>
      <c r="SSZ66" s="4"/>
      <c r="STA66" s="4"/>
      <c r="STB66" s="4"/>
      <c r="STC66" s="4"/>
      <c r="STD66" s="4"/>
      <c r="STE66" s="4"/>
      <c r="STF66" s="4"/>
      <c r="STG66" s="4"/>
      <c r="STH66" s="4"/>
      <c r="STI66" s="4"/>
      <c r="STJ66" s="4"/>
      <c r="STK66" s="4"/>
      <c r="STL66" s="4"/>
      <c r="STM66" s="4"/>
      <c r="STN66" s="4"/>
      <c r="STO66" s="4"/>
      <c r="STP66" s="4"/>
      <c r="STQ66" s="4"/>
      <c r="STR66" s="4"/>
      <c r="STS66" s="4"/>
      <c r="STT66" s="4"/>
      <c r="STU66" s="4"/>
      <c r="STV66" s="4"/>
      <c r="STW66" s="4"/>
      <c r="STX66" s="4"/>
      <c r="STY66" s="4"/>
      <c r="STZ66" s="4"/>
      <c r="SUA66" s="4"/>
      <c r="SUB66" s="4"/>
      <c r="SUC66" s="4"/>
      <c r="SUD66" s="4"/>
      <c r="SUE66" s="4"/>
      <c r="SUF66" s="4"/>
      <c r="SUG66" s="4"/>
      <c r="SUH66" s="4"/>
      <c r="SUI66" s="4"/>
      <c r="SUJ66" s="4"/>
      <c r="SUK66" s="4"/>
      <c r="SUL66" s="4"/>
      <c r="SUM66" s="4"/>
      <c r="SUN66" s="4"/>
      <c r="SUO66" s="4"/>
      <c r="SUP66" s="4"/>
      <c r="SUQ66" s="4"/>
      <c r="SUR66" s="4"/>
      <c r="SUS66" s="4"/>
      <c r="SUT66" s="4"/>
      <c r="SUU66" s="4"/>
      <c r="SUV66" s="4"/>
      <c r="SUW66" s="4"/>
      <c r="SUX66" s="4"/>
      <c r="SUY66" s="4"/>
      <c r="SUZ66" s="4"/>
      <c r="SVA66" s="4"/>
      <c r="SVB66" s="4"/>
      <c r="SVC66" s="4"/>
      <c r="SVD66" s="4"/>
      <c r="SVE66" s="4"/>
      <c r="SVF66" s="4"/>
      <c r="SVG66" s="4"/>
      <c r="SVH66" s="4"/>
      <c r="SVI66" s="4"/>
      <c r="SVJ66" s="4"/>
      <c r="SVK66" s="4"/>
      <c r="SVL66" s="4"/>
      <c r="SVM66" s="4"/>
      <c r="SVN66" s="4"/>
      <c r="SVO66" s="4"/>
      <c r="SVP66" s="4"/>
      <c r="SVQ66" s="4"/>
      <c r="SVR66" s="4"/>
      <c r="SVS66" s="4"/>
      <c r="SVT66" s="4"/>
      <c r="SVU66" s="4"/>
      <c r="SVV66" s="4"/>
      <c r="SVW66" s="4"/>
      <c r="SVX66" s="4"/>
      <c r="SVY66" s="4"/>
      <c r="SVZ66" s="4"/>
      <c r="SWA66" s="4"/>
      <c r="SWB66" s="4"/>
      <c r="SWC66" s="4"/>
      <c r="SWD66" s="4"/>
      <c r="SWE66" s="4"/>
      <c r="SWF66" s="4"/>
      <c r="SWG66" s="4"/>
      <c r="SWH66" s="4"/>
      <c r="SWI66" s="4"/>
      <c r="SWJ66" s="4"/>
      <c r="SWK66" s="4"/>
      <c r="SWL66" s="4"/>
      <c r="SWM66" s="4"/>
      <c r="SWN66" s="4"/>
      <c r="SWO66" s="4"/>
      <c r="SWP66" s="4"/>
      <c r="SWQ66" s="4"/>
      <c r="SWR66" s="4"/>
      <c r="SWS66" s="4"/>
      <c r="SWT66" s="4"/>
      <c r="SWU66" s="4"/>
      <c r="SWV66" s="4"/>
      <c r="SWW66" s="4"/>
      <c r="SWX66" s="4"/>
      <c r="SWY66" s="4"/>
      <c r="SWZ66" s="4"/>
      <c r="SXA66" s="4"/>
      <c r="SXB66" s="4"/>
      <c r="SXC66" s="4"/>
      <c r="SXD66" s="4"/>
      <c r="SXE66" s="4"/>
      <c r="SXF66" s="4"/>
      <c r="SXG66" s="4"/>
      <c r="SXH66" s="4"/>
      <c r="SXI66" s="4"/>
      <c r="SXJ66" s="4"/>
      <c r="SXK66" s="4"/>
      <c r="SXL66" s="4"/>
      <c r="SXM66" s="4"/>
      <c r="SXN66" s="4"/>
      <c r="SXO66" s="4"/>
      <c r="SXP66" s="4"/>
      <c r="SXQ66" s="4"/>
      <c r="SXR66" s="4"/>
      <c r="SXS66" s="4"/>
      <c r="SXT66" s="4"/>
      <c r="SXU66" s="4"/>
      <c r="SXV66" s="4"/>
      <c r="SXW66" s="4"/>
      <c r="SXX66" s="4"/>
      <c r="SXY66" s="4"/>
      <c r="SXZ66" s="4"/>
      <c r="SYA66" s="4"/>
      <c r="SYB66" s="4"/>
      <c r="SYC66" s="4"/>
      <c r="SYD66" s="4"/>
      <c r="SYE66" s="4"/>
      <c r="SYF66" s="4"/>
      <c r="SYG66" s="4"/>
      <c r="SYH66" s="4"/>
      <c r="SYI66" s="4"/>
      <c r="SYJ66" s="4"/>
      <c r="SYK66" s="4"/>
      <c r="SYL66" s="4"/>
      <c r="SYM66" s="4"/>
      <c r="SYN66" s="4"/>
      <c r="SYO66" s="4"/>
      <c r="SYP66" s="4"/>
      <c r="SYQ66" s="4"/>
      <c r="SYR66" s="4"/>
      <c r="SYS66" s="4"/>
      <c r="SYT66" s="4"/>
      <c r="SYU66" s="4"/>
      <c r="SYV66" s="4"/>
      <c r="SYW66" s="4"/>
      <c r="SYX66" s="4"/>
      <c r="SYY66" s="4"/>
      <c r="SYZ66" s="4"/>
      <c r="SZA66" s="4"/>
      <c r="SZB66" s="4"/>
      <c r="SZC66" s="4"/>
      <c r="SZD66" s="4"/>
      <c r="SZE66" s="4"/>
      <c r="SZF66" s="4"/>
      <c r="SZG66" s="4"/>
      <c r="SZH66" s="4"/>
      <c r="SZI66" s="4"/>
      <c r="SZJ66" s="4"/>
      <c r="SZK66" s="4"/>
      <c r="SZL66" s="4"/>
      <c r="SZM66" s="4"/>
      <c r="SZN66" s="4"/>
      <c r="SZO66" s="4"/>
      <c r="SZP66" s="4"/>
      <c r="SZQ66" s="4"/>
      <c r="SZR66" s="4"/>
      <c r="SZS66" s="4"/>
      <c r="SZT66" s="4"/>
      <c r="SZU66" s="4"/>
      <c r="SZV66" s="4"/>
      <c r="SZW66" s="4"/>
      <c r="SZX66" s="4"/>
      <c r="SZY66" s="4"/>
      <c r="SZZ66" s="4"/>
      <c r="TAA66" s="4"/>
      <c r="TAB66" s="4"/>
      <c r="TAC66" s="4"/>
      <c r="TAD66" s="4"/>
      <c r="TAE66" s="4"/>
      <c r="TAF66" s="4"/>
      <c r="TAG66" s="4"/>
      <c r="TAH66" s="4"/>
      <c r="TAI66" s="4"/>
      <c r="TAJ66" s="4"/>
      <c r="TAK66" s="4"/>
      <c r="TAL66" s="4"/>
      <c r="TAM66" s="4"/>
      <c r="TAN66" s="4"/>
      <c r="TAO66" s="4"/>
      <c r="TAP66" s="4"/>
      <c r="TAQ66" s="4"/>
      <c r="TAR66" s="4"/>
      <c r="TAS66" s="4"/>
      <c r="TAT66" s="4"/>
      <c r="TAU66" s="4"/>
      <c r="TAV66" s="4"/>
      <c r="TAW66" s="4"/>
      <c r="TAX66" s="4"/>
      <c r="TAY66" s="4"/>
      <c r="TAZ66" s="4"/>
      <c r="TBA66" s="4"/>
      <c r="TBB66" s="4"/>
      <c r="TBC66" s="4"/>
      <c r="TBD66" s="4"/>
      <c r="TBE66" s="4"/>
      <c r="TBF66" s="4"/>
      <c r="TBG66" s="4"/>
      <c r="TBH66" s="4"/>
      <c r="TBI66" s="4"/>
      <c r="TBJ66" s="4"/>
      <c r="TBK66" s="4"/>
      <c r="TBL66" s="4"/>
      <c r="TBM66" s="4"/>
      <c r="TBN66" s="4"/>
      <c r="TBO66" s="4"/>
      <c r="TBP66" s="4"/>
      <c r="TBQ66" s="4"/>
      <c r="TBR66" s="4"/>
      <c r="TBS66" s="4"/>
      <c r="TBT66" s="4"/>
      <c r="TBU66" s="4"/>
      <c r="TBV66" s="4"/>
      <c r="TBW66" s="4"/>
      <c r="TBX66" s="4"/>
      <c r="TBY66" s="4"/>
      <c r="TBZ66" s="4"/>
      <c r="TCA66" s="4"/>
      <c r="TCB66" s="4"/>
      <c r="TCC66" s="4"/>
      <c r="TCD66" s="4"/>
      <c r="TCE66" s="4"/>
      <c r="TCF66" s="4"/>
      <c r="TCG66" s="4"/>
      <c r="TCH66" s="4"/>
      <c r="TCI66" s="4"/>
      <c r="TCJ66" s="4"/>
      <c r="TCK66" s="4"/>
      <c r="TCL66" s="4"/>
      <c r="TCM66" s="4"/>
      <c r="TCN66" s="4"/>
      <c r="TCO66" s="4"/>
      <c r="TCP66" s="4"/>
      <c r="TCQ66" s="4"/>
      <c r="TCR66" s="4"/>
      <c r="TCS66" s="4"/>
      <c r="TCT66" s="4"/>
      <c r="TCU66" s="4"/>
      <c r="TCV66" s="4"/>
      <c r="TCW66" s="4"/>
      <c r="TCX66" s="4"/>
      <c r="TCY66" s="4"/>
      <c r="TCZ66" s="4"/>
      <c r="TDA66" s="4"/>
      <c r="TDB66" s="4"/>
      <c r="TDC66" s="4"/>
      <c r="TDD66" s="4"/>
      <c r="TDE66" s="4"/>
      <c r="TDF66" s="4"/>
      <c r="TDG66" s="4"/>
      <c r="TDH66" s="4"/>
      <c r="TDI66" s="4"/>
      <c r="TDJ66" s="4"/>
      <c r="TDK66" s="4"/>
      <c r="TDL66" s="4"/>
      <c r="TDM66" s="4"/>
      <c r="TDN66" s="4"/>
      <c r="TDO66" s="4"/>
      <c r="TDP66" s="4"/>
      <c r="TDQ66" s="4"/>
      <c r="TDR66" s="4"/>
      <c r="TDS66" s="4"/>
      <c r="TDT66" s="4"/>
      <c r="TDU66" s="4"/>
      <c r="TDV66" s="4"/>
      <c r="TDW66" s="4"/>
      <c r="TDX66" s="4"/>
      <c r="TDY66" s="4"/>
      <c r="TDZ66" s="4"/>
      <c r="TEA66" s="4"/>
      <c r="TEB66" s="4"/>
      <c r="TEC66" s="4"/>
      <c r="TED66" s="4"/>
      <c r="TEE66" s="4"/>
      <c r="TEF66" s="4"/>
      <c r="TEG66" s="4"/>
      <c r="TEH66" s="4"/>
      <c r="TEI66" s="4"/>
      <c r="TEJ66" s="4"/>
      <c r="TEK66" s="4"/>
      <c r="TEL66" s="4"/>
      <c r="TEM66" s="4"/>
      <c r="TEN66" s="4"/>
      <c r="TEO66" s="4"/>
      <c r="TEP66" s="4"/>
      <c r="TEQ66" s="4"/>
      <c r="TER66" s="4"/>
      <c r="TES66" s="4"/>
      <c r="TET66" s="4"/>
      <c r="TEU66" s="4"/>
      <c r="TEV66" s="4"/>
      <c r="TEW66" s="4"/>
      <c r="TEX66" s="4"/>
      <c r="TEY66" s="4"/>
      <c r="TEZ66" s="4"/>
      <c r="TFA66" s="4"/>
      <c r="TFB66" s="4"/>
      <c r="TFC66" s="4"/>
      <c r="TFD66" s="4"/>
      <c r="TFE66" s="4"/>
      <c r="TFF66" s="4"/>
      <c r="TFG66" s="4"/>
      <c r="TFH66" s="4"/>
      <c r="TFI66" s="4"/>
      <c r="TFJ66" s="4"/>
      <c r="TFK66" s="4"/>
      <c r="TFL66" s="4"/>
      <c r="TFM66" s="4"/>
      <c r="TFN66" s="4"/>
      <c r="TFO66" s="4"/>
      <c r="TFP66" s="4"/>
      <c r="TFQ66" s="4"/>
      <c r="TFR66" s="4"/>
      <c r="TFS66" s="4"/>
      <c r="TFT66" s="4"/>
      <c r="TFU66" s="4"/>
      <c r="TFV66" s="4"/>
      <c r="TFW66" s="4"/>
      <c r="TFX66" s="4"/>
      <c r="TFY66" s="4"/>
      <c r="TFZ66" s="4"/>
      <c r="TGA66" s="4"/>
      <c r="TGB66" s="4"/>
      <c r="TGC66" s="4"/>
      <c r="TGD66" s="4"/>
      <c r="TGE66" s="4"/>
      <c r="TGF66" s="4"/>
      <c r="TGG66" s="4"/>
      <c r="TGH66" s="4"/>
      <c r="TGI66" s="4"/>
      <c r="TGJ66" s="4"/>
      <c r="TGK66" s="4"/>
      <c r="TGL66" s="4"/>
      <c r="TGM66" s="4"/>
      <c r="TGN66" s="4"/>
      <c r="TGO66" s="4"/>
      <c r="TGP66" s="4"/>
      <c r="TGQ66" s="4"/>
      <c r="TGR66" s="4"/>
      <c r="TGS66" s="4"/>
      <c r="TGT66" s="4"/>
      <c r="TGU66" s="4"/>
      <c r="TGV66" s="4"/>
      <c r="TGW66" s="4"/>
      <c r="TGX66" s="4"/>
      <c r="TGY66" s="4"/>
      <c r="TGZ66" s="4"/>
      <c r="THA66" s="4"/>
      <c r="THB66" s="4"/>
      <c r="THC66" s="4"/>
      <c r="THD66" s="4"/>
      <c r="THE66" s="4"/>
      <c r="THF66" s="4"/>
      <c r="THG66" s="4"/>
      <c r="THH66" s="4"/>
      <c r="THI66" s="4"/>
      <c r="THJ66" s="4"/>
      <c r="THK66" s="4"/>
      <c r="THL66" s="4"/>
      <c r="THM66" s="4"/>
      <c r="THN66" s="4"/>
      <c r="THO66" s="4"/>
      <c r="THP66" s="4"/>
      <c r="THQ66" s="4"/>
      <c r="THR66" s="4"/>
      <c r="THS66" s="4"/>
      <c r="THT66" s="4"/>
      <c r="THU66" s="4"/>
      <c r="THV66" s="4"/>
      <c r="THW66" s="4"/>
      <c r="THX66" s="4"/>
      <c r="THY66" s="4"/>
      <c r="THZ66" s="4"/>
      <c r="TIA66" s="4"/>
      <c r="TIB66" s="4"/>
      <c r="TIC66" s="4"/>
      <c r="TID66" s="4"/>
      <c r="TIE66" s="4"/>
      <c r="TIF66" s="4"/>
      <c r="TIG66" s="4"/>
      <c r="TIH66" s="4"/>
      <c r="TII66" s="4"/>
      <c r="TIJ66" s="4"/>
      <c r="TIK66" s="4"/>
      <c r="TIL66" s="4"/>
      <c r="TIM66" s="4"/>
      <c r="TIN66" s="4"/>
      <c r="TIO66" s="4"/>
      <c r="TIP66" s="4"/>
      <c r="TIQ66" s="4"/>
      <c r="TIR66" s="4"/>
      <c r="TIS66" s="4"/>
      <c r="TIT66" s="4"/>
      <c r="TIU66" s="4"/>
      <c r="TIV66" s="4"/>
      <c r="TIW66" s="4"/>
      <c r="TIX66" s="4"/>
      <c r="TIY66" s="4"/>
      <c r="TIZ66" s="4"/>
      <c r="TJA66" s="4"/>
      <c r="TJB66" s="4"/>
      <c r="TJC66" s="4"/>
      <c r="TJD66" s="4"/>
      <c r="TJE66" s="4"/>
      <c r="TJF66" s="4"/>
      <c r="TJG66" s="4"/>
      <c r="TJH66" s="4"/>
      <c r="TJI66" s="4"/>
      <c r="TJJ66" s="4"/>
      <c r="TJK66" s="4"/>
      <c r="TJL66" s="4"/>
      <c r="TJM66" s="4"/>
      <c r="TJN66" s="4"/>
      <c r="TJO66" s="4"/>
      <c r="TJP66" s="4"/>
      <c r="TJQ66" s="4"/>
      <c r="TJR66" s="4"/>
      <c r="TJS66" s="4"/>
      <c r="TJT66" s="4"/>
      <c r="TJU66" s="4"/>
      <c r="TJV66" s="4"/>
      <c r="TJW66" s="4"/>
      <c r="TJX66" s="4"/>
      <c r="TJY66" s="4"/>
      <c r="TJZ66" s="4"/>
      <c r="TKA66" s="4"/>
      <c r="TKB66" s="4"/>
      <c r="TKC66" s="4"/>
      <c r="TKD66" s="4"/>
      <c r="TKE66" s="4"/>
      <c r="TKF66" s="4"/>
      <c r="TKG66" s="4"/>
      <c r="TKH66" s="4"/>
      <c r="TKI66" s="4"/>
      <c r="TKJ66" s="4"/>
      <c r="TKK66" s="4"/>
      <c r="TKL66" s="4"/>
      <c r="TKM66" s="4"/>
      <c r="TKN66" s="4"/>
      <c r="TKO66" s="4"/>
      <c r="TKP66" s="4"/>
      <c r="TKQ66" s="4"/>
      <c r="TKR66" s="4"/>
      <c r="TKS66" s="4"/>
      <c r="TKT66" s="4"/>
      <c r="TKU66" s="4"/>
      <c r="TKV66" s="4"/>
      <c r="TKW66" s="4"/>
      <c r="TKX66" s="4"/>
      <c r="TKY66" s="4"/>
      <c r="TKZ66" s="4"/>
      <c r="TLA66" s="4"/>
      <c r="TLB66" s="4"/>
      <c r="TLC66" s="4"/>
      <c r="TLD66" s="4"/>
      <c r="TLE66" s="4"/>
      <c r="TLF66" s="4"/>
      <c r="TLG66" s="4"/>
      <c r="TLH66" s="4"/>
      <c r="TLI66" s="4"/>
      <c r="TLJ66" s="4"/>
      <c r="TLK66" s="4"/>
      <c r="TLL66" s="4"/>
      <c r="TLM66" s="4"/>
      <c r="TLN66" s="4"/>
      <c r="TLO66" s="4"/>
      <c r="TLP66" s="4"/>
      <c r="TLQ66" s="4"/>
      <c r="TLR66" s="4"/>
      <c r="TLS66" s="4"/>
      <c r="TLT66" s="4"/>
      <c r="TLU66" s="4"/>
      <c r="TLV66" s="4"/>
      <c r="TLW66" s="4"/>
      <c r="TLX66" s="4"/>
      <c r="TLY66" s="4"/>
      <c r="TLZ66" s="4"/>
      <c r="TMA66" s="4"/>
      <c r="TMB66" s="4"/>
      <c r="TMC66" s="4"/>
      <c r="TMD66" s="4"/>
      <c r="TME66" s="4"/>
      <c r="TMF66" s="4"/>
      <c r="TMG66" s="4"/>
      <c r="TMH66" s="4"/>
      <c r="TMI66" s="4"/>
      <c r="TMJ66" s="4"/>
      <c r="TMK66" s="4"/>
      <c r="TML66" s="4"/>
      <c r="TMM66" s="4"/>
      <c r="TMN66" s="4"/>
      <c r="TMO66" s="4"/>
      <c r="TMP66" s="4"/>
      <c r="TMQ66" s="4"/>
      <c r="TMR66" s="4"/>
      <c r="TMS66" s="4"/>
      <c r="TMT66" s="4"/>
      <c r="TMU66" s="4"/>
      <c r="TMV66" s="4"/>
      <c r="TMW66" s="4"/>
      <c r="TMX66" s="4"/>
      <c r="TMY66" s="4"/>
      <c r="TMZ66" s="4"/>
      <c r="TNA66" s="4"/>
      <c r="TNB66" s="4"/>
      <c r="TNC66" s="4"/>
      <c r="TND66" s="4"/>
      <c r="TNE66" s="4"/>
      <c r="TNF66" s="4"/>
      <c r="TNG66" s="4"/>
      <c r="TNH66" s="4"/>
      <c r="TNI66" s="4"/>
      <c r="TNJ66" s="4"/>
      <c r="TNK66" s="4"/>
      <c r="TNL66" s="4"/>
      <c r="TNM66" s="4"/>
      <c r="TNN66" s="4"/>
      <c r="TNO66" s="4"/>
      <c r="TNP66" s="4"/>
      <c r="TNQ66" s="4"/>
      <c r="TNR66" s="4"/>
      <c r="TNS66" s="4"/>
      <c r="TNT66" s="4"/>
      <c r="TNU66" s="4"/>
      <c r="TNV66" s="4"/>
      <c r="TNW66" s="4"/>
      <c r="TNX66" s="4"/>
      <c r="TNY66" s="4"/>
      <c r="TNZ66" s="4"/>
      <c r="TOA66" s="4"/>
      <c r="TOB66" s="4"/>
      <c r="TOC66" s="4"/>
      <c r="TOD66" s="4"/>
      <c r="TOE66" s="4"/>
      <c r="TOF66" s="4"/>
      <c r="TOG66" s="4"/>
      <c r="TOH66" s="4"/>
      <c r="TOI66" s="4"/>
      <c r="TOJ66" s="4"/>
      <c r="TOK66" s="4"/>
      <c r="TOL66" s="4"/>
      <c r="TOM66" s="4"/>
      <c r="TON66" s="4"/>
      <c r="TOO66" s="4"/>
      <c r="TOP66" s="4"/>
      <c r="TOQ66" s="4"/>
      <c r="TOR66" s="4"/>
      <c r="TOS66" s="4"/>
      <c r="TOT66" s="4"/>
      <c r="TOU66" s="4"/>
      <c r="TOV66" s="4"/>
      <c r="TOW66" s="4"/>
      <c r="TOX66" s="4"/>
      <c r="TOY66" s="4"/>
      <c r="TOZ66" s="4"/>
      <c r="TPA66" s="4"/>
      <c r="TPB66" s="4"/>
      <c r="TPC66" s="4"/>
      <c r="TPD66" s="4"/>
      <c r="TPE66" s="4"/>
      <c r="TPF66" s="4"/>
      <c r="TPG66" s="4"/>
      <c r="TPH66" s="4"/>
      <c r="TPI66" s="4"/>
      <c r="TPJ66" s="4"/>
      <c r="TPK66" s="4"/>
      <c r="TPL66" s="4"/>
      <c r="TPM66" s="4"/>
      <c r="TPN66" s="4"/>
      <c r="TPO66" s="4"/>
      <c r="TPP66" s="4"/>
      <c r="TPQ66" s="4"/>
      <c r="TPR66" s="4"/>
      <c r="TPS66" s="4"/>
      <c r="TPT66" s="4"/>
      <c r="TPU66" s="4"/>
      <c r="TPV66" s="4"/>
      <c r="TPW66" s="4"/>
      <c r="TPX66" s="4"/>
      <c r="TPY66" s="4"/>
      <c r="TPZ66" s="4"/>
      <c r="TQA66" s="4"/>
      <c r="TQB66" s="4"/>
      <c r="TQC66" s="4"/>
      <c r="TQD66" s="4"/>
      <c r="TQE66" s="4"/>
      <c r="TQF66" s="4"/>
      <c r="TQG66" s="4"/>
      <c r="TQH66" s="4"/>
      <c r="TQI66" s="4"/>
      <c r="TQJ66" s="4"/>
      <c r="TQK66" s="4"/>
      <c r="TQL66" s="4"/>
      <c r="TQM66" s="4"/>
      <c r="TQN66" s="4"/>
      <c r="TQO66" s="4"/>
      <c r="TQP66" s="4"/>
      <c r="TQQ66" s="4"/>
      <c r="TQR66" s="4"/>
      <c r="TQS66" s="4"/>
      <c r="TQT66" s="4"/>
      <c r="TQU66" s="4"/>
      <c r="TQV66" s="4"/>
      <c r="TQW66" s="4"/>
      <c r="TQX66" s="4"/>
      <c r="TQY66" s="4"/>
      <c r="TQZ66" s="4"/>
      <c r="TRA66" s="4"/>
      <c r="TRB66" s="4"/>
      <c r="TRC66" s="4"/>
      <c r="TRD66" s="4"/>
      <c r="TRE66" s="4"/>
      <c r="TRF66" s="4"/>
      <c r="TRG66" s="4"/>
      <c r="TRH66" s="4"/>
      <c r="TRI66" s="4"/>
      <c r="TRJ66" s="4"/>
      <c r="TRK66" s="4"/>
      <c r="TRL66" s="4"/>
      <c r="TRM66" s="4"/>
      <c r="TRN66" s="4"/>
      <c r="TRO66" s="4"/>
      <c r="TRP66" s="4"/>
      <c r="TRQ66" s="4"/>
      <c r="TRR66" s="4"/>
      <c r="TRS66" s="4"/>
      <c r="TRT66" s="4"/>
      <c r="TRU66" s="4"/>
      <c r="TRV66" s="4"/>
      <c r="TRW66" s="4"/>
      <c r="TRX66" s="4"/>
      <c r="TRY66" s="4"/>
      <c r="TRZ66" s="4"/>
      <c r="TSA66" s="4"/>
      <c r="TSB66" s="4"/>
      <c r="TSC66" s="4"/>
      <c r="TSD66" s="4"/>
      <c r="TSE66" s="4"/>
      <c r="TSF66" s="4"/>
      <c r="TSG66" s="4"/>
      <c r="TSH66" s="4"/>
      <c r="TSI66" s="4"/>
      <c r="TSJ66" s="4"/>
      <c r="TSK66" s="4"/>
      <c r="TSL66" s="4"/>
      <c r="TSM66" s="4"/>
      <c r="TSN66" s="4"/>
      <c r="TSO66" s="4"/>
      <c r="TSP66" s="4"/>
      <c r="TSQ66" s="4"/>
      <c r="TSR66" s="4"/>
      <c r="TSS66" s="4"/>
      <c r="TST66" s="4"/>
      <c r="TSU66" s="4"/>
      <c r="TSV66" s="4"/>
      <c r="TSW66" s="4"/>
      <c r="TSX66" s="4"/>
      <c r="TSY66" s="4"/>
      <c r="TSZ66" s="4"/>
      <c r="TTA66" s="4"/>
      <c r="TTB66" s="4"/>
      <c r="TTC66" s="4"/>
      <c r="TTD66" s="4"/>
      <c r="TTE66" s="4"/>
      <c r="TTF66" s="4"/>
      <c r="TTG66" s="4"/>
      <c r="TTH66" s="4"/>
      <c r="TTI66" s="4"/>
      <c r="TTJ66" s="4"/>
      <c r="TTK66" s="4"/>
      <c r="TTL66" s="4"/>
      <c r="TTM66" s="4"/>
      <c r="TTN66" s="4"/>
      <c r="TTO66" s="4"/>
      <c r="TTP66" s="4"/>
      <c r="TTQ66" s="4"/>
      <c r="TTR66" s="4"/>
      <c r="TTS66" s="4"/>
      <c r="TTT66" s="4"/>
      <c r="TTU66" s="4"/>
      <c r="TTV66" s="4"/>
      <c r="TTW66" s="4"/>
      <c r="TTX66" s="4"/>
      <c r="TTY66" s="4"/>
      <c r="TTZ66" s="4"/>
      <c r="TUA66" s="4"/>
      <c r="TUB66" s="4"/>
      <c r="TUC66" s="4"/>
      <c r="TUD66" s="4"/>
      <c r="TUE66" s="4"/>
      <c r="TUF66" s="4"/>
      <c r="TUG66" s="4"/>
      <c r="TUH66" s="4"/>
      <c r="TUI66" s="4"/>
      <c r="TUJ66" s="4"/>
      <c r="TUK66" s="4"/>
      <c r="TUL66" s="4"/>
      <c r="TUM66" s="4"/>
      <c r="TUN66" s="4"/>
      <c r="TUO66" s="4"/>
      <c r="TUP66" s="4"/>
      <c r="TUQ66" s="4"/>
      <c r="TUR66" s="4"/>
      <c r="TUS66" s="4"/>
      <c r="TUT66" s="4"/>
      <c r="TUU66" s="4"/>
      <c r="TUV66" s="4"/>
      <c r="TUW66" s="4"/>
      <c r="TUX66" s="4"/>
      <c r="TUY66" s="4"/>
      <c r="TUZ66" s="4"/>
      <c r="TVA66" s="4"/>
      <c r="TVB66" s="4"/>
      <c r="TVC66" s="4"/>
      <c r="TVD66" s="4"/>
      <c r="TVE66" s="4"/>
      <c r="TVF66" s="4"/>
      <c r="TVG66" s="4"/>
      <c r="TVH66" s="4"/>
      <c r="TVI66" s="4"/>
      <c r="TVJ66" s="4"/>
      <c r="TVK66" s="4"/>
      <c r="TVL66" s="4"/>
      <c r="TVM66" s="4"/>
      <c r="TVN66" s="4"/>
      <c r="TVO66" s="4"/>
      <c r="TVP66" s="4"/>
      <c r="TVQ66" s="4"/>
      <c r="TVR66" s="4"/>
      <c r="TVS66" s="4"/>
      <c r="TVT66" s="4"/>
      <c r="TVU66" s="4"/>
      <c r="TVV66" s="4"/>
      <c r="TVW66" s="4"/>
      <c r="TVX66" s="4"/>
      <c r="TVY66" s="4"/>
      <c r="TVZ66" s="4"/>
      <c r="TWA66" s="4"/>
      <c r="TWB66" s="4"/>
      <c r="TWC66" s="4"/>
      <c r="TWD66" s="4"/>
      <c r="TWE66" s="4"/>
      <c r="TWF66" s="4"/>
      <c r="TWG66" s="4"/>
      <c r="TWH66" s="4"/>
      <c r="TWI66" s="4"/>
      <c r="TWJ66" s="4"/>
      <c r="TWK66" s="4"/>
      <c r="TWL66" s="4"/>
      <c r="TWM66" s="4"/>
      <c r="TWN66" s="4"/>
      <c r="TWO66" s="4"/>
      <c r="TWP66" s="4"/>
      <c r="TWQ66" s="4"/>
      <c r="TWR66" s="4"/>
      <c r="TWS66" s="4"/>
      <c r="TWT66" s="4"/>
      <c r="TWU66" s="4"/>
      <c r="TWV66" s="4"/>
      <c r="TWW66" s="4"/>
      <c r="TWX66" s="4"/>
      <c r="TWY66" s="4"/>
      <c r="TWZ66" s="4"/>
      <c r="TXA66" s="4"/>
      <c r="TXB66" s="4"/>
      <c r="TXC66" s="4"/>
      <c r="TXD66" s="4"/>
      <c r="TXE66" s="4"/>
      <c r="TXF66" s="4"/>
      <c r="TXG66" s="4"/>
      <c r="TXH66" s="4"/>
      <c r="TXI66" s="4"/>
      <c r="TXJ66" s="4"/>
      <c r="TXK66" s="4"/>
      <c r="TXL66" s="4"/>
      <c r="TXM66" s="4"/>
      <c r="TXN66" s="4"/>
      <c r="TXO66" s="4"/>
      <c r="TXP66" s="4"/>
      <c r="TXQ66" s="4"/>
      <c r="TXR66" s="4"/>
      <c r="TXS66" s="4"/>
      <c r="TXT66" s="4"/>
      <c r="TXU66" s="4"/>
      <c r="TXV66" s="4"/>
      <c r="TXW66" s="4"/>
      <c r="TXX66" s="4"/>
      <c r="TXY66" s="4"/>
      <c r="TXZ66" s="4"/>
      <c r="TYA66" s="4"/>
      <c r="TYB66" s="4"/>
      <c r="TYC66" s="4"/>
      <c r="TYD66" s="4"/>
      <c r="TYE66" s="4"/>
      <c r="TYF66" s="4"/>
      <c r="TYG66" s="4"/>
      <c r="TYH66" s="4"/>
      <c r="TYI66" s="4"/>
      <c r="TYJ66" s="4"/>
      <c r="TYK66" s="4"/>
      <c r="TYL66" s="4"/>
      <c r="TYM66" s="4"/>
      <c r="TYN66" s="4"/>
      <c r="TYO66" s="4"/>
      <c r="TYP66" s="4"/>
      <c r="TYQ66" s="4"/>
      <c r="TYR66" s="4"/>
      <c r="TYS66" s="4"/>
      <c r="TYT66" s="4"/>
      <c r="TYU66" s="4"/>
      <c r="TYV66" s="4"/>
      <c r="TYW66" s="4"/>
      <c r="TYX66" s="4"/>
      <c r="TYY66" s="4"/>
      <c r="TYZ66" s="4"/>
      <c r="TZA66" s="4"/>
      <c r="TZB66" s="4"/>
      <c r="TZC66" s="4"/>
      <c r="TZD66" s="4"/>
      <c r="TZE66" s="4"/>
      <c r="TZF66" s="4"/>
      <c r="TZG66" s="4"/>
      <c r="TZH66" s="4"/>
      <c r="TZI66" s="4"/>
      <c r="TZJ66" s="4"/>
      <c r="TZK66" s="4"/>
      <c r="TZL66" s="4"/>
      <c r="TZM66" s="4"/>
      <c r="TZN66" s="4"/>
      <c r="TZO66" s="4"/>
      <c r="TZP66" s="4"/>
      <c r="TZQ66" s="4"/>
      <c r="TZR66" s="4"/>
      <c r="TZS66" s="4"/>
      <c r="TZT66" s="4"/>
      <c r="TZU66" s="4"/>
      <c r="TZV66" s="4"/>
      <c r="TZW66" s="4"/>
      <c r="TZX66" s="4"/>
      <c r="TZY66" s="4"/>
      <c r="TZZ66" s="4"/>
      <c r="UAA66" s="4"/>
      <c r="UAB66" s="4"/>
      <c r="UAC66" s="4"/>
      <c r="UAD66" s="4"/>
      <c r="UAE66" s="4"/>
      <c r="UAF66" s="4"/>
      <c r="UAG66" s="4"/>
      <c r="UAH66" s="4"/>
      <c r="UAI66" s="4"/>
      <c r="UAJ66" s="4"/>
      <c r="UAK66" s="4"/>
      <c r="UAL66" s="4"/>
      <c r="UAM66" s="4"/>
      <c r="UAN66" s="4"/>
      <c r="UAO66" s="4"/>
      <c r="UAP66" s="4"/>
      <c r="UAQ66" s="4"/>
      <c r="UAR66" s="4"/>
      <c r="UAS66" s="4"/>
      <c r="UAT66" s="4"/>
      <c r="UAU66" s="4"/>
      <c r="UAV66" s="4"/>
      <c r="UAW66" s="4"/>
      <c r="UAX66" s="4"/>
      <c r="UAY66" s="4"/>
      <c r="UAZ66" s="4"/>
      <c r="UBA66" s="4"/>
      <c r="UBB66" s="4"/>
      <c r="UBC66" s="4"/>
      <c r="UBD66" s="4"/>
      <c r="UBE66" s="4"/>
      <c r="UBF66" s="4"/>
      <c r="UBG66" s="4"/>
      <c r="UBH66" s="4"/>
      <c r="UBI66" s="4"/>
      <c r="UBJ66" s="4"/>
      <c r="UBK66" s="4"/>
      <c r="UBL66" s="4"/>
      <c r="UBM66" s="4"/>
      <c r="UBN66" s="4"/>
      <c r="UBO66" s="4"/>
      <c r="UBP66" s="4"/>
      <c r="UBQ66" s="4"/>
      <c r="UBR66" s="4"/>
      <c r="UBS66" s="4"/>
      <c r="UBT66" s="4"/>
      <c r="UBU66" s="4"/>
      <c r="UBV66" s="4"/>
      <c r="UBW66" s="4"/>
      <c r="UBX66" s="4"/>
      <c r="UBY66" s="4"/>
      <c r="UBZ66" s="4"/>
      <c r="UCA66" s="4"/>
      <c r="UCB66" s="4"/>
      <c r="UCC66" s="4"/>
      <c r="UCD66" s="4"/>
      <c r="UCE66" s="4"/>
      <c r="UCF66" s="4"/>
      <c r="UCG66" s="4"/>
      <c r="UCH66" s="4"/>
      <c r="UCI66" s="4"/>
      <c r="UCJ66" s="4"/>
      <c r="UCK66" s="4"/>
      <c r="UCL66" s="4"/>
      <c r="UCM66" s="4"/>
      <c r="UCN66" s="4"/>
      <c r="UCO66" s="4"/>
      <c r="UCP66" s="4"/>
      <c r="UCQ66" s="4"/>
      <c r="UCR66" s="4"/>
      <c r="UCS66" s="4"/>
      <c r="UCT66" s="4"/>
      <c r="UCU66" s="4"/>
      <c r="UCV66" s="4"/>
      <c r="UCW66" s="4"/>
      <c r="UCX66" s="4"/>
      <c r="UCY66" s="4"/>
      <c r="UCZ66" s="4"/>
      <c r="UDA66" s="4"/>
      <c r="UDB66" s="4"/>
      <c r="UDC66" s="4"/>
      <c r="UDD66" s="4"/>
      <c r="UDE66" s="4"/>
      <c r="UDF66" s="4"/>
      <c r="UDG66" s="4"/>
      <c r="UDH66" s="4"/>
      <c r="UDI66" s="4"/>
      <c r="UDJ66" s="4"/>
      <c r="UDK66" s="4"/>
      <c r="UDL66" s="4"/>
      <c r="UDM66" s="4"/>
      <c r="UDN66" s="4"/>
      <c r="UDO66" s="4"/>
      <c r="UDP66" s="4"/>
      <c r="UDQ66" s="4"/>
      <c r="UDR66" s="4"/>
      <c r="UDS66" s="4"/>
      <c r="UDT66" s="4"/>
      <c r="UDU66" s="4"/>
      <c r="UDV66" s="4"/>
      <c r="UDW66" s="4"/>
      <c r="UDX66" s="4"/>
      <c r="UDY66" s="4"/>
      <c r="UDZ66" s="4"/>
      <c r="UEA66" s="4"/>
      <c r="UEB66" s="4"/>
      <c r="UEC66" s="4"/>
      <c r="UED66" s="4"/>
      <c r="UEE66" s="4"/>
      <c r="UEF66" s="4"/>
      <c r="UEG66" s="4"/>
      <c r="UEH66" s="4"/>
      <c r="UEI66" s="4"/>
      <c r="UEJ66" s="4"/>
      <c r="UEK66" s="4"/>
      <c r="UEL66" s="4"/>
      <c r="UEM66" s="4"/>
      <c r="UEN66" s="4"/>
      <c r="UEO66" s="4"/>
      <c r="UEP66" s="4"/>
      <c r="UEQ66" s="4"/>
      <c r="UER66" s="4"/>
      <c r="UES66" s="4"/>
      <c r="UET66" s="4"/>
      <c r="UEU66" s="4"/>
      <c r="UEV66" s="4"/>
      <c r="UEW66" s="4"/>
      <c r="UEX66" s="4"/>
      <c r="UEY66" s="4"/>
      <c r="UEZ66" s="4"/>
      <c r="UFA66" s="4"/>
      <c r="UFB66" s="4"/>
      <c r="UFC66" s="4"/>
      <c r="UFD66" s="4"/>
      <c r="UFE66" s="4"/>
      <c r="UFF66" s="4"/>
      <c r="UFG66" s="4"/>
      <c r="UFH66" s="4"/>
      <c r="UFI66" s="4"/>
      <c r="UFJ66" s="4"/>
      <c r="UFK66" s="4"/>
      <c r="UFL66" s="4"/>
      <c r="UFM66" s="4"/>
      <c r="UFN66" s="4"/>
      <c r="UFO66" s="4"/>
      <c r="UFP66" s="4"/>
      <c r="UFQ66" s="4"/>
      <c r="UFR66" s="4"/>
      <c r="UFS66" s="4"/>
      <c r="UFT66" s="4"/>
      <c r="UFU66" s="4"/>
      <c r="UFV66" s="4"/>
      <c r="UFW66" s="4"/>
      <c r="UFX66" s="4"/>
      <c r="UFY66" s="4"/>
      <c r="UFZ66" s="4"/>
      <c r="UGA66" s="4"/>
      <c r="UGB66" s="4"/>
      <c r="UGC66" s="4"/>
      <c r="UGD66" s="4"/>
      <c r="UGE66" s="4"/>
      <c r="UGF66" s="4"/>
      <c r="UGG66" s="4"/>
      <c r="UGH66" s="4"/>
      <c r="UGI66" s="4"/>
      <c r="UGJ66" s="4"/>
      <c r="UGK66" s="4"/>
      <c r="UGL66" s="4"/>
      <c r="UGM66" s="4"/>
      <c r="UGN66" s="4"/>
      <c r="UGO66" s="4"/>
      <c r="UGP66" s="4"/>
      <c r="UGQ66" s="4"/>
      <c r="UGR66" s="4"/>
      <c r="UGS66" s="4"/>
      <c r="UGT66" s="4"/>
      <c r="UGU66" s="4"/>
      <c r="UGV66" s="4"/>
      <c r="UGW66" s="4"/>
      <c r="UGX66" s="4"/>
      <c r="UGY66" s="4"/>
      <c r="UGZ66" s="4"/>
      <c r="UHA66" s="4"/>
      <c r="UHB66" s="4"/>
      <c r="UHC66" s="4"/>
      <c r="UHD66" s="4"/>
      <c r="UHE66" s="4"/>
      <c r="UHF66" s="4"/>
      <c r="UHG66" s="4"/>
      <c r="UHH66" s="4"/>
      <c r="UHI66" s="4"/>
      <c r="UHJ66" s="4"/>
      <c r="UHK66" s="4"/>
      <c r="UHL66" s="4"/>
      <c r="UHM66" s="4"/>
      <c r="UHN66" s="4"/>
      <c r="UHO66" s="4"/>
      <c r="UHP66" s="4"/>
      <c r="UHQ66" s="4"/>
      <c r="UHR66" s="4"/>
      <c r="UHS66" s="4"/>
      <c r="UHT66" s="4"/>
      <c r="UHU66" s="4"/>
      <c r="UHV66" s="4"/>
      <c r="UHW66" s="4"/>
      <c r="UHX66" s="4"/>
      <c r="UHY66" s="4"/>
      <c r="UHZ66" s="4"/>
      <c r="UIA66" s="4"/>
      <c r="UIB66" s="4"/>
      <c r="UIC66" s="4"/>
      <c r="UID66" s="4"/>
      <c r="UIE66" s="4"/>
      <c r="UIF66" s="4"/>
      <c r="UIG66" s="4"/>
      <c r="UIH66" s="4"/>
      <c r="UII66" s="4"/>
      <c r="UIJ66" s="4"/>
      <c r="UIK66" s="4"/>
      <c r="UIL66" s="4"/>
      <c r="UIM66" s="4"/>
      <c r="UIN66" s="4"/>
      <c r="UIO66" s="4"/>
      <c r="UIP66" s="4"/>
      <c r="UIQ66" s="4"/>
      <c r="UIR66" s="4"/>
      <c r="UIS66" s="4"/>
      <c r="UIT66" s="4"/>
      <c r="UIU66" s="4"/>
      <c r="UIV66" s="4"/>
      <c r="UIW66" s="4"/>
      <c r="UIX66" s="4"/>
      <c r="UIY66" s="4"/>
      <c r="UIZ66" s="4"/>
      <c r="UJA66" s="4"/>
      <c r="UJB66" s="4"/>
      <c r="UJC66" s="4"/>
      <c r="UJD66" s="4"/>
      <c r="UJE66" s="4"/>
      <c r="UJF66" s="4"/>
      <c r="UJG66" s="4"/>
      <c r="UJH66" s="4"/>
      <c r="UJI66" s="4"/>
      <c r="UJJ66" s="4"/>
      <c r="UJK66" s="4"/>
      <c r="UJL66" s="4"/>
      <c r="UJM66" s="4"/>
      <c r="UJN66" s="4"/>
      <c r="UJO66" s="4"/>
      <c r="UJP66" s="4"/>
      <c r="UJQ66" s="4"/>
      <c r="UJR66" s="4"/>
      <c r="UJS66" s="4"/>
      <c r="UJT66" s="4"/>
      <c r="UJU66" s="4"/>
      <c r="UJV66" s="4"/>
      <c r="UJW66" s="4"/>
      <c r="UJX66" s="4"/>
      <c r="UJY66" s="4"/>
      <c r="UJZ66" s="4"/>
      <c r="UKA66" s="4"/>
      <c r="UKB66" s="4"/>
      <c r="UKC66" s="4"/>
      <c r="UKD66" s="4"/>
      <c r="UKE66" s="4"/>
      <c r="UKF66" s="4"/>
      <c r="UKG66" s="4"/>
      <c r="UKH66" s="4"/>
      <c r="UKI66" s="4"/>
      <c r="UKJ66" s="4"/>
      <c r="UKK66" s="4"/>
      <c r="UKL66" s="4"/>
      <c r="UKM66" s="4"/>
      <c r="UKN66" s="4"/>
      <c r="UKO66" s="4"/>
      <c r="UKP66" s="4"/>
      <c r="UKQ66" s="4"/>
      <c r="UKR66" s="4"/>
      <c r="UKS66" s="4"/>
      <c r="UKT66" s="4"/>
      <c r="UKU66" s="4"/>
      <c r="UKV66" s="4"/>
      <c r="UKW66" s="4"/>
      <c r="UKX66" s="4"/>
      <c r="UKY66" s="4"/>
      <c r="UKZ66" s="4"/>
      <c r="ULA66" s="4"/>
      <c r="ULB66" s="4"/>
      <c r="ULC66" s="4"/>
      <c r="ULD66" s="4"/>
      <c r="ULE66" s="4"/>
      <c r="ULF66" s="4"/>
      <c r="ULG66" s="4"/>
      <c r="ULH66" s="4"/>
      <c r="ULI66" s="4"/>
      <c r="ULJ66" s="4"/>
      <c r="ULK66" s="4"/>
      <c r="ULL66" s="4"/>
      <c r="ULM66" s="4"/>
      <c r="ULN66" s="4"/>
      <c r="ULO66" s="4"/>
      <c r="ULP66" s="4"/>
      <c r="ULQ66" s="4"/>
      <c r="ULR66" s="4"/>
      <c r="ULS66" s="4"/>
      <c r="ULT66" s="4"/>
      <c r="ULU66" s="4"/>
      <c r="ULV66" s="4"/>
      <c r="ULW66" s="4"/>
      <c r="ULX66" s="4"/>
      <c r="ULY66" s="4"/>
      <c r="ULZ66" s="4"/>
      <c r="UMA66" s="4"/>
      <c r="UMB66" s="4"/>
      <c r="UMC66" s="4"/>
      <c r="UMD66" s="4"/>
      <c r="UME66" s="4"/>
      <c r="UMF66" s="4"/>
      <c r="UMG66" s="4"/>
      <c r="UMH66" s="4"/>
      <c r="UMI66" s="4"/>
      <c r="UMJ66" s="4"/>
      <c r="UMK66" s="4"/>
      <c r="UML66" s="4"/>
      <c r="UMM66" s="4"/>
      <c r="UMN66" s="4"/>
      <c r="UMO66" s="4"/>
      <c r="UMP66" s="4"/>
      <c r="UMQ66" s="4"/>
      <c r="UMR66" s="4"/>
      <c r="UMS66" s="4"/>
      <c r="UMT66" s="4"/>
      <c r="UMU66" s="4"/>
      <c r="UMV66" s="4"/>
      <c r="UMW66" s="4"/>
      <c r="UMX66" s="4"/>
      <c r="UMY66" s="4"/>
      <c r="UMZ66" s="4"/>
      <c r="UNA66" s="4"/>
      <c r="UNB66" s="4"/>
      <c r="UNC66" s="4"/>
      <c r="UND66" s="4"/>
      <c r="UNE66" s="4"/>
      <c r="UNF66" s="4"/>
      <c r="UNG66" s="4"/>
      <c r="UNH66" s="4"/>
      <c r="UNI66" s="4"/>
      <c r="UNJ66" s="4"/>
      <c r="UNK66" s="4"/>
      <c r="UNL66" s="4"/>
      <c r="UNM66" s="4"/>
      <c r="UNN66" s="4"/>
      <c r="UNO66" s="4"/>
      <c r="UNP66" s="4"/>
      <c r="UNQ66" s="4"/>
      <c r="UNR66" s="4"/>
      <c r="UNS66" s="4"/>
      <c r="UNT66" s="4"/>
      <c r="UNU66" s="4"/>
      <c r="UNV66" s="4"/>
      <c r="UNW66" s="4"/>
      <c r="UNX66" s="4"/>
      <c r="UNY66" s="4"/>
      <c r="UNZ66" s="4"/>
      <c r="UOA66" s="4"/>
      <c r="UOB66" s="4"/>
      <c r="UOC66" s="4"/>
      <c r="UOD66" s="4"/>
      <c r="UOE66" s="4"/>
      <c r="UOF66" s="4"/>
      <c r="UOG66" s="4"/>
      <c r="UOH66" s="4"/>
      <c r="UOI66" s="4"/>
      <c r="UOJ66" s="4"/>
      <c r="UOK66" s="4"/>
      <c r="UOL66" s="4"/>
      <c r="UOM66" s="4"/>
      <c r="UON66" s="4"/>
      <c r="UOO66" s="4"/>
      <c r="UOP66" s="4"/>
      <c r="UOQ66" s="4"/>
      <c r="UOR66" s="4"/>
      <c r="UOS66" s="4"/>
      <c r="UOT66" s="4"/>
      <c r="UOU66" s="4"/>
      <c r="UOV66" s="4"/>
      <c r="UOW66" s="4"/>
      <c r="UOX66" s="4"/>
      <c r="UOY66" s="4"/>
      <c r="UOZ66" s="4"/>
      <c r="UPA66" s="4"/>
      <c r="UPB66" s="4"/>
      <c r="UPC66" s="4"/>
      <c r="UPD66" s="4"/>
      <c r="UPE66" s="4"/>
      <c r="UPF66" s="4"/>
      <c r="UPG66" s="4"/>
      <c r="UPH66" s="4"/>
      <c r="UPI66" s="4"/>
      <c r="UPJ66" s="4"/>
      <c r="UPK66" s="4"/>
      <c r="UPL66" s="4"/>
      <c r="UPM66" s="4"/>
      <c r="UPN66" s="4"/>
      <c r="UPO66" s="4"/>
      <c r="UPP66" s="4"/>
      <c r="UPQ66" s="4"/>
      <c r="UPR66" s="4"/>
      <c r="UPS66" s="4"/>
      <c r="UPT66" s="4"/>
      <c r="UPU66" s="4"/>
      <c r="UPV66" s="4"/>
      <c r="UPW66" s="4"/>
      <c r="UPX66" s="4"/>
      <c r="UPY66" s="4"/>
      <c r="UPZ66" s="4"/>
      <c r="UQA66" s="4"/>
      <c r="UQB66" s="4"/>
      <c r="UQC66" s="4"/>
      <c r="UQD66" s="4"/>
      <c r="UQE66" s="4"/>
      <c r="UQF66" s="4"/>
      <c r="UQG66" s="4"/>
      <c r="UQH66" s="4"/>
      <c r="UQI66" s="4"/>
      <c r="UQJ66" s="4"/>
      <c r="UQK66" s="4"/>
      <c r="UQL66" s="4"/>
      <c r="UQM66" s="4"/>
      <c r="UQN66" s="4"/>
      <c r="UQO66" s="4"/>
      <c r="UQP66" s="4"/>
      <c r="UQQ66" s="4"/>
      <c r="UQR66" s="4"/>
      <c r="UQS66" s="4"/>
      <c r="UQT66" s="4"/>
      <c r="UQU66" s="4"/>
      <c r="UQV66" s="4"/>
      <c r="UQW66" s="4"/>
      <c r="UQX66" s="4"/>
      <c r="UQY66" s="4"/>
      <c r="UQZ66" s="4"/>
      <c r="URA66" s="4"/>
      <c r="URB66" s="4"/>
      <c r="URC66" s="4"/>
      <c r="URD66" s="4"/>
      <c r="URE66" s="4"/>
      <c r="URF66" s="4"/>
      <c r="URG66" s="4"/>
      <c r="URH66" s="4"/>
      <c r="URI66" s="4"/>
      <c r="URJ66" s="4"/>
      <c r="URK66" s="4"/>
      <c r="URL66" s="4"/>
      <c r="URM66" s="4"/>
      <c r="URN66" s="4"/>
      <c r="URO66" s="4"/>
      <c r="URP66" s="4"/>
      <c r="URQ66" s="4"/>
      <c r="URR66" s="4"/>
      <c r="URS66" s="4"/>
      <c r="URT66" s="4"/>
      <c r="URU66" s="4"/>
      <c r="URV66" s="4"/>
      <c r="URW66" s="4"/>
      <c r="URX66" s="4"/>
      <c r="URY66" s="4"/>
      <c r="URZ66" s="4"/>
      <c r="USA66" s="4"/>
      <c r="USB66" s="4"/>
      <c r="USC66" s="4"/>
      <c r="USD66" s="4"/>
      <c r="USE66" s="4"/>
      <c r="USF66" s="4"/>
      <c r="USG66" s="4"/>
      <c r="USH66" s="4"/>
      <c r="USI66" s="4"/>
      <c r="USJ66" s="4"/>
      <c r="USK66" s="4"/>
      <c r="USL66" s="4"/>
      <c r="USM66" s="4"/>
      <c r="USN66" s="4"/>
      <c r="USO66" s="4"/>
      <c r="USP66" s="4"/>
      <c r="USQ66" s="4"/>
      <c r="USR66" s="4"/>
      <c r="USS66" s="4"/>
      <c r="UST66" s="4"/>
      <c r="USU66" s="4"/>
      <c r="USV66" s="4"/>
      <c r="USW66" s="4"/>
      <c r="USX66" s="4"/>
      <c r="USY66" s="4"/>
      <c r="USZ66" s="4"/>
      <c r="UTA66" s="4"/>
      <c r="UTB66" s="4"/>
      <c r="UTC66" s="4"/>
      <c r="UTD66" s="4"/>
      <c r="UTE66" s="4"/>
      <c r="UTF66" s="4"/>
      <c r="UTG66" s="4"/>
      <c r="UTH66" s="4"/>
      <c r="UTI66" s="4"/>
      <c r="UTJ66" s="4"/>
      <c r="UTK66" s="4"/>
      <c r="UTL66" s="4"/>
      <c r="UTM66" s="4"/>
      <c r="UTN66" s="4"/>
      <c r="UTO66" s="4"/>
      <c r="UTP66" s="4"/>
      <c r="UTQ66" s="4"/>
      <c r="UTR66" s="4"/>
      <c r="UTS66" s="4"/>
      <c r="UTT66" s="4"/>
      <c r="UTU66" s="4"/>
      <c r="UTV66" s="4"/>
      <c r="UTW66" s="4"/>
      <c r="UTX66" s="4"/>
      <c r="UTY66" s="4"/>
      <c r="UTZ66" s="4"/>
      <c r="UUA66" s="4"/>
      <c r="UUB66" s="4"/>
      <c r="UUC66" s="4"/>
      <c r="UUD66" s="4"/>
      <c r="UUE66" s="4"/>
      <c r="UUF66" s="4"/>
      <c r="UUG66" s="4"/>
      <c r="UUH66" s="4"/>
      <c r="UUI66" s="4"/>
      <c r="UUJ66" s="4"/>
      <c r="UUK66" s="4"/>
      <c r="UUL66" s="4"/>
      <c r="UUM66" s="4"/>
      <c r="UUN66" s="4"/>
      <c r="UUO66" s="4"/>
      <c r="UUP66" s="4"/>
      <c r="UUQ66" s="4"/>
      <c r="UUR66" s="4"/>
      <c r="UUS66" s="4"/>
      <c r="UUT66" s="4"/>
      <c r="UUU66" s="4"/>
      <c r="UUV66" s="4"/>
      <c r="UUW66" s="4"/>
      <c r="UUX66" s="4"/>
      <c r="UUY66" s="4"/>
      <c r="UUZ66" s="4"/>
      <c r="UVA66" s="4"/>
      <c r="UVB66" s="4"/>
      <c r="UVC66" s="4"/>
      <c r="UVD66" s="4"/>
      <c r="UVE66" s="4"/>
      <c r="UVF66" s="4"/>
      <c r="UVG66" s="4"/>
      <c r="UVH66" s="4"/>
      <c r="UVI66" s="4"/>
      <c r="UVJ66" s="4"/>
      <c r="UVK66" s="4"/>
      <c r="UVL66" s="4"/>
      <c r="UVM66" s="4"/>
      <c r="UVN66" s="4"/>
      <c r="UVO66" s="4"/>
      <c r="UVP66" s="4"/>
      <c r="UVQ66" s="4"/>
      <c r="UVR66" s="4"/>
      <c r="UVS66" s="4"/>
      <c r="UVT66" s="4"/>
      <c r="UVU66" s="4"/>
      <c r="UVV66" s="4"/>
      <c r="UVW66" s="4"/>
      <c r="UVX66" s="4"/>
      <c r="UVY66" s="4"/>
      <c r="UVZ66" s="4"/>
      <c r="UWA66" s="4"/>
      <c r="UWB66" s="4"/>
      <c r="UWC66" s="4"/>
      <c r="UWD66" s="4"/>
      <c r="UWE66" s="4"/>
      <c r="UWF66" s="4"/>
      <c r="UWG66" s="4"/>
      <c r="UWH66" s="4"/>
      <c r="UWI66" s="4"/>
      <c r="UWJ66" s="4"/>
      <c r="UWK66" s="4"/>
      <c r="UWL66" s="4"/>
      <c r="UWM66" s="4"/>
      <c r="UWN66" s="4"/>
      <c r="UWO66" s="4"/>
      <c r="UWP66" s="4"/>
      <c r="UWQ66" s="4"/>
      <c r="UWR66" s="4"/>
      <c r="UWS66" s="4"/>
      <c r="UWT66" s="4"/>
      <c r="UWU66" s="4"/>
      <c r="UWV66" s="4"/>
      <c r="UWW66" s="4"/>
      <c r="UWX66" s="4"/>
      <c r="UWY66" s="4"/>
      <c r="UWZ66" s="4"/>
      <c r="UXA66" s="4"/>
      <c r="UXB66" s="4"/>
      <c r="UXC66" s="4"/>
      <c r="UXD66" s="4"/>
      <c r="UXE66" s="4"/>
      <c r="UXF66" s="4"/>
      <c r="UXG66" s="4"/>
      <c r="UXH66" s="4"/>
      <c r="UXI66" s="4"/>
      <c r="UXJ66" s="4"/>
      <c r="UXK66" s="4"/>
      <c r="UXL66" s="4"/>
      <c r="UXM66" s="4"/>
      <c r="UXN66" s="4"/>
      <c r="UXO66" s="4"/>
      <c r="UXP66" s="4"/>
      <c r="UXQ66" s="4"/>
      <c r="UXR66" s="4"/>
      <c r="UXS66" s="4"/>
      <c r="UXT66" s="4"/>
      <c r="UXU66" s="4"/>
      <c r="UXV66" s="4"/>
      <c r="UXW66" s="4"/>
      <c r="UXX66" s="4"/>
      <c r="UXY66" s="4"/>
      <c r="UXZ66" s="4"/>
      <c r="UYA66" s="4"/>
      <c r="UYB66" s="4"/>
      <c r="UYC66" s="4"/>
      <c r="UYD66" s="4"/>
      <c r="UYE66" s="4"/>
      <c r="UYF66" s="4"/>
      <c r="UYG66" s="4"/>
      <c r="UYH66" s="4"/>
      <c r="UYI66" s="4"/>
      <c r="UYJ66" s="4"/>
      <c r="UYK66" s="4"/>
      <c r="UYL66" s="4"/>
      <c r="UYM66" s="4"/>
      <c r="UYN66" s="4"/>
      <c r="UYO66" s="4"/>
      <c r="UYP66" s="4"/>
      <c r="UYQ66" s="4"/>
      <c r="UYR66" s="4"/>
      <c r="UYS66" s="4"/>
      <c r="UYT66" s="4"/>
      <c r="UYU66" s="4"/>
      <c r="UYV66" s="4"/>
      <c r="UYW66" s="4"/>
      <c r="UYX66" s="4"/>
      <c r="UYY66" s="4"/>
      <c r="UYZ66" s="4"/>
      <c r="UZA66" s="4"/>
      <c r="UZB66" s="4"/>
      <c r="UZC66" s="4"/>
      <c r="UZD66" s="4"/>
      <c r="UZE66" s="4"/>
      <c r="UZF66" s="4"/>
      <c r="UZG66" s="4"/>
      <c r="UZH66" s="4"/>
      <c r="UZI66" s="4"/>
      <c r="UZJ66" s="4"/>
      <c r="UZK66" s="4"/>
      <c r="UZL66" s="4"/>
      <c r="UZM66" s="4"/>
      <c r="UZN66" s="4"/>
      <c r="UZO66" s="4"/>
      <c r="UZP66" s="4"/>
      <c r="UZQ66" s="4"/>
      <c r="UZR66" s="4"/>
      <c r="UZS66" s="4"/>
      <c r="UZT66" s="4"/>
      <c r="UZU66" s="4"/>
      <c r="UZV66" s="4"/>
      <c r="UZW66" s="4"/>
      <c r="UZX66" s="4"/>
      <c r="UZY66" s="4"/>
      <c r="UZZ66" s="4"/>
      <c r="VAA66" s="4"/>
      <c r="VAB66" s="4"/>
      <c r="VAC66" s="4"/>
      <c r="VAD66" s="4"/>
      <c r="VAE66" s="4"/>
      <c r="VAF66" s="4"/>
      <c r="VAG66" s="4"/>
      <c r="VAH66" s="4"/>
      <c r="VAI66" s="4"/>
      <c r="VAJ66" s="4"/>
      <c r="VAK66" s="4"/>
      <c r="VAL66" s="4"/>
      <c r="VAM66" s="4"/>
      <c r="VAN66" s="4"/>
      <c r="VAO66" s="4"/>
      <c r="VAP66" s="4"/>
      <c r="VAQ66" s="4"/>
      <c r="VAR66" s="4"/>
      <c r="VAS66" s="4"/>
      <c r="VAT66" s="4"/>
      <c r="VAU66" s="4"/>
      <c r="VAV66" s="4"/>
      <c r="VAW66" s="4"/>
      <c r="VAX66" s="4"/>
      <c r="VAY66" s="4"/>
      <c r="VAZ66" s="4"/>
      <c r="VBA66" s="4"/>
      <c r="VBB66" s="4"/>
      <c r="VBC66" s="4"/>
      <c r="VBD66" s="4"/>
      <c r="VBE66" s="4"/>
      <c r="VBF66" s="4"/>
      <c r="VBG66" s="4"/>
      <c r="VBH66" s="4"/>
      <c r="VBI66" s="4"/>
      <c r="VBJ66" s="4"/>
      <c r="VBK66" s="4"/>
      <c r="VBL66" s="4"/>
      <c r="VBM66" s="4"/>
      <c r="VBN66" s="4"/>
      <c r="VBO66" s="4"/>
      <c r="VBP66" s="4"/>
      <c r="VBQ66" s="4"/>
      <c r="VBR66" s="4"/>
      <c r="VBS66" s="4"/>
      <c r="VBT66" s="4"/>
      <c r="VBU66" s="4"/>
      <c r="VBV66" s="4"/>
      <c r="VBW66" s="4"/>
      <c r="VBX66" s="4"/>
      <c r="VBY66" s="4"/>
      <c r="VBZ66" s="4"/>
      <c r="VCA66" s="4"/>
      <c r="VCB66" s="4"/>
      <c r="VCC66" s="4"/>
      <c r="VCD66" s="4"/>
      <c r="VCE66" s="4"/>
      <c r="VCF66" s="4"/>
      <c r="VCG66" s="4"/>
      <c r="VCH66" s="4"/>
      <c r="VCI66" s="4"/>
      <c r="VCJ66" s="4"/>
      <c r="VCK66" s="4"/>
      <c r="VCL66" s="4"/>
      <c r="VCM66" s="4"/>
      <c r="VCN66" s="4"/>
      <c r="VCO66" s="4"/>
      <c r="VCP66" s="4"/>
      <c r="VCQ66" s="4"/>
      <c r="VCR66" s="4"/>
      <c r="VCS66" s="4"/>
      <c r="VCT66" s="4"/>
      <c r="VCU66" s="4"/>
      <c r="VCV66" s="4"/>
      <c r="VCW66" s="4"/>
      <c r="VCX66" s="4"/>
      <c r="VCY66" s="4"/>
      <c r="VCZ66" s="4"/>
      <c r="VDA66" s="4"/>
      <c r="VDB66" s="4"/>
      <c r="VDC66" s="4"/>
      <c r="VDD66" s="4"/>
      <c r="VDE66" s="4"/>
      <c r="VDF66" s="4"/>
      <c r="VDG66" s="4"/>
      <c r="VDH66" s="4"/>
      <c r="VDI66" s="4"/>
      <c r="VDJ66" s="4"/>
      <c r="VDK66" s="4"/>
      <c r="VDL66" s="4"/>
      <c r="VDM66" s="4"/>
      <c r="VDN66" s="4"/>
      <c r="VDO66" s="4"/>
      <c r="VDP66" s="4"/>
      <c r="VDQ66" s="4"/>
      <c r="VDR66" s="4"/>
      <c r="VDS66" s="4"/>
      <c r="VDT66" s="4"/>
      <c r="VDU66" s="4"/>
      <c r="VDV66" s="4"/>
      <c r="VDW66" s="4"/>
      <c r="VDX66" s="4"/>
      <c r="VDY66" s="4"/>
      <c r="VDZ66" s="4"/>
      <c r="VEA66" s="4"/>
      <c r="VEB66" s="4"/>
      <c r="VEC66" s="4"/>
      <c r="VED66" s="4"/>
      <c r="VEE66" s="4"/>
      <c r="VEF66" s="4"/>
      <c r="VEG66" s="4"/>
      <c r="VEH66" s="4"/>
      <c r="VEI66" s="4"/>
      <c r="VEJ66" s="4"/>
      <c r="VEK66" s="4"/>
      <c r="VEL66" s="4"/>
      <c r="VEM66" s="4"/>
      <c r="VEN66" s="4"/>
      <c r="VEO66" s="4"/>
      <c r="VEP66" s="4"/>
      <c r="VEQ66" s="4"/>
      <c r="VER66" s="4"/>
      <c r="VES66" s="4"/>
      <c r="VET66" s="4"/>
      <c r="VEU66" s="4"/>
      <c r="VEV66" s="4"/>
      <c r="VEW66" s="4"/>
      <c r="VEX66" s="4"/>
      <c r="VEY66" s="4"/>
      <c r="VEZ66" s="4"/>
      <c r="VFA66" s="4"/>
      <c r="VFB66" s="4"/>
      <c r="VFC66" s="4"/>
      <c r="VFD66" s="4"/>
      <c r="VFE66" s="4"/>
      <c r="VFF66" s="4"/>
      <c r="VFG66" s="4"/>
      <c r="VFH66" s="4"/>
      <c r="VFI66" s="4"/>
      <c r="VFJ66" s="4"/>
      <c r="VFK66" s="4"/>
      <c r="VFL66" s="4"/>
      <c r="VFM66" s="4"/>
      <c r="VFN66" s="4"/>
      <c r="VFO66" s="4"/>
      <c r="VFP66" s="4"/>
      <c r="VFQ66" s="4"/>
      <c r="VFR66" s="4"/>
      <c r="VFS66" s="4"/>
      <c r="VFT66" s="4"/>
      <c r="VFU66" s="4"/>
      <c r="VFV66" s="4"/>
      <c r="VFW66" s="4"/>
      <c r="VFX66" s="4"/>
      <c r="VFY66" s="4"/>
      <c r="VFZ66" s="4"/>
      <c r="VGA66" s="4"/>
      <c r="VGB66" s="4"/>
      <c r="VGC66" s="4"/>
      <c r="VGD66" s="4"/>
      <c r="VGE66" s="4"/>
      <c r="VGF66" s="4"/>
      <c r="VGG66" s="4"/>
      <c r="VGH66" s="4"/>
      <c r="VGI66" s="4"/>
      <c r="VGJ66" s="4"/>
      <c r="VGK66" s="4"/>
      <c r="VGL66" s="4"/>
      <c r="VGM66" s="4"/>
      <c r="VGN66" s="4"/>
      <c r="VGO66" s="4"/>
      <c r="VGP66" s="4"/>
      <c r="VGQ66" s="4"/>
      <c r="VGR66" s="4"/>
      <c r="VGS66" s="4"/>
      <c r="VGT66" s="4"/>
      <c r="VGU66" s="4"/>
      <c r="VGV66" s="4"/>
      <c r="VGW66" s="4"/>
      <c r="VGX66" s="4"/>
      <c r="VGY66" s="4"/>
      <c r="VGZ66" s="4"/>
      <c r="VHA66" s="4"/>
      <c r="VHB66" s="4"/>
      <c r="VHC66" s="4"/>
      <c r="VHD66" s="4"/>
      <c r="VHE66" s="4"/>
      <c r="VHF66" s="4"/>
      <c r="VHG66" s="4"/>
      <c r="VHH66" s="4"/>
      <c r="VHI66" s="4"/>
      <c r="VHJ66" s="4"/>
      <c r="VHK66" s="4"/>
      <c r="VHL66" s="4"/>
      <c r="VHM66" s="4"/>
      <c r="VHN66" s="4"/>
      <c r="VHO66" s="4"/>
      <c r="VHP66" s="4"/>
      <c r="VHQ66" s="4"/>
      <c r="VHR66" s="4"/>
      <c r="VHS66" s="4"/>
      <c r="VHT66" s="4"/>
      <c r="VHU66" s="4"/>
      <c r="VHV66" s="4"/>
      <c r="VHW66" s="4"/>
      <c r="VHX66" s="4"/>
      <c r="VHY66" s="4"/>
      <c r="VHZ66" s="4"/>
      <c r="VIA66" s="4"/>
      <c r="VIB66" s="4"/>
      <c r="VIC66" s="4"/>
      <c r="VID66" s="4"/>
      <c r="VIE66" s="4"/>
      <c r="VIF66" s="4"/>
      <c r="VIG66" s="4"/>
      <c r="VIH66" s="4"/>
      <c r="VII66" s="4"/>
      <c r="VIJ66" s="4"/>
      <c r="VIK66" s="4"/>
      <c r="VIL66" s="4"/>
      <c r="VIM66" s="4"/>
      <c r="VIN66" s="4"/>
      <c r="VIO66" s="4"/>
      <c r="VIP66" s="4"/>
      <c r="VIQ66" s="4"/>
      <c r="VIR66" s="4"/>
      <c r="VIS66" s="4"/>
      <c r="VIT66" s="4"/>
      <c r="VIU66" s="4"/>
      <c r="VIV66" s="4"/>
      <c r="VIW66" s="4"/>
      <c r="VIX66" s="4"/>
      <c r="VIY66" s="4"/>
      <c r="VIZ66" s="4"/>
      <c r="VJA66" s="4"/>
      <c r="VJB66" s="4"/>
      <c r="VJC66" s="4"/>
      <c r="VJD66" s="4"/>
      <c r="VJE66" s="4"/>
      <c r="VJF66" s="4"/>
      <c r="VJG66" s="4"/>
      <c r="VJH66" s="4"/>
      <c r="VJI66" s="4"/>
      <c r="VJJ66" s="4"/>
      <c r="VJK66" s="4"/>
      <c r="VJL66" s="4"/>
      <c r="VJM66" s="4"/>
      <c r="VJN66" s="4"/>
      <c r="VJO66" s="4"/>
      <c r="VJP66" s="4"/>
      <c r="VJQ66" s="4"/>
      <c r="VJR66" s="4"/>
      <c r="VJS66" s="4"/>
      <c r="VJT66" s="4"/>
      <c r="VJU66" s="4"/>
      <c r="VJV66" s="4"/>
      <c r="VJW66" s="4"/>
      <c r="VJX66" s="4"/>
      <c r="VJY66" s="4"/>
      <c r="VJZ66" s="4"/>
      <c r="VKA66" s="4"/>
      <c r="VKB66" s="4"/>
      <c r="VKC66" s="4"/>
      <c r="VKD66" s="4"/>
      <c r="VKE66" s="4"/>
      <c r="VKF66" s="4"/>
      <c r="VKG66" s="4"/>
      <c r="VKH66" s="4"/>
      <c r="VKI66" s="4"/>
      <c r="VKJ66" s="4"/>
      <c r="VKK66" s="4"/>
      <c r="VKL66" s="4"/>
      <c r="VKM66" s="4"/>
      <c r="VKN66" s="4"/>
      <c r="VKO66" s="4"/>
      <c r="VKP66" s="4"/>
      <c r="VKQ66" s="4"/>
      <c r="VKR66" s="4"/>
      <c r="VKS66" s="4"/>
      <c r="VKT66" s="4"/>
      <c r="VKU66" s="4"/>
      <c r="VKV66" s="4"/>
      <c r="VKW66" s="4"/>
      <c r="VKX66" s="4"/>
      <c r="VKY66" s="4"/>
      <c r="VKZ66" s="4"/>
      <c r="VLA66" s="4"/>
      <c r="VLB66" s="4"/>
      <c r="VLC66" s="4"/>
      <c r="VLD66" s="4"/>
      <c r="VLE66" s="4"/>
      <c r="VLF66" s="4"/>
      <c r="VLG66" s="4"/>
      <c r="VLH66" s="4"/>
      <c r="VLI66" s="4"/>
      <c r="VLJ66" s="4"/>
      <c r="VLK66" s="4"/>
      <c r="VLL66" s="4"/>
      <c r="VLM66" s="4"/>
      <c r="VLN66" s="4"/>
      <c r="VLO66" s="4"/>
      <c r="VLP66" s="4"/>
      <c r="VLQ66" s="4"/>
      <c r="VLR66" s="4"/>
      <c r="VLS66" s="4"/>
      <c r="VLT66" s="4"/>
      <c r="VLU66" s="4"/>
      <c r="VLV66" s="4"/>
      <c r="VLW66" s="4"/>
      <c r="VLX66" s="4"/>
      <c r="VLY66" s="4"/>
      <c r="VLZ66" s="4"/>
      <c r="VMA66" s="4"/>
      <c r="VMB66" s="4"/>
      <c r="VMC66" s="4"/>
      <c r="VMD66" s="4"/>
      <c r="VME66" s="4"/>
      <c r="VMF66" s="4"/>
      <c r="VMG66" s="4"/>
      <c r="VMH66" s="4"/>
      <c r="VMI66" s="4"/>
      <c r="VMJ66" s="4"/>
      <c r="VMK66" s="4"/>
      <c r="VML66" s="4"/>
      <c r="VMM66" s="4"/>
      <c r="VMN66" s="4"/>
      <c r="VMO66" s="4"/>
      <c r="VMP66" s="4"/>
      <c r="VMQ66" s="4"/>
      <c r="VMR66" s="4"/>
      <c r="VMS66" s="4"/>
      <c r="VMT66" s="4"/>
      <c r="VMU66" s="4"/>
      <c r="VMV66" s="4"/>
      <c r="VMW66" s="4"/>
      <c r="VMX66" s="4"/>
      <c r="VMY66" s="4"/>
      <c r="VMZ66" s="4"/>
      <c r="VNA66" s="4"/>
      <c r="VNB66" s="4"/>
      <c r="VNC66" s="4"/>
      <c r="VND66" s="4"/>
      <c r="VNE66" s="4"/>
      <c r="VNF66" s="4"/>
      <c r="VNG66" s="4"/>
      <c r="VNH66" s="4"/>
      <c r="VNI66" s="4"/>
      <c r="VNJ66" s="4"/>
      <c r="VNK66" s="4"/>
      <c r="VNL66" s="4"/>
      <c r="VNM66" s="4"/>
      <c r="VNN66" s="4"/>
      <c r="VNO66" s="4"/>
      <c r="VNP66" s="4"/>
      <c r="VNQ66" s="4"/>
      <c r="VNR66" s="4"/>
      <c r="VNS66" s="4"/>
      <c r="VNT66" s="4"/>
      <c r="VNU66" s="4"/>
      <c r="VNV66" s="4"/>
      <c r="VNW66" s="4"/>
      <c r="VNX66" s="4"/>
      <c r="VNY66" s="4"/>
      <c r="VNZ66" s="4"/>
      <c r="VOA66" s="4"/>
      <c r="VOB66" s="4"/>
      <c r="VOC66" s="4"/>
      <c r="VOD66" s="4"/>
      <c r="VOE66" s="4"/>
      <c r="VOF66" s="4"/>
      <c r="VOG66" s="4"/>
      <c r="VOH66" s="4"/>
      <c r="VOI66" s="4"/>
      <c r="VOJ66" s="4"/>
      <c r="VOK66" s="4"/>
      <c r="VOL66" s="4"/>
      <c r="VOM66" s="4"/>
      <c r="VON66" s="4"/>
      <c r="VOO66" s="4"/>
      <c r="VOP66" s="4"/>
      <c r="VOQ66" s="4"/>
      <c r="VOR66" s="4"/>
      <c r="VOS66" s="4"/>
      <c r="VOT66" s="4"/>
      <c r="VOU66" s="4"/>
      <c r="VOV66" s="4"/>
      <c r="VOW66" s="4"/>
      <c r="VOX66" s="4"/>
      <c r="VOY66" s="4"/>
      <c r="VOZ66" s="4"/>
      <c r="VPA66" s="4"/>
      <c r="VPB66" s="4"/>
      <c r="VPC66" s="4"/>
      <c r="VPD66" s="4"/>
      <c r="VPE66" s="4"/>
      <c r="VPF66" s="4"/>
      <c r="VPG66" s="4"/>
      <c r="VPH66" s="4"/>
      <c r="VPI66" s="4"/>
      <c r="VPJ66" s="4"/>
      <c r="VPK66" s="4"/>
      <c r="VPL66" s="4"/>
      <c r="VPM66" s="4"/>
      <c r="VPN66" s="4"/>
      <c r="VPO66" s="4"/>
      <c r="VPP66" s="4"/>
      <c r="VPQ66" s="4"/>
      <c r="VPR66" s="4"/>
      <c r="VPS66" s="4"/>
      <c r="VPT66" s="4"/>
      <c r="VPU66" s="4"/>
      <c r="VPV66" s="4"/>
      <c r="VPW66" s="4"/>
      <c r="VPX66" s="4"/>
      <c r="VPY66" s="4"/>
      <c r="VPZ66" s="4"/>
      <c r="VQA66" s="4"/>
      <c r="VQB66" s="4"/>
      <c r="VQC66" s="4"/>
      <c r="VQD66" s="4"/>
      <c r="VQE66" s="4"/>
      <c r="VQF66" s="4"/>
      <c r="VQG66" s="4"/>
      <c r="VQH66" s="4"/>
      <c r="VQI66" s="4"/>
      <c r="VQJ66" s="4"/>
      <c r="VQK66" s="4"/>
      <c r="VQL66" s="4"/>
      <c r="VQM66" s="4"/>
      <c r="VQN66" s="4"/>
      <c r="VQO66" s="4"/>
      <c r="VQP66" s="4"/>
      <c r="VQQ66" s="4"/>
      <c r="VQR66" s="4"/>
      <c r="VQS66" s="4"/>
      <c r="VQT66" s="4"/>
      <c r="VQU66" s="4"/>
      <c r="VQV66" s="4"/>
      <c r="VQW66" s="4"/>
      <c r="VQX66" s="4"/>
      <c r="VQY66" s="4"/>
      <c r="VQZ66" s="4"/>
      <c r="VRA66" s="4"/>
      <c r="VRB66" s="4"/>
      <c r="VRC66" s="4"/>
      <c r="VRD66" s="4"/>
      <c r="VRE66" s="4"/>
      <c r="VRF66" s="4"/>
      <c r="VRG66" s="4"/>
      <c r="VRH66" s="4"/>
      <c r="VRI66" s="4"/>
      <c r="VRJ66" s="4"/>
      <c r="VRK66" s="4"/>
      <c r="VRL66" s="4"/>
      <c r="VRM66" s="4"/>
      <c r="VRN66" s="4"/>
      <c r="VRO66" s="4"/>
      <c r="VRP66" s="4"/>
      <c r="VRQ66" s="4"/>
      <c r="VRR66" s="4"/>
      <c r="VRS66" s="4"/>
      <c r="VRT66" s="4"/>
      <c r="VRU66" s="4"/>
      <c r="VRV66" s="4"/>
      <c r="VRW66" s="4"/>
      <c r="VRX66" s="4"/>
      <c r="VRY66" s="4"/>
      <c r="VRZ66" s="4"/>
      <c r="VSA66" s="4"/>
      <c r="VSB66" s="4"/>
      <c r="VSC66" s="4"/>
      <c r="VSD66" s="4"/>
      <c r="VSE66" s="4"/>
      <c r="VSF66" s="4"/>
      <c r="VSG66" s="4"/>
      <c r="VSH66" s="4"/>
      <c r="VSI66" s="4"/>
      <c r="VSJ66" s="4"/>
      <c r="VSK66" s="4"/>
      <c r="VSL66" s="4"/>
      <c r="VSM66" s="4"/>
      <c r="VSN66" s="4"/>
      <c r="VSO66" s="4"/>
      <c r="VSP66" s="4"/>
      <c r="VSQ66" s="4"/>
      <c r="VSR66" s="4"/>
      <c r="VSS66" s="4"/>
      <c r="VST66" s="4"/>
      <c r="VSU66" s="4"/>
      <c r="VSV66" s="4"/>
      <c r="VSW66" s="4"/>
      <c r="VSX66" s="4"/>
      <c r="VSY66" s="4"/>
      <c r="VSZ66" s="4"/>
      <c r="VTA66" s="4"/>
      <c r="VTB66" s="4"/>
      <c r="VTC66" s="4"/>
      <c r="VTD66" s="4"/>
      <c r="VTE66" s="4"/>
      <c r="VTF66" s="4"/>
      <c r="VTG66" s="4"/>
      <c r="VTH66" s="4"/>
      <c r="VTI66" s="4"/>
      <c r="VTJ66" s="4"/>
      <c r="VTK66" s="4"/>
      <c r="VTL66" s="4"/>
      <c r="VTM66" s="4"/>
      <c r="VTN66" s="4"/>
      <c r="VTO66" s="4"/>
      <c r="VTP66" s="4"/>
      <c r="VTQ66" s="4"/>
      <c r="VTR66" s="4"/>
      <c r="VTS66" s="4"/>
      <c r="VTT66" s="4"/>
      <c r="VTU66" s="4"/>
      <c r="VTV66" s="4"/>
      <c r="VTW66" s="4"/>
      <c r="VTX66" s="4"/>
      <c r="VTY66" s="4"/>
      <c r="VTZ66" s="4"/>
      <c r="VUA66" s="4"/>
      <c r="VUB66" s="4"/>
      <c r="VUC66" s="4"/>
      <c r="VUD66" s="4"/>
      <c r="VUE66" s="4"/>
      <c r="VUF66" s="4"/>
      <c r="VUG66" s="4"/>
      <c r="VUH66" s="4"/>
      <c r="VUI66" s="4"/>
      <c r="VUJ66" s="4"/>
      <c r="VUK66" s="4"/>
      <c r="VUL66" s="4"/>
      <c r="VUM66" s="4"/>
      <c r="VUN66" s="4"/>
      <c r="VUO66" s="4"/>
      <c r="VUP66" s="4"/>
      <c r="VUQ66" s="4"/>
      <c r="VUR66" s="4"/>
      <c r="VUS66" s="4"/>
      <c r="VUT66" s="4"/>
      <c r="VUU66" s="4"/>
      <c r="VUV66" s="4"/>
      <c r="VUW66" s="4"/>
      <c r="VUX66" s="4"/>
      <c r="VUY66" s="4"/>
      <c r="VUZ66" s="4"/>
      <c r="VVA66" s="4"/>
      <c r="VVB66" s="4"/>
      <c r="VVC66" s="4"/>
      <c r="VVD66" s="4"/>
      <c r="VVE66" s="4"/>
      <c r="VVF66" s="4"/>
      <c r="VVG66" s="4"/>
      <c r="VVH66" s="4"/>
      <c r="VVI66" s="4"/>
      <c r="VVJ66" s="4"/>
      <c r="VVK66" s="4"/>
      <c r="VVL66" s="4"/>
      <c r="VVM66" s="4"/>
      <c r="VVN66" s="4"/>
      <c r="VVO66" s="4"/>
      <c r="VVP66" s="4"/>
      <c r="VVQ66" s="4"/>
      <c r="VVR66" s="4"/>
      <c r="VVS66" s="4"/>
      <c r="VVT66" s="4"/>
      <c r="VVU66" s="4"/>
      <c r="VVV66" s="4"/>
      <c r="VVW66" s="4"/>
      <c r="VVX66" s="4"/>
      <c r="VVY66" s="4"/>
      <c r="VVZ66" s="4"/>
      <c r="VWA66" s="4"/>
      <c r="VWB66" s="4"/>
      <c r="VWC66" s="4"/>
      <c r="VWD66" s="4"/>
      <c r="VWE66" s="4"/>
      <c r="VWF66" s="4"/>
      <c r="VWG66" s="4"/>
      <c r="VWH66" s="4"/>
      <c r="VWI66" s="4"/>
      <c r="VWJ66" s="4"/>
      <c r="VWK66" s="4"/>
      <c r="VWL66" s="4"/>
      <c r="VWM66" s="4"/>
      <c r="VWN66" s="4"/>
      <c r="VWO66" s="4"/>
      <c r="VWP66" s="4"/>
      <c r="VWQ66" s="4"/>
      <c r="VWR66" s="4"/>
      <c r="VWS66" s="4"/>
      <c r="VWT66" s="4"/>
      <c r="VWU66" s="4"/>
      <c r="VWV66" s="4"/>
      <c r="VWW66" s="4"/>
      <c r="VWX66" s="4"/>
      <c r="VWY66" s="4"/>
      <c r="VWZ66" s="4"/>
      <c r="VXA66" s="4"/>
      <c r="VXB66" s="4"/>
      <c r="VXC66" s="4"/>
      <c r="VXD66" s="4"/>
      <c r="VXE66" s="4"/>
      <c r="VXF66" s="4"/>
      <c r="VXG66" s="4"/>
      <c r="VXH66" s="4"/>
      <c r="VXI66" s="4"/>
      <c r="VXJ66" s="4"/>
      <c r="VXK66" s="4"/>
      <c r="VXL66" s="4"/>
      <c r="VXM66" s="4"/>
      <c r="VXN66" s="4"/>
      <c r="VXO66" s="4"/>
      <c r="VXP66" s="4"/>
      <c r="VXQ66" s="4"/>
      <c r="VXR66" s="4"/>
      <c r="VXS66" s="4"/>
      <c r="VXT66" s="4"/>
      <c r="VXU66" s="4"/>
      <c r="VXV66" s="4"/>
      <c r="VXW66" s="4"/>
      <c r="VXX66" s="4"/>
      <c r="VXY66" s="4"/>
      <c r="VXZ66" s="4"/>
      <c r="VYA66" s="4"/>
      <c r="VYB66" s="4"/>
      <c r="VYC66" s="4"/>
      <c r="VYD66" s="4"/>
      <c r="VYE66" s="4"/>
      <c r="VYF66" s="4"/>
      <c r="VYG66" s="4"/>
      <c r="VYH66" s="4"/>
      <c r="VYI66" s="4"/>
      <c r="VYJ66" s="4"/>
      <c r="VYK66" s="4"/>
      <c r="VYL66" s="4"/>
      <c r="VYM66" s="4"/>
      <c r="VYN66" s="4"/>
      <c r="VYO66" s="4"/>
      <c r="VYP66" s="4"/>
      <c r="VYQ66" s="4"/>
      <c r="VYR66" s="4"/>
      <c r="VYS66" s="4"/>
      <c r="VYT66" s="4"/>
      <c r="VYU66" s="4"/>
      <c r="VYV66" s="4"/>
      <c r="VYW66" s="4"/>
      <c r="VYX66" s="4"/>
      <c r="VYY66" s="4"/>
      <c r="VYZ66" s="4"/>
      <c r="VZA66" s="4"/>
      <c r="VZB66" s="4"/>
      <c r="VZC66" s="4"/>
      <c r="VZD66" s="4"/>
      <c r="VZE66" s="4"/>
      <c r="VZF66" s="4"/>
      <c r="VZG66" s="4"/>
      <c r="VZH66" s="4"/>
      <c r="VZI66" s="4"/>
      <c r="VZJ66" s="4"/>
      <c r="VZK66" s="4"/>
      <c r="VZL66" s="4"/>
      <c r="VZM66" s="4"/>
      <c r="VZN66" s="4"/>
      <c r="VZO66" s="4"/>
      <c r="VZP66" s="4"/>
      <c r="VZQ66" s="4"/>
      <c r="VZR66" s="4"/>
      <c r="VZS66" s="4"/>
      <c r="VZT66" s="4"/>
      <c r="VZU66" s="4"/>
      <c r="VZV66" s="4"/>
      <c r="VZW66" s="4"/>
      <c r="VZX66" s="4"/>
      <c r="VZY66" s="4"/>
      <c r="VZZ66" s="4"/>
      <c r="WAA66" s="4"/>
      <c r="WAB66" s="4"/>
      <c r="WAC66" s="4"/>
      <c r="WAD66" s="4"/>
      <c r="WAE66" s="4"/>
      <c r="WAF66" s="4"/>
      <c r="WAG66" s="4"/>
      <c r="WAH66" s="4"/>
      <c r="WAI66" s="4"/>
      <c r="WAJ66" s="4"/>
      <c r="WAK66" s="4"/>
      <c r="WAL66" s="4"/>
      <c r="WAM66" s="4"/>
      <c r="WAN66" s="4"/>
      <c r="WAO66" s="4"/>
      <c r="WAP66" s="4"/>
      <c r="WAQ66" s="4"/>
      <c r="WAR66" s="4"/>
      <c r="WAS66" s="4"/>
      <c r="WAT66" s="4"/>
      <c r="WAU66" s="4"/>
      <c r="WAV66" s="4"/>
      <c r="WAW66" s="4"/>
      <c r="WAX66" s="4"/>
      <c r="WAY66" s="4"/>
      <c r="WAZ66" s="4"/>
      <c r="WBA66" s="4"/>
      <c r="WBB66" s="4"/>
      <c r="WBC66" s="4"/>
      <c r="WBD66" s="4"/>
      <c r="WBE66" s="4"/>
      <c r="WBF66" s="4"/>
      <c r="WBG66" s="4"/>
      <c r="WBH66" s="4"/>
      <c r="WBI66" s="4"/>
      <c r="WBJ66" s="4"/>
      <c r="WBK66" s="4"/>
      <c r="WBL66" s="4"/>
      <c r="WBM66" s="4"/>
      <c r="WBN66" s="4"/>
      <c r="WBO66" s="4"/>
      <c r="WBP66" s="4"/>
      <c r="WBQ66" s="4"/>
      <c r="WBR66" s="4"/>
      <c r="WBS66" s="4"/>
      <c r="WBT66" s="4"/>
      <c r="WBU66" s="4"/>
      <c r="WBV66" s="4"/>
      <c r="WBW66" s="4"/>
      <c r="WBX66" s="4"/>
      <c r="WBY66" s="4"/>
      <c r="WBZ66" s="4"/>
      <c r="WCA66" s="4"/>
      <c r="WCB66" s="4"/>
      <c r="WCC66" s="4"/>
      <c r="WCD66" s="4"/>
      <c r="WCE66" s="4"/>
      <c r="WCF66" s="4"/>
      <c r="WCG66" s="4"/>
      <c r="WCH66" s="4"/>
      <c r="WCI66" s="4"/>
      <c r="WCJ66" s="4"/>
      <c r="WCK66" s="4"/>
      <c r="WCL66" s="4"/>
      <c r="WCM66" s="4"/>
      <c r="WCN66" s="4"/>
      <c r="WCO66" s="4"/>
      <c r="WCP66" s="4"/>
      <c r="WCQ66" s="4"/>
      <c r="WCR66" s="4"/>
      <c r="WCS66" s="4"/>
      <c r="WCT66" s="4"/>
      <c r="WCU66" s="4"/>
      <c r="WCV66" s="4"/>
      <c r="WCW66" s="4"/>
      <c r="WCX66" s="4"/>
      <c r="WCY66" s="4"/>
      <c r="WCZ66" s="4"/>
      <c r="WDA66" s="4"/>
      <c r="WDB66" s="4"/>
      <c r="WDC66" s="4"/>
      <c r="WDD66" s="4"/>
      <c r="WDE66" s="4"/>
      <c r="WDF66" s="4"/>
      <c r="WDG66" s="4"/>
      <c r="WDH66" s="4"/>
      <c r="WDI66" s="4"/>
      <c r="WDJ66" s="4"/>
      <c r="WDK66" s="4"/>
      <c r="WDL66" s="4"/>
      <c r="WDM66" s="4"/>
      <c r="WDN66" s="4"/>
      <c r="WDO66" s="4"/>
      <c r="WDP66" s="4"/>
      <c r="WDQ66" s="4"/>
      <c r="WDR66" s="4"/>
      <c r="WDS66" s="4"/>
      <c r="WDT66" s="4"/>
      <c r="WDU66" s="4"/>
      <c r="WDV66" s="4"/>
      <c r="WDW66" s="4"/>
      <c r="WDX66" s="4"/>
      <c r="WDY66" s="4"/>
      <c r="WDZ66" s="4"/>
      <c r="WEA66" s="4"/>
      <c r="WEB66" s="4"/>
      <c r="WEC66" s="4"/>
      <c r="WED66" s="4"/>
      <c r="WEE66" s="4"/>
      <c r="WEF66" s="4"/>
      <c r="WEG66" s="4"/>
      <c r="WEH66" s="4"/>
      <c r="WEI66" s="4"/>
      <c r="WEJ66" s="4"/>
      <c r="WEK66" s="4"/>
      <c r="WEL66" s="4"/>
      <c r="WEM66" s="4"/>
      <c r="WEN66" s="4"/>
      <c r="WEO66" s="4"/>
      <c r="WEP66" s="4"/>
      <c r="WEQ66" s="4"/>
      <c r="WER66" s="4"/>
      <c r="WES66" s="4"/>
      <c r="WET66" s="4"/>
      <c r="WEU66" s="4"/>
      <c r="WEV66" s="4"/>
      <c r="WEW66" s="4"/>
      <c r="WEX66" s="4"/>
      <c r="WEY66" s="4"/>
      <c r="WEZ66" s="4"/>
      <c r="WFA66" s="4"/>
      <c r="WFB66" s="4"/>
      <c r="WFC66" s="4"/>
      <c r="WFD66" s="4"/>
      <c r="WFE66" s="4"/>
      <c r="WFF66" s="4"/>
      <c r="WFG66" s="4"/>
      <c r="WFH66" s="4"/>
      <c r="WFI66" s="4"/>
      <c r="WFJ66" s="4"/>
      <c r="WFK66" s="4"/>
      <c r="WFL66" s="4"/>
      <c r="WFM66" s="4"/>
      <c r="WFN66" s="4"/>
      <c r="WFO66" s="4"/>
      <c r="WFP66" s="4"/>
      <c r="WFQ66" s="4"/>
      <c r="WFR66" s="4"/>
      <c r="WFS66" s="4"/>
      <c r="WFT66" s="4"/>
      <c r="WFU66" s="4"/>
      <c r="WFV66" s="4"/>
      <c r="WFW66" s="4"/>
      <c r="WFX66" s="4"/>
      <c r="WFY66" s="4"/>
      <c r="WFZ66" s="4"/>
      <c r="WGA66" s="4"/>
      <c r="WGB66" s="4"/>
      <c r="WGC66" s="4"/>
      <c r="WGD66" s="4"/>
      <c r="WGE66" s="4"/>
      <c r="WGF66" s="4"/>
      <c r="WGG66" s="4"/>
      <c r="WGH66" s="4"/>
      <c r="WGI66" s="4"/>
      <c r="WGJ66" s="4"/>
      <c r="WGK66" s="4"/>
      <c r="WGL66" s="4"/>
      <c r="WGM66" s="4"/>
      <c r="WGN66" s="4"/>
      <c r="WGO66" s="4"/>
      <c r="WGP66" s="4"/>
      <c r="WGQ66" s="4"/>
      <c r="WGR66" s="4"/>
      <c r="WGS66" s="4"/>
      <c r="WGT66" s="4"/>
      <c r="WGU66" s="4"/>
      <c r="WGV66" s="4"/>
      <c r="WGW66" s="4"/>
      <c r="WGX66" s="4"/>
      <c r="WGY66" s="4"/>
      <c r="WGZ66" s="4"/>
      <c r="WHA66" s="4"/>
      <c r="WHB66" s="4"/>
      <c r="WHC66" s="4"/>
      <c r="WHD66" s="4"/>
      <c r="WHE66" s="4"/>
      <c r="WHF66" s="4"/>
      <c r="WHG66" s="4"/>
      <c r="WHH66" s="4"/>
      <c r="WHI66" s="4"/>
      <c r="WHJ66" s="4"/>
      <c r="WHK66" s="4"/>
      <c r="WHL66" s="4"/>
      <c r="WHM66" s="4"/>
      <c r="WHN66" s="4"/>
      <c r="WHO66" s="4"/>
      <c r="WHP66" s="4"/>
      <c r="WHQ66" s="4"/>
      <c r="WHR66" s="4"/>
      <c r="WHS66" s="4"/>
      <c r="WHT66" s="4"/>
      <c r="WHU66" s="4"/>
      <c r="WHV66" s="4"/>
      <c r="WHW66" s="4"/>
      <c r="WHX66" s="4"/>
      <c r="WHY66" s="4"/>
      <c r="WHZ66" s="4"/>
      <c r="WIA66" s="4"/>
      <c r="WIB66" s="4"/>
      <c r="WIC66" s="4"/>
      <c r="WID66" s="4"/>
      <c r="WIE66" s="4"/>
      <c r="WIF66" s="4"/>
      <c r="WIG66" s="4"/>
      <c r="WIH66" s="4"/>
      <c r="WII66" s="4"/>
      <c r="WIJ66" s="4"/>
      <c r="WIK66" s="4"/>
      <c r="WIL66" s="4"/>
      <c r="WIM66" s="4"/>
      <c r="WIN66" s="4"/>
      <c r="WIO66" s="4"/>
      <c r="WIP66" s="4"/>
      <c r="WIQ66" s="4"/>
      <c r="WIR66" s="4"/>
      <c r="WIS66" s="4"/>
      <c r="WIT66" s="4"/>
      <c r="WIU66" s="4"/>
      <c r="WIV66" s="4"/>
      <c r="WIW66" s="4"/>
      <c r="WIX66" s="4"/>
      <c r="WIY66" s="4"/>
      <c r="WIZ66" s="4"/>
      <c r="WJA66" s="4"/>
      <c r="WJB66" s="4"/>
      <c r="WJC66" s="4"/>
      <c r="WJD66" s="4"/>
      <c r="WJE66" s="4"/>
      <c r="WJF66" s="4"/>
      <c r="WJG66" s="4"/>
      <c r="WJH66" s="4"/>
      <c r="WJI66" s="4"/>
      <c r="WJJ66" s="4"/>
      <c r="WJK66" s="4"/>
      <c r="WJL66" s="4"/>
      <c r="WJM66" s="4"/>
      <c r="WJN66" s="4"/>
      <c r="WJO66" s="4"/>
      <c r="WJP66" s="4"/>
      <c r="WJQ66" s="4"/>
      <c r="WJR66" s="4"/>
      <c r="WJS66" s="4"/>
      <c r="WJT66" s="4"/>
      <c r="WJU66" s="4"/>
      <c r="WJV66" s="4"/>
      <c r="WJW66" s="4"/>
      <c r="WJX66" s="4"/>
      <c r="WJY66" s="4"/>
      <c r="WJZ66" s="4"/>
      <c r="WKA66" s="4"/>
      <c r="WKB66" s="4"/>
      <c r="WKC66" s="4"/>
      <c r="WKD66" s="4"/>
      <c r="WKE66" s="4"/>
      <c r="WKF66" s="4"/>
      <c r="WKG66" s="4"/>
      <c r="WKH66" s="4"/>
      <c r="WKI66" s="4"/>
      <c r="WKJ66" s="4"/>
      <c r="WKK66" s="4"/>
      <c r="WKL66" s="4"/>
      <c r="WKM66" s="4"/>
      <c r="WKN66" s="4"/>
      <c r="WKO66" s="4"/>
      <c r="WKP66" s="4"/>
      <c r="WKQ66" s="4"/>
      <c r="WKR66" s="4"/>
      <c r="WKS66" s="4"/>
      <c r="WKT66" s="4"/>
      <c r="WKU66" s="4"/>
      <c r="WKV66" s="4"/>
      <c r="WKW66" s="4"/>
      <c r="WKX66" s="4"/>
      <c r="WKY66" s="4"/>
      <c r="WKZ66" s="4"/>
      <c r="WLA66" s="4"/>
      <c r="WLB66" s="4"/>
      <c r="WLC66" s="4"/>
      <c r="WLD66" s="4"/>
      <c r="WLE66" s="4"/>
      <c r="WLF66" s="4"/>
      <c r="WLG66" s="4"/>
      <c r="WLH66" s="4"/>
      <c r="WLI66" s="4"/>
      <c r="WLJ66" s="4"/>
      <c r="WLK66" s="4"/>
      <c r="WLL66" s="4"/>
      <c r="WLM66" s="4"/>
      <c r="WLN66" s="4"/>
      <c r="WLO66" s="4"/>
      <c r="WLP66" s="4"/>
      <c r="WLQ66" s="4"/>
      <c r="WLR66" s="4"/>
      <c r="WLS66" s="4"/>
      <c r="WLT66" s="4"/>
      <c r="WLU66" s="4"/>
      <c r="WLV66" s="4"/>
      <c r="WLW66" s="4"/>
      <c r="WLX66" s="4"/>
      <c r="WLY66" s="4"/>
      <c r="WLZ66" s="4"/>
      <c r="WMA66" s="4"/>
      <c r="WMB66" s="4"/>
      <c r="WMC66" s="4"/>
      <c r="WMD66" s="4"/>
      <c r="WME66" s="4"/>
      <c r="WMF66" s="4"/>
      <c r="WMG66" s="4"/>
      <c r="WMH66" s="4"/>
      <c r="WMI66" s="4"/>
      <c r="WMJ66" s="4"/>
      <c r="WMK66" s="4"/>
      <c r="WML66" s="4"/>
      <c r="WMM66" s="4"/>
      <c r="WMN66" s="4"/>
      <c r="WMO66" s="4"/>
      <c r="WMP66" s="4"/>
      <c r="WMQ66" s="4"/>
      <c r="WMR66" s="4"/>
      <c r="WMS66" s="4"/>
      <c r="WMT66" s="4"/>
      <c r="WMU66" s="4"/>
      <c r="WMV66" s="4"/>
      <c r="WMW66" s="4"/>
      <c r="WMX66" s="4"/>
      <c r="WMY66" s="4"/>
      <c r="WMZ66" s="4"/>
      <c r="WNA66" s="4"/>
      <c r="WNB66" s="4"/>
      <c r="WNC66" s="4"/>
      <c r="WND66" s="4"/>
      <c r="WNE66" s="4"/>
      <c r="WNF66" s="4"/>
      <c r="WNG66" s="4"/>
      <c r="WNH66" s="4"/>
      <c r="WNI66" s="4"/>
      <c r="WNJ66" s="4"/>
      <c r="WNK66" s="4"/>
      <c r="WNL66" s="4"/>
      <c r="WNM66" s="4"/>
      <c r="WNN66" s="4"/>
      <c r="WNO66" s="4"/>
      <c r="WNP66" s="4"/>
      <c r="WNQ66" s="4"/>
      <c r="WNR66" s="4"/>
      <c r="WNS66" s="4"/>
      <c r="WNT66" s="4"/>
      <c r="WNU66" s="4"/>
      <c r="WNV66" s="4"/>
      <c r="WNW66" s="4"/>
      <c r="WNX66" s="4"/>
      <c r="WNY66" s="4"/>
      <c r="WNZ66" s="4"/>
      <c r="WOA66" s="4"/>
      <c r="WOB66" s="4"/>
      <c r="WOC66" s="4"/>
      <c r="WOD66" s="4"/>
      <c r="WOE66" s="4"/>
      <c r="WOF66" s="4"/>
      <c r="WOG66" s="4"/>
      <c r="WOH66" s="4"/>
      <c r="WOI66" s="4"/>
      <c r="WOJ66" s="4"/>
      <c r="WOK66" s="4"/>
      <c r="WOL66" s="4"/>
      <c r="WOM66" s="4"/>
      <c r="WON66" s="4"/>
      <c r="WOO66" s="4"/>
      <c r="WOP66" s="4"/>
      <c r="WOQ66" s="4"/>
      <c r="WOR66" s="4"/>
      <c r="WOS66" s="4"/>
      <c r="WOT66" s="4"/>
      <c r="WOU66" s="4"/>
      <c r="WOV66" s="4"/>
      <c r="WOW66" s="4"/>
      <c r="WOX66" s="4"/>
      <c r="WOY66" s="4"/>
      <c r="WOZ66" s="4"/>
      <c r="WPA66" s="4"/>
      <c r="WPB66" s="4"/>
      <c r="WPC66" s="4"/>
      <c r="WPD66" s="4"/>
      <c r="WPE66" s="4"/>
      <c r="WPF66" s="4"/>
      <c r="WPG66" s="4"/>
      <c r="WPH66" s="4"/>
      <c r="WPI66" s="4"/>
      <c r="WPJ66" s="4"/>
      <c r="WPK66" s="4"/>
      <c r="WPL66" s="4"/>
      <c r="WPM66" s="4"/>
      <c r="WPN66" s="4"/>
      <c r="WPO66" s="4"/>
      <c r="WPP66" s="4"/>
      <c r="WPQ66" s="4"/>
      <c r="WPR66" s="4"/>
      <c r="WPS66" s="4"/>
      <c r="WPT66" s="4"/>
      <c r="WPU66" s="4"/>
      <c r="WPV66" s="4"/>
      <c r="WPW66" s="4"/>
      <c r="WPX66" s="4"/>
      <c r="WPY66" s="4"/>
      <c r="WPZ66" s="4"/>
      <c r="WQA66" s="4"/>
      <c r="WQB66" s="4"/>
      <c r="WQC66" s="4"/>
      <c r="WQD66" s="4"/>
      <c r="WQE66" s="4"/>
      <c r="WQF66" s="4"/>
      <c r="WQG66" s="4"/>
      <c r="WQH66" s="4"/>
      <c r="WQI66" s="4"/>
      <c r="WQJ66" s="4"/>
      <c r="WQK66" s="4"/>
      <c r="WQL66" s="4"/>
      <c r="WQM66" s="4"/>
      <c r="WQN66" s="4"/>
      <c r="WQO66" s="4"/>
      <c r="WQP66" s="4"/>
      <c r="WQQ66" s="4"/>
      <c r="WQR66" s="4"/>
      <c r="WQS66" s="4"/>
      <c r="WQT66" s="4"/>
      <c r="WQU66" s="4"/>
      <c r="WQV66" s="4"/>
      <c r="WQW66" s="4"/>
      <c r="WQX66" s="4"/>
      <c r="WQY66" s="4"/>
      <c r="WQZ66" s="4"/>
      <c r="WRA66" s="4"/>
      <c r="WRB66" s="4"/>
      <c r="WRC66" s="4"/>
      <c r="WRD66" s="4"/>
      <c r="WRE66" s="4"/>
      <c r="WRF66" s="4"/>
      <c r="WRG66" s="4"/>
      <c r="WRH66" s="4"/>
      <c r="WRI66" s="4"/>
      <c r="WRJ66" s="4"/>
      <c r="WRK66" s="4"/>
      <c r="WRL66" s="4"/>
      <c r="WRM66" s="4"/>
      <c r="WRN66" s="4"/>
      <c r="WRO66" s="4"/>
      <c r="WRP66" s="4"/>
      <c r="WRQ66" s="4"/>
      <c r="WRR66" s="4"/>
      <c r="WRS66" s="4"/>
      <c r="WRT66" s="4"/>
      <c r="WRU66" s="4"/>
      <c r="WRV66" s="4"/>
      <c r="WRW66" s="4"/>
      <c r="WRX66" s="4"/>
      <c r="WRY66" s="4"/>
      <c r="WRZ66" s="4"/>
      <c r="WSA66" s="4"/>
      <c r="WSB66" s="4"/>
      <c r="WSC66" s="4"/>
      <c r="WSD66" s="4"/>
      <c r="WSE66" s="4"/>
      <c r="WSF66" s="4"/>
      <c r="WSG66" s="4"/>
      <c r="WSH66" s="4"/>
      <c r="WSI66" s="4"/>
      <c r="WSJ66" s="4"/>
      <c r="WSK66" s="4"/>
      <c r="WSL66" s="4"/>
      <c r="WSM66" s="4"/>
      <c r="WSN66" s="4"/>
      <c r="WSO66" s="4"/>
      <c r="WSP66" s="4"/>
      <c r="WSQ66" s="4"/>
      <c r="WSR66" s="4"/>
      <c r="WSS66" s="4"/>
      <c r="WST66" s="4"/>
      <c r="WSU66" s="4"/>
      <c r="WSV66" s="4"/>
      <c r="WSW66" s="4"/>
      <c r="WSX66" s="4"/>
      <c r="WSY66" s="4"/>
      <c r="WSZ66" s="4"/>
      <c r="WTA66" s="4"/>
      <c r="WTB66" s="4"/>
      <c r="WTC66" s="4"/>
      <c r="WTD66" s="4"/>
      <c r="WTE66" s="4"/>
      <c r="WTF66" s="4"/>
      <c r="WTG66" s="4"/>
      <c r="WTH66" s="4"/>
      <c r="WTI66" s="4"/>
      <c r="WTJ66" s="4"/>
      <c r="WTK66" s="4"/>
      <c r="WTL66" s="4"/>
      <c r="WTM66" s="4"/>
      <c r="WTN66" s="4"/>
      <c r="WTO66" s="4"/>
      <c r="WTP66" s="4"/>
      <c r="WTQ66" s="4"/>
      <c r="WTR66" s="4"/>
      <c r="WTS66" s="4"/>
      <c r="WTT66" s="4"/>
      <c r="WTU66" s="4"/>
      <c r="WTV66" s="4"/>
      <c r="WTW66" s="4"/>
      <c r="WTX66" s="4"/>
      <c r="WTY66" s="4"/>
      <c r="WTZ66" s="4"/>
      <c r="WUA66" s="4"/>
      <c r="WUB66" s="4"/>
      <c r="WUC66" s="4"/>
      <c r="WUD66" s="4"/>
      <c r="WUE66" s="4"/>
      <c r="WUF66" s="4"/>
      <c r="WUG66" s="4"/>
      <c r="WUH66" s="4"/>
      <c r="WUI66" s="4"/>
      <c r="WUJ66" s="4"/>
      <c r="WUK66" s="4"/>
      <c r="WUL66" s="4"/>
      <c r="WUM66" s="4"/>
      <c r="WUN66" s="4"/>
      <c r="WUO66" s="4"/>
      <c r="WUP66" s="4"/>
      <c r="WUQ66" s="4"/>
      <c r="WUR66" s="4"/>
      <c r="WUS66" s="4"/>
      <c r="WUT66" s="4"/>
      <c r="WUU66" s="4"/>
      <c r="WUV66" s="4"/>
      <c r="WUW66" s="4"/>
      <c r="WUX66" s="4"/>
      <c r="WUY66" s="4"/>
      <c r="WUZ66" s="4"/>
      <c r="WVA66" s="4"/>
      <c r="WVB66" s="4"/>
      <c r="WVC66" s="4"/>
      <c r="WVD66" s="4"/>
      <c r="WVE66" s="4"/>
      <c r="WVF66" s="4"/>
      <c r="WVG66" s="4"/>
      <c r="WVH66" s="4"/>
      <c r="WVI66" s="4"/>
      <c r="WVJ66" s="4"/>
      <c r="WVK66" s="4"/>
      <c r="WVL66" s="4"/>
      <c r="WVM66" s="4"/>
      <c r="WVN66" s="4"/>
      <c r="WVO66" s="4"/>
      <c r="WVP66" s="4"/>
      <c r="WVQ66" s="4"/>
      <c r="WVR66" s="4"/>
      <c r="WVS66" s="4"/>
      <c r="WVT66" s="4"/>
      <c r="WVU66" s="4"/>
      <c r="WVV66" s="4"/>
      <c r="WVW66" s="4"/>
      <c r="WVX66" s="4"/>
      <c r="WVY66" s="4"/>
      <c r="WVZ66" s="4"/>
      <c r="WWA66" s="4"/>
      <c r="WWB66" s="4"/>
      <c r="WWC66" s="4"/>
      <c r="WWD66" s="4"/>
      <c r="WWE66" s="4"/>
      <c r="WWF66" s="4"/>
      <c r="WWG66" s="4"/>
      <c r="WWH66" s="4"/>
      <c r="WWI66" s="4"/>
      <c r="WWJ66" s="4"/>
      <c r="WWK66" s="4"/>
      <c r="WWL66" s="4"/>
      <c r="WWM66" s="4"/>
      <c r="WWN66" s="4"/>
      <c r="WWO66" s="4"/>
      <c r="WWP66" s="4"/>
      <c r="WWQ66" s="4"/>
      <c r="WWR66" s="4"/>
      <c r="WWS66" s="4"/>
      <c r="WWT66" s="4"/>
      <c r="WWU66" s="4"/>
      <c r="WWV66" s="4"/>
      <c r="WWW66" s="4"/>
      <c r="WWX66" s="4"/>
      <c r="WWY66" s="4"/>
      <c r="WWZ66" s="4"/>
      <c r="WXA66" s="4"/>
      <c r="WXB66" s="4"/>
      <c r="WXC66" s="4"/>
      <c r="WXD66" s="4"/>
      <c r="WXE66" s="4"/>
      <c r="WXF66" s="4"/>
      <c r="WXG66" s="4"/>
      <c r="WXH66" s="4"/>
      <c r="WXI66" s="4"/>
      <c r="WXJ66" s="4"/>
      <c r="WXK66" s="4"/>
      <c r="WXL66" s="4"/>
      <c r="WXM66" s="4"/>
      <c r="WXN66" s="4"/>
      <c r="WXO66" s="4"/>
      <c r="WXP66" s="4"/>
      <c r="WXQ66" s="4"/>
      <c r="WXR66" s="4"/>
      <c r="WXS66" s="4"/>
      <c r="WXT66" s="4"/>
      <c r="WXU66" s="4"/>
      <c r="WXV66" s="4"/>
      <c r="WXW66" s="4"/>
      <c r="WXX66" s="4"/>
      <c r="WXY66" s="4"/>
      <c r="WXZ66" s="4"/>
      <c r="WYA66" s="4"/>
      <c r="WYB66" s="4"/>
      <c r="WYC66" s="4"/>
      <c r="WYD66" s="4"/>
      <c r="WYE66" s="4"/>
      <c r="WYF66" s="4"/>
      <c r="WYG66" s="4"/>
      <c r="WYH66" s="4"/>
      <c r="WYI66" s="4"/>
      <c r="WYJ66" s="4"/>
      <c r="WYK66" s="4"/>
      <c r="WYL66" s="4"/>
      <c r="WYM66" s="4"/>
      <c r="WYN66" s="4"/>
      <c r="WYO66" s="4"/>
      <c r="WYP66" s="4"/>
      <c r="WYQ66" s="4"/>
      <c r="WYR66" s="4"/>
      <c r="WYS66" s="4"/>
      <c r="WYT66" s="4"/>
      <c r="WYU66" s="4"/>
      <c r="WYV66" s="4"/>
      <c r="WYW66" s="4"/>
      <c r="WYX66" s="4"/>
      <c r="WYY66" s="4"/>
      <c r="WYZ66" s="4"/>
      <c r="WZA66" s="4"/>
      <c r="WZB66" s="4"/>
      <c r="WZC66" s="4"/>
      <c r="WZD66" s="4"/>
      <c r="WZE66" s="4"/>
      <c r="WZF66" s="4"/>
      <c r="WZG66" s="4"/>
      <c r="WZH66" s="4"/>
      <c r="WZI66" s="4"/>
      <c r="WZJ66" s="4"/>
      <c r="WZK66" s="4"/>
      <c r="WZL66" s="4"/>
      <c r="WZM66" s="4"/>
      <c r="WZN66" s="4"/>
      <c r="WZO66" s="4"/>
      <c r="WZP66" s="4"/>
      <c r="WZQ66" s="4"/>
      <c r="WZR66" s="4"/>
      <c r="WZS66" s="4"/>
      <c r="WZT66" s="4"/>
      <c r="WZU66" s="4"/>
      <c r="WZV66" s="4"/>
      <c r="WZW66" s="4"/>
      <c r="WZX66" s="4"/>
      <c r="WZY66" s="4"/>
      <c r="WZZ66" s="4"/>
      <c r="XAA66" s="4"/>
      <c r="XAB66" s="4"/>
      <c r="XAC66" s="4"/>
      <c r="XAD66" s="4"/>
      <c r="XAE66" s="4"/>
      <c r="XAF66" s="4"/>
      <c r="XAG66" s="4"/>
      <c r="XAH66" s="4"/>
      <c r="XAI66" s="4"/>
      <c r="XAJ66" s="4"/>
      <c r="XAK66" s="4"/>
      <c r="XAL66" s="4"/>
      <c r="XAM66" s="4"/>
      <c r="XAN66" s="4"/>
      <c r="XAO66" s="4"/>
      <c r="XAP66" s="4"/>
      <c r="XAQ66" s="4"/>
      <c r="XAR66" s="4"/>
      <c r="XAS66" s="4"/>
      <c r="XAT66" s="4"/>
      <c r="XAU66" s="4"/>
      <c r="XAV66" s="4"/>
      <c r="XAW66" s="4"/>
      <c r="XAX66" s="4"/>
      <c r="XAY66" s="4"/>
      <c r="XAZ66" s="4"/>
      <c r="XBA66" s="4"/>
      <c r="XBB66" s="4"/>
      <c r="XBC66" s="4"/>
      <c r="XBD66" s="4"/>
      <c r="XBE66" s="4"/>
      <c r="XBF66" s="4"/>
      <c r="XBG66" s="4"/>
      <c r="XBH66" s="4"/>
      <c r="XBI66" s="4"/>
      <c r="XBJ66" s="4"/>
      <c r="XBK66" s="4"/>
      <c r="XBL66" s="4"/>
      <c r="XBM66" s="4"/>
      <c r="XBN66" s="4"/>
      <c r="XBO66" s="4"/>
      <c r="XBP66" s="4"/>
      <c r="XBQ66" s="4"/>
      <c r="XBR66" s="4"/>
      <c r="XBS66" s="4"/>
      <c r="XBT66" s="4"/>
      <c r="XBU66" s="4"/>
      <c r="XBV66" s="4"/>
      <c r="XBW66" s="4"/>
      <c r="XBX66" s="4"/>
      <c r="XBY66" s="4"/>
      <c r="XBZ66" s="4"/>
      <c r="XCA66" s="4"/>
      <c r="XCB66" s="4"/>
      <c r="XCC66" s="4"/>
      <c r="XCD66" s="4"/>
      <c r="XCE66" s="4"/>
      <c r="XCF66" s="4"/>
      <c r="XCG66" s="4"/>
      <c r="XCH66" s="4"/>
      <c r="XCI66" s="4"/>
      <c r="XCJ66" s="4"/>
      <c r="XCK66" s="4"/>
      <c r="XCL66" s="4"/>
      <c r="XCM66" s="4"/>
      <c r="XCN66" s="4"/>
      <c r="XCO66" s="4"/>
      <c r="XCP66" s="4"/>
      <c r="XCQ66" s="4"/>
      <c r="XCR66" s="4"/>
      <c r="XCS66" s="4"/>
      <c r="XCT66" s="4"/>
      <c r="XCU66" s="4"/>
      <c r="XCV66" s="4"/>
      <c r="XCW66" s="4"/>
      <c r="XCX66" s="4"/>
      <c r="XCY66" s="4"/>
      <c r="XCZ66" s="4"/>
      <c r="XDA66" s="4"/>
      <c r="XDB66" s="4"/>
      <c r="XDC66" s="4"/>
      <c r="XDD66" s="4"/>
      <c r="XDE66" s="4"/>
      <c r="XDF66" s="4"/>
      <c r="XDG66" s="4"/>
      <c r="XDH66" s="4"/>
      <c r="XDI66" s="4"/>
      <c r="XDJ66" s="4"/>
      <c r="XDK66" s="4"/>
      <c r="XDL66" s="4"/>
      <c r="XDM66" s="4"/>
      <c r="XDN66" s="4"/>
      <c r="XDO66" s="4"/>
      <c r="XDP66" s="4"/>
      <c r="XDQ66" s="4"/>
      <c r="XDR66" s="4"/>
      <c r="XDS66" s="4"/>
      <c r="XDT66" s="4"/>
      <c r="XDU66" s="4"/>
      <c r="XDV66" s="4"/>
      <c r="XDW66" s="4"/>
      <c r="XDX66" s="4"/>
      <c r="XDY66" s="4"/>
      <c r="XDZ66" s="4"/>
      <c r="XEA66" s="4"/>
      <c r="XEB66" s="4"/>
      <c r="XEC66" s="4"/>
      <c r="XED66" s="4"/>
      <c r="XEE66" s="4"/>
      <c r="XEF66" s="4"/>
      <c r="XEG66" s="4"/>
      <c r="XEH66" s="4"/>
      <c r="XEI66" s="4"/>
      <c r="XEJ66" s="4"/>
      <c r="XEK66" s="4"/>
      <c r="XEL66" s="4"/>
      <c r="XEM66" s="4"/>
      <c r="XEN66" s="4"/>
      <c r="XEO66" s="4"/>
      <c r="XEP66" s="4"/>
      <c r="XEQ66" s="4"/>
      <c r="XER66" s="4"/>
      <c r="XES66" s="4"/>
      <c r="XET66" s="4"/>
      <c r="XEU66" s="4"/>
      <c r="XEV66" s="4"/>
      <c r="XEW66" s="4"/>
      <c r="XEX66" s="4"/>
      <c r="XEY66" s="4"/>
      <c r="XEZ66" s="4"/>
      <c r="XFA66" s="4"/>
      <c r="XFB66" s="4"/>
      <c r="XFC66" s="4"/>
      <c r="XFD66" s="4"/>
    </row>
    <row r="67" spans="1:16384" s="41" customFormat="1" x14ac:dyDescent="0.35">
      <c r="A67" s="54" t="s">
        <v>230</v>
      </c>
      <c r="B67" s="103" t="s">
        <v>0</v>
      </c>
      <c r="C67" s="103"/>
      <c r="D67" s="54"/>
      <c r="E67" s="54"/>
      <c r="F67" s="1" t="s">
        <v>77</v>
      </c>
      <c r="G67" s="1" t="s">
        <v>5</v>
      </c>
      <c r="H67" s="1" t="s">
        <v>5</v>
      </c>
      <c r="I67" s="1" t="s">
        <v>116</v>
      </c>
      <c r="J67" s="6" t="s">
        <v>50</v>
      </c>
      <c r="K67" s="6"/>
      <c r="L67" s="6"/>
      <c r="M67" s="4"/>
      <c r="N67" s="3">
        <v>0.1</v>
      </c>
      <c r="O67" s="45">
        <v>5000</v>
      </c>
      <c r="P67" s="10">
        <f>+O67*N67</f>
        <v>500</v>
      </c>
      <c r="Q67" s="10"/>
      <c r="R67" s="10"/>
      <c r="S67" s="10"/>
      <c r="T67" s="10">
        <f>+P67+Q67+R67+S67</f>
        <v>500</v>
      </c>
      <c r="U67" s="20"/>
      <c r="V67" s="60"/>
      <c r="W67" s="72" t="s">
        <v>231</v>
      </c>
      <c r="X67" s="72"/>
      <c r="Y67" s="4"/>
      <c r="Z67" s="4"/>
      <c r="AA67" s="4"/>
    </row>
    <row r="68" spans="1:16384" s="41" customFormat="1" x14ac:dyDescent="0.35">
      <c r="A68" s="88" t="s">
        <v>362</v>
      </c>
      <c r="B68" s="101" t="s">
        <v>0</v>
      </c>
      <c r="C68" s="101"/>
      <c r="D68" s="14"/>
      <c r="E68" s="14"/>
      <c r="F68" s="14" t="s">
        <v>74</v>
      </c>
      <c r="G68" s="14" t="s">
        <v>5</v>
      </c>
      <c r="H68" s="40" t="s">
        <v>116</v>
      </c>
      <c r="I68" s="40" t="s">
        <v>116</v>
      </c>
      <c r="J68" s="40" t="s">
        <v>11</v>
      </c>
      <c r="L68" s="42"/>
      <c r="M68" s="43"/>
      <c r="N68" s="42">
        <v>1</v>
      </c>
      <c r="O68" s="44">
        <v>9464</v>
      </c>
      <c r="P68" s="44">
        <f>+O68*N68</f>
        <v>9464</v>
      </c>
      <c r="Q68" s="44"/>
      <c r="R68" s="43"/>
      <c r="T68" s="43">
        <f>+P68+Q68+R68+S68</f>
        <v>9464</v>
      </c>
      <c r="U68" s="10"/>
      <c r="V68" s="4"/>
      <c r="W68" s="4"/>
      <c r="X68" s="4"/>
      <c r="Y68" s="4"/>
      <c r="Z68" s="4"/>
      <c r="AA68" s="4"/>
    </row>
    <row r="69" spans="1:16384" s="41" customFormat="1" x14ac:dyDescent="0.35">
      <c r="A69" s="39" t="s">
        <v>144</v>
      </c>
      <c r="B69" s="101" t="s">
        <v>0</v>
      </c>
      <c r="C69" s="101"/>
      <c r="D69" s="14"/>
      <c r="E69" s="14"/>
      <c r="F69" s="14" t="s">
        <v>78</v>
      </c>
      <c r="G69" s="14" t="s">
        <v>5</v>
      </c>
      <c r="H69" s="40" t="s">
        <v>5</v>
      </c>
      <c r="I69" s="40" t="s">
        <v>5</v>
      </c>
      <c r="J69" s="40" t="s">
        <v>11</v>
      </c>
      <c r="L69" s="42"/>
      <c r="M69" s="43"/>
      <c r="N69" s="42">
        <v>1</v>
      </c>
      <c r="O69" s="44">
        <v>5705.7</v>
      </c>
      <c r="P69" s="44">
        <f>+O69*N69</f>
        <v>5705.7</v>
      </c>
      <c r="Q69" s="44"/>
      <c r="R69" s="43"/>
      <c r="T69" s="43">
        <f>+P69+Q69+R69+S69</f>
        <v>5705.7</v>
      </c>
      <c r="U69" s="10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  <c r="AMK69" s="4"/>
      <c r="AML69" s="4"/>
      <c r="AMM69" s="4"/>
      <c r="AMN69" s="4"/>
      <c r="AMO69" s="4"/>
      <c r="AMP69" s="4"/>
      <c r="AMQ69" s="4"/>
      <c r="AMR69" s="4"/>
      <c r="AMS69" s="4"/>
      <c r="AMT69" s="4"/>
      <c r="AMU69" s="4"/>
      <c r="AMV69" s="4"/>
      <c r="AMW69" s="4"/>
      <c r="AMX69" s="4"/>
      <c r="AMY69" s="4"/>
      <c r="AMZ69" s="4"/>
      <c r="ANA69" s="4"/>
      <c r="ANB69" s="4"/>
      <c r="ANC69" s="4"/>
      <c r="AND69" s="4"/>
      <c r="ANE69" s="4"/>
      <c r="ANF69" s="4"/>
      <c r="ANG69" s="4"/>
      <c r="ANH69" s="4"/>
      <c r="ANI69" s="4"/>
      <c r="ANJ69" s="4"/>
      <c r="ANK69" s="4"/>
      <c r="ANL69" s="4"/>
      <c r="ANM69" s="4"/>
      <c r="ANN69" s="4"/>
      <c r="ANO69" s="4"/>
      <c r="ANP69" s="4"/>
      <c r="ANQ69" s="4"/>
      <c r="ANR69" s="4"/>
      <c r="ANS69" s="4"/>
      <c r="ANT69" s="4"/>
      <c r="ANU69" s="4"/>
      <c r="ANV69" s="4"/>
      <c r="ANW69" s="4"/>
      <c r="ANX69" s="4"/>
      <c r="ANY69" s="4"/>
      <c r="ANZ69" s="4"/>
      <c r="AOA69" s="4"/>
      <c r="AOB69" s="4"/>
      <c r="AOC69" s="4"/>
      <c r="AOD69" s="4"/>
      <c r="AOE69" s="4"/>
      <c r="AOF69" s="4"/>
      <c r="AOG69" s="4"/>
      <c r="AOH69" s="4"/>
      <c r="AOI69" s="4"/>
      <c r="AOJ69" s="4"/>
      <c r="AOK69" s="4"/>
      <c r="AOL69" s="4"/>
      <c r="AOM69" s="4"/>
      <c r="AON69" s="4"/>
      <c r="AOO69" s="4"/>
      <c r="AOP69" s="4"/>
      <c r="AOQ69" s="4"/>
      <c r="AOR69" s="4"/>
      <c r="AOS69" s="4"/>
      <c r="AOT69" s="4"/>
      <c r="AOU69" s="4"/>
      <c r="AOV69" s="4"/>
      <c r="AOW69" s="4"/>
      <c r="AOX69" s="4"/>
      <c r="AOY69" s="4"/>
      <c r="AOZ69" s="4"/>
      <c r="APA69" s="4"/>
      <c r="APB69" s="4"/>
      <c r="APC69" s="4"/>
      <c r="APD69" s="4"/>
      <c r="APE69" s="4"/>
      <c r="APF69" s="4"/>
      <c r="APG69" s="4"/>
      <c r="APH69" s="4"/>
      <c r="API69" s="4"/>
      <c r="APJ69" s="4"/>
      <c r="APK69" s="4"/>
      <c r="APL69" s="4"/>
      <c r="APM69" s="4"/>
      <c r="APN69" s="4"/>
      <c r="APO69" s="4"/>
      <c r="APP69" s="4"/>
      <c r="APQ69" s="4"/>
      <c r="APR69" s="4"/>
      <c r="APS69" s="4"/>
      <c r="APT69" s="4"/>
      <c r="APU69" s="4"/>
      <c r="APV69" s="4"/>
      <c r="APW69" s="4"/>
      <c r="APX69" s="4"/>
      <c r="APY69" s="4"/>
      <c r="APZ69" s="4"/>
      <c r="AQA69" s="4"/>
      <c r="AQB69" s="4"/>
      <c r="AQC69" s="4"/>
      <c r="AQD69" s="4"/>
      <c r="AQE69" s="4"/>
      <c r="AQF69" s="4"/>
      <c r="AQG69" s="4"/>
      <c r="AQH69" s="4"/>
      <c r="AQI69" s="4"/>
      <c r="AQJ69" s="4"/>
      <c r="AQK69" s="4"/>
      <c r="AQL69" s="4"/>
      <c r="AQM69" s="4"/>
      <c r="AQN69" s="4"/>
      <c r="AQO69" s="4"/>
      <c r="AQP69" s="4"/>
      <c r="AQQ69" s="4"/>
      <c r="AQR69" s="4"/>
      <c r="AQS69" s="4"/>
      <c r="AQT69" s="4"/>
      <c r="AQU69" s="4"/>
      <c r="AQV69" s="4"/>
      <c r="AQW69" s="4"/>
      <c r="AQX69" s="4"/>
      <c r="AQY69" s="4"/>
      <c r="AQZ69" s="4"/>
      <c r="ARA69" s="4"/>
      <c r="ARB69" s="4"/>
      <c r="ARC69" s="4"/>
      <c r="ARD69" s="4"/>
      <c r="ARE69" s="4"/>
      <c r="ARF69" s="4"/>
      <c r="ARG69" s="4"/>
      <c r="ARH69" s="4"/>
      <c r="ARI69" s="4"/>
      <c r="ARJ69" s="4"/>
      <c r="ARK69" s="4"/>
      <c r="ARL69" s="4"/>
      <c r="ARM69" s="4"/>
      <c r="ARN69" s="4"/>
      <c r="ARO69" s="4"/>
      <c r="ARP69" s="4"/>
      <c r="ARQ69" s="4"/>
      <c r="ARR69" s="4"/>
      <c r="ARS69" s="4"/>
      <c r="ART69" s="4"/>
      <c r="ARU69" s="4"/>
      <c r="ARV69" s="4"/>
      <c r="ARW69" s="4"/>
      <c r="ARX69" s="4"/>
      <c r="ARY69" s="4"/>
      <c r="ARZ69" s="4"/>
      <c r="ASA69" s="4"/>
      <c r="ASB69" s="4"/>
      <c r="ASC69" s="4"/>
      <c r="ASD69" s="4"/>
      <c r="ASE69" s="4"/>
      <c r="ASF69" s="4"/>
      <c r="ASG69" s="4"/>
      <c r="ASH69" s="4"/>
      <c r="ASI69" s="4"/>
      <c r="ASJ69" s="4"/>
      <c r="ASK69" s="4"/>
      <c r="ASL69" s="4"/>
      <c r="ASM69" s="4"/>
      <c r="ASN69" s="4"/>
      <c r="ASO69" s="4"/>
      <c r="ASP69" s="4"/>
      <c r="ASQ69" s="4"/>
      <c r="ASR69" s="4"/>
      <c r="ASS69" s="4"/>
      <c r="AST69" s="4"/>
      <c r="ASU69" s="4"/>
      <c r="ASV69" s="4"/>
      <c r="ASW69" s="4"/>
      <c r="ASX69" s="4"/>
      <c r="ASY69" s="4"/>
      <c r="ASZ69" s="4"/>
      <c r="ATA69" s="4"/>
      <c r="ATB69" s="4"/>
      <c r="ATC69" s="4"/>
      <c r="ATD69" s="4"/>
      <c r="ATE69" s="4"/>
      <c r="ATF69" s="4"/>
      <c r="ATG69" s="4"/>
      <c r="ATH69" s="4"/>
      <c r="ATI69" s="4"/>
      <c r="ATJ69" s="4"/>
      <c r="ATK69" s="4"/>
      <c r="ATL69" s="4"/>
      <c r="ATM69" s="4"/>
      <c r="ATN69" s="4"/>
      <c r="ATO69" s="4"/>
      <c r="ATP69" s="4"/>
      <c r="ATQ69" s="4"/>
      <c r="ATR69" s="4"/>
      <c r="ATS69" s="4"/>
      <c r="ATT69" s="4"/>
      <c r="ATU69" s="4"/>
      <c r="ATV69" s="4"/>
      <c r="ATW69" s="4"/>
      <c r="ATX69" s="4"/>
      <c r="ATY69" s="4"/>
      <c r="ATZ69" s="4"/>
      <c r="AUA69" s="4"/>
      <c r="AUB69" s="4"/>
      <c r="AUC69" s="4"/>
      <c r="AUD69" s="4"/>
      <c r="AUE69" s="4"/>
      <c r="AUF69" s="4"/>
      <c r="AUG69" s="4"/>
      <c r="AUH69" s="4"/>
      <c r="AUI69" s="4"/>
      <c r="AUJ69" s="4"/>
      <c r="AUK69" s="4"/>
      <c r="AUL69" s="4"/>
      <c r="AUM69" s="4"/>
      <c r="AUN69" s="4"/>
      <c r="AUO69" s="4"/>
      <c r="AUP69" s="4"/>
      <c r="AUQ69" s="4"/>
      <c r="AUR69" s="4"/>
      <c r="AUS69" s="4"/>
      <c r="AUT69" s="4"/>
      <c r="AUU69" s="4"/>
      <c r="AUV69" s="4"/>
      <c r="AUW69" s="4"/>
      <c r="AUX69" s="4"/>
      <c r="AUY69" s="4"/>
      <c r="AUZ69" s="4"/>
      <c r="AVA69" s="4"/>
      <c r="AVB69" s="4"/>
      <c r="AVC69" s="4"/>
      <c r="AVD69" s="4"/>
      <c r="AVE69" s="4"/>
      <c r="AVF69" s="4"/>
      <c r="AVG69" s="4"/>
      <c r="AVH69" s="4"/>
      <c r="AVI69" s="4"/>
      <c r="AVJ69" s="4"/>
      <c r="AVK69" s="4"/>
      <c r="AVL69" s="4"/>
      <c r="AVM69" s="4"/>
      <c r="AVN69" s="4"/>
      <c r="AVO69" s="4"/>
      <c r="AVP69" s="4"/>
      <c r="AVQ69" s="4"/>
      <c r="AVR69" s="4"/>
      <c r="AVS69" s="4"/>
      <c r="AVT69" s="4"/>
      <c r="AVU69" s="4"/>
      <c r="AVV69" s="4"/>
      <c r="AVW69" s="4"/>
      <c r="AVX69" s="4"/>
      <c r="AVY69" s="4"/>
      <c r="AVZ69" s="4"/>
      <c r="AWA69" s="4"/>
      <c r="AWB69" s="4"/>
      <c r="AWC69" s="4"/>
      <c r="AWD69" s="4"/>
      <c r="AWE69" s="4"/>
      <c r="AWF69" s="4"/>
      <c r="AWG69" s="4"/>
      <c r="AWH69" s="4"/>
      <c r="AWI69" s="4"/>
      <c r="AWJ69" s="4"/>
      <c r="AWK69" s="4"/>
      <c r="AWL69" s="4"/>
      <c r="AWM69" s="4"/>
      <c r="AWN69" s="4"/>
      <c r="AWO69" s="4"/>
      <c r="AWP69" s="4"/>
      <c r="AWQ69" s="4"/>
      <c r="AWR69" s="4"/>
      <c r="AWS69" s="4"/>
      <c r="AWT69" s="4"/>
      <c r="AWU69" s="4"/>
      <c r="AWV69" s="4"/>
      <c r="AWW69" s="4"/>
      <c r="AWX69" s="4"/>
      <c r="AWY69" s="4"/>
      <c r="AWZ69" s="4"/>
      <c r="AXA69" s="4"/>
      <c r="AXB69" s="4"/>
      <c r="AXC69" s="4"/>
      <c r="AXD69" s="4"/>
      <c r="AXE69" s="4"/>
      <c r="AXF69" s="4"/>
      <c r="AXG69" s="4"/>
      <c r="AXH69" s="4"/>
      <c r="AXI69" s="4"/>
      <c r="AXJ69" s="4"/>
      <c r="AXK69" s="4"/>
      <c r="AXL69" s="4"/>
      <c r="AXM69" s="4"/>
      <c r="AXN69" s="4"/>
      <c r="AXO69" s="4"/>
      <c r="AXP69" s="4"/>
      <c r="AXQ69" s="4"/>
      <c r="AXR69" s="4"/>
      <c r="AXS69" s="4"/>
      <c r="AXT69" s="4"/>
      <c r="AXU69" s="4"/>
      <c r="AXV69" s="4"/>
      <c r="AXW69" s="4"/>
      <c r="AXX69" s="4"/>
      <c r="AXY69" s="4"/>
      <c r="AXZ69" s="4"/>
      <c r="AYA69" s="4"/>
      <c r="AYB69" s="4"/>
      <c r="AYC69" s="4"/>
      <c r="AYD69" s="4"/>
      <c r="AYE69" s="4"/>
      <c r="AYF69" s="4"/>
      <c r="AYG69" s="4"/>
      <c r="AYH69" s="4"/>
      <c r="AYI69" s="4"/>
      <c r="AYJ69" s="4"/>
      <c r="AYK69" s="4"/>
      <c r="AYL69" s="4"/>
      <c r="AYM69" s="4"/>
      <c r="AYN69" s="4"/>
      <c r="AYO69" s="4"/>
      <c r="AYP69" s="4"/>
      <c r="AYQ69" s="4"/>
      <c r="AYR69" s="4"/>
      <c r="AYS69" s="4"/>
      <c r="AYT69" s="4"/>
      <c r="AYU69" s="4"/>
      <c r="AYV69" s="4"/>
      <c r="AYW69" s="4"/>
      <c r="AYX69" s="4"/>
      <c r="AYY69" s="4"/>
      <c r="AYZ69" s="4"/>
      <c r="AZA69" s="4"/>
      <c r="AZB69" s="4"/>
      <c r="AZC69" s="4"/>
      <c r="AZD69" s="4"/>
      <c r="AZE69" s="4"/>
      <c r="AZF69" s="4"/>
      <c r="AZG69" s="4"/>
      <c r="AZH69" s="4"/>
      <c r="AZI69" s="4"/>
      <c r="AZJ69" s="4"/>
      <c r="AZK69" s="4"/>
      <c r="AZL69" s="4"/>
      <c r="AZM69" s="4"/>
      <c r="AZN69" s="4"/>
      <c r="AZO69" s="4"/>
      <c r="AZP69" s="4"/>
      <c r="AZQ69" s="4"/>
      <c r="AZR69" s="4"/>
      <c r="AZS69" s="4"/>
      <c r="AZT69" s="4"/>
      <c r="AZU69" s="4"/>
      <c r="AZV69" s="4"/>
      <c r="AZW69" s="4"/>
      <c r="AZX69" s="4"/>
      <c r="AZY69" s="4"/>
      <c r="AZZ69" s="4"/>
      <c r="BAA69" s="4"/>
      <c r="BAB69" s="4"/>
      <c r="BAC69" s="4"/>
      <c r="BAD69" s="4"/>
      <c r="BAE69" s="4"/>
      <c r="BAF69" s="4"/>
      <c r="BAG69" s="4"/>
      <c r="BAH69" s="4"/>
      <c r="BAI69" s="4"/>
      <c r="BAJ69" s="4"/>
      <c r="BAK69" s="4"/>
      <c r="BAL69" s="4"/>
      <c r="BAM69" s="4"/>
      <c r="BAN69" s="4"/>
      <c r="BAO69" s="4"/>
      <c r="BAP69" s="4"/>
      <c r="BAQ69" s="4"/>
      <c r="BAR69" s="4"/>
      <c r="BAS69" s="4"/>
      <c r="BAT69" s="4"/>
      <c r="BAU69" s="4"/>
      <c r="BAV69" s="4"/>
      <c r="BAW69" s="4"/>
      <c r="BAX69" s="4"/>
      <c r="BAY69" s="4"/>
      <c r="BAZ69" s="4"/>
      <c r="BBA69" s="4"/>
      <c r="BBB69" s="4"/>
      <c r="BBC69" s="4"/>
      <c r="BBD69" s="4"/>
      <c r="BBE69" s="4"/>
      <c r="BBF69" s="4"/>
      <c r="BBG69" s="4"/>
      <c r="BBH69" s="4"/>
      <c r="BBI69" s="4"/>
      <c r="BBJ69" s="4"/>
      <c r="BBK69" s="4"/>
      <c r="BBL69" s="4"/>
      <c r="BBM69" s="4"/>
      <c r="BBN69" s="4"/>
      <c r="BBO69" s="4"/>
      <c r="BBP69" s="4"/>
      <c r="BBQ69" s="4"/>
      <c r="BBR69" s="4"/>
      <c r="BBS69" s="4"/>
      <c r="BBT69" s="4"/>
      <c r="BBU69" s="4"/>
      <c r="BBV69" s="4"/>
      <c r="BBW69" s="4"/>
      <c r="BBX69" s="4"/>
      <c r="BBY69" s="4"/>
      <c r="BBZ69" s="4"/>
      <c r="BCA69" s="4"/>
      <c r="BCB69" s="4"/>
      <c r="BCC69" s="4"/>
      <c r="BCD69" s="4"/>
      <c r="BCE69" s="4"/>
      <c r="BCF69" s="4"/>
      <c r="BCG69" s="4"/>
      <c r="BCH69" s="4"/>
      <c r="BCI69" s="4"/>
      <c r="BCJ69" s="4"/>
      <c r="BCK69" s="4"/>
      <c r="BCL69" s="4"/>
      <c r="BCM69" s="4"/>
      <c r="BCN69" s="4"/>
      <c r="BCO69" s="4"/>
      <c r="BCP69" s="4"/>
      <c r="BCQ69" s="4"/>
      <c r="BCR69" s="4"/>
      <c r="BCS69" s="4"/>
      <c r="BCT69" s="4"/>
      <c r="BCU69" s="4"/>
      <c r="BCV69" s="4"/>
      <c r="BCW69" s="4"/>
      <c r="BCX69" s="4"/>
      <c r="BCY69" s="4"/>
      <c r="BCZ69" s="4"/>
      <c r="BDA69" s="4"/>
      <c r="BDB69" s="4"/>
      <c r="BDC69" s="4"/>
      <c r="BDD69" s="4"/>
      <c r="BDE69" s="4"/>
      <c r="BDF69" s="4"/>
      <c r="BDG69" s="4"/>
      <c r="BDH69" s="4"/>
      <c r="BDI69" s="4"/>
      <c r="BDJ69" s="4"/>
      <c r="BDK69" s="4"/>
      <c r="BDL69" s="4"/>
      <c r="BDM69" s="4"/>
      <c r="BDN69" s="4"/>
      <c r="BDO69" s="4"/>
      <c r="BDP69" s="4"/>
      <c r="BDQ69" s="4"/>
      <c r="BDR69" s="4"/>
      <c r="BDS69" s="4"/>
      <c r="BDT69" s="4"/>
      <c r="BDU69" s="4"/>
      <c r="BDV69" s="4"/>
      <c r="BDW69" s="4"/>
      <c r="BDX69" s="4"/>
      <c r="BDY69" s="4"/>
      <c r="BDZ69" s="4"/>
      <c r="BEA69" s="4"/>
      <c r="BEB69" s="4"/>
      <c r="BEC69" s="4"/>
      <c r="BED69" s="4"/>
      <c r="BEE69" s="4"/>
      <c r="BEF69" s="4"/>
      <c r="BEG69" s="4"/>
      <c r="BEH69" s="4"/>
      <c r="BEI69" s="4"/>
      <c r="BEJ69" s="4"/>
      <c r="BEK69" s="4"/>
      <c r="BEL69" s="4"/>
      <c r="BEM69" s="4"/>
      <c r="BEN69" s="4"/>
      <c r="BEO69" s="4"/>
      <c r="BEP69" s="4"/>
      <c r="BEQ69" s="4"/>
      <c r="BER69" s="4"/>
      <c r="BES69" s="4"/>
      <c r="BET69" s="4"/>
      <c r="BEU69" s="4"/>
      <c r="BEV69" s="4"/>
      <c r="BEW69" s="4"/>
      <c r="BEX69" s="4"/>
      <c r="BEY69" s="4"/>
      <c r="BEZ69" s="4"/>
      <c r="BFA69" s="4"/>
      <c r="BFB69" s="4"/>
      <c r="BFC69" s="4"/>
      <c r="BFD69" s="4"/>
      <c r="BFE69" s="4"/>
      <c r="BFF69" s="4"/>
      <c r="BFG69" s="4"/>
      <c r="BFH69" s="4"/>
      <c r="BFI69" s="4"/>
      <c r="BFJ69" s="4"/>
      <c r="BFK69" s="4"/>
      <c r="BFL69" s="4"/>
      <c r="BFM69" s="4"/>
      <c r="BFN69" s="4"/>
      <c r="BFO69" s="4"/>
      <c r="BFP69" s="4"/>
      <c r="BFQ69" s="4"/>
      <c r="BFR69" s="4"/>
      <c r="BFS69" s="4"/>
      <c r="BFT69" s="4"/>
      <c r="BFU69" s="4"/>
      <c r="BFV69" s="4"/>
      <c r="BFW69" s="4"/>
      <c r="BFX69" s="4"/>
      <c r="BFY69" s="4"/>
      <c r="BFZ69" s="4"/>
      <c r="BGA69" s="4"/>
      <c r="BGB69" s="4"/>
      <c r="BGC69" s="4"/>
      <c r="BGD69" s="4"/>
      <c r="BGE69" s="4"/>
      <c r="BGF69" s="4"/>
      <c r="BGG69" s="4"/>
      <c r="BGH69" s="4"/>
      <c r="BGI69" s="4"/>
      <c r="BGJ69" s="4"/>
      <c r="BGK69" s="4"/>
      <c r="BGL69" s="4"/>
      <c r="BGM69" s="4"/>
      <c r="BGN69" s="4"/>
      <c r="BGO69" s="4"/>
      <c r="BGP69" s="4"/>
      <c r="BGQ69" s="4"/>
      <c r="BGR69" s="4"/>
      <c r="BGS69" s="4"/>
      <c r="BGT69" s="4"/>
      <c r="BGU69" s="4"/>
      <c r="BGV69" s="4"/>
      <c r="BGW69" s="4"/>
      <c r="BGX69" s="4"/>
      <c r="BGY69" s="4"/>
      <c r="BGZ69" s="4"/>
      <c r="BHA69" s="4"/>
      <c r="BHB69" s="4"/>
      <c r="BHC69" s="4"/>
      <c r="BHD69" s="4"/>
      <c r="BHE69" s="4"/>
      <c r="BHF69" s="4"/>
      <c r="BHG69" s="4"/>
      <c r="BHH69" s="4"/>
      <c r="BHI69" s="4"/>
      <c r="BHJ69" s="4"/>
      <c r="BHK69" s="4"/>
      <c r="BHL69" s="4"/>
      <c r="BHM69" s="4"/>
      <c r="BHN69" s="4"/>
      <c r="BHO69" s="4"/>
      <c r="BHP69" s="4"/>
      <c r="BHQ69" s="4"/>
      <c r="BHR69" s="4"/>
      <c r="BHS69" s="4"/>
      <c r="BHT69" s="4"/>
      <c r="BHU69" s="4"/>
      <c r="BHV69" s="4"/>
      <c r="BHW69" s="4"/>
      <c r="BHX69" s="4"/>
      <c r="BHY69" s="4"/>
      <c r="BHZ69" s="4"/>
      <c r="BIA69" s="4"/>
      <c r="BIB69" s="4"/>
      <c r="BIC69" s="4"/>
      <c r="BID69" s="4"/>
      <c r="BIE69" s="4"/>
      <c r="BIF69" s="4"/>
      <c r="BIG69" s="4"/>
      <c r="BIH69" s="4"/>
      <c r="BII69" s="4"/>
      <c r="BIJ69" s="4"/>
      <c r="BIK69" s="4"/>
      <c r="BIL69" s="4"/>
      <c r="BIM69" s="4"/>
      <c r="BIN69" s="4"/>
      <c r="BIO69" s="4"/>
      <c r="BIP69" s="4"/>
      <c r="BIQ69" s="4"/>
      <c r="BIR69" s="4"/>
      <c r="BIS69" s="4"/>
      <c r="BIT69" s="4"/>
      <c r="BIU69" s="4"/>
      <c r="BIV69" s="4"/>
      <c r="BIW69" s="4"/>
      <c r="BIX69" s="4"/>
      <c r="BIY69" s="4"/>
      <c r="BIZ69" s="4"/>
      <c r="BJA69" s="4"/>
      <c r="BJB69" s="4"/>
      <c r="BJC69" s="4"/>
      <c r="BJD69" s="4"/>
      <c r="BJE69" s="4"/>
      <c r="BJF69" s="4"/>
      <c r="BJG69" s="4"/>
      <c r="BJH69" s="4"/>
      <c r="BJI69" s="4"/>
      <c r="BJJ69" s="4"/>
      <c r="BJK69" s="4"/>
      <c r="BJL69" s="4"/>
      <c r="BJM69" s="4"/>
      <c r="BJN69" s="4"/>
      <c r="BJO69" s="4"/>
      <c r="BJP69" s="4"/>
      <c r="BJQ69" s="4"/>
      <c r="BJR69" s="4"/>
      <c r="BJS69" s="4"/>
      <c r="BJT69" s="4"/>
      <c r="BJU69" s="4"/>
      <c r="BJV69" s="4"/>
      <c r="BJW69" s="4"/>
      <c r="BJX69" s="4"/>
      <c r="BJY69" s="4"/>
      <c r="BJZ69" s="4"/>
      <c r="BKA69" s="4"/>
      <c r="BKB69" s="4"/>
      <c r="BKC69" s="4"/>
      <c r="BKD69" s="4"/>
      <c r="BKE69" s="4"/>
      <c r="BKF69" s="4"/>
      <c r="BKG69" s="4"/>
      <c r="BKH69" s="4"/>
      <c r="BKI69" s="4"/>
      <c r="BKJ69" s="4"/>
      <c r="BKK69" s="4"/>
      <c r="BKL69" s="4"/>
      <c r="BKM69" s="4"/>
      <c r="BKN69" s="4"/>
      <c r="BKO69" s="4"/>
      <c r="BKP69" s="4"/>
      <c r="BKQ69" s="4"/>
      <c r="BKR69" s="4"/>
      <c r="BKS69" s="4"/>
      <c r="BKT69" s="4"/>
      <c r="BKU69" s="4"/>
      <c r="BKV69" s="4"/>
      <c r="BKW69" s="4"/>
      <c r="BKX69" s="4"/>
      <c r="BKY69" s="4"/>
      <c r="BKZ69" s="4"/>
      <c r="BLA69" s="4"/>
      <c r="BLB69" s="4"/>
      <c r="BLC69" s="4"/>
      <c r="BLD69" s="4"/>
      <c r="BLE69" s="4"/>
      <c r="BLF69" s="4"/>
      <c r="BLG69" s="4"/>
      <c r="BLH69" s="4"/>
      <c r="BLI69" s="4"/>
      <c r="BLJ69" s="4"/>
      <c r="BLK69" s="4"/>
      <c r="BLL69" s="4"/>
      <c r="BLM69" s="4"/>
      <c r="BLN69" s="4"/>
      <c r="BLO69" s="4"/>
      <c r="BLP69" s="4"/>
      <c r="BLQ69" s="4"/>
      <c r="BLR69" s="4"/>
      <c r="BLS69" s="4"/>
      <c r="BLT69" s="4"/>
      <c r="BLU69" s="4"/>
      <c r="BLV69" s="4"/>
      <c r="BLW69" s="4"/>
      <c r="BLX69" s="4"/>
      <c r="BLY69" s="4"/>
      <c r="BLZ69" s="4"/>
      <c r="BMA69" s="4"/>
      <c r="BMB69" s="4"/>
      <c r="BMC69" s="4"/>
      <c r="BMD69" s="4"/>
      <c r="BME69" s="4"/>
      <c r="BMF69" s="4"/>
      <c r="BMG69" s="4"/>
      <c r="BMH69" s="4"/>
      <c r="BMI69" s="4"/>
      <c r="BMJ69" s="4"/>
      <c r="BMK69" s="4"/>
      <c r="BML69" s="4"/>
      <c r="BMM69" s="4"/>
      <c r="BMN69" s="4"/>
      <c r="BMO69" s="4"/>
      <c r="BMP69" s="4"/>
      <c r="BMQ69" s="4"/>
      <c r="BMR69" s="4"/>
      <c r="BMS69" s="4"/>
      <c r="BMT69" s="4"/>
      <c r="BMU69" s="4"/>
      <c r="BMV69" s="4"/>
      <c r="BMW69" s="4"/>
      <c r="BMX69" s="4"/>
      <c r="BMY69" s="4"/>
      <c r="BMZ69" s="4"/>
      <c r="BNA69" s="4"/>
      <c r="BNB69" s="4"/>
      <c r="BNC69" s="4"/>
      <c r="BND69" s="4"/>
      <c r="BNE69" s="4"/>
      <c r="BNF69" s="4"/>
      <c r="BNG69" s="4"/>
      <c r="BNH69" s="4"/>
      <c r="BNI69" s="4"/>
      <c r="BNJ69" s="4"/>
      <c r="BNK69" s="4"/>
      <c r="BNL69" s="4"/>
      <c r="BNM69" s="4"/>
      <c r="BNN69" s="4"/>
      <c r="BNO69" s="4"/>
      <c r="BNP69" s="4"/>
      <c r="BNQ69" s="4"/>
      <c r="BNR69" s="4"/>
      <c r="BNS69" s="4"/>
      <c r="BNT69" s="4"/>
      <c r="BNU69" s="4"/>
      <c r="BNV69" s="4"/>
      <c r="BNW69" s="4"/>
      <c r="BNX69" s="4"/>
      <c r="BNY69" s="4"/>
      <c r="BNZ69" s="4"/>
      <c r="BOA69" s="4"/>
      <c r="BOB69" s="4"/>
      <c r="BOC69" s="4"/>
      <c r="BOD69" s="4"/>
      <c r="BOE69" s="4"/>
      <c r="BOF69" s="4"/>
      <c r="BOG69" s="4"/>
      <c r="BOH69" s="4"/>
      <c r="BOI69" s="4"/>
      <c r="BOJ69" s="4"/>
      <c r="BOK69" s="4"/>
      <c r="BOL69" s="4"/>
      <c r="BOM69" s="4"/>
      <c r="BON69" s="4"/>
      <c r="BOO69" s="4"/>
      <c r="BOP69" s="4"/>
      <c r="BOQ69" s="4"/>
      <c r="BOR69" s="4"/>
      <c r="BOS69" s="4"/>
      <c r="BOT69" s="4"/>
      <c r="BOU69" s="4"/>
      <c r="BOV69" s="4"/>
      <c r="BOW69" s="4"/>
      <c r="BOX69" s="4"/>
      <c r="BOY69" s="4"/>
      <c r="BOZ69" s="4"/>
      <c r="BPA69" s="4"/>
      <c r="BPB69" s="4"/>
      <c r="BPC69" s="4"/>
      <c r="BPD69" s="4"/>
      <c r="BPE69" s="4"/>
      <c r="BPF69" s="4"/>
      <c r="BPG69" s="4"/>
      <c r="BPH69" s="4"/>
      <c r="BPI69" s="4"/>
      <c r="BPJ69" s="4"/>
      <c r="BPK69" s="4"/>
      <c r="BPL69" s="4"/>
      <c r="BPM69" s="4"/>
      <c r="BPN69" s="4"/>
      <c r="BPO69" s="4"/>
      <c r="BPP69" s="4"/>
      <c r="BPQ69" s="4"/>
      <c r="BPR69" s="4"/>
      <c r="BPS69" s="4"/>
      <c r="BPT69" s="4"/>
      <c r="BPU69" s="4"/>
      <c r="BPV69" s="4"/>
      <c r="BPW69" s="4"/>
      <c r="BPX69" s="4"/>
      <c r="BPY69" s="4"/>
      <c r="BPZ69" s="4"/>
      <c r="BQA69" s="4"/>
      <c r="BQB69" s="4"/>
      <c r="BQC69" s="4"/>
      <c r="BQD69" s="4"/>
      <c r="BQE69" s="4"/>
      <c r="BQF69" s="4"/>
      <c r="BQG69" s="4"/>
      <c r="BQH69" s="4"/>
      <c r="BQI69" s="4"/>
      <c r="BQJ69" s="4"/>
      <c r="BQK69" s="4"/>
      <c r="BQL69" s="4"/>
      <c r="BQM69" s="4"/>
      <c r="BQN69" s="4"/>
      <c r="BQO69" s="4"/>
      <c r="BQP69" s="4"/>
      <c r="BQQ69" s="4"/>
      <c r="BQR69" s="4"/>
      <c r="BQS69" s="4"/>
      <c r="BQT69" s="4"/>
      <c r="BQU69" s="4"/>
      <c r="BQV69" s="4"/>
      <c r="BQW69" s="4"/>
      <c r="BQX69" s="4"/>
      <c r="BQY69" s="4"/>
      <c r="BQZ69" s="4"/>
      <c r="BRA69" s="4"/>
      <c r="BRB69" s="4"/>
      <c r="BRC69" s="4"/>
      <c r="BRD69" s="4"/>
      <c r="BRE69" s="4"/>
      <c r="BRF69" s="4"/>
      <c r="BRG69" s="4"/>
      <c r="BRH69" s="4"/>
      <c r="BRI69" s="4"/>
      <c r="BRJ69" s="4"/>
      <c r="BRK69" s="4"/>
      <c r="BRL69" s="4"/>
      <c r="BRM69" s="4"/>
      <c r="BRN69" s="4"/>
      <c r="BRO69" s="4"/>
      <c r="BRP69" s="4"/>
      <c r="BRQ69" s="4"/>
      <c r="BRR69" s="4"/>
      <c r="BRS69" s="4"/>
      <c r="BRT69" s="4"/>
      <c r="BRU69" s="4"/>
      <c r="BRV69" s="4"/>
      <c r="BRW69" s="4"/>
      <c r="BRX69" s="4"/>
      <c r="BRY69" s="4"/>
      <c r="BRZ69" s="4"/>
      <c r="BSA69" s="4"/>
      <c r="BSB69" s="4"/>
      <c r="BSC69" s="4"/>
      <c r="BSD69" s="4"/>
      <c r="BSE69" s="4"/>
      <c r="BSF69" s="4"/>
      <c r="BSG69" s="4"/>
      <c r="BSH69" s="4"/>
      <c r="BSI69" s="4"/>
      <c r="BSJ69" s="4"/>
      <c r="BSK69" s="4"/>
      <c r="BSL69" s="4"/>
      <c r="BSM69" s="4"/>
      <c r="BSN69" s="4"/>
      <c r="BSO69" s="4"/>
      <c r="BSP69" s="4"/>
      <c r="BSQ69" s="4"/>
      <c r="BSR69" s="4"/>
      <c r="BSS69" s="4"/>
      <c r="BST69" s="4"/>
      <c r="BSU69" s="4"/>
      <c r="BSV69" s="4"/>
      <c r="BSW69" s="4"/>
      <c r="BSX69" s="4"/>
      <c r="BSY69" s="4"/>
      <c r="BSZ69" s="4"/>
      <c r="BTA69" s="4"/>
      <c r="BTB69" s="4"/>
      <c r="BTC69" s="4"/>
      <c r="BTD69" s="4"/>
      <c r="BTE69" s="4"/>
      <c r="BTF69" s="4"/>
      <c r="BTG69" s="4"/>
      <c r="BTH69" s="4"/>
      <c r="BTI69" s="4"/>
      <c r="BTJ69" s="4"/>
      <c r="BTK69" s="4"/>
      <c r="BTL69" s="4"/>
      <c r="BTM69" s="4"/>
      <c r="BTN69" s="4"/>
      <c r="BTO69" s="4"/>
      <c r="BTP69" s="4"/>
      <c r="BTQ69" s="4"/>
      <c r="BTR69" s="4"/>
      <c r="BTS69" s="4"/>
      <c r="BTT69" s="4"/>
      <c r="BTU69" s="4"/>
      <c r="BTV69" s="4"/>
      <c r="BTW69" s="4"/>
      <c r="BTX69" s="4"/>
      <c r="BTY69" s="4"/>
      <c r="BTZ69" s="4"/>
      <c r="BUA69" s="4"/>
      <c r="BUB69" s="4"/>
      <c r="BUC69" s="4"/>
      <c r="BUD69" s="4"/>
      <c r="BUE69" s="4"/>
      <c r="BUF69" s="4"/>
      <c r="BUG69" s="4"/>
      <c r="BUH69" s="4"/>
      <c r="BUI69" s="4"/>
      <c r="BUJ69" s="4"/>
      <c r="BUK69" s="4"/>
      <c r="BUL69" s="4"/>
      <c r="BUM69" s="4"/>
      <c r="BUN69" s="4"/>
      <c r="BUO69" s="4"/>
      <c r="BUP69" s="4"/>
      <c r="BUQ69" s="4"/>
      <c r="BUR69" s="4"/>
      <c r="BUS69" s="4"/>
      <c r="BUT69" s="4"/>
      <c r="BUU69" s="4"/>
      <c r="BUV69" s="4"/>
      <c r="BUW69" s="4"/>
      <c r="BUX69" s="4"/>
      <c r="BUY69" s="4"/>
      <c r="BUZ69" s="4"/>
      <c r="BVA69" s="4"/>
      <c r="BVB69" s="4"/>
      <c r="BVC69" s="4"/>
      <c r="BVD69" s="4"/>
      <c r="BVE69" s="4"/>
      <c r="BVF69" s="4"/>
      <c r="BVG69" s="4"/>
      <c r="BVH69" s="4"/>
      <c r="BVI69" s="4"/>
      <c r="BVJ69" s="4"/>
      <c r="BVK69" s="4"/>
      <c r="BVL69" s="4"/>
      <c r="BVM69" s="4"/>
      <c r="BVN69" s="4"/>
      <c r="BVO69" s="4"/>
      <c r="BVP69" s="4"/>
      <c r="BVQ69" s="4"/>
      <c r="BVR69" s="4"/>
      <c r="BVS69" s="4"/>
      <c r="BVT69" s="4"/>
      <c r="BVU69" s="4"/>
      <c r="BVV69" s="4"/>
      <c r="BVW69" s="4"/>
      <c r="BVX69" s="4"/>
      <c r="BVY69" s="4"/>
      <c r="BVZ69" s="4"/>
      <c r="BWA69" s="4"/>
      <c r="BWB69" s="4"/>
      <c r="BWC69" s="4"/>
      <c r="BWD69" s="4"/>
      <c r="BWE69" s="4"/>
      <c r="BWF69" s="4"/>
      <c r="BWG69" s="4"/>
      <c r="BWH69" s="4"/>
      <c r="BWI69" s="4"/>
      <c r="BWJ69" s="4"/>
      <c r="BWK69" s="4"/>
      <c r="BWL69" s="4"/>
      <c r="BWM69" s="4"/>
      <c r="BWN69" s="4"/>
      <c r="BWO69" s="4"/>
      <c r="BWP69" s="4"/>
      <c r="BWQ69" s="4"/>
      <c r="BWR69" s="4"/>
      <c r="BWS69" s="4"/>
      <c r="BWT69" s="4"/>
      <c r="BWU69" s="4"/>
      <c r="BWV69" s="4"/>
      <c r="BWW69" s="4"/>
      <c r="BWX69" s="4"/>
      <c r="BWY69" s="4"/>
      <c r="BWZ69" s="4"/>
      <c r="BXA69" s="4"/>
      <c r="BXB69" s="4"/>
      <c r="BXC69" s="4"/>
      <c r="BXD69" s="4"/>
      <c r="BXE69" s="4"/>
      <c r="BXF69" s="4"/>
      <c r="BXG69" s="4"/>
      <c r="BXH69" s="4"/>
      <c r="BXI69" s="4"/>
      <c r="BXJ69" s="4"/>
      <c r="BXK69" s="4"/>
      <c r="BXL69" s="4"/>
      <c r="BXM69" s="4"/>
      <c r="BXN69" s="4"/>
      <c r="BXO69" s="4"/>
      <c r="BXP69" s="4"/>
      <c r="BXQ69" s="4"/>
      <c r="BXR69" s="4"/>
      <c r="BXS69" s="4"/>
      <c r="BXT69" s="4"/>
      <c r="BXU69" s="4"/>
      <c r="BXV69" s="4"/>
      <c r="BXW69" s="4"/>
      <c r="BXX69" s="4"/>
      <c r="BXY69" s="4"/>
      <c r="BXZ69" s="4"/>
      <c r="BYA69" s="4"/>
      <c r="BYB69" s="4"/>
      <c r="BYC69" s="4"/>
      <c r="BYD69" s="4"/>
      <c r="BYE69" s="4"/>
      <c r="BYF69" s="4"/>
      <c r="BYG69" s="4"/>
      <c r="BYH69" s="4"/>
      <c r="BYI69" s="4"/>
      <c r="BYJ69" s="4"/>
      <c r="BYK69" s="4"/>
      <c r="BYL69" s="4"/>
      <c r="BYM69" s="4"/>
      <c r="BYN69" s="4"/>
      <c r="BYO69" s="4"/>
      <c r="BYP69" s="4"/>
      <c r="BYQ69" s="4"/>
      <c r="BYR69" s="4"/>
      <c r="BYS69" s="4"/>
      <c r="BYT69" s="4"/>
      <c r="BYU69" s="4"/>
      <c r="BYV69" s="4"/>
      <c r="BYW69" s="4"/>
      <c r="BYX69" s="4"/>
      <c r="BYY69" s="4"/>
      <c r="BYZ69" s="4"/>
      <c r="BZA69" s="4"/>
      <c r="BZB69" s="4"/>
      <c r="BZC69" s="4"/>
      <c r="BZD69" s="4"/>
      <c r="BZE69" s="4"/>
      <c r="BZF69" s="4"/>
      <c r="BZG69" s="4"/>
      <c r="BZH69" s="4"/>
      <c r="BZI69" s="4"/>
      <c r="BZJ69" s="4"/>
      <c r="BZK69" s="4"/>
      <c r="BZL69" s="4"/>
      <c r="BZM69" s="4"/>
      <c r="BZN69" s="4"/>
      <c r="BZO69" s="4"/>
      <c r="BZP69" s="4"/>
      <c r="BZQ69" s="4"/>
      <c r="BZR69" s="4"/>
      <c r="BZS69" s="4"/>
      <c r="BZT69" s="4"/>
      <c r="BZU69" s="4"/>
      <c r="BZV69" s="4"/>
      <c r="BZW69" s="4"/>
      <c r="BZX69" s="4"/>
      <c r="BZY69" s="4"/>
      <c r="BZZ69" s="4"/>
      <c r="CAA69" s="4"/>
      <c r="CAB69" s="4"/>
      <c r="CAC69" s="4"/>
      <c r="CAD69" s="4"/>
      <c r="CAE69" s="4"/>
      <c r="CAF69" s="4"/>
      <c r="CAG69" s="4"/>
      <c r="CAH69" s="4"/>
      <c r="CAI69" s="4"/>
      <c r="CAJ69" s="4"/>
      <c r="CAK69" s="4"/>
      <c r="CAL69" s="4"/>
      <c r="CAM69" s="4"/>
      <c r="CAN69" s="4"/>
      <c r="CAO69" s="4"/>
      <c r="CAP69" s="4"/>
      <c r="CAQ69" s="4"/>
      <c r="CAR69" s="4"/>
      <c r="CAS69" s="4"/>
      <c r="CAT69" s="4"/>
      <c r="CAU69" s="4"/>
      <c r="CAV69" s="4"/>
      <c r="CAW69" s="4"/>
      <c r="CAX69" s="4"/>
      <c r="CAY69" s="4"/>
      <c r="CAZ69" s="4"/>
      <c r="CBA69" s="4"/>
      <c r="CBB69" s="4"/>
      <c r="CBC69" s="4"/>
      <c r="CBD69" s="4"/>
      <c r="CBE69" s="4"/>
      <c r="CBF69" s="4"/>
      <c r="CBG69" s="4"/>
      <c r="CBH69" s="4"/>
      <c r="CBI69" s="4"/>
      <c r="CBJ69" s="4"/>
      <c r="CBK69" s="4"/>
      <c r="CBL69" s="4"/>
      <c r="CBM69" s="4"/>
      <c r="CBN69" s="4"/>
      <c r="CBO69" s="4"/>
      <c r="CBP69" s="4"/>
      <c r="CBQ69" s="4"/>
      <c r="CBR69" s="4"/>
      <c r="CBS69" s="4"/>
      <c r="CBT69" s="4"/>
      <c r="CBU69" s="4"/>
      <c r="CBV69" s="4"/>
      <c r="CBW69" s="4"/>
      <c r="CBX69" s="4"/>
      <c r="CBY69" s="4"/>
      <c r="CBZ69" s="4"/>
      <c r="CCA69" s="4"/>
      <c r="CCB69" s="4"/>
      <c r="CCC69" s="4"/>
      <c r="CCD69" s="4"/>
      <c r="CCE69" s="4"/>
      <c r="CCF69" s="4"/>
      <c r="CCG69" s="4"/>
      <c r="CCH69" s="4"/>
      <c r="CCI69" s="4"/>
      <c r="CCJ69" s="4"/>
      <c r="CCK69" s="4"/>
      <c r="CCL69" s="4"/>
      <c r="CCM69" s="4"/>
      <c r="CCN69" s="4"/>
      <c r="CCO69" s="4"/>
      <c r="CCP69" s="4"/>
      <c r="CCQ69" s="4"/>
      <c r="CCR69" s="4"/>
      <c r="CCS69" s="4"/>
      <c r="CCT69" s="4"/>
      <c r="CCU69" s="4"/>
      <c r="CCV69" s="4"/>
      <c r="CCW69" s="4"/>
      <c r="CCX69" s="4"/>
      <c r="CCY69" s="4"/>
      <c r="CCZ69" s="4"/>
      <c r="CDA69" s="4"/>
      <c r="CDB69" s="4"/>
      <c r="CDC69" s="4"/>
      <c r="CDD69" s="4"/>
      <c r="CDE69" s="4"/>
      <c r="CDF69" s="4"/>
      <c r="CDG69" s="4"/>
      <c r="CDH69" s="4"/>
      <c r="CDI69" s="4"/>
      <c r="CDJ69" s="4"/>
      <c r="CDK69" s="4"/>
      <c r="CDL69" s="4"/>
      <c r="CDM69" s="4"/>
      <c r="CDN69" s="4"/>
      <c r="CDO69" s="4"/>
      <c r="CDP69" s="4"/>
      <c r="CDQ69" s="4"/>
      <c r="CDR69" s="4"/>
      <c r="CDS69" s="4"/>
      <c r="CDT69" s="4"/>
      <c r="CDU69" s="4"/>
      <c r="CDV69" s="4"/>
      <c r="CDW69" s="4"/>
      <c r="CDX69" s="4"/>
      <c r="CDY69" s="4"/>
      <c r="CDZ69" s="4"/>
      <c r="CEA69" s="4"/>
      <c r="CEB69" s="4"/>
      <c r="CEC69" s="4"/>
      <c r="CED69" s="4"/>
      <c r="CEE69" s="4"/>
      <c r="CEF69" s="4"/>
      <c r="CEG69" s="4"/>
      <c r="CEH69" s="4"/>
      <c r="CEI69" s="4"/>
      <c r="CEJ69" s="4"/>
      <c r="CEK69" s="4"/>
      <c r="CEL69" s="4"/>
      <c r="CEM69" s="4"/>
      <c r="CEN69" s="4"/>
      <c r="CEO69" s="4"/>
      <c r="CEP69" s="4"/>
      <c r="CEQ69" s="4"/>
      <c r="CER69" s="4"/>
      <c r="CES69" s="4"/>
      <c r="CET69" s="4"/>
      <c r="CEU69" s="4"/>
      <c r="CEV69" s="4"/>
      <c r="CEW69" s="4"/>
      <c r="CEX69" s="4"/>
      <c r="CEY69" s="4"/>
      <c r="CEZ69" s="4"/>
      <c r="CFA69" s="4"/>
      <c r="CFB69" s="4"/>
      <c r="CFC69" s="4"/>
      <c r="CFD69" s="4"/>
      <c r="CFE69" s="4"/>
      <c r="CFF69" s="4"/>
      <c r="CFG69" s="4"/>
      <c r="CFH69" s="4"/>
      <c r="CFI69" s="4"/>
      <c r="CFJ69" s="4"/>
      <c r="CFK69" s="4"/>
      <c r="CFL69" s="4"/>
      <c r="CFM69" s="4"/>
      <c r="CFN69" s="4"/>
      <c r="CFO69" s="4"/>
      <c r="CFP69" s="4"/>
      <c r="CFQ69" s="4"/>
      <c r="CFR69" s="4"/>
      <c r="CFS69" s="4"/>
      <c r="CFT69" s="4"/>
      <c r="CFU69" s="4"/>
      <c r="CFV69" s="4"/>
      <c r="CFW69" s="4"/>
      <c r="CFX69" s="4"/>
      <c r="CFY69" s="4"/>
      <c r="CFZ69" s="4"/>
      <c r="CGA69" s="4"/>
      <c r="CGB69" s="4"/>
      <c r="CGC69" s="4"/>
      <c r="CGD69" s="4"/>
      <c r="CGE69" s="4"/>
      <c r="CGF69" s="4"/>
      <c r="CGG69" s="4"/>
      <c r="CGH69" s="4"/>
      <c r="CGI69" s="4"/>
      <c r="CGJ69" s="4"/>
      <c r="CGK69" s="4"/>
      <c r="CGL69" s="4"/>
      <c r="CGM69" s="4"/>
      <c r="CGN69" s="4"/>
      <c r="CGO69" s="4"/>
      <c r="CGP69" s="4"/>
      <c r="CGQ69" s="4"/>
      <c r="CGR69" s="4"/>
      <c r="CGS69" s="4"/>
      <c r="CGT69" s="4"/>
      <c r="CGU69" s="4"/>
      <c r="CGV69" s="4"/>
      <c r="CGW69" s="4"/>
      <c r="CGX69" s="4"/>
      <c r="CGY69" s="4"/>
      <c r="CGZ69" s="4"/>
      <c r="CHA69" s="4"/>
      <c r="CHB69" s="4"/>
      <c r="CHC69" s="4"/>
      <c r="CHD69" s="4"/>
      <c r="CHE69" s="4"/>
      <c r="CHF69" s="4"/>
      <c r="CHG69" s="4"/>
      <c r="CHH69" s="4"/>
      <c r="CHI69" s="4"/>
      <c r="CHJ69" s="4"/>
      <c r="CHK69" s="4"/>
      <c r="CHL69" s="4"/>
      <c r="CHM69" s="4"/>
      <c r="CHN69" s="4"/>
      <c r="CHO69" s="4"/>
      <c r="CHP69" s="4"/>
      <c r="CHQ69" s="4"/>
      <c r="CHR69" s="4"/>
      <c r="CHS69" s="4"/>
      <c r="CHT69" s="4"/>
      <c r="CHU69" s="4"/>
      <c r="CHV69" s="4"/>
      <c r="CHW69" s="4"/>
      <c r="CHX69" s="4"/>
      <c r="CHY69" s="4"/>
      <c r="CHZ69" s="4"/>
      <c r="CIA69" s="4"/>
      <c r="CIB69" s="4"/>
      <c r="CIC69" s="4"/>
      <c r="CID69" s="4"/>
      <c r="CIE69" s="4"/>
      <c r="CIF69" s="4"/>
      <c r="CIG69" s="4"/>
      <c r="CIH69" s="4"/>
      <c r="CII69" s="4"/>
      <c r="CIJ69" s="4"/>
      <c r="CIK69" s="4"/>
      <c r="CIL69" s="4"/>
      <c r="CIM69" s="4"/>
      <c r="CIN69" s="4"/>
      <c r="CIO69" s="4"/>
      <c r="CIP69" s="4"/>
      <c r="CIQ69" s="4"/>
      <c r="CIR69" s="4"/>
      <c r="CIS69" s="4"/>
      <c r="CIT69" s="4"/>
      <c r="CIU69" s="4"/>
      <c r="CIV69" s="4"/>
      <c r="CIW69" s="4"/>
      <c r="CIX69" s="4"/>
      <c r="CIY69" s="4"/>
      <c r="CIZ69" s="4"/>
      <c r="CJA69" s="4"/>
      <c r="CJB69" s="4"/>
      <c r="CJC69" s="4"/>
      <c r="CJD69" s="4"/>
      <c r="CJE69" s="4"/>
      <c r="CJF69" s="4"/>
      <c r="CJG69" s="4"/>
      <c r="CJH69" s="4"/>
      <c r="CJI69" s="4"/>
      <c r="CJJ69" s="4"/>
      <c r="CJK69" s="4"/>
      <c r="CJL69" s="4"/>
      <c r="CJM69" s="4"/>
      <c r="CJN69" s="4"/>
      <c r="CJO69" s="4"/>
      <c r="CJP69" s="4"/>
      <c r="CJQ69" s="4"/>
      <c r="CJR69" s="4"/>
      <c r="CJS69" s="4"/>
      <c r="CJT69" s="4"/>
      <c r="CJU69" s="4"/>
      <c r="CJV69" s="4"/>
      <c r="CJW69" s="4"/>
      <c r="CJX69" s="4"/>
      <c r="CJY69" s="4"/>
      <c r="CJZ69" s="4"/>
      <c r="CKA69" s="4"/>
      <c r="CKB69" s="4"/>
      <c r="CKC69" s="4"/>
      <c r="CKD69" s="4"/>
      <c r="CKE69" s="4"/>
      <c r="CKF69" s="4"/>
      <c r="CKG69" s="4"/>
      <c r="CKH69" s="4"/>
      <c r="CKI69" s="4"/>
      <c r="CKJ69" s="4"/>
      <c r="CKK69" s="4"/>
      <c r="CKL69" s="4"/>
      <c r="CKM69" s="4"/>
      <c r="CKN69" s="4"/>
      <c r="CKO69" s="4"/>
      <c r="CKP69" s="4"/>
      <c r="CKQ69" s="4"/>
      <c r="CKR69" s="4"/>
      <c r="CKS69" s="4"/>
      <c r="CKT69" s="4"/>
      <c r="CKU69" s="4"/>
      <c r="CKV69" s="4"/>
      <c r="CKW69" s="4"/>
      <c r="CKX69" s="4"/>
      <c r="CKY69" s="4"/>
      <c r="CKZ69" s="4"/>
      <c r="CLA69" s="4"/>
      <c r="CLB69" s="4"/>
      <c r="CLC69" s="4"/>
      <c r="CLD69" s="4"/>
      <c r="CLE69" s="4"/>
      <c r="CLF69" s="4"/>
      <c r="CLG69" s="4"/>
      <c r="CLH69" s="4"/>
      <c r="CLI69" s="4"/>
      <c r="CLJ69" s="4"/>
      <c r="CLK69" s="4"/>
      <c r="CLL69" s="4"/>
      <c r="CLM69" s="4"/>
      <c r="CLN69" s="4"/>
      <c r="CLO69" s="4"/>
      <c r="CLP69" s="4"/>
      <c r="CLQ69" s="4"/>
      <c r="CLR69" s="4"/>
      <c r="CLS69" s="4"/>
      <c r="CLT69" s="4"/>
      <c r="CLU69" s="4"/>
      <c r="CLV69" s="4"/>
      <c r="CLW69" s="4"/>
      <c r="CLX69" s="4"/>
      <c r="CLY69" s="4"/>
      <c r="CLZ69" s="4"/>
      <c r="CMA69" s="4"/>
      <c r="CMB69" s="4"/>
      <c r="CMC69" s="4"/>
      <c r="CMD69" s="4"/>
      <c r="CME69" s="4"/>
      <c r="CMF69" s="4"/>
      <c r="CMG69" s="4"/>
      <c r="CMH69" s="4"/>
      <c r="CMI69" s="4"/>
      <c r="CMJ69" s="4"/>
      <c r="CMK69" s="4"/>
      <c r="CML69" s="4"/>
      <c r="CMM69" s="4"/>
      <c r="CMN69" s="4"/>
      <c r="CMO69" s="4"/>
      <c r="CMP69" s="4"/>
      <c r="CMQ69" s="4"/>
      <c r="CMR69" s="4"/>
      <c r="CMS69" s="4"/>
      <c r="CMT69" s="4"/>
      <c r="CMU69" s="4"/>
      <c r="CMV69" s="4"/>
      <c r="CMW69" s="4"/>
      <c r="CMX69" s="4"/>
      <c r="CMY69" s="4"/>
      <c r="CMZ69" s="4"/>
      <c r="CNA69" s="4"/>
      <c r="CNB69" s="4"/>
      <c r="CNC69" s="4"/>
      <c r="CND69" s="4"/>
      <c r="CNE69" s="4"/>
      <c r="CNF69" s="4"/>
      <c r="CNG69" s="4"/>
      <c r="CNH69" s="4"/>
      <c r="CNI69" s="4"/>
      <c r="CNJ69" s="4"/>
      <c r="CNK69" s="4"/>
      <c r="CNL69" s="4"/>
      <c r="CNM69" s="4"/>
      <c r="CNN69" s="4"/>
      <c r="CNO69" s="4"/>
      <c r="CNP69" s="4"/>
      <c r="CNQ69" s="4"/>
      <c r="CNR69" s="4"/>
      <c r="CNS69" s="4"/>
      <c r="CNT69" s="4"/>
      <c r="CNU69" s="4"/>
      <c r="CNV69" s="4"/>
      <c r="CNW69" s="4"/>
      <c r="CNX69" s="4"/>
      <c r="CNY69" s="4"/>
      <c r="CNZ69" s="4"/>
      <c r="COA69" s="4"/>
      <c r="COB69" s="4"/>
      <c r="COC69" s="4"/>
      <c r="COD69" s="4"/>
      <c r="COE69" s="4"/>
      <c r="COF69" s="4"/>
      <c r="COG69" s="4"/>
      <c r="COH69" s="4"/>
      <c r="COI69" s="4"/>
      <c r="COJ69" s="4"/>
      <c r="COK69" s="4"/>
      <c r="COL69" s="4"/>
      <c r="COM69" s="4"/>
      <c r="CON69" s="4"/>
      <c r="COO69" s="4"/>
      <c r="COP69" s="4"/>
      <c r="COQ69" s="4"/>
      <c r="COR69" s="4"/>
      <c r="COS69" s="4"/>
      <c r="COT69" s="4"/>
      <c r="COU69" s="4"/>
      <c r="COV69" s="4"/>
      <c r="COW69" s="4"/>
      <c r="COX69" s="4"/>
      <c r="COY69" s="4"/>
      <c r="COZ69" s="4"/>
      <c r="CPA69" s="4"/>
      <c r="CPB69" s="4"/>
      <c r="CPC69" s="4"/>
      <c r="CPD69" s="4"/>
      <c r="CPE69" s="4"/>
      <c r="CPF69" s="4"/>
      <c r="CPG69" s="4"/>
      <c r="CPH69" s="4"/>
      <c r="CPI69" s="4"/>
      <c r="CPJ69" s="4"/>
      <c r="CPK69" s="4"/>
      <c r="CPL69" s="4"/>
      <c r="CPM69" s="4"/>
      <c r="CPN69" s="4"/>
      <c r="CPO69" s="4"/>
      <c r="CPP69" s="4"/>
      <c r="CPQ69" s="4"/>
      <c r="CPR69" s="4"/>
      <c r="CPS69" s="4"/>
      <c r="CPT69" s="4"/>
      <c r="CPU69" s="4"/>
      <c r="CPV69" s="4"/>
      <c r="CPW69" s="4"/>
      <c r="CPX69" s="4"/>
      <c r="CPY69" s="4"/>
      <c r="CPZ69" s="4"/>
      <c r="CQA69" s="4"/>
      <c r="CQB69" s="4"/>
      <c r="CQC69" s="4"/>
      <c r="CQD69" s="4"/>
      <c r="CQE69" s="4"/>
      <c r="CQF69" s="4"/>
      <c r="CQG69" s="4"/>
      <c r="CQH69" s="4"/>
      <c r="CQI69" s="4"/>
      <c r="CQJ69" s="4"/>
      <c r="CQK69" s="4"/>
      <c r="CQL69" s="4"/>
      <c r="CQM69" s="4"/>
      <c r="CQN69" s="4"/>
      <c r="CQO69" s="4"/>
      <c r="CQP69" s="4"/>
      <c r="CQQ69" s="4"/>
      <c r="CQR69" s="4"/>
      <c r="CQS69" s="4"/>
      <c r="CQT69" s="4"/>
      <c r="CQU69" s="4"/>
      <c r="CQV69" s="4"/>
      <c r="CQW69" s="4"/>
      <c r="CQX69" s="4"/>
      <c r="CQY69" s="4"/>
      <c r="CQZ69" s="4"/>
      <c r="CRA69" s="4"/>
      <c r="CRB69" s="4"/>
      <c r="CRC69" s="4"/>
      <c r="CRD69" s="4"/>
      <c r="CRE69" s="4"/>
      <c r="CRF69" s="4"/>
      <c r="CRG69" s="4"/>
      <c r="CRH69" s="4"/>
      <c r="CRI69" s="4"/>
      <c r="CRJ69" s="4"/>
      <c r="CRK69" s="4"/>
      <c r="CRL69" s="4"/>
      <c r="CRM69" s="4"/>
      <c r="CRN69" s="4"/>
      <c r="CRO69" s="4"/>
      <c r="CRP69" s="4"/>
      <c r="CRQ69" s="4"/>
      <c r="CRR69" s="4"/>
      <c r="CRS69" s="4"/>
      <c r="CRT69" s="4"/>
      <c r="CRU69" s="4"/>
      <c r="CRV69" s="4"/>
      <c r="CRW69" s="4"/>
      <c r="CRX69" s="4"/>
      <c r="CRY69" s="4"/>
      <c r="CRZ69" s="4"/>
      <c r="CSA69" s="4"/>
      <c r="CSB69" s="4"/>
      <c r="CSC69" s="4"/>
      <c r="CSD69" s="4"/>
      <c r="CSE69" s="4"/>
      <c r="CSF69" s="4"/>
      <c r="CSG69" s="4"/>
      <c r="CSH69" s="4"/>
      <c r="CSI69" s="4"/>
      <c r="CSJ69" s="4"/>
      <c r="CSK69" s="4"/>
      <c r="CSL69" s="4"/>
      <c r="CSM69" s="4"/>
      <c r="CSN69" s="4"/>
      <c r="CSO69" s="4"/>
      <c r="CSP69" s="4"/>
      <c r="CSQ69" s="4"/>
      <c r="CSR69" s="4"/>
      <c r="CSS69" s="4"/>
      <c r="CST69" s="4"/>
      <c r="CSU69" s="4"/>
      <c r="CSV69" s="4"/>
      <c r="CSW69" s="4"/>
      <c r="CSX69" s="4"/>
      <c r="CSY69" s="4"/>
      <c r="CSZ69" s="4"/>
      <c r="CTA69" s="4"/>
      <c r="CTB69" s="4"/>
      <c r="CTC69" s="4"/>
      <c r="CTD69" s="4"/>
      <c r="CTE69" s="4"/>
      <c r="CTF69" s="4"/>
      <c r="CTG69" s="4"/>
      <c r="CTH69" s="4"/>
      <c r="CTI69" s="4"/>
      <c r="CTJ69" s="4"/>
      <c r="CTK69" s="4"/>
      <c r="CTL69" s="4"/>
      <c r="CTM69" s="4"/>
      <c r="CTN69" s="4"/>
      <c r="CTO69" s="4"/>
      <c r="CTP69" s="4"/>
      <c r="CTQ69" s="4"/>
      <c r="CTR69" s="4"/>
      <c r="CTS69" s="4"/>
      <c r="CTT69" s="4"/>
      <c r="CTU69" s="4"/>
      <c r="CTV69" s="4"/>
      <c r="CTW69" s="4"/>
      <c r="CTX69" s="4"/>
      <c r="CTY69" s="4"/>
      <c r="CTZ69" s="4"/>
      <c r="CUA69" s="4"/>
      <c r="CUB69" s="4"/>
      <c r="CUC69" s="4"/>
      <c r="CUD69" s="4"/>
      <c r="CUE69" s="4"/>
      <c r="CUF69" s="4"/>
      <c r="CUG69" s="4"/>
      <c r="CUH69" s="4"/>
      <c r="CUI69" s="4"/>
      <c r="CUJ69" s="4"/>
      <c r="CUK69" s="4"/>
      <c r="CUL69" s="4"/>
      <c r="CUM69" s="4"/>
      <c r="CUN69" s="4"/>
      <c r="CUO69" s="4"/>
      <c r="CUP69" s="4"/>
      <c r="CUQ69" s="4"/>
      <c r="CUR69" s="4"/>
      <c r="CUS69" s="4"/>
      <c r="CUT69" s="4"/>
      <c r="CUU69" s="4"/>
      <c r="CUV69" s="4"/>
      <c r="CUW69" s="4"/>
      <c r="CUX69" s="4"/>
      <c r="CUY69" s="4"/>
      <c r="CUZ69" s="4"/>
      <c r="CVA69" s="4"/>
      <c r="CVB69" s="4"/>
      <c r="CVC69" s="4"/>
      <c r="CVD69" s="4"/>
      <c r="CVE69" s="4"/>
      <c r="CVF69" s="4"/>
      <c r="CVG69" s="4"/>
      <c r="CVH69" s="4"/>
      <c r="CVI69" s="4"/>
      <c r="CVJ69" s="4"/>
      <c r="CVK69" s="4"/>
      <c r="CVL69" s="4"/>
      <c r="CVM69" s="4"/>
      <c r="CVN69" s="4"/>
      <c r="CVO69" s="4"/>
      <c r="CVP69" s="4"/>
      <c r="CVQ69" s="4"/>
      <c r="CVR69" s="4"/>
      <c r="CVS69" s="4"/>
      <c r="CVT69" s="4"/>
      <c r="CVU69" s="4"/>
      <c r="CVV69" s="4"/>
      <c r="CVW69" s="4"/>
      <c r="CVX69" s="4"/>
      <c r="CVY69" s="4"/>
      <c r="CVZ69" s="4"/>
      <c r="CWA69" s="4"/>
      <c r="CWB69" s="4"/>
      <c r="CWC69" s="4"/>
      <c r="CWD69" s="4"/>
      <c r="CWE69" s="4"/>
      <c r="CWF69" s="4"/>
      <c r="CWG69" s="4"/>
      <c r="CWH69" s="4"/>
      <c r="CWI69" s="4"/>
      <c r="CWJ69" s="4"/>
      <c r="CWK69" s="4"/>
      <c r="CWL69" s="4"/>
      <c r="CWM69" s="4"/>
      <c r="CWN69" s="4"/>
      <c r="CWO69" s="4"/>
      <c r="CWP69" s="4"/>
      <c r="CWQ69" s="4"/>
      <c r="CWR69" s="4"/>
      <c r="CWS69" s="4"/>
      <c r="CWT69" s="4"/>
      <c r="CWU69" s="4"/>
      <c r="CWV69" s="4"/>
      <c r="CWW69" s="4"/>
      <c r="CWX69" s="4"/>
      <c r="CWY69" s="4"/>
      <c r="CWZ69" s="4"/>
      <c r="CXA69" s="4"/>
      <c r="CXB69" s="4"/>
      <c r="CXC69" s="4"/>
      <c r="CXD69" s="4"/>
      <c r="CXE69" s="4"/>
      <c r="CXF69" s="4"/>
      <c r="CXG69" s="4"/>
      <c r="CXH69" s="4"/>
      <c r="CXI69" s="4"/>
      <c r="CXJ69" s="4"/>
      <c r="CXK69" s="4"/>
      <c r="CXL69" s="4"/>
      <c r="CXM69" s="4"/>
      <c r="CXN69" s="4"/>
      <c r="CXO69" s="4"/>
      <c r="CXP69" s="4"/>
      <c r="CXQ69" s="4"/>
      <c r="CXR69" s="4"/>
      <c r="CXS69" s="4"/>
      <c r="CXT69" s="4"/>
      <c r="CXU69" s="4"/>
      <c r="CXV69" s="4"/>
      <c r="CXW69" s="4"/>
      <c r="CXX69" s="4"/>
      <c r="CXY69" s="4"/>
      <c r="CXZ69" s="4"/>
      <c r="CYA69" s="4"/>
      <c r="CYB69" s="4"/>
      <c r="CYC69" s="4"/>
      <c r="CYD69" s="4"/>
      <c r="CYE69" s="4"/>
      <c r="CYF69" s="4"/>
      <c r="CYG69" s="4"/>
      <c r="CYH69" s="4"/>
      <c r="CYI69" s="4"/>
      <c r="CYJ69" s="4"/>
      <c r="CYK69" s="4"/>
      <c r="CYL69" s="4"/>
      <c r="CYM69" s="4"/>
      <c r="CYN69" s="4"/>
      <c r="CYO69" s="4"/>
      <c r="CYP69" s="4"/>
      <c r="CYQ69" s="4"/>
      <c r="CYR69" s="4"/>
      <c r="CYS69" s="4"/>
      <c r="CYT69" s="4"/>
      <c r="CYU69" s="4"/>
      <c r="CYV69" s="4"/>
      <c r="CYW69" s="4"/>
      <c r="CYX69" s="4"/>
      <c r="CYY69" s="4"/>
      <c r="CYZ69" s="4"/>
      <c r="CZA69" s="4"/>
      <c r="CZB69" s="4"/>
      <c r="CZC69" s="4"/>
      <c r="CZD69" s="4"/>
      <c r="CZE69" s="4"/>
      <c r="CZF69" s="4"/>
      <c r="CZG69" s="4"/>
      <c r="CZH69" s="4"/>
      <c r="CZI69" s="4"/>
      <c r="CZJ69" s="4"/>
      <c r="CZK69" s="4"/>
      <c r="CZL69" s="4"/>
      <c r="CZM69" s="4"/>
      <c r="CZN69" s="4"/>
      <c r="CZO69" s="4"/>
      <c r="CZP69" s="4"/>
      <c r="CZQ69" s="4"/>
      <c r="CZR69" s="4"/>
      <c r="CZS69" s="4"/>
      <c r="CZT69" s="4"/>
      <c r="CZU69" s="4"/>
      <c r="CZV69" s="4"/>
      <c r="CZW69" s="4"/>
      <c r="CZX69" s="4"/>
      <c r="CZY69" s="4"/>
      <c r="CZZ69" s="4"/>
      <c r="DAA69" s="4"/>
      <c r="DAB69" s="4"/>
      <c r="DAC69" s="4"/>
      <c r="DAD69" s="4"/>
      <c r="DAE69" s="4"/>
      <c r="DAF69" s="4"/>
      <c r="DAG69" s="4"/>
      <c r="DAH69" s="4"/>
      <c r="DAI69" s="4"/>
      <c r="DAJ69" s="4"/>
      <c r="DAK69" s="4"/>
      <c r="DAL69" s="4"/>
      <c r="DAM69" s="4"/>
      <c r="DAN69" s="4"/>
      <c r="DAO69" s="4"/>
      <c r="DAP69" s="4"/>
      <c r="DAQ69" s="4"/>
      <c r="DAR69" s="4"/>
      <c r="DAS69" s="4"/>
      <c r="DAT69" s="4"/>
      <c r="DAU69" s="4"/>
      <c r="DAV69" s="4"/>
      <c r="DAW69" s="4"/>
      <c r="DAX69" s="4"/>
      <c r="DAY69" s="4"/>
      <c r="DAZ69" s="4"/>
      <c r="DBA69" s="4"/>
      <c r="DBB69" s="4"/>
      <c r="DBC69" s="4"/>
      <c r="DBD69" s="4"/>
      <c r="DBE69" s="4"/>
      <c r="DBF69" s="4"/>
      <c r="DBG69" s="4"/>
      <c r="DBH69" s="4"/>
      <c r="DBI69" s="4"/>
      <c r="DBJ69" s="4"/>
      <c r="DBK69" s="4"/>
      <c r="DBL69" s="4"/>
      <c r="DBM69" s="4"/>
      <c r="DBN69" s="4"/>
      <c r="DBO69" s="4"/>
      <c r="DBP69" s="4"/>
      <c r="DBQ69" s="4"/>
      <c r="DBR69" s="4"/>
      <c r="DBS69" s="4"/>
      <c r="DBT69" s="4"/>
      <c r="DBU69" s="4"/>
      <c r="DBV69" s="4"/>
      <c r="DBW69" s="4"/>
      <c r="DBX69" s="4"/>
      <c r="DBY69" s="4"/>
      <c r="DBZ69" s="4"/>
      <c r="DCA69" s="4"/>
      <c r="DCB69" s="4"/>
      <c r="DCC69" s="4"/>
      <c r="DCD69" s="4"/>
      <c r="DCE69" s="4"/>
      <c r="DCF69" s="4"/>
      <c r="DCG69" s="4"/>
      <c r="DCH69" s="4"/>
      <c r="DCI69" s="4"/>
      <c r="DCJ69" s="4"/>
      <c r="DCK69" s="4"/>
      <c r="DCL69" s="4"/>
      <c r="DCM69" s="4"/>
      <c r="DCN69" s="4"/>
      <c r="DCO69" s="4"/>
      <c r="DCP69" s="4"/>
      <c r="DCQ69" s="4"/>
      <c r="DCR69" s="4"/>
      <c r="DCS69" s="4"/>
      <c r="DCT69" s="4"/>
      <c r="DCU69" s="4"/>
      <c r="DCV69" s="4"/>
      <c r="DCW69" s="4"/>
      <c r="DCX69" s="4"/>
      <c r="DCY69" s="4"/>
      <c r="DCZ69" s="4"/>
      <c r="DDA69" s="4"/>
      <c r="DDB69" s="4"/>
      <c r="DDC69" s="4"/>
      <c r="DDD69" s="4"/>
      <c r="DDE69" s="4"/>
      <c r="DDF69" s="4"/>
      <c r="DDG69" s="4"/>
      <c r="DDH69" s="4"/>
      <c r="DDI69" s="4"/>
      <c r="DDJ69" s="4"/>
      <c r="DDK69" s="4"/>
      <c r="DDL69" s="4"/>
      <c r="DDM69" s="4"/>
      <c r="DDN69" s="4"/>
      <c r="DDO69" s="4"/>
      <c r="DDP69" s="4"/>
      <c r="DDQ69" s="4"/>
      <c r="DDR69" s="4"/>
      <c r="DDS69" s="4"/>
      <c r="DDT69" s="4"/>
      <c r="DDU69" s="4"/>
      <c r="DDV69" s="4"/>
      <c r="DDW69" s="4"/>
      <c r="DDX69" s="4"/>
      <c r="DDY69" s="4"/>
      <c r="DDZ69" s="4"/>
      <c r="DEA69" s="4"/>
      <c r="DEB69" s="4"/>
      <c r="DEC69" s="4"/>
      <c r="DED69" s="4"/>
      <c r="DEE69" s="4"/>
      <c r="DEF69" s="4"/>
      <c r="DEG69" s="4"/>
      <c r="DEH69" s="4"/>
      <c r="DEI69" s="4"/>
      <c r="DEJ69" s="4"/>
      <c r="DEK69" s="4"/>
      <c r="DEL69" s="4"/>
      <c r="DEM69" s="4"/>
      <c r="DEN69" s="4"/>
      <c r="DEO69" s="4"/>
      <c r="DEP69" s="4"/>
      <c r="DEQ69" s="4"/>
      <c r="DER69" s="4"/>
      <c r="DES69" s="4"/>
      <c r="DET69" s="4"/>
      <c r="DEU69" s="4"/>
      <c r="DEV69" s="4"/>
      <c r="DEW69" s="4"/>
      <c r="DEX69" s="4"/>
      <c r="DEY69" s="4"/>
      <c r="DEZ69" s="4"/>
      <c r="DFA69" s="4"/>
      <c r="DFB69" s="4"/>
      <c r="DFC69" s="4"/>
      <c r="DFD69" s="4"/>
      <c r="DFE69" s="4"/>
      <c r="DFF69" s="4"/>
      <c r="DFG69" s="4"/>
      <c r="DFH69" s="4"/>
      <c r="DFI69" s="4"/>
      <c r="DFJ69" s="4"/>
      <c r="DFK69" s="4"/>
      <c r="DFL69" s="4"/>
      <c r="DFM69" s="4"/>
      <c r="DFN69" s="4"/>
      <c r="DFO69" s="4"/>
      <c r="DFP69" s="4"/>
      <c r="DFQ69" s="4"/>
      <c r="DFR69" s="4"/>
      <c r="DFS69" s="4"/>
      <c r="DFT69" s="4"/>
      <c r="DFU69" s="4"/>
      <c r="DFV69" s="4"/>
      <c r="DFW69" s="4"/>
      <c r="DFX69" s="4"/>
      <c r="DFY69" s="4"/>
      <c r="DFZ69" s="4"/>
      <c r="DGA69" s="4"/>
      <c r="DGB69" s="4"/>
      <c r="DGC69" s="4"/>
      <c r="DGD69" s="4"/>
      <c r="DGE69" s="4"/>
      <c r="DGF69" s="4"/>
      <c r="DGG69" s="4"/>
      <c r="DGH69" s="4"/>
      <c r="DGI69" s="4"/>
      <c r="DGJ69" s="4"/>
      <c r="DGK69" s="4"/>
      <c r="DGL69" s="4"/>
      <c r="DGM69" s="4"/>
      <c r="DGN69" s="4"/>
      <c r="DGO69" s="4"/>
      <c r="DGP69" s="4"/>
      <c r="DGQ69" s="4"/>
      <c r="DGR69" s="4"/>
      <c r="DGS69" s="4"/>
      <c r="DGT69" s="4"/>
      <c r="DGU69" s="4"/>
      <c r="DGV69" s="4"/>
      <c r="DGW69" s="4"/>
      <c r="DGX69" s="4"/>
      <c r="DGY69" s="4"/>
      <c r="DGZ69" s="4"/>
      <c r="DHA69" s="4"/>
      <c r="DHB69" s="4"/>
      <c r="DHC69" s="4"/>
      <c r="DHD69" s="4"/>
      <c r="DHE69" s="4"/>
      <c r="DHF69" s="4"/>
      <c r="DHG69" s="4"/>
      <c r="DHH69" s="4"/>
      <c r="DHI69" s="4"/>
      <c r="DHJ69" s="4"/>
      <c r="DHK69" s="4"/>
      <c r="DHL69" s="4"/>
      <c r="DHM69" s="4"/>
      <c r="DHN69" s="4"/>
      <c r="DHO69" s="4"/>
      <c r="DHP69" s="4"/>
      <c r="DHQ69" s="4"/>
      <c r="DHR69" s="4"/>
      <c r="DHS69" s="4"/>
      <c r="DHT69" s="4"/>
      <c r="DHU69" s="4"/>
      <c r="DHV69" s="4"/>
      <c r="DHW69" s="4"/>
      <c r="DHX69" s="4"/>
      <c r="DHY69" s="4"/>
      <c r="DHZ69" s="4"/>
      <c r="DIA69" s="4"/>
      <c r="DIB69" s="4"/>
      <c r="DIC69" s="4"/>
      <c r="DID69" s="4"/>
      <c r="DIE69" s="4"/>
      <c r="DIF69" s="4"/>
      <c r="DIG69" s="4"/>
      <c r="DIH69" s="4"/>
      <c r="DII69" s="4"/>
      <c r="DIJ69" s="4"/>
      <c r="DIK69" s="4"/>
      <c r="DIL69" s="4"/>
      <c r="DIM69" s="4"/>
      <c r="DIN69" s="4"/>
      <c r="DIO69" s="4"/>
      <c r="DIP69" s="4"/>
      <c r="DIQ69" s="4"/>
      <c r="DIR69" s="4"/>
      <c r="DIS69" s="4"/>
      <c r="DIT69" s="4"/>
      <c r="DIU69" s="4"/>
      <c r="DIV69" s="4"/>
      <c r="DIW69" s="4"/>
      <c r="DIX69" s="4"/>
      <c r="DIY69" s="4"/>
      <c r="DIZ69" s="4"/>
      <c r="DJA69" s="4"/>
      <c r="DJB69" s="4"/>
      <c r="DJC69" s="4"/>
      <c r="DJD69" s="4"/>
      <c r="DJE69" s="4"/>
      <c r="DJF69" s="4"/>
      <c r="DJG69" s="4"/>
      <c r="DJH69" s="4"/>
      <c r="DJI69" s="4"/>
      <c r="DJJ69" s="4"/>
      <c r="DJK69" s="4"/>
      <c r="DJL69" s="4"/>
      <c r="DJM69" s="4"/>
      <c r="DJN69" s="4"/>
      <c r="DJO69" s="4"/>
      <c r="DJP69" s="4"/>
      <c r="DJQ69" s="4"/>
      <c r="DJR69" s="4"/>
      <c r="DJS69" s="4"/>
      <c r="DJT69" s="4"/>
      <c r="DJU69" s="4"/>
      <c r="DJV69" s="4"/>
      <c r="DJW69" s="4"/>
      <c r="DJX69" s="4"/>
      <c r="DJY69" s="4"/>
      <c r="DJZ69" s="4"/>
      <c r="DKA69" s="4"/>
      <c r="DKB69" s="4"/>
      <c r="DKC69" s="4"/>
      <c r="DKD69" s="4"/>
      <c r="DKE69" s="4"/>
      <c r="DKF69" s="4"/>
      <c r="DKG69" s="4"/>
      <c r="DKH69" s="4"/>
      <c r="DKI69" s="4"/>
      <c r="DKJ69" s="4"/>
      <c r="DKK69" s="4"/>
      <c r="DKL69" s="4"/>
      <c r="DKM69" s="4"/>
      <c r="DKN69" s="4"/>
      <c r="DKO69" s="4"/>
      <c r="DKP69" s="4"/>
      <c r="DKQ69" s="4"/>
      <c r="DKR69" s="4"/>
      <c r="DKS69" s="4"/>
      <c r="DKT69" s="4"/>
      <c r="DKU69" s="4"/>
      <c r="DKV69" s="4"/>
      <c r="DKW69" s="4"/>
      <c r="DKX69" s="4"/>
      <c r="DKY69" s="4"/>
      <c r="DKZ69" s="4"/>
      <c r="DLA69" s="4"/>
      <c r="DLB69" s="4"/>
      <c r="DLC69" s="4"/>
      <c r="DLD69" s="4"/>
      <c r="DLE69" s="4"/>
      <c r="DLF69" s="4"/>
      <c r="DLG69" s="4"/>
      <c r="DLH69" s="4"/>
      <c r="DLI69" s="4"/>
      <c r="DLJ69" s="4"/>
      <c r="DLK69" s="4"/>
      <c r="DLL69" s="4"/>
      <c r="DLM69" s="4"/>
      <c r="DLN69" s="4"/>
      <c r="DLO69" s="4"/>
      <c r="DLP69" s="4"/>
      <c r="DLQ69" s="4"/>
      <c r="DLR69" s="4"/>
      <c r="DLS69" s="4"/>
      <c r="DLT69" s="4"/>
      <c r="DLU69" s="4"/>
      <c r="DLV69" s="4"/>
      <c r="DLW69" s="4"/>
      <c r="DLX69" s="4"/>
      <c r="DLY69" s="4"/>
      <c r="DLZ69" s="4"/>
      <c r="DMA69" s="4"/>
      <c r="DMB69" s="4"/>
      <c r="DMC69" s="4"/>
      <c r="DMD69" s="4"/>
      <c r="DME69" s="4"/>
      <c r="DMF69" s="4"/>
      <c r="DMG69" s="4"/>
      <c r="DMH69" s="4"/>
      <c r="DMI69" s="4"/>
      <c r="DMJ69" s="4"/>
      <c r="DMK69" s="4"/>
      <c r="DML69" s="4"/>
      <c r="DMM69" s="4"/>
      <c r="DMN69" s="4"/>
      <c r="DMO69" s="4"/>
      <c r="DMP69" s="4"/>
      <c r="DMQ69" s="4"/>
      <c r="DMR69" s="4"/>
      <c r="DMS69" s="4"/>
      <c r="DMT69" s="4"/>
      <c r="DMU69" s="4"/>
      <c r="DMV69" s="4"/>
      <c r="DMW69" s="4"/>
      <c r="DMX69" s="4"/>
      <c r="DMY69" s="4"/>
      <c r="DMZ69" s="4"/>
      <c r="DNA69" s="4"/>
      <c r="DNB69" s="4"/>
      <c r="DNC69" s="4"/>
      <c r="DND69" s="4"/>
      <c r="DNE69" s="4"/>
      <c r="DNF69" s="4"/>
      <c r="DNG69" s="4"/>
      <c r="DNH69" s="4"/>
      <c r="DNI69" s="4"/>
      <c r="DNJ69" s="4"/>
      <c r="DNK69" s="4"/>
      <c r="DNL69" s="4"/>
      <c r="DNM69" s="4"/>
      <c r="DNN69" s="4"/>
      <c r="DNO69" s="4"/>
      <c r="DNP69" s="4"/>
      <c r="DNQ69" s="4"/>
      <c r="DNR69" s="4"/>
      <c r="DNS69" s="4"/>
      <c r="DNT69" s="4"/>
      <c r="DNU69" s="4"/>
      <c r="DNV69" s="4"/>
      <c r="DNW69" s="4"/>
      <c r="DNX69" s="4"/>
      <c r="DNY69" s="4"/>
      <c r="DNZ69" s="4"/>
      <c r="DOA69" s="4"/>
      <c r="DOB69" s="4"/>
      <c r="DOC69" s="4"/>
      <c r="DOD69" s="4"/>
      <c r="DOE69" s="4"/>
      <c r="DOF69" s="4"/>
      <c r="DOG69" s="4"/>
      <c r="DOH69" s="4"/>
      <c r="DOI69" s="4"/>
      <c r="DOJ69" s="4"/>
      <c r="DOK69" s="4"/>
      <c r="DOL69" s="4"/>
      <c r="DOM69" s="4"/>
      <c r="DON69" s="4"/>
      <c r="DOO69" s="4"/>
      <c r="DOP69" s="4"/>
      <c r="DOQ69" s="4"/>
      <c r="DOR69" s="4"/>
      <c r="DOS69" s="4"/>
      <c r="DOT69" s="4"/>
      <c r="DOU69" s="4"/>
      <c r="DOV69" s="4"/>
      <c r="DOW69" s="4"/>
      <c r="DOX69" s="4"/>
      <c r="DOY69" s="4"/>
      <c r="DOZ69" s="4"/>
      <c r="DPA69" s="4"/>
      <c r="DPB69" s="4"/>
      <c r="DPC69" s="4"/>
      <c r="DPD69" s="4"/>
      <c r="DPE69" s="4"/>
      <c r="DPF69" s="4"/>
      <c r="DPG69" s="4"/>
      <c r="DPH69" s="4"/>
      <c r="DPI69" s="4"/>
      <c r="DPJ69" s="4"/>
      <c r="DPK69" s="4"/>
      <c r="DPL69" s="4"/>
      <c r="DPM69" s="4"/>
      <c r="DPN69" s="4"/>
      <c r="DPO69" s="4"/>
      <c r="DPP69" s="4"/>
      <c r="DPQ69" s="4"/>
      <c r="DPR69" s="4"/>
      <c r="DPS69" s="4"/>
      <c r="DPT69" s="4"/>
      <c r="DPU69" s="4"/>
      <c r="DPV69" s="4"/>
      <c r="DPW69" s="4"/>
      <c r="DPX69" s="4"/>
      <c r="DPY69" s="4"/>
      <c r="DPZ69" s="4"/>
      <c r="DQA69" s="4"/>
      <c r="DQB69" s="4"/>
      <c r="DQC69" s="4"/>
      <c r="DQD69" s="4"/>
      <c r="DQE69" s="4"/>
      <c r="DQF69" s="4"/>
      <c r="DQG69" s="4"/>
      <c r="DQH69" s="4"/>
      <c r="DQI69" s="4"/>
      <c r="DQJ69" s="4"/>
      <c r="DQK69" s="4"/>
      <c r="DQL69" s="4"/>
      <c r="DQM69" s="4"/>
      <c r="DQN69" s="4"/>
      <c r="DQO69" s="4"/>
      <c r="DQP69" s="4"/>
      <c r="DQQ69" s="4"/>
      <c r="DQR69" s="4"/>
      <c r="DQS69" s="4"/>
      <c r="DQT69" s="4"/>
      <c r="DQU69" s="4"/>
      <c r="DQV69" s="4"/>
      <c r="DQW69" s="4"/>
      <c r="DQX69" s="4"/>
      <c r="DQY69" s="4"/>
      <c r="DQZ69" s="4"/>
      <c r="DRA69" s="4"/>
      <c r="DRB69" s="4"/>
      <c r="DRC69" s="4"/>
      <c r="DRD69" s="4"/>
      <c r="DRE69" s="4"/>
      <c r="DRF69" s="4"/>
      <c r="DRG69" s="4"/>
      <c r="DRH69" s="4"/>
      <c r="DRI69" s="4"/>
      <c r="DRJ69" s="4"/>
      <c r="DRK69" s="4"/>
      <c r="DRL69" s="4"/>
      <c r="DRM69" s="4"/>
      <c r="DRN69" s="4"/>
      <c r="DRO69" s="4"/>
      <c r="DRP69" s="4"/>
      <c r="DRQ69" s="4"/>
      <c r="DRR69" s="4"/>
      <c r="DRS69" s="4"/>
      <c r="DRT69" s="4"/>
      <c r="DRU69" s="4"/>
      <c r="DRV69" s="4"/>
      <c r="DRW69" s="4"/>
      <c r="DRX69" s="4"/>
      <c r="DRY69" s="4"/>
      <c r="DRZ69" s="4"/>
      <c r="DSA69" s="4"/>
      <c r="DSB69" s="4"/>
      <c r="DSC69" s="4"/>
      <c r="DSD69" s="4"/>
      <c r="DSE69" s="4"/>
      <c r="DSF69" s="4"/>
      <c r="DSG69" s="4"/>
      <c r="DSH69" s="4"/>
      <c r="DSI69" s="4"/>
      <c r="DSJ69" s="4"/>
      <c r="DSK69" s="4"/>
      <c r="DSL69" s="4"/>
      <c r="DSM69" s="4"/>
      <c r="DSN69" s="4"/>
      <c r="DSO69" s="4"/>
      <c r="DSP69" s="4"/>
      <c r="DSQ69" s="4"/>
      <c r="DSR69" s="4"/>
      <c r="DSS69" s="4"/>
      <c r="DST69" s="4"/>
      <c r="DSU69" s="4"/>
      <c r="DSV69" s="4"/>
      <c r="DSW69" s="4"/>
      <c r="DSX69" s="4"/>
      <c r="DSY69" s="4"/>
      <c r="DSZ69" s="4"/>
      <c r="DTA69" s="4"/>
      <c r="DTB69" s="4"/>
      <c r="DTC69" s="4"/>
      <c r="DTD69" s="4"/>
      <c r="DTE69" s="4"/>
      <c r="DTF69" s="4"/>
      <c r="DTG69" s="4"/>
      <c r="DTH69" s="4"/>
      <c r="DTI69" s="4"/>
      <c r="DTJ69" s="4"/>
      <c r="DTK69" s="4"/>
      <c r="DTL69" s="4"/>
      <c r="DTM69" s="4"/>
      <c r="DTN69" s="4"/>
      <c r="DTO69" s="4"/>
      <c r="DTP69" s="4"/>
      <c r="DTQ69" s="4"/>
      <c r="DTR69" s="4"/>
      <c r="DTS69" s="4"/>
      <c r="DTT69" s="4"/>
      <c r="DTU69" s="4"/>
      <c r="DTV69" s="4"/>
      <c r="DTW69" s="4"/>
      <c r="DTX69" s="4"/>
      <c r="DTY69" s="4"/>
      <c r="DTZ69" s="4"/>
      <c r="DUA69" s="4"/>
      <c r="DUB69" s="4"/>
      <c r="DUC69" s="4"/>
      <c r="DUD69" s="4"/>
      <c r="DUE69" s="4"/>
      <c r="DUF69" s="4"/>
      <c r="DUG69" s="4"/>
      <c r="DUH69" s="4"/>
      <c r="DUI69" s="4"/>
      <c r="DUJ69" s="4"/>
      <c r="DUK69" s="4"/>
      <c r="DUL69" s="4"/>
      <c r="DUM69" s="4"/>
      <c r="DUN69" s="4"/>
      <c r="DUO69" s="4"/>
      <c r="DUP69" s="4"/>
      <c r="DUQ69" s="4"/>
      <c r="DUR69" s="4"/>
      <c r="DUS69" s="4"/>
      <c r="DUT69" s="4"/>
      <c r="DUU69" s="4"/>
      <c r="DUV69" s="4"/>
      <c r="DUW69" s="4"/>
      <c r="DUX69" s="4"/>
      <c r="DUY69" s="4"/>
      <c r="DUZ69" s="4"/>
      <c r="DVA69" s="4"/>
      <c r="DVB69" s="4"/>
      <c r="DVC69" s="4"/>
      <c r="DVD69" s="4"/>
      <c r="DVE69" s="4"/>
      <c r="DVF69" s="4"/>
      <c r="DVG69" s="4"/>
      <c r="DVH69" s="4"/>
      <c r="DVI69" s="4"/>
      <c r="DVJ69" s="4"/>
      <c r="DVK69" s="4"/>
      <c r="DVL69" s="4"/>
      <c r="DVM69" s="4"/>
      <c r="DVN69" s="4"/>
      <c r="DVO69" s="4"/>
      <c r="DVP69" s="4"/>
      <c r="DVQ69" s="4"/>
      <c r="DVR69" s="4"/>
      <c r="DVS69" s="4"/>
      <c r="DVT69" s="4"/>
      <c r="DVU69" s="4"/>
      <c r="DVV69" s="4"/>
      <c r="DVW69" s="4"/>
      <c r="DVX69" s="4"/>
      <c r="DVY69" s="4"/>
      <c r="DVZ69" s="4"/>
      <c r="DWA69" s="4"/>
      <c r="DWB69" s="4"/>
      <c r="DWC69" s="4"/>
      <c r="DWD69" s="4"/>
      <c r="DWE69" s="4"/>
      <c r="DWF69" s="4"/>
      <c r="DWG69" s="4"/>
      <c r="DWH69" s="4"/>
      <c r="DWI69" s="4"/>
      <c r="DWJ69" s="4"/>
      <c r="DWK69" s="4"/>
      <c r="DWL69" s="4"/>
      <c r="DWM69" s="4"/>
      <c r="DWN69" s="4"/>
      <c r="DWO69" s="4"/>
      <c r="DWP69" s="4"/>
      <c r="DWQ69" s="4"/>
      <c r="DWR69" s="4"/>
      <c r="DWS69" s="4"/>
      <c r="DWT69" s="4"/>
      <c r="DWU69" s="4"/>
      <c r="DWV69" s="4"/>
      <c r="DWW69" s="4"/>
      <c r="DWX69" s="4"/>
      <c r="DWY69" s="4"/>
      <c r="DWZ69" s="4"/>
      <c r="DXA69" s="4"/>
      <c r="DXB69" s="4"/>
      <c r="DXC69" s="4"/>
      <c r="DXD69" s="4"/>
      <c r="DXE69" s="4"/>
      <c r="DXF69" s="4"/>
      <c r="DXG69" s="4"/>
      <c r="DXH69" s="4"/>
      <c r="DXI69" s="4"/>
      <c r="DXJ69" s="4"/>
      <c r="DXK69" s="4"/>
      <c r="DXL69" s="4"/>
      <c r="DXM69" s="4"/>
      <c r="DXN69" s="4"/>
      <c r="DXO69" s="4"/>
      <c r="DXP69" s="4"/>
      <c r="DXQ69" s="4"/>
      <c r="DXR69" s="4"/>
      <c r="DXS69" s="4"/>
      <c r="DXT69" s="4"/>
      <c r="DXU69" s="4"/>
      <c r="DXV69" s="4"/>
      <c r="DXW69" s="4"/>
      <c r="DXX69" s="4"/>
      <c r="DXY69" s="4"/>
      <c r="DXZ69" s="4"/>
      <c r="DYA69" s="4"/>
      <c r="DYB69" s="4"/>
      <c r="DYC69" s="4"/>
      <c r="DYD69" s="4"/>
      <c r="DYE69" s="4"/>
      <c r="DYF69" s="4"/>
      <c r="DYG69" s="4"/>
      <c r="DYH69" s="4"/>
      <c r="DYI69" s="4"/>
      <c r="DYJ69" s="4"/>
      <c r="DYK69" s="4"/>
      <c r="DYL69" s="4"/>
      <c r="DYM69" s="4"/>
      <c r="DYN69" s="4"/>
      <c r="DYO69" s="4"/>
      <c r="DYP69" s="4"/>
      <c r="DYQ69" s="4"/>
      <c r="DYR69" s="4"/>
      <c r="DYS69" s="4"/>
      <c r="DYT69" s="4"/>
      <c r="DYU69" s="4"/>
      <c r="DYV69" s="4"/>
      <c r="DYW69" s="4"/>
      <c r="DYX69" s="4"/>
      <c r="DYY69" s="4"/>
      <c r="DYZ69" s="4"/>
      <c r="DZA69" s="4"/>
      <c r="DZB69" s="4"/>
      <c r="DZC69" s="4"/>
      <c r="DZD69" s="4"/>
      <c r="DZE69" s="4"/>
      <c r="DZF69" s="4"/>
      <c r="DZG69" s="4"/>
      <c r="DZH69" s="4"/>
      <c r="DZI69" s="4"/>
      <c r="DZJ69" s="4"/>
      <c r="DZK69" s="4"/>
      <c r="DZL69" s="4"/>
      <c r="DZM69" s="4"/>
      <c r="DZN69" s="4"/>
      <c r="DZO69" s="4"/>
      <c r="DZP69" s="4"/>
      <c r="DZQ69" s="4"/>
      <c r="DZR69" s="4"/>
      <c r="DZS69" s="4"/>
      <c r="DZT69" s="4"/>
      <c r="DZU69" s="4"/>
      <c r="DZV69" s="4"/>
      <c r="DZW69" s="4"/>
      <c r="DZX69" s="4"/>
      <c r="DZY69" s="4"/>
      <c r="DZZ69" s="4"/>
      <c r="EAA69" s="4"/>
      <c r="EAB69" s="4"/>
      <c r="EAC69" s="4"/>
      <c r="EAD69" s="4"/>
      <c r="EAE69" s="4"/>
      <c r="EAF69" s="4"/>
      <c r="EAG69" s="4"/>
      <c r="EAH69" s="4"/>
      <c r="EAI69" s="4"/>
      <c r="EAJ69" s="4"/>
      <c r="EAK69" s="4"/>
      <c r="EAL69" s="4"/>
      <c r="EAM69" s="4"/>
      <c r="EAN69" s="4"/>
      <c r="EAO69" s="4"/>
      <c r="EAP69" s="4"/>
      <c r="EAQ69" s="4"/>
      <c r="EAR69" s="4"/>
      <c r="EAS69" s="4"/>
      <c r="EAT69" s="4"/>
      <c r="EAU69" s="4"/>
      <c r="EAV69" s="4"/>
      <c r="EAW69" s="4"/>
      <c r="EAX69" s="4"/>
      <c r="EAY69" s="4"/>
      <c r="EAZ69" s="4"/>
      <c r="EBA69" s="4"/>
      <c r="EBB69" s="4"/>
      <c r="EBC69" s="4"/>
      <c r="EBD69" s="4"/>
      <c r="EBE69" s="4"/>
      <c r="EBF69" s="4"/>
      <c r="EBG69" s="4"/>
      <c r="EBH69" s="4"/>
      <c r="EBI69" s="4"/>
      <c r="EBJ69" s="4"/>
      <c r="EBK69" s="4"/>
      <c r="EBL69" s="4"/>
      <c r="EBM69" s="4"/>
      <c r="EBN69" s="4"/>
      <c r="EBO69" s="4"/>
      <c r="EBP69" s="4"/>
      <c r="EBQ69" s="4"/>
      <c r="EBR69" s="4"/>
      <c r="EBS69" s="4"/>
      <c r="EBT69" s="4"/>
      <c r="EBU69" s="4"/>
      <c r="EBV69" s="4"/>
      <c r="EBW69" s="4"/>
      <c r="EBX69" s="4"/>
      <c r="EBY69" s="4"/>
      <c r="EBZ69" s="4"/>
      <c r="ECA69" s="4"/>
      <c r="ECB69" s="4"/>
      <c r="ECC69" s="4"/>
      <c r="ECD69" s="4"/>
      <c r="ECE69" s="4"/>
      <c r="ECF69" s="4"/>
      <c r="ECG69" s="4"/>
      <c r="ECH69" s="4"/>
      <c r="ECI69" s="4"/>
      <c r="ECJ69" s="4"/>
      <c r="ECK69" s="4"/>
      <c r="ECL69" s="4"/>
      <c r="ECM69" s="4"/>
      <c r="ECN69" s="4"/>
      <c r="ECO69" s="4"/>
      <c r="ECP69" s="4"/>
      <c r="ECQ69" s="4"/>
      <c r="ECR69" s="4"/>
      <c r="ECS69" s="4"/>
      <c r="ECT69" s="4"/>
      <c r="ECU69" s="4"/>
      <c r="ECV69" s="4"/>
      <c r="ECW69" s="4"/>
      <c r="ECX69" s="4"/>
      <c r="ECY69" s="4"/>
      <c r="ECZ69" s="4"/>
      <c r="EDA69" s="4"/>
      <c r="EDB69" s="4"/>
      <c r="EDC69" s="4"/>
      <c r="EDD69" s="4"/>
      <c r="EDE69" s="4"/>
      <c r="EDF69" s="4"/>
      <c r="EDG69" s="4"/>
      <c r="EDH69" s="4"/>
      <c r="EDI69" s="4"/>
      <c r="EDJ69" s="4"/>
      <c r="EDK69" s="4"/>
      <c r="EDL69" s="4"/>
      <c r="EDM69" s="4"/>
      <c r="EDN69" s="4"/>
      <c r="EDO69" s="4"/>
      <c r="EDP69" s="4"/>
      <c r="EDQ69" s="4"/>
      <c r="EDR69" s="4"/>
      <c r="EDS69" s="4"/>
      <c r="EDT69" s="4"/>
      <c r="EDU69" s="4"/>
      <c r="EDV69" s="4"/>
      <c r="EDW69" s="4"/>
      <c r="EDX69" s="4"/>
      <c r="EDY69" s="4"/>
      <c r="EDZ69" s="4"/>
      <c r="EEA69" s="4"/>
      <c r="EEB69" s="4"/>
      <c r="EEC69" s="4"/>
      <c r="EED69" s="4"/>
      <c r="EEE69" s="4"/>
      <c r="EEF69" s="4"/>
      <c r="EEG69" s="4"/>
      <c r="EEH69" s="4"/>
      <c r="EEI69" s="4"/>
      <c r="EEJ69" s="4"/>
      <c r="EEK69" s="4"/>
      <c r="EEL69" s="4"/>
      <c r="EEM69" s="4"/>
      <c r="EEN69" s="4"/>
      <c r="EEO69" s="4"/>
      <c r="EEP69" s="4"/>
      <c r="EEQ69" s="4"/>
      <c r="EER69" s="4"/>
      <c r="EES69" s="4"/>
      <c r="EET69" s="4"/>
      <c r="EEU69" s="4"/>
      <c r="EEV69" s="4"/>
      <c r="EEW69" s="4"/>
      <c r="EEX69" s="4"/>
      <c r="EEY69" s="4"/>
      <c r="EEZ69" s="4"/>
      <c r="EFA69" s="4"/>
      <c r="EFB69" s="4"/>
      <c r="EFC69" s="4"/>
      <c r="EFD69" s="4"/>
      <c r="EFE69" s="4"/>
      <c r="EFF69" s="4"/>
      <c r="EFG69" s="4"/>
      <c r="EFH69" s="4"/>
      <c r="EFI69" s="4"/>
      <c r="EFJ69" s="4"/>
      <c r="EFK69" s="4"/>
      <c r="EFL69" s="4"/>
      <c r="EFM69" s="4"/>
      <c r="EFN69" s="4"/>
      <c r="EFO69" s="4"/>
      <c r="EFP69" s="4"/>
      <c r="EFQ69" s="4"/>
      <c r="EFR69" s="4"/>
      <c r="EFS69" s="4"/>
      <c r="EFT69" s="4"/>
      <c r="EFU69" s="4"/>
      <c r="EFV69" s="4"/>
      <c r="EFW69" s="4"/>
      <c r="EFX69" s="4"/>
      <c r="EFY69" s="4"/>
      <c r="EFZ69" s="4"/>
      <c r="EGA69" s="4"/>
      <c r="EGB69" s="4"/>
      <c r="EGC69" s="4"/>
      <c r="EGD69" s="4"/>
      <c r="EGE69" s="4"/>
      <c r="EGF69" s="4"/>
      <c r="EGG69" s="4"/>
      <c r="EGH69" s="4"/>
      <c r="EGI69" s="4"/>
      <c r="EGJ69" s="4"/>
      <c r="EGK69" s="4"/>
      <c r="EGL69" s="4"/>
      <c r="EGM69" s="4"/>
      <c r="EGN69" s="4"/>
      <c r="EGO69" s="4"/>
      <c r="EGP69" s="4"/>
      <c r="EGQ69" s="4"/>
      <c r="EGR69" s="4"/>
      <c r="EGS69" s="4"/>
      <c r="EGT69" s="4"/>
      <c r="EGU69" s="4"/>
      <c r="EGV69" s="4"/>
      <c r="EGW69" s="4"/>
      <c r="EGX69" s="4"/>
      <c r="EGY69" s="4"/>
      <c r="EGZ69" s="4"/>
      <c r="EHA69" s="4"/>
      <c r="EHB69" s="4"/>
      <c r="EHC69" s="4"/>
      <c r="EHD69" s="4"/>
      <c r="EHE69" s="4"/>
      <c r="EHF69" s="4"/>
      <c r="EHG69" s="4"/>
      <c r="EHH69" s="4"/>
      <c r="EHI69" s="4"/>
      <c r="EHJ69" s="4"/>
      <c r="EHK69" s="4"/>
      <c r="EHL69" s="4"/>
      <c r="EHM69" s="4"/>
      <c r="EHN69" s="4"/>
      <c r="EHO69" s="4"/>
      <c r="EHP69" s="4"/>
      <c r="EHQ69" s="4"/>
      <c r="EHR69" s="4"/>
      <c r="EHS69" s="4"/>
      <c r="EHT69" s="4"/>
      <c r="EHU69" s="4"/>
      <c r="EHV69" s="4"/>
      <c r="EHW69" s="4"/>
      <c r="EHX69" s="4"/>
      <c r="EHY69" s="4"/>
      <c r="EHZ69" s="4"/>
      <c r="EIA69" s="4"/>
      <c r="EIB69" s="4"/>
      <c r="EIC69" s="4"/>
      <c r="EID69" s="4"/>
      <c r="EIE69" s="4"/>
      <c r="EIF69" s="4"/>
      <c r="EIG69" s="4"/>
      <c r="EIH69" s="4"/>
      <c r="EII69" s="4"/>
      <c r="EIJ69" s="4"/>
      <c r="EIK69" s="4"/>
      <c r="EIL69" s="4"/>
      <c r="EIM69" s="4"/>
      <c r="EIN69" s="4"/>
      <c r="EIO69" s="4"/>
      <c r="EIP69" s="4"/>
      <c r="EIQ69" s="4"/>
      <c r="EIR69" s="4"/>
      <c r="EIS69" s="4"/>
      <c r="EIT69" s="4"/>
      <c r="EIU69" s="4"/>
      <c r="EIV69" s="4"/>
      <c r="EIW69" s="4"/>
      <c r="EIX69" s="4"/>
      <c r="EIY69" s="4"/>
      <c r="EIZ69" s="4"/>
      <c r="EJA69" s="4"/>
      <c r="EJB69" s="4"/>
      <c r="EJC69" s="4"/>
      <c r="EJD69" s="4"/>
      <c r="EJE69" s="4"/>
      <c r="EJF69" s="4"/>
      <c r="EJG69" s="4"/>
      <c r="EJH69" s="4"/>
      <c r="EJI69" s="4"/>
      <c r="EJJ69" s="4"/>
      <c r="EJK69" s="4"/>
      <c r="EJL69" s="4"/>
      <c r="EJM69" s="4"/>
      <c r="EJN69" s="4"/>
      <c r="EJO69" s="4"/>
      <c r="EJP69" s="4"/>
      <c r="EJQ69" s="4"/>
      <c r="EJR69" s="4"/>
      <c r="EJS69" s="4"/>
      <c r="EJT69" s="4"/>
      <c r="EJU69" s="4"/>
      <c r="EJV69" s="4"/>
      <c r="EJW69" s="4"/>
      <c r="EJX69" s="4"/>
      <c r="EJY69" s="4"/>
      <c r="EJZ69" s="4"/>
      <c r="EKA69" s="4"/>
      <c r="EKB69" s="4"/>
      <c r="EKC69" s="4"/>
      <c r="EKD69" s="4"/>
      <c r="EKE69" s="4"/>
      <c r="EKF69" s="4"/>
      <c r="EKG69" s="4"/>
      <c r="EKH69" s="4"/>
      <c r="EKI69" s="4"/>
      <c r="EKJ69" s="4"/>
      <c r="EKK69" s="4"/>
      <c r="EKL69" s="4"/>
      <c r="EKM69" s="4"/>
      <c r="EKN69" s="4"/>
      <c r="EKO69" s="4"/>
      <c r="EKP69" s="4"/>
      <c r="EKQ69" s="4"/>
      <c r="EKR69" s="4"/>
      <c r="EKS69" s="4"/>
      <c r="EKT69" s="4"/>
      <c r="EKU69" s="4"/>
      <c r="EKV69" s="4"/>
      <c r="EKW69" s="4"/>
      <c r="EKX69" s="4"/>
      <c r="EKY69" s="4"/>
      <c r="EKZ69" s="4"/>
      <c r="ELA69" s="4"/>
      <c r="ELB69" s="4"/>
      <c r="ELC69" s="4"/>
      <c r="ELD69" s="4"/>
      <c r="ELE69" s="4"/>
      <c r="ELF69" s="4"/>
      <c r="ELG69" s="4"/>
      <c r="ELH69" s="4"/>
      <c r="ELI69" s="4"/>
      <c r="ELJ69" s="4"/>
      <c r="ELK69" s="4"/>
      <c r="ELL69" s="4"/>
      <c r="ELM69" s="4"/>
      <c r="ELN69" s="4"/>
      <c r="ELO69" s="4"/>
      <c r="ELP69" s="4"/>
      <c r="ELQ69" s="4"/>
      <c r="ELR69" s="4"/>
      <c r="ELS69" s="4"/>
      <c r="ELT69" s="4"/>
      <c r="ELU69" s="4"/>
      <c r="ELV69" s="4"/>
      <c r="ELW69" s="4"/>
      <c r="ELX69" s="4"/>
      <c r="ELY69" s="4"/>
      <c r="ELZ69" s="4"/>
      <c r="EMA69" s="4"/>
      <c r="EMB69" s="4"/>
      <c r="EMC69" s="4"/>
      <c r="EMD69" s="4"/>
      <c r="EME69" s="4"/>
      <c r="EMF69" s="4"/>
      <c r="EMG69" s="4"/>
      <c r="EMH69" s="4"/>
      <c r="EMI69" s="4"/>
      <c r="EMJ69" s="4"/>
      <c r="EMK69" s="4"/>
      <c r="EML69" s="4"/>
      <c r="EMM69" s="4"/>
      <c r="EMN69" s="4"/>
      <c r="EMO69" s="4"/>
      <c r="EMP69" s="4"/>
      <c r="EMQ69" s="4"/>
      <c r="EMR69" s="4"/>
      <c r="EMS69" s="4"/>
      <c r="EMT69" s="4"/>
      <c r="EMU69" s="4"/>
      <c r="EMV69" s="4"/>
      <c r="EMW69" s="4"/>
      <c r="EMX69" s="4"/>
      <c r="EMY69" s="4"/>
      <c r="EMZ69" s="4"/>
      <c r="ENA69" s="4"/>
      <c r="ENB69" s="4"/>
      <c r="ENC69" s="4"/>
      <c r="END69" s="4"/>
      <c r="ENE69" s="4"/>
      <c r="ENF69" s="4"/>
      <c r="ENG69" s="4"/>
      <c r="ENH69" s="4"/>
      <c r="ENI69" s="4"/>
      <c r="ENJ69" s="4"/>
      <c r="ENK69" s="4"/>
      <c r="ENL69" s="4"/>
      <c r="ENM69" s="4"/>
      <c r="ENN69" s="4"/>
      <c r="ENO69" s="4"/>
      <c r="ENP69" s="4"/>
      <c r="ENQ69" s="4"/>
      <c r="ENR69" s="4"/>
      <c r="ENS69" s="4"/>
      <c r="ENT69" s="4"/>
      <c r="ENU69" s="4"/>
      <c r="ENV69" s="4"/>
      <c r="ENW69" s="4"/>
      <c r="ENX69" s="4"/>
      <c r="ENY69" s="4"/>
      <c r="ENZ69" s="4"/>
      <c r="EOA69" s="4"/>
      <c r="EOB69" s="4"/>
      <c r="EOC69" s="4"/>
      <c r="EOD69" s="4"/>
      <c r="EOE69" s="4"/>
      <c r="EOF69" s="4"/>
      <c r="EOG69" s="4"/>
      <c r="EOH69" s="4"/>
      <c r="EOI69" s="4"/>
      <c r="EOJ69" s="4"/>
      <c r="EOK69" s="4"/>
      <c r="EOL69" s="4"/>
      <c r="EOM69" s="4"/>
      <c r="EON69" s="4"/>
      <c r="EOO69" s="4"/>
      <c r="EOP69" s="4"/>
      <c r="EOQ69" s="4"/>
      <c r="EOR69" s="4"/>
      <c r="EOS69" s="4"/>
      <c r="EOT69" s="4"/>
      <c r="EOU69" s="4"/>
      <c r="EOV69" s="4"/>
      <c r="EOW69" s="4"/>
      <c r="EOX69" s="4"/>
      <c r="EOY69" s="4"/>
      <c r="EOZ69" s="4"/>
      <c r="EPA69" s="4"/>
      <c r="EPB69" s="4"/>
      <c r="EPC69" s="4"/>
      <c r="EPD69" s="4"/>
      <c r="EPE69" s="4"/>
      <c r="EPF69" s="4"/>
      <c r="EPG69" s="4"/>
      <c r="EPH69" s="4"/>
      <c r="EPI69" s="4"/>
      <c r="EPJ69" s="4"/>
      <c r="EPK69" s="4"/>
      <c r="EPL69" s="4"/>
      <c r="EPM69" s="4"/>
      <c r="EPN69" s="4"/>
      <c r="EPO69" s="4"/>
      <c r="EPP69" s="4"/>
      <c r="EPQ69" s="4"/>
      <c r="EPR69" s="4"/>
      <c r="EPS69" s="4"/>
      <c r="EPT69" s="4"/>
      <c r="EPU69" s="4"/>
      <c r="EPV69" s="4"/>
      <c r="EPW69" s="4"/>
      <c r="EPX69" s="4"/>
      <c r="EPY69" s="4"/>
      <c r="EPZ69" s="4"/>
      <c r="EQA69" s="4"/>
      <c r="EQB69" s="4"/>
      <c r="EQC69" s="4"/>
      <c r="EQD69" s="4"/>
      <c r="EQE69" s="4"/>
      <c r="EQF69" s="4"/>
      <c r="EQG69" s="4"/>
      <c r="EQH69" s="4"/>
      <c r="EQI69" s="4"/>
      <c r="EQJ69" s="4"/>
      <c r="EQK69" s="4"/>
      <c r="EQL69" s="4"/>
      <c r="EQM69" s="4"/>
      <c r="EQN69" s="4"/>
      <c r="EQO69" s="4"/>
      <c r="EQP69" s="4"/>
      <c r="EQQ69" s="4"/>
      <c r="EQR69" s="4"/>
      <c r="EQS69" s="4"/>
      <c r="EQT69" s="4"/>
      <c r="EQU69" s="4"/>
      <c r="EQV69" s="4"/>
      <c r="EQW69" s="4"/>
      <c r="EQX69" s="4"/>
      <c r="EQY69" s="4"/>
      <c r="EQZ69" s="4"/>
      <c r="ERA69" s="4"/>
      <c r="ERB69" s="4"/>
      <c r="ERC69" s="4"/>
      <c r="ERD69" s="4"/>
      <c r="ERE69" s="4"/>
      <c r="ERF69" s="4"/>
      <c r="ERG69" s="4"/>
      <c r="ERH69" s="4"/>
      <c r="ERI69" s="4"/>
      <c r="ERJ69" s="4"/>
      <c r="ERK69" s="4"/>
      <c r="ERL69" s="4"/>
      <c r="ERM69" s="4"/>
      <c r="ERN69" s="4"/>
      <c r="ERO69" s="4"/>
      <c r="ERP69" s="4"/>
      <c r="ERQ69" s="4"/>
      <c r="ERR69" s="4"/>
      <c r="ERS69" s="4"/>
      <c r="ERT69" s="4"/>
      <c r="ERU69" s="4"/>
      <c r="ERV69" s="4"/>
      <c r="ERW69" s="4"/>
      <c r="ERX69" s="4"/>
      <c r="ERY69" s="4"/>
      <c r="ERZ69" s="4"/>
      <c r="ESA69" s="4"/>
      <c r="ESB69" s="4"/>
      <c r="ESC69" s="4"/>
      <c r="ESD69" s="4"/>
      <c r="ESE69" s="4"/>
      <c r="ESF69" s="4"/>
      <c r="ESG69" s="4"/>
      <c r="ESH69" s="4"/>
      <c r="ESI69" s="4"/>
      <c r="ESJ69" s="4"/>
      <c r="ESK69" s="4"/>
      <c r="ESL69" s="4"/>
      <c r="ESM69" s="4"/>
      <c r="ESN69" s="4"/>
      <c r="ESO69" s="4"/>
      <c r="ESP69" s="4"/>
      <c r="ESQ69" s="4"/>
      <c r="ESR69" s="4"/>
      <c r="ESS69" s="4"/>
      <c r="EST69" s="4"/>
      <c r="ESU69" s="4"/>
      <c r="ESV69" s="4"/>
      <c r="ESW69" s="4"/>
      <c r="ESX69" s="4"/>
      <c r="ESY69" s="4"/>
      <c r="ESZ69" s="4"/>
      <c r="ETA69" s="4"/>
      <c r="ETB69" s="4"/>
      <c r="ETC69" s="4"/>
      <c r="ETD69" s="4"/>
      <c r="ETE69" s="4"/>
      <c r="ETF69" s="4"/>
      <c r="ETG69" s="4"/>
      <c r="ETH69" s="4"/>
      <c r="ETI69" s="4"/>
      <c r="ETJ69" s="4"/>
      <c r="ETK69" s="4"/>
      <c r="ETL69" s="4"/>
      <c r="ETM69" s="4"/>
      <c r="ETN69" s="4"/>
      <c r="ETO69" s="4"/>
      <c r="ETP69" s="4"/>
      <c r="ETQ69" s="4"/>
      <c r="ETR69" s="4"/>
      <c r="ETS69" s="4"/>
      <c r="ETT69" s="4"/>
      <c r="ETU69" s="4"/>
      <c r="ETV69" s="4"/>
      <c r="ETW69" s="4"/>
      <c r="ETX69" s="4"/>
      <c r="ETY69" s="4"/>
      <c r="ETZ69" s="4"/>
      <c r="EUA69" s="4"/>
      <c r="EUB69" s="4"/>
      <c r="EUC69" s="4"/>
      <c r="EUD69" s="4"/>
      <c r="EUE69" s="4"/>
      <c r="EUF69" s="4"/>
      <c r="EUG69" s="4"/>
      <c r="EUH69" s="4"/>
      <c r="EUI69" s="4"/>
      <c r="EUJ69" s="4"/>
      <c r="EUK69" s="4"/>
      <c r="EUL69" s="4"/>
      <c r="EUM69" s="4"/>
      <c r="EUN69" s="4"/>
      <c r="EUO69" s="4"/>
      <c r="EUP69" s="4"/>
      <c r="EUQ69" s="4"/>
      <c r="EUR69" s="4"/>
      <c r="EUS69" s="4"/>
      <c r="EUT69" s="4"/>
      <c r="EUU69" s="4"/>
      <c r="EUV69" s="4"/>
      <c r="EUW69" s="4"/>
      <c r="EUX69" s="4"/>
      <c r="EUY69" s="4"/>
      <c r="EUZ69" s="4"/>
      <c r="EVA69" s="4"/>
      <c r="EVB69" s="4"/>
      <c r="EVC69" s="4"/>
      <c r="EVD69" s="4"/>
      <c r="EVE69" s="4"/>
      <c r="EVF69" s="4"/>
      <c r="EVG69" s="4"/>
      <c r="EVH69" s="4"/>
      <c r="EVI69" s="4"/>
      <c r="EVJ69" s="4"/>
      <c r="EVK69" s="4"/>
      <c r="EVL69" s="4"/>
      <c r="EVM69" s="4"/>
      <c r="EVN69" s="4"/>
      <c r="EVO69" s="4"/>
      <c r="EVP69" s="4"/>
      <c r="EVQ69" s="4"/>
      <c r="EVR69" s="4"/>
      <c r="EVS69" s="4"/>
      <c r="EVT69" s="4"/>
      <c r="EVU69" s="4"/>
      <c r="EVV69" s="4"/>
      <c r="EVW69" s="4"/>
      <c r="EVX69" s="4"/>
      <c r="EVY69" s="4"/>
      <c r="EVZ69" s="4"/>
      <c r="EWA69" s="4"/>
      <c r="EWB69" s="4"/>
      <c r="EWC69" s="4"/>
      <c r="EWD69" s="4"/>
      <c r="EWE69" s="4"/>
      <c r="EWF69" s="4"/>
      <c r="EWG69" s="4"/>
      <c r="EWH69" s="4"/>
      <c r="EWI69" s="4"/>
      <c r="EWJ69" s="4"/>
      <c r="EWK69" s="4"/>
      <c r="EWL69" s="4"/>
      <c r="EWM69" s="4"/>
      <c r="EWN69" s="4"/>
      <c r="EWO69" s="4"/>
      <c r="EWP69" s="4"/>
      <c r="EWQ69" s="4"/>
      <c r="EWR69" s="4"/>
      <c r="EWS69" s="4"/>
      <c r="EWT69" s="4"/>
      <c r="EWU69" s="4"/>
      <c r="EWV69" s="4"/>
      <c r="EWW69" s="4"/>
      <c r="EWX69" s="4"/>
      <c r="EWY69" s="4"/>
      <c r="EWZ69" s="4"/>
      <c r="EXA69" s="4"/>
      <c r="EXB69" s="4"/>
      <c r="EXC69" s="4"/>
      <c r="EXD69" s="4"/>
      <c r="EXE69" s="4"/>
      <c r="EXF69" s="4"/>
      <c r="EXG69" s="4"/>
      <c r="EXH69" s="4"/>
      <c r="EXI69" s="4"/>
      <c r="EXJ69" s="4"/>
      <c r="EXK69" s="4"/>
      <c r="EXL69" s="4"/>
      <c r="EXM69" s="4"/>
      <c r="EXN69" s="4"/>
      <c r="EXO69" s="4"/>
      <c r="EXP69" s="4"/>
      <c r="EXQ69" s="4"/>
      <c r="EXR69" s="4"/>
      <c r="EXS69" s="4"/>
      <c r="EXT69" s="4"/>
      <c r="EXU69" s="4"/>
      <c r="EXV69" s="4"/>
      <c r="EXW69" s="4"/>
      <c r="EXX69" s="4"/>
      <c r="EXY69" s="4"/>
      <c r="EXZ69" s="4"/>
      <c r="EYA69" s="4"/>
      <c r="EYB69" s="4"/>
      <c r="EYC69" s="4"/>
      <c r="EYD69" s="4"/>
      <c r="EYE69" s="4"/>
      <c r="EYF69" s="4"/>
      <c r="EYG69" s="4"/>
      <c r="EYH69" s="4"/>
      <c r="EYI69" s="4"/>
      <c r="EYJ69" s="4"/>
      <c r="EYK69" s="4"/>
      <c r="EYL69" s="4"/>
      <c r="EYM69" s="4"/>
      <c r="EYN69" s="4"/>
      <c r="EYO69" s="4"/>
      <c r="EYP69" s="4"/>
      <c r="EYQ69" s="4"/>
      <c r="EYR69" s="4"/>
      <c r="EYS69" s="4"/>
      <c r="EYT69" s="4"/>
      <c r="EYU69" s="4"/>
      <c r="EYV69" s="4"/>
      <c r="EYW69" s="4"/>
      <c r="EYX69" s="4"/>
      <c r="EYY69" s="4"/>
      <c r="EYZ69" s="4"/>
      <c r="EZA69" s="4"/>
      <c r="EZB69" s="4"/>
      <c r="EZC69" s="4"/>
      <c r="EZD69" s="4"/>
      <c r="EZE69" s="4"/>
      <c r="EZF69" s="4"/>
      <c r="EZG69" s="4"/>
      <c r="EZH69" s="4"/>
      <c r="EZI69" s="4"/>
      <c r="EZJ69" s="4"/>
      <c r="EZK69" s="4"/>
      <c r="EZL69" s="4"/>
      <c r="EZM69" s="4"/>
      <c r="EZN69" s="4"/>
      <c r="EZO69" s="4"/>
      <c r="EZP69" s="4"/>
      <c r="EZQ69" s="4"/>
      <c r="EZR69" s="4"/>
      <c r="EZS69" s="4"/>
      <c r="EZT69" s="4"/>
      <c r="EZU69" s="4"/>
      <c r="EZV69" s="4"/>
      <c r="EZW69" s="4"/>
      <c r="EZX69" s="4"/>
      <c r="EZY69" s="4"/>
      <c r="EZZ69" s="4"/>
      <c r="FAA69" s="4"/>
      <c r="FAB69" s="4"/>
      <c r="FAC69" s="4"/>
      <c r="FAD69" s="4"/>
      <c r="FAE69" s="4"/>
      <c r="FAF69" s="4"/>
      <c r="FAG69" s="4"/>
      <c r="FAH69" s="4"/>
      <c r="FAI69" s="4"/>
      <c r="FAJ69" s="4"/>
      <c r="FAK69" s="4"/>
      <c r="FAL69" s="4"/>
      <c r="FAM69" s="4"/>
      <c r="FAN69" s="4"/>
      <c r="FAO69" s="4"/>
      <c r="FAP69" s="4"/>
      <c r="FAQ69" s="4"/>
      <c r="FAR69" s="4"/>
      <c r="FAS69" s="4"/>
      <c r="FAT69" s="4"/>
      <c r="FAU69" s="4"/>
      <c r="FAV69" s="4"/>
      <c r="FAW69" s="4"/>
      <c r="FAX69" s="4"/>
      <c r="FAY69" s="4"/>
      <c r="FAZ69" s="4"/>
      <c r="FBA69" s="4"/>
      <c r="FBB69" s="4"/>
      <c r="FBC69" s="4"/>
      <c r="FBD69" s="4"/>
      <c r="FBE69" s="4"/>
      <c r="FBF69" s="4"/>
      <c r="FBG69" s="4"/>
      <c r="FBH69" s="4"/>
      <c r="FBI69" s="4"/>
      <c r="FBJ69" s="4"/>
      <c r="FBK69" s="4"/>
      <c r="FBL69" s="4"/>
      <c r="FBM69" s="4"/>
      <c r="FBN69" s="4"/>
      <c r="FBO69" s="4"/>
      <c r="FBP69" s="4"/>
      <c r="FBQ69" s="4"/>
      <c r="FBR69" s="4"/>
      <c r="FBS69" s="4"/>
      <c r="FBT69" s="4"/>
      <c r="FBU69" s="4"/>
      <c r="FBV69" s="4"/>
      <c r="FBW69" s="4"/>
      <c r="FBX69" s="4"/>
      <c r="FBY69" s="4"/>
      <c r="FBZ69" s="4"/>
      <c r="FCA69" s="4"/>
      <c r="FCB69" s="4"/>
      <c r="FCC69" s="4"/>
      <c r="FCD69" s="4"/>
      <c r="FCE69" s="4"/>
      <c r="FCF69" s="4"/>
      <c r="FCG69" s="4"/>
      <c r="FCH69" s="4"/>
      <c r="FCI69" s="4"/>
      <c r="FCJ69" s="4"/>
      <c r="FCK69" s="4"/>
      <c r="FCL69" s="4"/>
      <c r="FCM69" s="4"/>
      <c r="FCN69" s="4"/>
      <c r="FCO69" s="4"/>
      <c r="FCP69" s="4"/>
      <c r="FCQ69" s="4"/>
      <c r="FCR69" s="4"/>
      <c r="FCS69" s="4"/>
      <c r="FCT69" s="4"/>
      <c r="FCU69" s="4"/>
      <c r="FCV69" s="4"/>
      <c r="FCW69" s="4"/>
      <c r="FCX69" s="4"/>
      <c r="FCY69" s="4"/>
      <c r="FCZ69" s="4"/>
      <c r="FDA69" s="4"/>
      <c r="FDB69" s="4"/>
      <c r="FDC69" s="4"/>
      <c r="FDD69" s="4"/>
      <c r="FDE69" s="4"/>
      <c r="FDF69" s="4"/>
      <c r="FDG69" s="4"/>
      <c r="FDH69" s="4"/>
      <c r="FDI69" s="4"/>
      <c r="FDJ69" s="4"/>
      <c r="FDK69" s="4"/>
      <c r="FDL69" s="4"/>
      <c r="FDM69" s="4"/>
      <c r="FDN69" s="4"/>
      <c r="FDO69" s="4"/>
      <c r="FDP69" s="4"/>
      <c r="FDQ69" s="4"/>
      <c r="FDR69" s="4"/>
      <c r="FDS69" s="4"/>
      <c r="FDT69" s="4"/>
      <c r="FDU69" s="4"/>
      <c r="FDV69" s="4"/>
      <c r="FDW69" s="4"/>
      <c r="FDX69" s="4"/>
      <c r="FDY69" s="4"/>
      <c r="FDZ69" s="4"/>
      <c r="FEA69" s="4"/>
      <c r="FEB69" s="4"/>
      <c r="FEC69" s="4"/>
      <c r="FED69" s="4"/>
      <c r="FEE69" s="4"/>
      <c r="FEF69" s="4"/>
      <c r="FEG69" s="4"/>
      <c r="FEH69" s="4"/>
      <c r="FEI69" s="4"/>
      <c r="FEJ69" s="4"/>
      <c r="FEK69" s="4"/>
      <c r="FEL69" s="4"/>
      <c r="FEM69" s="4"/>
      <c r="FEN69" s="4"/>
      <c r="FEO69" s="4"/>
      <c r="FEP69" s="4"/>
      <c r="FEQ69" s="4"/>
      <c r="FER69" s="4"/>
      <c r="FES69" s="4"/>
      <c r="FET69" s="4"/>
      <c r="FEU69" s="4"/>
      <c r="FEV69" s="4"/>
      <c r="FEW69" s="4"/>
      <c r="FEX69" s="4"/>
      <c r="FEY69" s="4"/>
      <c r="FEZ69" s="4"/>
      <c r="FFA69" s="4"/>
      <c r="FFB69" s="4"/>
      <c r="FFC69" s="4"/>
      <c r="FFD69" s="4"/>
      <c r="FFE69" s="4"/>
      <c r="FFF69" s="4"/>
      <c r="FFG69" s="4"/>
      <c r="FFH69" s="4"/>
      <c r="FFI69" s="4"/>
      <c r="FFJ69" s="4"/>
      <c r="FFK69" s="4"/>
      <c r="FFL69" s="4"/>
      <c r="FFM69" s="4"/>
      <c r="FFN69" s="4"/>
      <c r="FFO69" s="4"/>
      <c r="FFP69" s="4"/>
      <c r="FFQ69" s="4"/>
      <c r="FFR69" s="4"/>
      <c r="FFS69" s="4"/>
      <c r="FFT69" s="4"/>
      <c r="FFU69" s="4"/>
      <c r="FFV69" s="4"/>
      <c r="FFW69" s="4"/>
      <c r="FFX69" s="4"/>
      <c r="FFY69" s="4"/>
      <c r="FFZ69" s="4"/>
      <c r="FGA69" s="4"/>
      <c r="FGB69" s="4"/>
      <c r="FGC69" s="4"/>
      <c r="FGD69" s="4"/>
      <c r="FGE69" s="4"/>
      <c r="FGF69" s="4"/>
      <c r="FGG69" s="4"/>
      <c r="FGH69" s="4"/>
      <c r="FGI69" s="4"/>
      <c r="FGJ69" s="4"/>
      <c r="FGK69" s="4"/>
      <c r="FGL69" s="4"/>
      <c r="FGM69" s="4"/>
      <c r="FGN69" s="4"/>
      <c r="FGO69" s="4"/>
      <c r="FGP69" s="4"/>
      <c r="FGQ69" s="4"/>
      <c r="FGR69" s="4"/>
      <c r="FGS69" s="4"/>
      <c r="FGT69" s="4"/>
      <c r="FGU69" s="4"/>
      <c r="FGV69" s="4"/>
      <c r="FGW69" s="4"/>
      <c r="FGX69" s="4"/>
      <c r="FGY69" s="4"/>
      <c r="FGZ69" s="4"/>
      <c r="FHA69" s="4"/>
      <c r="FHB69" s="4"/>
      <c r="FHC69" s="4"/>
      <c r="FHD69" s="4"/>
      <c r="FHE69" s="4"/>
      <c r="FHF69" s="4"/>
      <c r="FHG69" s="4"/>
      <c r="FHH69" s="4"/>
      <c r="FHI69" s="4"/>
      <c r="FHJ69" s="4"/>
      <c r="FHK69" s="4"/>
      <c r="FHL69" s="4"/>
      <c r="FHM69" s="4"/>
      <c r="FHN69" s="4"/>
      <c r="FHO69" s="4"/>
      <c r="FHP69" s="4"/>
      <c r="FHQ69" s="4"/>
      <c r="FHR69" s="4"/>
      <c r="FHS69" s="4"/>
      <c r="FHT69" s="4"/>
      <c r="FHU69" s="4"/>
      <c r="FHV69" s="4"/>
      <c r="FHW69" s="4"/>
      <c r="FHX69" s="4"/>
      <c r="FHY69" s="4"/>
      <c r="FHZ69" s="4"/>
      <c r="FIA69" s="4"/>
      <c r="FIB69" s="4"/>
      <c r="FIC69" s="4"/>
      <c r="FID69" s="4"/>
      <c r="FIE69" s="4"/>
      <c r="FIF69" s="4"/>
      <c r="FIG69" s="4"/>
      <c r="FIH69" s="4"/>
      <c r="FII69" s="4"/>
      <c r="FIJ69" s="4"/>
      <c r="FIK69" s="4"/>
      <c r="FIL69" s="4"/>
      <c r="FIM69" s="4"/>
      <c r="FIN69" s="4"/>
      <c r="FIO69" s="4"/>
      <c r="FIP69" s="4"/>
      <c r="FIQ69" s="4"/>
      <c r="FIR69" s="4"/>
      <c r="FIS69" s="4"/>
      <c r="FIT69" s="4"/>
      <c r="FIU69" s="4"/>
      <c r="FIV69" s="4"/>
      <c r="FIW69" s="4"/>
      <c r="FIX69" s="4"/>
      <c r="FIY69" s="4"/>
      <c r="FIZ69" s="4"/>
      <c r="FJA69" s="4"/>
      <c r="FJB69" s="4"/>
      <c r="FJC69" s="4"/>
      <c r="FJD69" s="4"/>
      <c r="FJE69" s="4"/>
      <c r="FJF69" s="4"/>
      <c r="FJG69" s="4"/>
      <c r="FJH69" s="4"/>
      <c r="FJI69" s="4"/>
      <c r="FJJ69" s="4"/>
      <c r="FJK69" s="4"/>
      <c r="FJL69" s="4"/>
      <c r="FJM69" s="4"/>
      <c r="FJN69" s="4"/>
      <c r="FJO69" s="4"/>
      <c r="FJP69" s="4"/>
      <c r="FJQ69" s="4"/>
      <c r="FJR69" s="4"/>
      <c r="FJS69" s="4"/>
      <c r="FJT69" s="4"/>
      <c r="FJU69" s="4"/>
      <c r="FJV69" s="4"/>
      <c r="FJW69" s="4"/>
      <c r="FJX69" s="4"/>
      <c r="FJY69" s="4"/>
      <c r="FJZ69" s="4"/>
      <c r="FKA69" s="4"/>
      <c r="FKB69" s="4"/>
      <c r="FKC69" s="4"/>
      <c r="FKD69" s="4"/>
      <c r="FKE69" s="4"/>
      <c r="FKF69" s="4"/>
      <c r="FKG69" s="4"/>
      <c r="FKH69" s="4"/>
      <c r="FKI69" s="4"/>
      <c r="FKJ69" s="4"/>
      <c r="FKK69" s="4"/>
      <c r="FKL69" s="4"/>
      <c r="FKM69" s="4"/>
      <c r="FKN69" s="4"/>
      <c r="FKO69" s="4"/>
      <c r="FKP69" s="4"/>
      <c r="FKQ69" s="4"/>
      <c r="FKR69" s="4"/>
      <c r="FKS69" s="4"/>
      <c r="FKT69" s="4"/>
      <c r="FKU69" s="4"/>
      <c r="FKV69" s="4"/>
      <c r="FKW69" s="4"/>
      <c r="FKX69" s="4"/>
      <c r="FKY69" s="4"/>
      <c r="FKZ69" s="4"/>
      <c r="FLA69" s="4"/>
      <c r="FLB69" s="4"/>
      <c r="FLC69" s="4"/>
      <c r="FLD69" s="4"/>
      <c r="FLE69" s="4"/>
      <c r="FLF69" s="4"/>
      <c r="FLG69" s="4"/>
      <c r="FLH69" s="4"/>
      <c r="FLI69" s="4"/>
      <c r="FLJ69" s="4"/>
      <c r="FLK69" s="4"/>
      <c r="FLL69" s="4"/>
      <c r="FLM69" s="4"/>
      <c r="FLN69" s="4"/>
      <c r="FLO69" s="4"/>
      <c r="FLP69" s="4"/>
      <c r="FLQ69" s="4"/>
      <c r="FLR69" s="4"/>
      <c r="FLS69" s="4"/>
      <c r="FLT69" s="4"/>
      <c r="FLU69" s="4"/>
      <c r="FLV69" s="4"/>
      <c r="FLW69" s="4"/>
      <c r="FLX69" s="4"/>
      <c r="FLY69" s="4"/>
      <c r="FLZ69" s="4"/>
      <c r="FMA69" s="4"/>
      <c r="FMB69" s="4"/>
      <c r="FMC69" s="4"/>
      <c r="FMD69" s="4"/>
      <c r="FME69" s="4"/>
      <c r="FMF69" s="4"/>
      <c r="FMG69" s="4"/>
      <c r="FMH69" s="4"/>
      <c r="FMI69" s="4"/>
      <c r="FMJ69" s="4"/>
      <c r="FMK69" s="4"/>
      <c r="FML69" s="4"/>
      <c r="FMM69" s="4"/>
      <c r="FMN69" s="4"/>
      <c r="FMO69" s="4"/>
      <c r="FMP69" s="4"/>
      <c r="FMQ69" s="4"/>
      <c r="FMR69" s="4"/>
      <c r="FMS69" s="4"/>
      <c r="FMT69" s="4"/>
      <c r="FMU69" s="4"/>
      <c r="FMV69" s="4"/>
      <c r="FMW69" s="4"/>
      <c r="FMX69" s="4"/>
      <c r="FMY69" s="4"/>
      <c r="FMZ69" s="4"/>
      <c r="FNA69" s="4"/>
      <c r="FNB69" s="4"/>
      <c r="FNC69" s="4"/>
      <c r="FND69" s="4"/>
      <c r="FNE69" s="4"/>
      <c r="FNF69" s="4"/>
      <c r="FNG69" s="4"/>
      <c r="FNH69" s="4"/>
      <c r="FNI69" s="4"/>
      <c r="FNJ69" s="4"/>
      <c r="FNK69" s="4"/>
      <c r="FNL69" s="4"/>
      <c r="FNM69" s="4"/>
      <c r="FNN69" s="4"/>
      <c r="FNO69" s="4"/>
      <c r="FNP69" s="4"/>
      <c r="FNQ69" s="4"/>
      <c r="FNR69" s="4"/>
      <c r="FNS69" s="4"/>
      <c r="FNT69" s="4"/>
      <c r="FNU69" s="4"/>
      <c r="FNV69" s="4"/>
      <c r="FNW69" s="4"/>
      <c r="FNX69" s="4"/>
      <c r="FNY69" s="4"/>
      <c r="FNZ69" s="4"/>
      <c r="FOA69" s="4"/>
      <c r="FOB69" s="4"/>
      <c r="FOC69" s="4"/>
      <c r="FOD69" s="4"/>
      <c r="FOE69" s="4"/>
      <c r="FOF69" s="4"/>
      <c r="FOG69" s="4"/>
      <c r="FOH69" s="4"/>
      <c r="FOI69" s="4"/>
      <c r="FOJ69" s="4"/>
      <c r="FOK69" s="4"/>
      <c r="FOL69" s="4"/>
      <c r="FOM69" s="4"/>
      <c r="FON69" s="4"/>
      <c r="FOO69" s="4"/>
      <c r="FOP69" s="4"/>
      <c r="FOQ69" s="4"/>
      <c r="FOR69" s="4"/>
      <c r="FOS69" s="4"/>
      <c r="FOT69" s="4"/>
      <c r="FOU69" s="4"/>
      <c r="FOV69" s="4"/>
      <c r="FOW69" s="4"/>
      <c r="FOX69" s="4"/>
      <c r="FOY69" s="4"/>
      <c r="FOZ69" s="4"/>
      <c r="FPA69" s="4"/>
      <c r="FPB69" s="4"/>
      <c r="FPC69" s="4"/>
      <c r="FPD69" s="4"/>
      <c r="FPE69" s="4"/>
      <c r="FPF69" s="4"/>
      <c r="FPG69" s="4"/>
      <c r="FPH69" s="4"/>
      <c r="FPI69" s="4"/>
      <c r="FPJ69" s="4"/>
      <c r="FPK69" s="4"/>
      <c r="FPL69" s="4"/>
      <c r="FPM69" s="4"/>
      <c r="FPN69" s="4"/>
      <c r="FPO69" s="4"/>
      <c r="FPP69" s="4"/>
      <c r="FPQ69" s="4"/>
      <c r="FPR69" s="4"/>
      <c r="FPS69" s="4"/>
      <c r="FPT69" s="4"/>
      <c r="FPU69" s="4"/>
      <c r="FPV69" s="4"/>
      <c r="FPW69" s="4"/>
      <c r="FPX69" s="4"/>
      <c r="FPY69" s="4"/>
      <c r="FPZ69" s="4"/>
      <c r="FQA69" s="4"/>
      <c r="FQB69" s="4"/>
      <c r="FQC69" s="4"/>
      <c r="FQD69" s="4"/>
      <c r="FQE69" s="4"/>
      <c r="FQF69" s="4"/>
      <c r="FQG69" s="4"/>
      <c r="FQH69" s="4"/>
      <c r="FQI69" s="4"/>
      <c r="FQJ69" s="4"/>
      <c r="FQK69" s="4"/>
      <c r="FQL69" s="4"/>
      <c r="FQM69" s="4"/>
      <c r="FQN69" s="4"/>
      <c r="FQO69" s="4"/>
      <c r="FQP69" s="4"/>
      <c r="FQQ69" s="4"/>
      <c r="FQR69" s="4"/>
      <c r="FQS69" s="4"/>
      <c r="FQT69" s="4"/>
      <c r="FQU69" s="4"/>
      <c r="FQV69" s="4"/>
      <c r="FQW69" s="4"/>
      <c r="FQX69" s="4"/>
      <c r="FQY69" s="4"/>
      <c r="FQZ69" s="4"/>
      <c r="FRA69" s="4"/>
      <c r="FRB69" s="4"/>
      <c r="FRC69" s="4"/>
      <c r="FRD69" s="4"/>
      <c r="FRE69" s="4"/>
      <c r="FRF69" s="4"/>
      <c r="FRG69" s="4"/>
      <c r="FRH69" s="4"/>
      <c r="FRI69" s="4"/>
      <c r="FRJ69" s="4"/>
      <c r="FRK69" s="4"/>
      <c r="FRL69" s="4"/>
      <c r="FRM69" s="4"/>
      <c r="FRN69" s="4"/>
      <c r="FRO69" s="4"/>
      <c r="FRP69" s="4"/>
      <c r="FRQ69" s="4"/>
      <c r="FRR69" s="4"/>
      <c r="FRS69" s="4"/>
      <c r="FRT69" s="4"/>
      <c r="FRU69" s="4"/>
      <c r="FRV69" s="4"/>
      <c r="FRW69" s="4"/>
      <c r="FRX69" s="4"/>
      <c r="FRY69" s="4"/>
      <c r="FRZ69" s="4"/>
      <c r="FSA69" s="4"/>
      <c r="FSB69" s="4"/>
      <c r="FSC69" s="4"/>
      <c r="FSD69" s="4"/>
      <c r="FSE69" s="4"/>
      <c r="FSF69" s="4"/>
      <c r="FSG69" s="4"/>
      <c r="FSH69" s="4"/>
      <c r="FSI69" s="4"/>
      <c r="FSJ69" s="4"/>
      <c r="FSK69" s="4"/>
      <c r="FSL69" s="4"/>
      <c r="FSM69" s="4"/>
      <c r="FSN69" s="4"/>
      <c r="FSO69" s="4"/>
      <c r="FSP69" s="4"/>
      <c r="FSQ69" s="4"/>
      <c r="FSR69" s="4"/>
      <c r="FSS69" s="4"/>
      <c r="FST69" s="4"/>
      <c r="FSU69" s="4"/>
      <c r="FSV69" s="4"/>
      <c r="FSW69" s="4"/>
      <c r="FSX69" s="4"/>
      <c r="FSY69" s="4"/>
      <c r="FSZ69" s="4"/>
      <c r="FTA69" s="4"/>
      <c r="FTB69" s="4"/>
      <c r="FTC69" s="4"/>
      <c r="FTD69" s="4"/>
      <c r="FTE69" s="4"/>
      <c r="FTF69" s="4"/>
      <c r="FTG69" s="4"/>
      <c r="FTH69" s="4"/>
      <c r="FTI69" s="4"/>
      <c r="FTJ69" s="4"/>
      <c r="FTK69" s="4"/>
      <c r="FTL69" s="4"/>
      <c r="FTM69" s="4"/>
      <c r="FTN69" s="4"/>
      <c r="FTO69" s="4"/>
      <c r="FTP69" s="4"/>
      <c r="FTQ69" s="4"/>
      <c r="FTR69" s="4"/>
      <c r="FTS69" s="4"/>
      <c r="FTT69" s="4"/>
      <c r="FTU69" s="4"/>
      <c r="FTV69" s="4"/>
      <c r="FTW69" s="4"/>
      <c r="FTX69" s="4"/>
      <c r="FTY69" s="4"/>
      <c r="FTZ69" s="4"/>
      <c r="FUA69" s="4"/>
      <c r="FUB69" s="4"/>
      <c r="FUC69" s="4"/>
      <c r="FUD69" s="4"/>
      <c r="FUE69" s="4"/>
      <c r="FUF69" s="4"/>
      <c r="FUG69" s="4"/>
      <c r="FUH69" s="4"/>
      <c r="FUI69" s="4"/>
      <c r="FUJ69" s="4"/>
      <c r="FUK69" s="4"/>
      <c r="FUL69" s="4"/>
      <c r="FUM69" s="4"/>
      <c r="FUN69" s="4"/>
      <c r="FUO69" s="4"/>
      <c r="FUP69" s="4"/>
      <c r="FUQ69" s="4"/>
      <c r="FUR69" s="4"/>
      <c r="FUS69" s="4"/>
      <c r="FUT69" s="4"/>
      <c r="FUU69" s="4"/>
      <c r="FUV69" s="4"/>
      <c r="FUW69" s="4"/>
      <c r="FUX69" s="4"/>
      <c r="FUY69" s="4"/>
      <c r="FUZ69" s="4"/>
      <c r="FVA69" s="4"/>
      <c r="FVB69" s="4"/>
      <c r="FVC69" s="4"/>
      <c r="FVD69" s="4"/>
      <c r="FVE69" s="4"/>
      <c r="FVF69" s="4"/>
      <c r="FVG69" s="4"/>
      <c r="FVH69" s="4"/>
      <c r="FVI69" s="4"/>
      <c r="FVJ69" s="4"/>
      <c r="FVK69" s="4"/>
      <c r="FVL69" s="4"/>
      <c r="FVM69" s="4"/>
      <c r="FVN69" s="4"/>
      <c r="FVO69" s="4"/>
      <c r="FVP69" s="4"/>
      <c r="FVQ69" s="4"/>
      <c r="FVR69" s="4"/>
      <c r="FVS69" s="4"/>
      <c r="FVT69" s="4"/>
      <c r="FVU69" s="4"/>
      <c r="FVV69" s="4"/>
      <c r="FVW69" s="4"/>
      <c r="FVX69" s="4"/>
      <c r="FVY69" s="4"/>
      <c r="FVZ69" s="4"/>
      <c r="FWA69" s="4"/>
      <c r="FWB69" s="4"/>
      <c r="FWC69" s="4"/>
      <c r="FWD69" s="4"/>
      <c r="FWE69" s="4"/>
      <c r="FWF69" s="4"/>
      <c r="FWG69" s="4"/>
      <c r="FWH69" s="4"/>
      <c r="FWI69" s="4"/>
      <c r="FWJ69" s="4"/>
      <c r="FWK69" s="4"/>
      <c r="FWL69" s="4"/>
      <c r="FWM69" s="4"/>
      <c r="FWN69" s="4"/>
      <c r="FWO69" s="4"/>
      <c r="FWP69" s="4"/>
      <c r="FWQ69" s="4"/>
      <c r="FWR69" s="4"/>
      <c r="FWS69" s="4"/>
      <c r="FWT69" s="4"/>
      <c r="FWU69" s="4"/>
      <c r="FWV69" s="4"/>
      <c r="FWW69" s="4"/>
      <c r="FWX69" s="4"/>
      <c r="FWY69" s="4"/>
      <c r="FWZ69" s="4"/>
      <c r="FXA69" s="4"/>
      <c r="FXB69" s="4"/>
      <c r="FXC69" s="4"/>
      <c r="FXD69" s="4"/>
      <c r="FXE69" s="4"/>
      <c r="FXF69" s="4"/>
      <c r="FXG69" s="4"/>
      <c r="FXH69" s="4"/>
      <c r="FXI69" s="4"/>
      <c r="FXJ69" s="4"/>
      <c r="FXK69" s="4"/>
      <c r="FXL69" s="4"/>
      <c r="FXM69" s="4"/>
      <c r="FXN69" s="4"/>
      <c r="FXO69" s="4"/>
      <c r="FXP69" s="4"/>
      <c r="FXQ69" s="4"/>
      <c r="FXR69" s="4"/>
      <c r="FXS69" s="4"/>
      <c r="FXT69" s="4"/>
      <c r="FXU69" s="4"/>
      <c r="FXV69" s="4"/>
      <c r="FXW69" s="4"/>
      <c r="FXX69" s="4"/>
      <c r="FXY69" s="4"/>
      <c r="FXZ69" s="4"/>
      <c r="FYA69" s="4"/>
      <c r="FYB69" s="4"/>
      <c r="FYC69" s="4"/>
      <c r="FYD69" s="4"/>
      <c r="FYE69" s="4"/>
      <c r="FYF69" s="4"/>
      <c r="FYG69" s="4"/>
      <c r="FYH69" s="4"/>
      <c r="FYI69" s="4"/>
      <c r="FYJ69" s="4"/>
      <c r="FYK69" s="4"/>
      <c r="FYL69" s="4"/>
      <c r="FYM69" s="4"/>
      <c r="FYN69" s="4"/>
      <c r="FYO69" s="4"/>
      <c r="FYP69" s="4"/>
      <c r="FYQ69" s="4"/>
      <c r="FYR69" s="4"/>
      <c r="FYS69" s="4"/>
      <c r="FYT69" s="4"/>
      <c r="FYU69" s="4"/>
      <c r="FYV69" s="4"/>
      <c r="FYW69" s="4"/>
      <c r="FYX69" s="4"/>
      <c r="FYY69" s="4"/>
      <c r="FYZ69" s="4"/>
      <c r="FZA69" s="4"/>
      <c r="FZB69" s="4"/>
      <c r="FZC69" s="4"/>
      <c r="FZD69" s="4"/>
      <c r="FZE69" s="4"/>
      <c r="FZF69" s="4"/>
      <c r="FZG69" s="4"/>
      <c r="FZH69" s="4"/>
      <c r="FZI69" s="4"/>
      <c r="FZJ69" s="4"/>
      <c r="FZK69" s="4"/>
      <c r="FZL69" s="4"/>
      <c r="FZM69" s="4"/>
      <c r="FZN69" s="4"/>
      <c r="FZO69" s="4"/>
      <c r="FZP69" s="4"/>
      <c r="FZQ69" s="4"/>
      <c r="FZR69" s="4"/>
      <c r="FZS69" s="4"/>
      <c r="FZT69" s="4"/>
      <c r="FZU69" s="4"/>
      <c r="FZV69" s="4"/>
      <c r="FZW69" s="4"/>
      <c r="FZX69" s="4"/>
      <c r="FZY69" s="4"/>
      <c r="FZZ69" s="4"/>
      <c r="GAA69" s="4"/>
      <c r="GAB69" s="4"/>
      <c r="GAC69" s="4"/>
      <c r="GAD69" s="4"/>
      <c r="GAE69" s="4"/>
      <c r="GAF69" s="4"/>
      <c r="GAG69" s="4"/>
      <c r="GAH69" s="4"/>
      <c r="GAI69" s="4"/>
      <c r="GAJ69" s="4"/>
      <c r="GAK69" s="4"/>
      <c r="GAL69" s="4"/>
      <c r="GAM69" s="4"/>
      <c r="GAN69" s="4"/>
      <c r="GAO69" s="4"/>
      <c r="GAP69" s="4"/>
      <c r="GAQ69" s="4"/>
      <c r="GAR69" s="4"/>
      <c r="GAS69" s="4"/>
      <c r="GAT69" s="4"/>
      <c r="GAU69" s="4"/>
      <c r="GAV69" s="4"/>
      <c r="GAW69" s="4"/>
      <c r="GAX69" s="4"/>
      <c r="GAY69" s="4"/>
      <c r="GAZ69" s="4"/>
      <c r="GBA69" s="4"/>
      <c r="GBB69" s="4"/>
      <c r="GBC69" s="4"/>
      <c r="GBD69" s="4"/>
      <c r="GBE69" s="4"/>
      <c r="GBF69" s="4"/>
      <c r="GBG69" s="4"/>
      <c r="GBH69" s="4"/>
      <c r="GBI69" s="4"/>
      <c r="GBJ69" s="4"/>
      <c r="GBK69" s="4"/>
      <c r="GBL69" s="4"/>
      <c r="GBM69" s="4"/>
      <c r="GBN69" s="4"/>
      <c r="GBO69" s="4"/>
      <c r="GBP69" s="4"/>
      <c r="GBQ69" s="4"/>
      <c r="GBR69" s="4"/>
      <c r="GBS69" s="4"/>
      <c r="GBT69" s="4"/>
      <c r="GBU69" s="4"/>
      <c r="GBV69" s="4"/>
      <c r="GBW69" s="4"/>
      <c r="GBX69" s="4"/>
      <c r="GBY69" s="4"/>
      <c r="GBZ69" s="4"/>
      <c r="GCA69" s="4"/>
      <c r="GCB69" s="4"/>
      <c r="GCC69" s="4"/>
      <c r="GCD69" s="4"/>
      <c r="GCE69" s="4"/>
      <c r="GCF69" s="4"/>
      <c r="GCG69" s="4"/>
      <c r="GCH69" s="4"/>
      <c r="GCI69" s="4"/>
      <c r="GCJ69" s="4"/>
      <c r="GCK69" s="4"/>
      <c r="GCL69" s="4"/>
      <c r="GCM69" s="4"/>
      <c r="GCN69" s="4"/>
      <c r="GCO69" s="4"/>
      <c r="GCP69" s="4"/>
      <c r="GCQ69" s="4"/>
      <c r="GCR69" s="4"/>
      <c r="GCS69" s="4"/>
      <c r="GCT69" s="4"/>
      <c r="GCU69" s="4"/>
      <c r="GCV69" s="4"/>
      <c r="GCW69" s="4"/>
      <c r="GCX69" s="4"/>
      <c r="GCY69" s="4"/>
      <c r="GCZ69" s="4"/>
      <c r="GDA69" s="4"/>
      <c r="GDB69" s="4"/>
      <c r="GDC69" s="4"/>
      <c r="GDD69" s="4"/>
      <c r="GDE69" s="4"/>
      <c r="GDF69" s="4"/>
      <c r="GDG69" s="4"/>
      <c r="GDH69" s="4"/>
      <c r="GDI69" s="4"/>
      <c r="GDJ69" s="4"/>
      <c r="GDK69" s="4"/>
      <c r="GDL69" s="4"/>
      <c r="GDM69" s="4"/>
      <c r="GDN69" s="4"/>
      <c r="GDO69" s="4"/>
      <c r="GDP69" s="4"/>
      <c r="GDQ69" s="4"/>
      <c r="GDR69" s="4"/>
      <c r="GDS69" s="4"/>
      <c r="GDT69" s="4"/>
      <c r="GDU69" s="4"/>
      <c r="GDV69" s="4"/>
      <c r="GDW69" s="4"/>
      <c r="GDX69" s="4"/>
      <c r="GDY69" s="4"/>
      <c r="GDZ69" s="4"/>
      <c r="GEA69" s="4"/>
      <c r="GEB69" s="4"/>
      <c r="GEC69" s="4"/>
      <c r="GED69" s="4"/>
      <c r="GEE69" s="4"/>
      <c r="GEF69" s="4"/>
      <c r="GEG69" s="4"/>
      <c r="GEH69" s="4"/>
      <c r="GEI69" s="4"/>
      <c r="GEJ69" s="4"/>
      <c r="GEK69" s="4"/>
      <c r="GEL69" s="4"/>
      <c r="GEM69" s="4"/>
      <c r="GEN69" s="4"/>
      <c r="GEO69" s="4"/>
      <c r="GEP69" s="4"/>
      <c r="GEQ69" s="4"/>
      <c r="GER69" s="4"/>
      <c r="GES69" s="4"/>
      <c r="GET69" s="4"/>
      <c r="GEU69" s="4"/>
      <c r="GEV69" s="4"/>
      <c r="GEW69" s="4"/>
      <c r="GEX69" s="4"/>
      <c r="GEY69" s="4"/>
      <c r="GEZ69" s="4"/>
      <c r="GFA69" s="4"/>
      <c r="GFB69" s="4"/>
      <c r="GFC69" s="4"/>
      <c r="GFD69" s="4"/>
      <c r="GFE69" s="4"/>
      <c r="GFF69" s="4"/>
      <c r="GFG69" s="4"/>
      <c r="GFH69" s="4"/>
      <c r="GFI69" s="4"/>
      <c r="GFJ69" s="4"/>
      <c r="GFK69" s="4"/>
      <c r="GFL69" s="4"/>
      <c r="GFM69" s="4"/>
      <c r="GFN69" s="4"/>
      <c r="GFO69" s="4"/>
      <c r="GFP69" s="4"/>
      <c r="GFQ69" s="4"/>
      <c r="GFR69" s="4"/>
      <c r="GFS69" s="4"/>
      <c r="GFT69" s="4"/>
      <c r="GFU69" s="4"/>
      <c r="GFV69" s="4"/>
      <c r="GFW69" s="4"/>
      <c r="GFX69" s="4"/>
      <c r="GFY69" s="4"/>
      <c r="GFZ69" s="4"/>
      <c r="GGA69" s="4"/>
      <c r="GGB69" s="4"/>
      <c r="GGC69" s="4"/>
      <c r="GGD69" s="4"/>
      <c r="GGE69" s="4"/>
      <c r="GGF69" s="4"/>
      <c r="GGG69" s="4"/>
      <c r="GGH69" s="4"/>
      <c r="GGI69" s="4"/>
      <c r="GGJ69" s="4"/>
      <c r="GGK69" s="4"/>
      <c r="GGL69" s="4"/>
      <c r="GGM69" s="4"/>
      <c r="GGN69" s="4"/>
      <c r="GGO69" s="4"/>
      <c r="GGP69" s="4"/>
      <c r="GGQ69" s="4"/>
      <c r="GGR69" s="4"/>
      <c r="GGS69" s="4"/>
      <c r="GGT69" s="4"/>
      <c r="GGU69" s="4"/>
      <c r="GGV69" s="4"/>
      <c r="GGW69" s="4"/>
      <c r="GGX69" s="4"/>
      <c r="GGY69" s="4"/>
      <c r="GGZ69" s="4"/>
      <c r="GHA69" s="4"/>
      <c r="GHB69" s="4"/>
      <c r="GHC69" s="4"/>
      <c r="GHD69" s="4"/>
      <c r="GHE69" s="4"/>
      <c r="GHF69" s="4"/>
      <c r="GHG69" s="4"/>
      <c r="GHH69" s="4"/>
      <c r="GHI69" s="4"/>
      <c r="GHJ69" s="4"/>
      <c r="GHK69" s="4"/>
      <c r="GHL69" s="4"/>
      <c r="GHM69" s="4"/>
      <c r="GHN69" s="4"/>
      <c r="GHO69" s="4"/>
      <c r="GHP69" s="4"/>
      <c r="GHQ69" s="4"/>
      <c r="GHR69" s="4"/>
      <c r="GHS69" s="4"/>
      <c r="GHT69" s="4"/>
      <c r="GHU69" s="4"/>
      <c r="GHV69" s="4"/>
      <c r="GHW69" s="4"/>
      <c r="GHX69" s="4"/>
      <c r="GHY69" s="4"/>
      <c r="GHZ69" s="4"/>
      <c r="GIA69" s="4"/>
      <c r="GIB69" s="4"/>
      <c r="GIC69" s="4"/>
      <c r="GID69" s="4"/>
      <c r="GIE69" s="4"/>
      <c r="GIF69" s="4"/>
      <c r="GIG69" s="4"/>
      <c r="GIH69" s="4"/>
      <c r="GII69" s="4"/>
      <c r="GIJ69" s="4"/>
      <c r="GIK69" s="4"/>
      <c r="GIL69" s="4"/>
      <c r="GIM69" s="4"/>
      <c r="GIN69" s="4"/>
      <c r="GIO69" s="4"/>
      <c r="GIP69" s="4"/>
      <c r="GIQ69" s="4"/>
      <c r="GIR69" s="4"/>
      <c r="GIS69" s="4"/>
      <c r="GIT69" s="4"/>
      <c r="GIU69" s="4"/>
      <c r="GIV69" s="4"/>
      <c r="GIW69" s="4"/>
      <c r="GIX69" s="4"/>
      <c r="GIY69" s="4"/>
      <c r="GIZ69" s="4"/>
      <c r="GJA69" s="4"/>
      <c r="GJB69" s="4"/>
      <c r="GJC69" s="4"/>
      <c r="GJD69" s="4"/>
      <c r="GJE69" s="4"/>
      <c r="GJF69" s="4"/>
      <c r="GJG69" s="4"/>
      <c r="GJH69" s="4"/>
      <c r="GJI69" s="4"/>
      <c r="GJJ69" s="4"/>
      <c r="GJK69" s="4"/>
      <c r="GJL69" s="4"/>
      <c r="GJM69" s="4"/>
      <c r="GJN69" s="4"/>
      <c r="GJO69" s="4"/>
      <c r="GJP69" s="4"/>
      <c r="GJQ69" s="4"/>
      <c r="GJR69" s="4"/>
      <c r="GJS69" s="4"/>
      <c r="GJT69" s="4"/>
      <c r="GJU69" s="4"/>
      <c r="GJV69" s="4"/>
      <c r="GJW69" s="4"/>
      <c r="GJX69" s="4"/>
      <c r="GJY69" s="4"/>
      <c r="GJZ69" s="4"/>
      <c r="GKA69" s="4"/>
      <c r="GKB69" s="4"/>
      <c r="GKC69" s="4"/>
      <c r="GKD69" s="4"/>
      <c r="GKE69" s="4"/>
      <c r="GKF69" s="4"/>
      <c r="GKG69" s="4"/>
      <c r="GKH69" s="4"/>
      <c r="GKI69" s="4"/>
      <c r="GKJ69" s="4"/>
      <c r="GKK69" s="4"/>
      <c r="GKL69" s="4"/>
      <c r="GKM69" s="4"/>
      <c r="GKN69" s="4"/>
      <c r="GKO69" s="4"/>
      <c r="GKP69" s="4"/>
      <c r="GKQ69" s="4"/>
      <c r="GKR69" s="4"/>
      <c r="GKS69" s="4"/>
      <c r="GKT69" s="4"/>
      <c r="GKU69" s="4"/>
      <c r="GKV69" s="4"/>
      <c r="GKW69" s="4"/>
      <c r="GKX69" s="4"/>
      <c r="GKY69" s="4"/>
      <c r="GKZ69" s="4"/>
      <c r="GLA69" s="4"/>
      <c r="GLB69" s="4"/>
      <c r="GLC69" s="4"/>
      <c r="GLD69" s="4"/>
      <c r="GLE69" s="4"/>
      <c r="GLF69" s="4"/>
      <c r="GLG69" s="4"/>
      <c r="GLH69" s="4"/>
      <c r="GLI69" s="4"/>
      <c r="GLJ69" s="4"/>
      <c r="GLK69" s="4"/>
      <c r="GLL69" s="4"/>
      <c r="GLM69" s="4"/>
      <c r="GLN69" s="4"/>
      <c r="GLO69" s="4"/>
      <c r="GLP69" s="4"/>
      <c r="GLQ69" s="4"/>
      <c r="GLR69" s="4"/>
      <c r="GLS69" s="4"/>
      <c r="GLT69" s="4"/>
      <c r="GLU69" s="4"/>
      <c r="GLV69" s="4"/>
      <c r="GLW69" s="4"/>
      <c r="GLX69" s="4"/>
      <c r="GLY69" s="4"/>
      <c r="GLZ69" s="4"/>
      <c r="GMA69" s="4"/>
      <c r="GMB69" s="4"/>
      <c r="GMC69" s="4"/>
      <c r="GMD69" s="4"/>
      <c r="GME69" s="4"/>
      <c r="GMF69" s="4"/>
      <c r="GMG69" s="4"/>
      <c r="GMH69" s="4"/>
      <c r="GMI69" s="4"/>
      <c r="GMJ69" s="4"/>
      <c r="GMK69" s="4"/>
      <c r="GML69" s="4"/>
      <c r="GMM69" s="4"/>
      <c r="GMN69" s="4"/>
      <c r="GMO69" s="4"/>
      <c r="GMP69" s="4"/>
      <c r="GMQ69" s="4"/>
      <c r="GMR69" s="4"/>
      <c r="GMS69" s="4"/>
      <c r="GMT69" s="4"/>
      <c r="GMU69" s="4"/>
      <c r="GMV69" s="4"/>
      <c r="GMW69" s="4"/>
      <c r="GMX69" s="4"/>
      <c r="GMY69" s="4"/>
      <c r="GMZ69" s="4"/>
      <c r="GNA69" s="4"/>
      <c r="GNB69" s="4"/>
      <c r="GNC69" s="4"/>
      <c r="GND69" s="4"/>
      <c r="GNE69" s="4"/>
      <c r="GNF69" s="4"/>
      <c r="GNG69" s="4"/>
      <c r="GNH69" s="4"/>
      <c r="GNI69" s="4"/>
      <c r="GNJ69" s="4"/>
      <c r="GNK69" s="4"/>
      <c r="GNL69" s="4"/>
      <c r="GNM69" s="4"/>
      <c r="GNN69" s="4"/>
      <c r="GNO69" s="4"/>
      <c r="GNP69" s="4"/>
      <c r="GNQ69" s="4"/>
      <c r="GNR69" s="4"/>
      <c r="GNS69" s="4"/>
      <c r="GNT69" s="4"/>
      <c r="GNU69" s="4"/>
      <c r="GNV69" s="4"/>
      <c r="GNW69" s="4"/>
      <c r="GNX69" s="4"/>
      <c r="GNY69" s="4"/>
      <c r="GNZ69" s="4"/>
      <c r="GOA69" s="4"/>
      <c r="GOB69" s="4"/>
      <c r="GOC69" s="4"/>
      <c r="GOD69" s="4"/>
      <c r="GOE69" s="4"/>
      <c r="GOF69" s="4"/>
      <c r="GOG69" s="4"/>
      <c r="GOH69" s="4"/>
      <c r="GOI69" s="4"/>
      <c r="GOJ69" s="4"/>
      <c r="GOK69" s="4"/>
      <c r="GOL69" s="4"/>
      <c r="GOM69" s="4"/>
      <c r="GON69" s="4"/>
      <c r="GOO69" s="4"/>
      <c r="GOP69" s="4"/>
      <c r="GOQ69" s="4"/>
      <c r="GOR69" s="4"/>
      <c r="GOS69" s="4"/>
      <c r="GOT69" s="4"/>
      <c r="GOU69" s="4"/>
      <c r="GOV69" s="4"/>
      <c r="GOW69" s="4"/>
      <c r="GOX69" s="4"/>
      <c r="GOY69" s="4"/>
      <c r="GOZ69" s="4"/>
      <c r="GPA69" s="4"/>
      <c r="GPB69" s="4"/>
      <c r="GPC69" s="4"/>
      <c r="GPD69" s="4"/>
      <c r="GPE69" s="4"/>
      <c r="GPF69" s="4"/>
      <c r="GPG69" s="4"/>
      <c r="GPH69" s="4"/>
      <c r="GPI69" s="4"/>
      <c r="GPJ69" s="4"/>
      <c r="GPK69" s="4"/>
      <c r="GPL69" s="4"/>
      <c r="GPM69" s="4"/>
      <c r="GPN69" s="4"/>
      <c r="GPO69" s="4"/>
      <c r="GPP69" s="4"/>
      <c r="GPQ69" s="4"/>
      <c r="GPR69" s="4"/>
      <c r="GPS69" s="4"/>
      <c r="GPT69" s="4"/>
      <c r="GPU69" s="4"/>
      <c r="GPV69" s="4"/>
      <c r="GPW69" s="4"/>
      <c r="GPX69" s="4"/>
      <c r="GPY69" s="4"/>
      <c r="GPZ69" s="4"/>
      <c r="GQA69" s="4"/>
      <c r="GQB69" s="4"/>
      <c r="GQC69" s="4"/>
      <c r="GQD69" s="4"/>
      <c r="GQE69" s="4"/>
      <c r="GQF69" s="4"/>
      <c r="GQG69" s="4"/>
      <c r="GQH69" s="4"/>
      <c r="GQI69" s="4"/>
      <c r="GQJ69" s="4"/>
      <c r="GQK69" s="4"/>
      <c r="GQL69" s="4"/>
      <c r="GQM69" s="4"/>
      <c r="GQN69" s="4"/>
      <c r="GQO69" s="4"/>
      <c r="GQP69" s="4"/>
      <c r="GQQ69" s="4"/>
      <c r="GQR69" s="4"/>
      <c r="GQS69" s="4"/>
      <c r="GQT69" s="4"/>
      <c r="GQU69" s="4"/>
      <c r="GQV69" s="4"/>
      <c r="GQW69" s="4"/>
      <c r="GQX69" s="4"/>
      <c r="GQY69" s="4"/>
      <c r="GQZ69" s="4"/>
      <c r="GRA69" s="4"/>
      <c r="GRB69" s="4"/>
      <c r="GRC69" s="4"/>
      <c r="GRD69" s="4"/>
      <c r="GRE69" s="4"/>
      <c r="GRF69" s="4"/>
      <c r="GRG69" s="4"/>
      <c r="GRH69" s="4"/>
      <c r="GRI69" s="4"/>
      <c r="GRJ69" s="4"/>
      <c r="GRK69" s="4"/>
      <c r="GRL69" s="4"/>
      <c r="GRM69" s="4"/>
      <c r="GRN69" s="4"/>
      <c r="GRO69" s="4"/>
      <c r="GRP69" s="4"/>
      <c r="GRQ69" s="4"/>
      <c r="GRR69" s="4"/>
      <c r="GRS69" s="4"/>
      <c r="GRT69" s="4"/>
      <c r="GRU69" s="4"/>
      <c r="GRV69" s="4"/>
      <c r="GRW69" s="4"/>
      <c r="GRX69" s="4"/>
      <c r="GRY69" s="4"/>
      <c r="GRZ69" s="4"/>
      <c r="GSA69" s="4"/>
      <c r="GSB69" s="4"/>
      <c r="GSC69" s="4"/>
      <c r="GSD69" s="4"/>
      <c r="GSE69" s="4"/>
      <c r="GSF69" s="4"/>
      <c r="GSG69" s="4"/>
      <c r="GSH69" s="4"/>
      <c r="GSI69" s="4"/>
      <c r="GSJ69" s="4"/>
      <c r="GSK69" s="4"/>
      <c r="GSL69" s="4"/>
      <c r="GSM69" s="4"/>
      <c r="GSN69" s="4"/>
      <c r="GSO69" s="4"/>
      <c r="GSP69" s="4"/>
      <c r="GSQ69" s="4"/>
      <c r="GSR69" s="4"/>
      <c r="GSS69" s="4"/>
      <c r="GST69" s="4"/>
      <c r="GSU69" s="4"/>
      <c r="GSV69" s="4"/>
      <c r="GSW69" s="4"/>
      <c r="GSX69" s="4"/>
      <c r="GSY69" s="4"/>
      <c r="GSZ69" s="4"/>
      <c r="GTA69" s="4"/>
      <c r="GTB69" s="4"/>
      <c r="GTC69" s="4"/>
      <c r="GTD69" s="4"/>
      <c r="GTE69" s="4"/>
      <c r="GTF69" s="4"/>
      <c r="GTG69" s="4"/>
      <c r="GTH69" s="4"/>
      <c r="GTI69" s="4"/>
      <c r="GTJ69" s="4"/>
      <c r="GTK69" s="4"/>
      <c r="GTL69" s="4"/>
      <c r="GTM69" s="4"/>
      <c r="GTN69" s="4"/>
      <c r="GTO69" s="4"/>
      <c r="GTP69" s="4"/>
      <c r="GTQ69" s="4"/>
      <c r="GTR69" s="4"/>
      <c r="GTS69" s="4"/>
      <c r="GTT69" s="4"/>
      <c r="GTU69" s="4"/>
      <c r="GTV69" s="4"/>
      <c r="GTW69" s="4"/>
      <c r="GTX69" s="4"/>
      <c r="GTY69" s="4"/>
      <c r="GTZ69" s="4"/>
      <c r="GUA69" s="4"/>
      <c r="GUB69" s="4"/>
      <c r="GUC69" s="4"/>
      <c r="GUD69" s="4"/>
      <c r="GUE69" s="4"/>
      <c r="GUF69" s="4"/>
      <c r="GUG69" s="4"/>
      <c r="GUH69" s="4"/>
      <c r="GUI69" s="4"/>
      <c r="GUJ69" s="4"/>
      <c r="GUK69" s="4"/>
      <c r="GUL69" s="4"/>
      <c r="GUM69" s="4"/>
      <c r="GUN69" s="4"/>
      <c r="GUO69" s="4"/>
      <c r="GUP69" s="4"/>
      <c r="GUQ69" s="4"/>
      <c r="GUR69" s="4"/>
      <c r="GUS69" s="4"/>
      <c r="GUT69" s="4"/>
      <c r="GUU69" s="4"/>
      <c r="GUV69" s="4"/>
      <c r="GUW69" s="4"/>
      <c r="GUX69" s="4"/>
      <c r="GUY69" s="4"/>
      <c r="GUZ69" s="4"/>
      <c r="GVA69" s="4"/>
      <c r="GVB69" s="4"/>
      <c r="GVC69" s="4"/>
      <c r="GVD69" s="4"/>
      <c r="GVE69" s="4"/>
      <c r="GVF69" s="4"/>
      <c r="GVG69" s="4"/>
      <c r="GVH69" s="4"/>
      <c r="GVI69" s="4"/>
      <c r="GVJ69" s="4"/>
      <c r="GVK69" s="4"/>
      <c r="GVL69" s="4"/>
      <c r="GVM69" s="4"/>
      <c r="GVN69" s="4"/>
      <c r="GVO69" s="4"/>
      <c r="GVP69" s="4"/>
      <c r="GVQ69" s="4"/>
      <c r="GVR69" s="4"/>
      <c r="GVS69" s="4"/>
      <c r="GVT69" s="4"/>
      <c r="GVU69" s="4"/>
      <c r="GVV69" s="4"/>
      <c r="GVW69" s="4"/>
      <c r="GVX69" s="4"/>
      <c r="GVY69" s="4"/>
      <c r="GVZ69" s="4"/>
      <c r="GWA69" s="4"/>
      <c r="GWB69" s="4"/>
      <c r="GWC69" s="4"/>
      <c r="GWD69" s="4"/>
      <c r="GWE69" s="4"/>
      <c r="GWF69" s="4"/>
      <c r="GWG69" s="4"/>
      <c r="GWH69" s="4"/>
      <c r="GWI69" s="4"/>
      <c r="GWJ69" s="4"/>
      <c r="GWK69" s="4"/>
      <c r="GWL69" s="4"/>
      <c r="GWM69" s="4"/>
      <c r="GWN69" s="4"/>
      <c r="GWO69" s="4"/>
      <c r="GWP69" s="4"/>
      <c r="GWQ69" s="4"/>
      <c r="GWR69" s="4"/>
      <c r="GWS69" s="4"/>
      <c r="GWT69" s="4"/>
      <c r="GWU69" s="4"/>
      <c r="GWV69" s="4"/>
      <c r="GWW69" s="4"/>
      <c r="GWX69" s="4"/>
      <c r="GWY69" s="4"/>
      <c r="GWZ69" s="4"/>
      <c r="GXA69" s="4"/>
      <c r="GXB69" s="4"/>
      <c r="GXC69" s="4"/>
      <c r="GXD69" s="4"/>
      <c r="GXE69" s="4"/>
      <c r="GXF69" s="4"/>
      <c r="GXG69" s="4"/>
      <c r="GXH69" s="4"/>
      <c r="GXI69" s="4"/>
      <c r="GXJ69" s="4"/>
      <c r="GXK69" s="4"/>
      <c r="GXL69" s="4"/>
      <c r="GXM69" s="4"/>
      <c r="GXN69" s="4"/>
      <c r="GXO69" s="4"/>
      <c r="GXP69" s="4"/>
      <c r="GXQ69" s="4"/>
      <c r="GXR69" s="4"/>
      <c r="GXS69" s="4"/>
      <c r="GXT69" s="4"/>
      <c r="GXU69" s="4"/>
      <c r="GXV69" s="4"/>
      <c r="GXW69" s="4"/>
      <c r="GXX69" s="4"/>
      <c r="GXY69" s="4"/>
      <c r="GXZ69" s="4"/>
      <c r="GYA69" s="4"/>
      <c r="GYB69" s="4"/>
      <c r="GYC69" s="4"/>
      <c r="GYD69" s="4"/>
      <c r="GYE69" s="4"/>
      <c r="GYF69" s="4"/>
      <c r="GYG69" s="4"/>
      <c r="GYH69" s="4"/>
      <c r="GYI69" s="4"/>
      <c r="GYJ69" s="4"/>
      <c r="GYK69" s="4"/>
      <c r="GYL69" s="4"/>
      <c r="GYM69" s="4"/>
      <c r="GYN69" s="4"/>
      <c r="GYO69" s="4"/>
      <c r="GYP69" s="4"/>
      <c r="GYQ69" s="4"/>
      <c r="GYR69" s="4"/>
      <c r="GYS69" s="4"/>
      <c r="GYT69" s="4"/>
      <c r="GYU69" s="4"/>
      <c r="GYV69" s="4"/>
      <c r="GYW69" s="4"/>
      <c r="GYX69" s="4"/>
      <c r="GYY69" s="4"/>
      <c r="GYZ69" s="4"/>
      <c r="GZA69" s="4"/>
      <c r="GZB69" s="4"/>
      <c r="GZC69" s="4"/>
      <c r="GZD69" s="4"/>
      <c r="GZE69" s="4"/>
      <c r="GZF69" s="4"/>
      <c r="GZG69" s="4"/>
      <c r="GZH69" s="4"/>
      <c r="GZI69" s="4"/>
      <c r="GZJ69" s="4"/>
      <c r="GZK69" s="4"/>
      <c r="GZL69" s="4"/>
      <c r="GZM69" s="4"/>
      <c r="GZN69" s="4"/>
      <c r="GZO69" s="4"/>
      <c r="GZP69" s="4"/>
      <c r="GZQ69" s="4"/>
      <c r="GZR69" s="4"/>
      <c r="GZS69" s="4"/>
      <c r="GZT69" s="4"/>
      <c r="GZU69" s="4"/>
      <c r="GZV69" s="4"/>
      <c r="GZW69" s="4"/>
      <c r="GZX69" s="4"/>
      <c r="GZY69" s="4"/>
      <c r="GZZ69" s="4"/>
      <c r="HAA69" s="4"/>
      <c r="HAB69" s="4"/>
      <c r="HAC69" s="4"/>
      <c r="HAD69" s="4"/>
      <c r="HAE69" s="4"/>
      <c r="HAF69" s="4"/>
      <c r="HAG69" s="4"/>
      <c r="HAH69" s="4"/>
      <c r="HAI69" s="4"/>
      <c r="HAJ69" s="4"/>
      <c r="HAK69" s="4"/>
      <c r="HAL69" s="4"/>
      <c r="HAM69" s="4"/>
      <c r="HAN69" s="4"/>
      <c r="HAO69" s="4"/>
      <c r="HAP69" s="4"/>
      <c r="HAQ69" s="4"/>
      <c r="HAR69" s="4"/>
      <c r="HAS69" s="4"/>
      <c r="HAT69" s="4"/>
      <c r="HAU69" s="4"/>
      <c r="HAV69" s="4"/>
      <c r="HAW69" s="4"/>
      <c r="HAX69" s="4"/>
      <c r="HAY69" s="4"/>
      <c r="HAZ69" s="4"/>
      <c r="HBA69" s="4"/>
      <c r="HBB69" s="4"/>
      <c r="HBC69" s="4"/>
      <c r="HBD69" s="4"/>
      <c r="HBE69" s="4"/>
      <c r="HBF69" s="4"/>
      <c r="HBG69" s="4"/>
      <c r="HBH69" s="4"/>
      <c r="HBI69" s="4"/>
      <c r="HBJ69" s="4"/>
      <c r="HBK69" s="4"/>
      <c r="HBL69" s="4"/>
      <c r="HBM69" s="4"/>
      <c r="HBN69" s="4"/>
      <c r="HBO69" s="4"/>
      <c r="HBP69" s="4"/>
      <c r="HBQ69" s="4"/>
      <c r="HBR69" s="4"/>
      <c r="HBS69" s="4"/>
      <c r="HBT69" s="4"/>
      <c r="HBU69" s="4"/>
      <c r="HBV69" s="4"/>
      <c r="HBW69" s="4"/>
      <c r="HBX69" s="4"/>
      <c r="HBY69" s="4"/>
      <c r="HBZ69" s="4"/>
      <c r="HCA69" s="4"/>
      <c r="HCB69" s="4"/>
      <c r="HCC69" s="4"/>
      <c r="HCD69" s="4"/>
      <c r="HCE69" s="4"/>
      <c r="HCF69" s="4"/>
      <c r="HCG69" s="4"/>
      <c r="HCH69" s="4"/>
      <c r="HCI69" s="4"/>
      <c r="HCJ69" s="4"/>
      <c r="HCK69" s="4"/>
      <c r="HCL69" s="4"/>
      <c r="HCM69" s="4"/>
      <c r="HCN69" s="4"/>
      <c r="HCO69" s="4"/>
      <c r="HCP69" s="4"/>
      <c r="HCQ69" s="4"/>
      <c r="HCR69" s="4"/>
      <c r="HCS69" s="4"/>
      <c r="HCT69" s="4"/>
      <c r="HCU69" s="4"/>
      <c r="HCV69" s="4"/>
      <c r="HCW69" s="4"/>
      <c r="HCX69" s="4"/>
      <c r="HCY69" s="4"/>
      <c r="HCZ69" s="4"/>
      <c r="HDA69" s="4"/>
      <c r="HDB69" s="4"/>
      <c r="HDC69" s="4"/>
      <c r="HDD69" s="4"/>
      <c r="HDE69" s="4"/>
      <c r="HDF69" s="4"/>
      <c r="HDG69" s="4"/>
      <c r="HDH69" s="4"/>
      <c r="HDI69" s="4"/>
      <c r="HDJ69" s="4"/>
      <c r="HDK69" s="4"/>
      <c r="HDL69" s="4"/>
      <c r="HDM69" s="4"/>
      <c r="HDN69" s="4"/>
      <c r="HDO69" s="4"/>
      <c r="HDP69" s="4"/>
      <c r="HDQ69" s="4"/>
      <c r="HDR69" s="4"/>
      <c r="HDS69" s="4"/>
      <c r="HDT69" s="4"/>
      <c r="HDU69" s="4"/>
      <c r="HDV69" s="4"/>
      <c r="HDW69" s="4"/>
      <c r="HDX69" s="4"/>
      <c r="HDY69" s="4"/>
      <c r="HDZ69" s="4"/>
      <c r="HEA69" s="4"/>
      <c r="HEB69" s="4"/>
      <c r="HEC69" s="4"/>
      <c r="HED69" s="4"/>
      <c r="HEE69" s="4"/>
      <c r="HEF69" s="4"/>
      <c r="HEG69" s="4"/>
      <c r="HEH69" s="4"/>
      <c r="HEI69" s="4"/>
      <c r="HEJ69" s="4"/>
      <c r="HEK69" s="4"/>
      <c r="HEL69" s="4"/>
      <c r="HEM69" s="4"/>
      <c r="HEN69" s="4"/>
      <c r="HEO69" s="4"/>
      <c r="HEP69" s="4"/>
      <c r="HEQ69" s="4"/>
      <c r="HER69" s="4"/>
      <c r="HES69" s="4"/>
      <c r="HET69" s="4"/>
      <c r="HEU69" s="4"/>
      <c r="HEV69" s="4"/>
      <c r="HEW69" s="4"/>
      <c r="HEX69" s="4"/>
      <c r="HEY69" s="4"/>
      <c r="HEZ69" s="4"/>
      <c r="HFA69" s="4"/>
      <c r="HFB69" s="4"/>
      <c r="HFC69" s="4"/>
      <c r="HFD69" s="4"/>
      <c r="HFE69" s="4"/>
      <c r="HFF69" s="4"/>
      <c r="HFG69" s="4"/>
      <c r="HFH69" s="4"/>
      <c r="HFI69" s="4"/>
      <c r="HFJ69" s="4"/>
      <c r="HFK69" s="4"/>
      <c r="HFL69" s="4"/>
      <c r="HFM69" s="4"/>
      <c r="HFN69" s="4"/>
      <c r="HFO69" s="4"/>
      <c r="HFP69" s="4"/>
      <c r="HFQ69" s="4"/>
      <c r="HFR69" s="4"/>
      <c r="HFS69" s="4"/>
      <c r="HFT69" s="4"/>
      <c r="HFU69" s="4"/>
      <c r="HFV69" s="4"/>
      <c r="HFW69" s="4"/>
      <c r="HFX69" s="4"/>
      <c r="HFY69" s="4"/>
      <c r="HFZ69" s="4"/>
      <c r="HGA69" s="4"/>
      <c r="HGB69" s="4"/>
      <c r="HGC69" s="4"/>
      <c r="HGD69" s="4"/>
      <c r="HGE69" s="4"/>
      <c r="HGF69" s="4"/>
      <c r="HGG69" s="4"/>
      <c r="HGH69" s="4"/>
      <c r="HGI69" s="4"/>
      <c r="HGJ69" s="4"/>
      <c r="HGK69" s="4"/>
      <c r="HGL69" s="4"/>
      <c r="HGM69" s="4"/>
      <c r="HGN69" s="4"/>
      <c r="HGO69" s="4"/>
      <c r="HGP69" s="4"/>
      <c r="HGQ69" s="4"/>
      <c r="HGR69" s="4"/>
      <c r="HGS69" s="4"/>
      <c r="HGT69" s="4"/>
      <c r="HGU69" s="4"/>
      <c r="HGV69" s="4"/>
      <c r="HGW69" s="4"/>
      <c r="HGX69" s="4"/>
      <c r="HGY69" s="4"/>
      <c r="HGZ69" s="4"/>
      <c r="HHA69" s="4"/>
      <c r="HHB69" s="4"/>
      <c r="HHC69" s="4"/>
      <c r="HHD69" s="4"/>
      <c r="HHE69" s="4"/>
      <c r="HHF69" s="4"/>
      <c r="HHG69" s="4"/>
      <c r="HHH69" s="4"/>
      <c r="HHI69" s="4"/>
      <c r="HHJ69" s="4"/>
      <c r="HHK69" s="4"/>
      <c r="HHL69" s="4"/>
      <c r="HHM69" s="4"/>
      <c r="HHN69" s="4"/>
      <c r="HHO69" s="4"/>
      <c r="HHP69" s="4"/>
      <c r="HHQ69" s="4"/>
      <c r="HHR69" s="4"/>
      <c r="HHS69" s="4"/>
      <c r="HHT69" s="4"/>
      <c r="HHU69" s="4"/>
      <c r="HHV69" s="4"/>
      <c r="HHW69" s="4"/>
      <c r="HHX69" s="4"/>
      <c r="HHY69" s="4"/>
      <c r="HHZ69" s="4"/>
      <c r="HIA69" s="4"/>
      <c r="HIB69" s="4"/>
      <c r="HIC69" s="4"/>
      <c r="HID69" s="4"/>
      <c r="HIE69" s="4"/>
      <c r="HIF69" s="4"/>
      <c r="HIG69" s="4"/>
      <c r="HIH69" s="4"/>
      <c r="HII69" s="4"/>
      <c r="HIJ69" s="4"/>
      <c r="HIK69" s="4"/>
      <c r="HIL69" s="4"/>
      <c r="HIM69" s="4"/>
      <c r="HIN69" s="4"/>
      <c r="HIO69" s="4"/>
      <c r="HIP69" s="4"/>
      <c r="HIQ69" s="4"/>
      <c r="HIR69" s="4"/>
      <c r="HIS69" s="4"/>
      <c r="HIT69" s="4"/>
      <c r="HIU69" s="4"/>
      <c r="HIV69" s="4"/>
      <c r="HIW69" s="4"/>
      <c r="HIX69" s="4"/>
      <c r="HIY69" s="4"/>
      <c r="HIZ69" s="4"/>
      <c r="HJA69" s="4"/>
      <c r="HJB69" s="4"/>
      <c r="HJC69" s="4"/>
      <c r="HJD69" s="4"/>
      <c r="HJE69" s="4"/>
      <c r="HJF69" s="4"/>
      <c r="HJG69" s="4"/>
      <c r="HJH69" s="4"/>
      <c r="HJI69" s="4"/>
      <c r="HJJ69" s="4"/>
      <c r="HJK69" s="4"/>
      <c r="HJL69" s="4"/>
      <c r="HJM69" s="4"/>
      <c r="HJN69" s="4"/>
      <c r="HJO69" s="4"/>
      <c r="HJP69" s="4"/>
      <c r="HJQ69" s="4"/>
      <c r="HJR69" s="4"/>
      <c r="HJS69" s="4"/>
      <c r="HJT69" s="4"/>
      <c r="HJU69" s="4"/>
      <c r="HJV69" s="4"/>
      <c r="HJW69" s="4"/>
      <c r="HJX69" s="4"/>
      <c r="HJY69" s="4"/>
      <c r="HJZ69" s="4"/>
      <c r="HKA69" s="4"/>
      <c r="HKB69" s="4"/>
      <c r="HKC69" s="4"/>
      <c r="HKD69" s="4"/>
      <c r="HKE69" s="4"/>
      <c r="HKF69" s="4"/>
      <c r="HKG69" s="4"/>
      <c r="HKH69" s="4"/>
      <c r="HKI69" s="4"/>
      <c r="HKJ69" s="4"/>
      <c r="HKK69" s="4"/>
      <c r="HKL69" s="4"/>
      <c r="HKM69" s="4"/>
      <c r="HKN69" s="4"/>
      <c r="HKO69" s="4"/>
      <c r="HKP69" s="4"/>
      <c r="HKQ69" s="4"/>
      <c r="HKR69" s="4"/>
      <c r="HKS69" s="4"/>
      <c r="HKT69" s="4"/>
      <c r="HKU69" s="4"/>
      <c r="HKV69" s="4"/>
      <c r="HKW69" s="4"/>
      <c r="HKX69" s="4"/>
      <c r="HKY69" s="4"/>
      <c r="HKZ69" s="4"/>
      <c r="HLA69" s="4"/>
      <c r="HLB69" s="4"/>
      <c r="HLC69" s="4"/>
      <c r="HLD69" s="4"/>
      <c r="HLE69" s="4"/>
      <c r="HLF69" s="4"/>
      <c r="HLG69" s="4"/>
      <c r="HLH69" s="4"/>
      <c r="HLI69" s="4"/>
      <c r="HLJ69" s="4"/>
      <c r="HLK69" s="4"/>
      <c r="HLL69" s="4"/>
      <c r="HLM69" s="4"/>
      <c r="HLN69" s="4"/>
      <c r="HLO69" s="4"/>
      <c r="HLP69" s="4"/>
      <c r="HLQ69" s="4"/>
      <c r="HLR69" s="4"/>
      <c r="HLS69" s="4"/>
      <c r="HLT69" s="4"/>
      <c r="HLU69" s="4"/>
      <c r="HLV69" s="4"/>
      <c r="HLW69" s="4"/>
      <c r="HLX69" s="4"/>
      <c r="HLY69" s="4"/>
      <c r="HLZ69" s="4"/>
      <c r="HMA69" s="4"/>
      <c r="HMB69" s="4"/>
      <c r="HMC69" s="4"/>
      <c r="HMD69" s="4"/>
      <c r="HME69" s="4"/>
      <c r="HMF69" s="4"/>
      <c r="HMG69" s="4"/>
      <c r="HMH69" s="4"/>
      <c r="HMI69" s="4"/>
      <c r="HMJ69" s="4"/>
      <c r="HMK69" s="4"/>
      <c r="HML69" s="4"/>
      <c r="HMM69" s="4"/>
      <c r="HMN69" s="4"/>
      <c r="HMO69" s="4"/>
      <c r="HMP69" s="4"/>
      <c r="HMQ69" s="4"/>
      <c r="HMR69" s="4"/>
      <c r="HMS69" s="4"/>
      <c r="HMT69" s="4"/>
      <c r="HMU69" s="4"/>
      <c r="HMV69" s="4"/>
      <c r="HMW69" s="4"/>
      <c r="HMX69" s="4"/>
      <c r="HMY69" s="4"/>
      <c r="HMZ69" s="4"/>
      <c r="HNA69" s="4"/>
      <c r="HNB69" s="4"/>
      <c r="HNC69" s="4"/>
      <c r="HND69" s="4"/>
      <c r="HNE69" s="4"/>
      <c r="HNF69" s="4"/>
      <c r="HNG69" s="4"/>
      <c r="HNH69" s="4"/>
      <c r="HNI69" s="4"/>
      <c r="HNJ69" s="4"/>
      <c r="HNK69" s="4"/>
      <c r="HNL69" s="4"/>
      <c r="HNM69" s="4"/>
      <c r="HNN69" s="4"/>
      <c r="HNO69" s="4"/>
      <c r="HNP69" s="4"/>
      <c r="HNQ69" s="4"/>
      <c r="HNR69" s="4"/>
      <c r="HNS69" s="4"/>
      <c r="HNT69" s="4"/>
      <c r="HNU69" s="4"/>
      <c r="HNV69" s="4"/>
      <c r="HNW69" s="4"/>
      <c r="HNX69" s="4"/>
      <c r="HNY69" s="4"/>
      <c r="HNZ69" s="4"/>
      <c r="HOA69" s="4"/>
      <c r="HOB69" s="4"/>
      <c r="HOC69" s="4"/>
      <c r="HOD69" s="4"/>
      <c r="HOE69" s="4"/>
      <c r="HOF69" s="4"/>
      <c r="HOG69" s="4"/>
      <c r="HOH69" s="4"/>
      <c r="HOI69" s="4"/>
      <c r="HOJ69" s="4"/>
      <c r="HOK69" s="4"/>
      <c r="HOL69" s="4"/>
      <c r="HOM69" s="4"/>
      <c r="HON69" s="4"/>
      <c r="HOO69" s="4"/>
      <c r="HOP69" s="4"/>
      <c r="HOQ69" s="4"/>
      <c r="HOR69" s="4"/>
      <c r="HOS69" s="4"/>
      <c r="HOT69" s="4"/>
      <c r="HOU69" s="4"/>
      <c r="HOV69" s="4"/>
      <c r="HOW69" s="4"/>
      <c r="HOX69" s="4"/>
      <c r="HOY69" s="4"/>
      <c r="HOZ69" s="4"/>
      <c r="HPA69" s="4"/>
      <c r="HPB69" s="4"/>
      <c r="HPC69" s="4"/>
      <c r="HPD69" s="4"/>
      <c r="HPE69" s="4"/>
      <c r="HPF69" s="4"/>
      <c r="HPG69" s="4"/>
      <c r="HPH69" s="4"/>
      <c r="HPI69" s="4"/>
      <c r="HPJ69" s="4"/>
      <c r="HPK69" s="4"/>
      <c r="HPL69" s="4"/>
      <c r="HPM69" s="4"/>
      <c r="HPN69" s="4"/>
      <c r="HPO69" s="4"/>
      <c r="HPP69" s="4"/>
      <c r="HPQ69" s="4"/>
      <c r="HPR69" s="4"/>
      <c r="HPS69" s="4"/>
      <c r="HPT69" s="4"/>
      <c r="HPU69" s="4"/>
      <c r="HPV69" s="4"/>
      <c r="HPW69" s="4"/>
      <c r="HPX69" s="4"/>
      <c r="HPY69" s="4"/>
      <c r="HPZ69" s="4"/>
      <c r="HQA69" s="4"/>
      <c r="HQB69" s="4"/>
      <c r="HQC69" s="4"/>
      <c r="HQD69" s="4"/>
      <c r="HQE69" s="4"/>
      <c r="HQF69" s="4"/>
      <c r="HQG69" s="4"/>
      <c r="HQH69" s="4"/>
      <c r="HQI69" s="4"/>
      <c r="HQJ69" s="4"/>
      <c r="HQK69" s="4"/>
      <c r="HQL69" s="4"/>
      <c r="HQM69" s="4"/>
      <c r="HQN69" s="4"/>
      <c r="HQO69" s="4"/>
      <c r="HQP69" s="4"/>
      <c r="HQQ69" s="4"/>
      <c r="HQR69" s="4"/>
      <c r="HQS69" s="4"/>
      <c r="HQT69" s="4"/>
      <c r="HQU69" s="4"/>
      <c r="HQV69" s="4"/>
      <c r="HQW69" s="4"/>
      <c r="HQX69" s="4"/>
      <c r="HQY69" s="4"/>
      <c r="HQZ69" s="4"/>
      <c r="HRA69" s="4"/>
      <c r="HRB69" s="4"/>
      <c r="HRC69" s="4"/>
      <c r="HRD69" s="4"/>
      <c r="HRE69" s="4"/>
      <c r="HRF69" s="4"/>
      <c r="HRG69" s="4"/>
      <c r="HRH69" s="4"/>
      <c r="HRI69" s="4"/>
      <c r="HRJ69" s="4"/>
      <c r="HRK69" s="4"/>
      <c r="HRL69" s="4"/>
      <c r="HRM69" s="4"/>
      <c r="HRN69" s="4"/>
      <c r="HRO69" s="4"/>
      <c r="HRP69" s="4"/>
      <c r="HRQ69" s="4"/>
      <c r="HRR69" s="4"/>
      <c r="HRS69" s="4"/>
      <c r="HRT69" s="4"/>
      <c r="HRU69" s="4"/>
      <c r="HRV69" s="4"/>
      <c r="HRW69" s="4"/>
      <c r="HRX69" s="4"/>
      <c r="HRY69" s="4"/>
      <c r="HRZ69" s="4"/>
      <c r="HSA69" s="4"/>
      <c r="HSB69" s="4"/>
      <c r="HSC69" s="4"/>
      <c r="HSD69" s="4"/>
      <c r="HSE69" s="4"/>
      <c r="HSF69" s="4"/>
      <c r="HSG69" s="4"/>
      <c r="HSH69" s="4"/>
      <c r="HSI69" s="4"/>
      <c r="HSJ69" s="4"/>
      <c r="HSK69" s="4"/>
      <c r="HSL69" s="4"/>
      <c r="HSM69" s="4"/>
      <c r="HSN69" s="4"/>
      <c r="HSO69" s="4"/>
      <c r="HSP69" s="4"/>
      <c r="HSQ69" s="4"/>
      <c r="HSR69" s="4"/>
      <c r="HSS69" s="4"/>
      <c r="HST69" s="4"/>
      <c r="HSU69" s="4"/>
      <c r="HSV69" s="4"/>
      <c r="HSW69" s="4"/>
      <c r="HSX69" s="4"/>
      <c r="HSY69" s="4"/>
      <c r="HSZ69" s="4"/>
      <c r="HTA69" s="4"/>
      <c r="HTB69" s="4"/>
      <c r="HTC69" s="4"/>
      <c r="HTD69" s="4"/>
      <c r="HTE69" s="4"/>
      <c r="HTF69" s="4"/>
      <c r="HTG69" s="4"/>
      <c r="HTH69" s="4"/>
      <c r="HTI69" s="4"/>
      <c r="HTJ69" s="4"/>
      <c r="HTK69" s="4"/>
      <c r="HTL69" s="4"/>
      <c r="HTM69" s="4"/>
      <c r="HTN69" s="4"/>
      <c r="HTO69" s="4"/>
      <c r="HTP69" s="4"/>
      <c r="HTQ69" s="4"/>
      <c r="HTR69" s="4"/>
      <c r="HTS69" s="4"/>
      <c r="HTT69" s="4"/>
      <c r="HTU69" s="4"/>
      <c r="HTV69" s="4"/>
      <c r="HTW69" s="4"/>
      <c r="HTX69" s="4"/>
      <c r="HTY69" s="4"/>
      <c r="HTZ69" s="4"/>
      <c r="HUA69" s="4"/>
      <c r="HUB69" s="4"/>
      <c r="HUC69" s="4"/>
      <c r="HUD69" s="4"/>
      <c r="HUE69" s="4"/>
      <c r="HUF69" s="4"/>
      <c r="HUG69" s="4"/>
      <c r="HUH69" s="4"/>
      <c r="HUI69" s="4"/>
      <c r="HUJ69" s="4"/>
      <c r="HUK69" s="4"/>
      <c r="HUL69" s="4"/>
      <c r="HUM69" s="4"/>
      <c r="HUN69" s="4"/>
      <c r="HUO69" s="4"/>
      <c r="HUP69" s="4"/>
      <c r="HUQ69" s="4"/>
      <c r="HUR69" s="4"/>
      <c r="HUS69" s="4"/>
      <c r="HUT69" s="4"/>
      <c r="HUU69" s="4"/>
      <c r="HUV69" s="4"/>
      <c r="HUW69" s="4"/>
      <c r="HUX69" s="4"/>
      <c r="HUY69" s="4"/>
      <c r="HUZ69" s="4"/>
      <c r="HVA69" s="4"/>
      <c r="HVB69" s="4"/>
      <c r="HVC69" s="4"/>
      <c r="HVD69" s="4"/>
      <c r="HVE69" s="4"/>
      <c r="HVF69" s="4"/>
      <c r="HVG69" s="4"/>
      <c r="HVH69" s="4"/>
      <c r="HVI69" s="4"/>
      <c r="HVJ69" s="4"/>
      <c r="HVK69" s="4"/>
      <c r="HVL69" s="4"/>
      <c r="HVM69" s="4"/>
      <c r="HVN69" s="4"/>
      <c r="HVO69" s="4"/>
      <c r="HVP69" s="4"/>
      <c r="HVQ69" s="4"/>
      <c r="HVR69" s="4"/>
      <c r="HVS69" s="4"/>
      <c r="HVT69" s="4"/>
      <c r="HVU69" s="4"/>
      <c r="HVV69" s="4"/>
      <c r="HVW69" s="4"/>
      <c r="HVX69" s="4"/>
      <c r="HVY69" s="4"/>
      <c r="HVZ69" s="4"/>
      <c r="HWA69" s="4"/>
      <c r="HWB69" s="4"/>
      <c r="HWC69" s="4"/>
      <c r="HWD69" s="4"/>
      <c r="HWE69" s="4"/>
      <c r="HWF69" s="4"/>
      <c r="HWG69" s="4"/>
      <c r="HWH69" s="4"/>
      <c r="HWI69" s="4"/>
      <c r="HWJ69" s="4"/>
      <c r="HWK69" s="4"/>
      <c r="HWL69" s="4"/>
      <c r="HWM69" s="4"/>
      <c r="HWN69" s="4"/>
      <c r="HWO69" s="4"/>
      <c r="HWP69" s="4"/>
      <c r="HWQ69" s="4"/>
      <c r="HWR69" s="4"/>
      <c r="HWS69" s="4"/>
      <c r="HWT69" s="4"/>
      <c r="HWU69" s="4"/>
      <c r="HWV69" s="4"/>
      <c r="HWW69" s="4"/>
      <c r="HWX69" s="4"/>
      <c r="HWY69" s="4"/>
      <c r="HWZ69" s="4"/>
      <c r="HXA69" s="4"/>
      <c r="HXB69" s="4"/>
      <c r="HXC69" s="4"/>
      <c r="HXD69" s="4"/>
      <c r="HXE69" s="4"/>
      <c r="HXF69" s="4"/>
      <c r="HXG69" s="4"/>
      <c r="HXH69" s="4"/>
      <c r="HXI69" s="4"/>
      <c r="HXJ69" s="4"/>
      <c r="HXK69" s="4"/>
      <c r="HXL69" s="4"/>
      <c r="HXM69" s="4"/>
      <c r="HXN69" s="4"/>
      <c r="HXO69" s="4"/>
      <c r="HXP69" s="4"/>
      <c r="HXQ69" s="4"/>
      <c r="HXR69" s="4"/>
      <c r="HXS69" s="4"/>
      <c r="HXT69" s="4"/>
      <c r="HXU69" s="4"/>
      <c r="HXV69" s="4"/>
      <c r="HXW69" s="4"/>
      <c r="HXX69" s="4"/>
      <c r="HXY69" s="4"/>
      <c r="HXZ69" s="4"/>
      <c r="HYA69" s="4"/>
      <c r="HYB69" s="4"/>
      <c r="HYC69" s="4"/>
      <c r="HYD69" s="4"/>
      <c r="HYE69" s="4"/>
      <c r="HYF69" s="4"/>
      <c r="HYG69" s="4"/>
      <c r="HYH69" s="4"/>
      <c r="HYI69" s="4"/>
      <c r="HYJ69" s="4"/>
      <c r="HYK69" s="4"/>
      <c r="HYL69" s="4"/>
      <c r="HYM69" s="4"/>
      <c r="HYN69" s="4"/>
      <c r="HYO69" s="4"/>
      <c r="HYP69" s="4"/>
      <c r="HYQ69" s="4"/>
      <c r="HYR69" s="4"/>
      <c r="HYS69" s="4"/>
      <c r="HYT69" s="4"/>
      <c r="HYU69" s="4"/>
      <c r="HYV69" s="4"/>
      <c r="HYW69" s="4"/>
      <c r="HYX69" s="4"/>
      <c r="HYY69" s="4"/>
      <c r="HYZ69" s="4"/>
      <c r="HZA69" s="4"/>
      <c r="HZB69" s="4"/>
      <c r="HZC69" s="4"/>
      <c r="HZD69" s="4"/>
      <c r="HZE69" s="4"/>
      <c r="HZF69" s="4"/>
      <c r="HZG69" s="4"/>
      <c r="HZH69" s="4"/>
      <c r="HZI69" s="4"/>
      <c r="HZJ69" s="4"/>
      <c r="HZK69" s="4"/>
      <c r="HZL69" s="4"/>
      <c r="HZM69" s="4"/>
      <c r="HZN69" s="4"/>
      <c r="HZO69" s="4"/>
      <c r="HZP69" s="4"/>
      <c r="HZQ69" s="4"/>
      <c r="HZR69" s="4"/>
      <c r="HZS69" s="4"/>
      <c r="HZT69" s="4"/>
      <c r="HZU69" s="4"/>
      <c r="HZV69" s="4"/>
      <c r="HZW69" s="4"/>
      <c r="HZX69" s="4"/>
      <c r="HZY69" s="4"/>
      <c r="HZZ69" s="4"/>
      <c r="IAA69" s="4"/>
      <c r="IAB69" s="4"/>
      <c r="IAC69" s="4"/>
      <c r="IAD69" s="4"/>
      <c r="IAE69" s="4"/>
      <c r="IAF69" s="4"/>
      <c r="IAG69" s="4"/>
      <c r="IAH69" s="4"/>
      <c r="IAI69" s="4"/>
      <c r="IAJ69" s="4"/>
      <c r="IAK69" s="4"/>
      <c r="IAL69" s="4"/>
      <c r="IAM69" s="4"/>
      <c r="IAN69" s="4"/>
      <c r="IAO69" s="4"/>
      <c r="IAP69" s="4"/>
      <c r="IAQ69" s="4"/>
      <c r="IAR69" s="4"/>
      <c r="IAS69" s="4"/>
      <c r="IAT69" s="4"/>
      <c r="IAU69" s="4"/>
      <c r="IAV69" s="4"/>
      <c r="IAW69" s="4"/>
      <c r="IAX69" s="4"/>
      <c r="IAY69" s="4"/>
      <c r="IAZ69" s="4"/>
      <c r="IBA69" s="4"/>
      <c r="IBB69" s="4"/>
      <c r="IBC69" s="4"/>
      <c r="IBD69" s="4"/>
      <c r="IBE69" s="4"/>
      <c r="IBF69" s="4"/>
      <c r="IBG69" s="4"/>
      <c r="IBH69" s="4"/>
      <c r="IBI69" s="4"/>
      <c r="IBJ69" s="4"/>
      <c r="IBK69" s="4"/>
      <c r="IBL69" s="4"/>
      <c r="IBM69" s="4"/>
      <c r="IBN69" s="4"/>
      <c r="IBO69" s="4"/>
      <c r="IBP69" s="4"/>
      <c r="IBQ69" s="4"/>
      <c r="IBR69" s="4"/>
      <c r="IBS69" s="4"/>
      <c r="IBT69" s="4"/>
      <c r="IBU69" s="4"/>
      <c r="IBV69" s="4"/>
      <c r="IBW69" s="4"/>
      <c r="IBX69" s="4"/>
      <c r="IBY69" s="4"/>
      <c r="IBZ69" s="4"/>
      <c r="ICA69" s="4"/>
      <c r="ICB69" s="4"/>
      <c r="ICC69" s="4"/>
      <c r="ICD69" s="4"/>
      <c r="ICE69" s="4"/>
      <c r="ICF69" s="4"/>
      <c r="ICG69" s="4"/>
      <c r="ICH69" s="4"/>
      <c r="ICI69" s="4"/>
      <c r="ICJ69" s="4"/>
      <c r="ICK69" s="4"/>
      <c r="ICL69" s="4"/>
      <c r="ICM69" s="4"/>
      <c r="ICN69" s="4"/>
      <c r="ICO69" s="4"/>
      <c r="ICP69" s="4"/>
      <c r="ICQ69" s="4"/>
      <c r="ICR69" s="4"/>
      <c r="ICS69" s="4"/>
      <c r="ICT69" s="4"/>
      <c r="ICU69" s="4"/>
      <c r="ICV69" s="4"/>
      <c r="ICW69" s="4"/>
      <c r="ICX69" s="4"/>
      <c r="ICY69" s="4"/>
      <c r="ICZ69" s="4"/>
      <c r="IDA69" s="4"/>
      <c r="IDB69" s="4"/>
      <c r="IDC69" s="4"/>
      <c r="IDD69" s="4"/>
      <c r="IDE69" s="4"/>
      <c r="IDF69" s="4"/>
      <c r="IDG69" s="4"/>
      <c r="IDH69" s="4"/>
      <c r="IDI69" s="4"/>
      <c r="IDJ69" s="4"/>
      <c r="IDK69" s="4"/>
      <c r="IDL69" s="4"/>
      <c r="IDM69" s="4"/>
      <c r="IDN69" s="4"/>
      <c r="IDO69" s="4"/>
      <c r="IDP69" s="4"/>
      <c r="IDQ69" s="4"/>
      <c r="IDR69" s="4"/>
      <c r="IDS69" s="4"/>
      <c r="IDT69" s="4"/>
      <c r="IDU69" s="4"/>
      <c r="IDV69" s="4"/>
      <c r="IDW69" s="4"/>
      <c r="IDX69" s="4"/>
      <c r="IDY69" s="4"/>
      <c r="IDZ69" s="4"/>
      <c r="IEA69" s="4"/>
      <c r="IEB69" s="4"/>
      <c r="IEC69" s="4"/>
      <c r="IED69" s="4"/>
      <c r="IEE69" s="4"/>
      <c r="IEF69" s="4"/>
      <c r="IEG69" s="4"/>
      <c r="IEH69" s="4"/>
      <c r="IEI69" s="4"/>
      <c r="IEJ69" s="4"/>
      <c r="IEK69" s="4"/>
      <c r="IEL69" s="4"/>
      <c r="IEM69" s="4"/>
      <c r="IEN69" s="4"/>
      <c r="IEO69" s="4"/>
      <c r="IEP69" s="4"/>
      <c r="IEQ69" s="4"/>
      <c r="IER69" s="4"/>
      <c r="IES69" s="4"/>
      <c r="IET69" s="4"/>
      <c r="IEU69" s="4"/>
      <c r="IEV69" s="4"/>
      <c r="IEW69" s="4"/>
      <c r="IEX69" s="4"/>
      <c r="IEY69" s="4"/>
      <c r="IEZ69" s="4"/>
      <c r="IFA69" s="4"/>
      <c r="IFB69" s="4"/>
      <c r="IFC69" s="4"/>
      <c r="IFD69" s="4"/>
      <c r="IFE69" s="4"/>
      <c r="IFF69" s="4"/>
      <c r="IFG69" s="4"/>
      <c r="IFH69" s="4"/>
      <c r="IFI69" s="4"/>
      <c r="IFJ69" s="4"/>
      <c r="IFK69" s="4"/>
      <c r="IFL69" s="4"/>
      <c r="IFM69" s="4"/>
      <c r="IFN69" s="4"/>
      <c r="IFO69" s="4"/>
      <c r="IFP69" s="4"/>
      <c r="IFQ69" s="4"/>
      <c r="IFR69" s="4"/>
      <c r="IFS69" s="4"/>
      <c r="IFT69" s="4"/>
      <c r="IFU69" s="4"/>
      <c r="IFV69" s="4"/>
      <c r="IFW69" s="4"/>
      <c r="IFX69" s="4"/>
      <c r="IFY69" s="4"/>
      <c r="IFZ69" s="4"/>
      <c r="IGA69" s="4"/>
      <c r="IGB69" s="4"/>
      <c r="IGC69" s="4"/>
      <c r="IGD69" s="4"/>
      <c r="IGE69" s="4"/>
      <c r="IGF69" s="4"/>
      <c r="IGG69" s="4"/>
      <c r="IGH69" s="4"/>
      <c r="IGI69" s="4"/>
      <c r="IGJ69" s="4"/>
      <c r="IGK69" s="4"/>
      <c r="IGL69" s="4"/>
      <c r="IGM69" s="4"/>
      <c r="IGN69" s="4"/>
      <c r="IGO69" s="4"/>
      <c r="IGP69" s="4"/>
      <c r="IGQ69" s="4"/>
      <c r="IGR69" s="4"/>
      <c r="IGS69" s="4"/>
      <c r="IGT69" s="4"/>
      <c r="IGU69" s="4"/>
      <c r="IGV69" s="4"/>
      <c r="IGW69" s="4"/>
      <c r="IGX69" s="4"/>
      <c r="IGY69" s="4"/>
      <c r="IGZ69" s="4"/>
      <c r="IHA69" s="4"/>
      <c r="IHB69" s="4"/>
      <c r="IHC69" s="4"/>
      <c r="IHD69" s="4"/>
      <c r="IHE69" s="4"/>
      <c r="IHF69" s="4"/>
      <c r="IHG69" s="4"/>
      <c r="IHH69" s="4"/>
      <c r="IHI69" s="4"/>
      <c r="IHJ69" s="4"/>
      <c r="IHK69" s="4"/>
      <c r="IHL69" s="4"/>
      <c r="IHM69" s="4"/>
      <c r="IHN69" s="4"/>
      <c r="IHO69" s="4"/>
      <c r="IHP69" s="4"/>
      <c r="IHQ69" s="4"/>
      <c r="IHR69" s="4"/>
      <c r="IHS69" s="4"/>
      <c r="IHT69" s="4"/>
      <c r="IHU69" s="4"/>
      <c r="IHV69" s="4"/>
      <c r="IHW69" s="4"/>
      <c r="IHX69" s="4"/>
      <c r="IHY69" s="4"/>
      <c r="IHZ69" s="4"/>
      <c r="IIA69" s="4"/>
      <c r="IIB69" s="4"/>
      <c r="IIC69" s="4"/>
      <c r="IID69" s="4"/>
      <c r="IIE69" s="4"/>
      <c r="IIF69" s="4"/>
      <c r="IIG69" s="4"/>
      <c r="IIH69" s="4"/>
      <c r="III69" s="4"/>
      <c r="IIJ69" s="4"/>
      <c r="IIK69" s="4"/>
      <c r="IIL69" s="4"/>
      <c r="IIM69" s="4"/>
      <c r="IIN69" s="4"/>
      <c r="IIO69" s="4"/>
      <c r="IIP69" s="4"/>
      <c r="IIQ69" s="4"/>
      <c r="IIR69" s="4"/>
      <c r="IIS69" s="4"/>
      <c r="IIT69" s="4"/>
      <c r="IIU69" s="4"/>
      <c r="IIV69" s="4"/>
      <c r="IIW69" s="4"/>
      <c r="IIX69" s="4"/>
      <c r="IIY69" s="4"/>
      <c r="IIZ69" s="4"/>
      <c r="IJA69" s="4"/>
      <c r="IJB69" s="4"/>
      <c r="IJC69" s="4"/>
      <c r="IJD69" s="4"/>
      <c r="IJE69" s="4"/>
      <c r="IJF69" s="4"/>
      <c r="IJG69" s="4"/>
      <c r="IJH69" s="4"/>
      <c r="IJI69" s="4"/>
      <c r="IJJ69" s="4"/>
      <c r="IJK69" s="4"/>
      <c r="IJL69" s="4"/>
      <c r="IJM69" s="4"/>
      <c r="IJN69" s="4"/>
      <c r="IJO69" s="4"/>
      <c r="IJP69" s="4"/>
      <c r="IJQ69" s="4"/>
      <c r="IJR69" s="4"/>
      <c r="IJS69" s="4"/>
      <c r="IJT69" s="4"/>
      <c r="IJU69" s="4"/>
      <c r="IJV69" s="4"/>
      <c r="IJW69" s="4"/>
      <c r="IJX69" s="4"/>
      <c r="IJY69" s="4"/>
      <c r="IJZ69" s="4"/>
      <c r="IKA69" s="4"/>
      <c r="IKB69" s="4"/>
      <c r="IKC69" s="4"/>
      <c r="IKD69" s="4"/>
      <c r="IKE69" s="4"/>
      <c r="IKF69" s="4"/>
      <c r="IKG69" s="4"/>
      <c r="IKH69" s="4"/>
      <c r="IKI69" s="4"/>
      <c r="IKJ69" s="4"/>
      <c r="IKK69" s="4"/>
      <c r="IKL69" s="4"/>
      <c r="IKM69" s="4"/>
      <c r="IKN69" s="4"/>
      <c r="IKO69" s="4"/>
      <c r="IKP69" s="4"/>
      <c r="IKQ69" s="4"/>
      <c r="IKR69" s="4"/>
      <c r="IKS69" s="4"/>
      <c r="IKT69" s="4"/>
      <c r="IKU69" s="4"/>
      <c r="IKV69" s="4"/>
      <c r="IKW69" s="4"/>
      <c r="IKX69" s="4"/>
      <c r="IKY69" s="4"/>
      <c r="IKZ69" s="4"/>
      <c r="ILA69" s="4"/>
      <c r="ILB69" s="4"/>
      <c r="ILC69" s="4"/>
      <c r="ILD69" s="4"/>
      <c r="ILE69" s="4"/>
      <c r="ILF69" s="4"/>
      <c r="ILG69" s="4"/>
      <c r="ILH69" s="4"/>
      <c r="ILI69" s="4"/>
      <c r="ILJ69" s="4"/>
      <c r="ILK69" s="4"/>
      <c r="ILL69" s="4"/>
      <c r="ILM69" s="4"/>
      <c r="ILN69" s="4"/>
      <c r="ILO69" s="4"/>
      <c r="ILP69" s="4"/>
      <c r="ILQ69" s="4"/>
      <c r="ILR69" s="4"/>
      <c r="ILS69" s="4"/>
      <c r="ILT69" s="4"/>
      <c r="ILU69" s="4"/>
      <c r="ILV69" s="4"/>
      <c r="ILW69" s="4"/>
      <c r="ILX69" s="4"/>
      <c r="ILY69" s="4"/>
      <c r="ILZ69" s="4"/>
      <c r="IMA69" s="4"/>
      <c r="IMB69" s="4"/>
      <c r="IMC69" s="4"/>
      <c r="IMD69" s="4"/>
      <c r="IME69" s="4"/>
      <c r="IMF69" s="4"/>
      <c r="IMG69" s="4"/>
      <c r="IMH69" s="4"/>
      <c r="IMI69" s="4"/>
      <c r="IMJ69" s="4"/>
      <c r="IMK69" s="4"/>
      <c r="IML69" s="4"/>
      <c r="IMM69" s="4"/>
      <c r="IMN69" s="4"/>
      <c r="IMO69" s="4"/>
      <c r="IMP69" s="4"/>
      <c r="IMQ69" s="4"/>
      <c r="IMR69" s="4"/>
      <c r="IMS69" s="4"/>
      <c r="IMT69" s="4"/>
      <c r="IMU69" s="4"/>
      <c r="IMV69" s="4"/>
      <c r="IMW69" s="4"/>
      <c r="IMX69" s="4"/>
      <c r="IMY69" s="4"/>
      <c r="IMZ69" s="4"/>
      <c r="INA69" s="4"/>
      <c r="INB69" s="4"/>
      <c r="INC69" s="4"/>
      <c r="IND69" s="4"/>
      <c r="INE69" s="4"/>
      <c r="INF69" s="4"/>
      <c r="ING69" s="4"/>
      <c r="INH69" s="4"/>
      <c r="INI69" s="4"/>
      <c r="INJ69" s="4"/>
      <c r="INK69" s="4"/>
      <c r="INL69" s="4"/>
      <c r="INM69" s="4"/>
      <c r="INN69" s="4"/>
      <c r="INO69" s="4"/>
      <c r="INP69" s="4"/>
      <c r="INQ69" s="4"/>
      <c r="INR69" s="4"/>
      <c r="INS69" s="4"/>
      <c r="INT69" s="4"/>
      <c r="INU69" s="4"/>
      <c r="INV69" s="4"/>
      <c r="INW69" s="4"/>
      <c r="INX69" s="4"/>
      <c r="INY69" s="4"/>
      <c r="INZ69" s="4"/>
      <c r="IOA69" s="4"/>
      <c r="IOB69" s="4"/>
      <c r="IOC69" s="4"/>
      <c r="IOD69" s="4"/>
      <c r="IOE69" s="4"/>
      <c r="IOF69" s="4"/>
      <c r="IOG69" s="4"/>
      <c r="IOH69" s="4"/>
      <c r="IOI69" s="4"/>
      <c r="IOJ69" s="4"/>
      <c r="IOK69" s="4"/>
      <c r="IOL69" s="4"/>
      <c r="IOM69" s="4"/>
      <c r="ION69" s="4"/>
      <c r="IOO69" s="4"/>
      <c r="IOP69" s="4"/>
      <c r="IOQ69" s="4"/>
      <c r="IOR69" s="4"/>
      <c r="IOS69" s="4"/>
      <c r="IOT69" s="4"/>
      <c r="IOU69" s="4"/>
      <c r="IOV69" s="4"/>
      <c r="IOW69" s="4"/>
      <c r="IOX69" s="4"/>
      <c r="IOY69" s="4"/>
      <c r="IOZ69" s="4"/>
      <c r="IPA69" s="4"/>
      <c r="IPB69" s="4"/>
      <c r="IPC69" s="4"/>
      <c r="IPD69" s="4"/>
      <c r="IPE69" s="4"/>
      <c r="IPF69" s="4"/>
      <c r="IPG69" s="4"/>
      <c r="IPH69" s="4"/>
      <c r="IPI69" s="4"/>
      <c r="IPJ69" s="4"/>
      <c r="IPK69" s="4"/>
      <c r="IPL69" s="4"/>
      <c r="IPM69" s="4"/>
      <c r="IPN69" s="4"/>
      <c r="IPO69" s="4"/>
      <c r="IPP69" s="4"/>
      <c r="IPQ69" s="4"/>
      <c r="IPR69" s="4"/>
      <c r="IPS69" s="4"/>
      <c r="IPT69" s="4"/>
      <c r="IPU69" s="4"/>
      <c r="IPV69" s="4"/>
      <c r="IPW69" s="4"/>
      <c r="IPX69" s="4"/>
      <c r="IPY69" s="4"/>
      <c r="IPZ69" s="4"/>
      <c r="IQA69" s="4"/>
      <c r="IQB69" s="4"/>
      <c r="IQC69" s="4"/>
      <c r="IQD69" s="4"/>
      <c r="IQE69" s="4"/>
      <c r="IQF69" s="4"/>
      <c r="IQG69" s="4"/>
      <c r="IQH69" s="4"/>
      <c r="IQI69" s="4"/>
      <c r="IQJ69" s="4"/>
      <c r="IQK69" s="4"/>
      <c r="IQL69" s="4"/>
      <c r="IQM69" s="4"/>
      <c r="IQN69" s="4"/>
      <c r="IQO69" s="4"/>
      <c r="IQP69" s="4"/>
      <c r="IQQ69" s="4"/>
      <c r="IQR69" s="4"/>
      <c r="IQS69" s="4"/>
      <c r="IQT69" s="4"/>
      <c r="IQU69" s="4"/>
      <c r="IQV69" s="4"/>
      <c r="IQW69" s="4"/>
      <c r="IQX69" s="4"/>
      <c r="IQY69" s="4"/>
      <c r="IQZ69" s="4"/>
      <c r="IRA69" s="4"/>
      <c r="IRB69" s="4"/>
      <c r="IRC69" s="4"/>
      <c r="IRD69" s="4"/>
      <c r="IRE69" s="4"/>
      <c r="IRF69" s="4"/>
      <c r="IRG69" s="4"/>
      <c r="IRH69" s="4"/>
      <c r="IRI69" s="4"/>
      <c r="IRJ69" s="4"/>
      <c r="IRK69" s="4"/>
      <c r="IRL69" s="4"/>
      <c r="IRM69" s="4"/>
      <c r="IRN69" s="4"/>
      <c r="IRO69" s="4"/>
      <c r="IRP69" s="4"/>
      <c r="IRQ69" s="4"/>
      <c r="IRR69" s="4"/>
      <c r="IRS69" s="4"/>
      <c r="IRT69" s="4"/>
      <c r="IRU69" s="4"/>
      <c r="IRV69" s="4"/>
      <c r="IRW69" s="4"/>
      <c r="IRX69" s="4"/>
      <c r="IRY69" s="4"/>
      <c r="IRZ69" s="4"/>
      <c r="ISA69" s="4"/>
      <c r="ISB69" s="4"/>
      <c r="ISC69" s="4"/>
      <c r="ISD69" s="4"/>
      <c r="ISE69" s="4"/>
      <c r="ISF69" s="4"/>
      <c r="ISG69" s="4"/>
      <c r="ISH69" s="4"/>
      <c r="ISI69" s="4"/>
      <c r="ISJ69" s="4"/>
      <c r="ISK69" s="4"/>
      <c r="ISL69" s="4"/>
      <c r="ISM69" s="4"/>
      <c r="ISN69" s="4"/>
      <c r="ISO69" s="4"/>
      <c r="ISP69" s="4"/>
      <c r="ISQ69" s="4"/>
      <c r="ISR69" s="4"/>
      <c r="ISS69" s="4"/>
      <c r="IST69" s="4"/>
      <c r="ISU69" s="4"/>
      <c r="ISV69" s="4"/>
      <c r="ISW69" s="4"/>
      <c r="ISX69" s="4"/>
      <c r="ISY69" s="4"/>
      <c r="ISZ69" s="4"/>
      <c r="ITA69" s="4"/>
      <c r="ITB69" s="4"/>
      <c r="ITC69" s="4"/>
      <c r="ITD69" s="4"/>
      <c r="ITE69" s="4"/>
      <c r="ITF69" s="4"/>
      <c r="ITG69" s="4"/>
      <c r="ITH69" s="4"/>
      <c r="ITI69" s="4"/>
      <c r="ITJ69" s="4"/>
      <c r="ITK69" s="4"/>
      <c r="ITL69" s="4"/>
      <c r="ITM69" s="4"/>
      <c r="ITN69" s="4"/>
      <c r="ITO69" s="4"/>
      <c r="ITP69" s="4"/>
      <c r="ITQ69" s="4"/>
      <c r="ITR69" s="4"/>
      <c r="ITS69" s="4"/>
      <c r="ITT69" s="4"/>
      <c r="ITU69" s="4"/>
      <c r="ITV69" s="4"/>
      <c r="ITW69" s="4"/>
      <c r="ITX69" s="4"/>
      <c r="ITY69" s="4"/>
      <c r="ITZ69" s="4"/>
      <c r="IUA69" s="4"/>
      <c r="IUB69" s="4"/>
      <c r="IUC69" s="4"/>
      <c r="IUD69" s="4"/>
      <c r="IUE69" s="4"/>
      <c r="IUF69" s="4"/>
      <c r="IUG69" s="4"/>
      <c r="IUH69" s="4"/>
      <c r="IUI69" s="4"/>
      <c r="IUJ69" s="4"/>
      <c r="IUK69" s="4"/>
      <c r="IUL69" s="4"/>
      <c r="IUM69" s="4"/>
      <c r="IUN69" s="4"/>
      <c r="IUO69" s="4"/>
      <c r="IUP69" s="4"/>
      <c r="IUQ69" s="4"/>
      <c r="IUR69" s="4"/>
      <c r="IUS69" s="4"/>
      <c r="IUT69" s="4"/>
      <c r="IUU69" s="4"/>
      <c r="IUV69" s="4"/>
      <c r="IUW69" s="4"/>
      <c r="IUX69" s="4"/>
      <c r="IUY69" s="4"/>
      <c r="IUZ69" s="4"/>
      <c r="IVA69" s="4"/>
      <c r="IVB69" s="4"/>
      <c r="IVC69" s="4"/>
      <c r="IVD69" s="4"/>
      <c r="IVE69" s="4"/>
      <c r="IVF69" s="4"/>
      <c r="IVG69" s="4"/>
      <c r="IVH69" s="4"/>
      <c r="IVI69" s="4"/>
      <c r="IVJ69" s="4"/>
      <c r="IVK69" s="4"/>
      <c r="IVL69" s="4"/>
      <c r="IVM69" s="4"/>
      <c r="IVN69" s="4"/>
      <c r="IVO69" s="4"/>
      <c r="IVP69" s="4"/>
      <c r="IVQ69" s="4"/>
      <c r="IVR69" s="4"/>
      <c r="IVS69" s="4"/>
      <c r="IVT69" s="4"/>
      <c r="IVU69" s="4"/>
      <c r="IVV69" s="4"/>
      <c r="IVW69" s="4"/>
      <c r="IVX69" s="4"/>
      <c r="IVY69" s="4"/>
      <c r="IVZ69" s="4"/>
      <c r="IWA69" s="4"/>
      <c r="IWB69" s="4"/>
      <c r="IWC69" s="4"/>
      <c r="IWD69" s="4"/>
      <c r="IWE69" s="4"/>
      <c r="IWF69" s="4"/>
      <c r="IWG69" s="4"/>
      <c r="IWH69" s="4"/>
      <c r="IWI69" s="4"/>
      <c r="IWJ69" s="4"/>
      <c r="IWK69" s="4"/>
      <c r="IWL69" s="4"/>
      <c r="IWM69" s="4"/>
      <c r="IWN69" s="4"/>
      <c r="IWO69" s="4"/>
      <c r="IWP69" s="4"/>
      <c r="IWQ69" s="4"/>
      <c r="IWR69" s="4"/>
      <c r="IWS69" s="4"/>
      <c r="IWT69" s="4"/>
      <c r="IWU69" s="4"/>
      <c r="IWV69" s="4"/>
      <c r="IWW69" s="4"/>
      <c r="IWX69" s="4"/>
      <c r="IWY69" s="4"/>
      <c r="IWZ69" s="4"/>
      <c r="IXA69" s="4"/>
      <c r="IXB69" s="4"/>
      <c r="IXC69" s="4"/>
      <c r="IXD69" s="4"/>
      <c r="IXE69" s="4"/>
      <c r="IXF69" s="4"/>
      <c r="IXG69" s="4"/>
      <c r="IXH69" s="4"/>
      <c r="IXI69" s="4"/>
      <c r="IXJ69" s="4"/>
      <c r="IXK69" s="4"/>
      <c r="IXL69" s="4"/>
      <c r="IXM69" s="4"/>
      <c r="IXN69" s="4"/>
      <c r="IXO69" s="4"/>
      <c r="IXP69" s="4"/>
      <c r="IXQ69" s="4"/>
      <c r="IXR69" s="4"/>
      <c r="IXS69" s="4"/>
      <c r="IXT69" s="4"/>
      <c r="IXU69" s="4"/>
      <c r="IXV69" s="4"/>
      <c r="IXW69" s="4"/>
      <c r="IXX69" s="4"/>
      <c r="IXY69" s="4"/>
      <c r="IXZ69" s="4"/>
      <c r="IYA69" s="4"/>
      <c r="IYB69" s="4"/>
      <c r="IYC69" s="4"/>
      <c r="IYD69" s="4"/>
      <c r="IYE69" s="4"/>
      <c r="IYF69" s="4"/>
      <c r="IYG69" s="4"/>
      <c r="IYH69" s="4"/>
      <c r="IYI69" s="4"/>
      <c r="IYJ69" s="4"/>
      <c r="IYK69" s="4"/>
      <c r="IYL69" s="4"/>
      <c r="IYM69" s="4"/>
      <c r="IYN69" s="4"/>
      <c r="IYO69" s="4"/>
      <c r="IYP69" s="4"/>
      <c r="IYQ69" s="4"/>
      <c r="IYR69" s="4"/>
      <c r="IYS69" s="4"/>
      <c r="IYT69" s="4"/>
      <c r="IYU69" s="4"/>
      <c r="IYV69" s="4"/>
      <c r="IYW69" s="4"/>
      <c r="IYX69" s="4"/>
      <c r="IYY69" s="4"/>
      <c r="IYZ69" s="4"/>
      <c r="IZA69" s="4"/>
      <c r="IZB69" s="4"/>
      <c r="IZC69" s="4"/>
      <c r="IZD69" s="4"/>
      <c r="IZE69" s="4"/>
      <c r="IZF69" s="4"/>
      <c r="IZG69" s="4"/>
      <c r="IZH69" s="4"/>
      <c r="IZI69" s="4"/>
      <c r="IZJ69" s="4"/>
      <c r="IZK69" s="4"/>
      <c r="IZL69" s="4"/>
      <c r="IZM69" s="4"/>
      <c r="IZN69" s="4"/>
      <c r="IZO69" s="4"/>
      <c r="IZP69" s="4"/>
      <c r="IZQ69" s="4"/>
      <c r="IZR69" s="4"/>
      <c r="IZS69" s="4"/>
      <c r="IZT69" s="4"/>
      <c r="IZU69" s="4"/>
      <c r="IZV69" s="4"/>
      <c r="IZW69" s="4"/>
      <c r="IZX69" s="4"/>
      <c r="IZY69" s="4"/>
      <c r="IZZ69" s="4"/>
      <c r="JAA69" s="4"/>
      <c r="JAB69" s="4"/>
      <c r="JAC69" s="4"/>
      <c r="JAD69" s="4"/>
      <c r="JAE69" s="4"/>
      <c r="JAF69" s="4"/>
      <c r="JAG69" s="4"/>
      <c r="JAH69" s="4"/>
      <c r="JAI69" s="4"/>
      <c r="JAJ69" s="4"/>
      <c r="JAK69" s="4"/>
      <c r="JAL69" s="4"/>
      <c r="JAM69" s="4"/>
      <c r="JAN69" s="4"/>
      <c r="JAO69" s="4"/>
      <c r="JAP69" s="4"/>
      <c r="JAQ69" s="4"/>
      <c r="JAR69" s="4"/>
      <c r="JAS69" s="4"/>
      <c r="JAT69" s="4"/>
      <c r="JAU69" s="4"/>
      <c r="JAV69" s="4"/>
      <c r="JAW69" s="4"/>
      <c r="JAX69" s="4"/>
      <c r="JAY69" s="4"/>
      <c r="JAZ69" s="4"/>
      <c r="JBA69" s="4"/>
      <c r="JBB69" s="4"/>
      <c r="JBC69" s="4"/>
      <c r="JBD69" s="4"/>
      <c r="JBE69" s="4"/>
      <c r="JBF69" s="4"/>
      <c r="JBG69" s="4"/>
      <c r="JBH69" s="4"/>
      <c r="JBI69" s="4"/>
      <c r="JBJ69" s="4"/>
      <c r="JBK69" s="4"/>
      <c r="JBL69" s="4"/>
      <c r="JBM69" s="4"/>
      <c r="JBN69" s="4"/>
      <c r="JBO69" s="4"/>
      <c r="JBP69" s="4"/>
      <c r="JBQ69" s="4"/>
      <c r="JBR69" s="4"/>
      <c r="JBS69" s="4"/>
      <c r="JBT69" s="4"/>
      <c r="JBU69" s="4"/>
      <c r="JBV69" s="4"/>
      <c r="JBW69" s="4"/>
      <c r="JBX69" s="4"/>
      <c r="JBY69" s="4"/>
      <c r="JBZ69" s="4"/>
      <c r="JCA69" s="4"/>
      <c r="JCB69" s="4"/>
      <c r="JCC69" s="4"/>
      <c r="JCD69" s="4"/>
      <c r="JCE69" s="4"/>
      <c r="JCF69" s="4"/>
      <c r="JCG69" s="4"/>
      <c r="JCH69" s="4"/>
      <c r="JCI69" s="4"/>
      <c r="JCJ69" s="4"/>
      <c r="JCK69" s="4"/>
      <c r="JCL69" s="4"/>
      <c r="JCM69" s="4"/>
      <c r="JCN69" s="4"/>
      <c r="JCO69" s="4"/>
      <c r="JCP69" s="4"/>
      <c r="JCQ69" s="4"/>
      <c r="JCR69" s="4"/>
      <c r="JCS69" s="4"/>
      <c r="JCT69" s="4"/>
      <c r="JCU69" s="4"/>
      <c r="JCV69" s="4"/>
      <c r="JCW69" s="4"/>
      <c r="JCX69" s="4"/>
      <c r="JCY69" s="4"/>
      <c r="JCZ69" s="4"/>
      <c r="JDA69" s="4"/>
      <c r="JDB69" s="4"/>
      <c r="JDC69" s="4"/>
      <c r="JDD69" s="4"/>
      <c r="JDE69" s="4"/>
      <c r="JDF69" s="4"/>
      <c r="JDG69" s="4"/>
      <c r="JDH69" s="4"/>
      <c r="JDI69" s="4"/>
      <c r="JDJ69" s="4"/>
      <c r="JDK69" s="4"/>
      <c r="JDL69" s="4"/>
      <c r="JDM69" s="4"/>
      <c r="JDN69" s="4"/>
      <c r="JDO69" s="4"/>
      <c r="JDP69" s="4"/>
      <c r="JDQ69" s="4"/>
      <c r="JDR69" s="4"/>
      <c r="JDS69" s="4"/>
      <c r="JDT69" s="4"/>
      <c r="JDU69" s="4"/>
      <c r="JDV69" s="4"/>
      <c r="JDW69" s="4"/>
      <c r="JDX69" s="4"/>
      <c r="JDY69" s="4"/>
      <c r="JDZ69" s="4"/>
      <c r="JEA69" s="4"/>
      <c r="JEB69" s="4"/>
      <c r="JEC69" s="4"/>
      <c r="JED69" s="4"/>
      <c r="JEE69" s="4"/>
      <c r="JEF69" s="4"/>
      <c r="JEG69" s="4"/>
      <c r="JEH69" s="4"/>
      <c r="JEI69" s="4"/>
      <c r="JEJ69" s="4"/>
      <c r="JEK69" s="4"/>
      <c r="JEL69" s="4"/>
      <c r="JEM69" s="4"/>
      <c r="JEN69" s="4"/>
      <c r="JEO69" s="4"/>
      <c r="JEP69" s="4"/>
      <c r="JEQ69" s="4"/>
      <c r="JER69" s="4"/>
      <c r="JES69" s="4"/>
      <c r="JET69" s="4"/>
      <c r="JEU69" s="4"/>
      <c r="JEV69" s="4"/>
      <c r="JEW69" s="4"/>
      <c r="JEX69" s="4"/>
      <c r="JEY69" s="4"/>
      <c r="JEZ69" s="4"/>
      <c r="JFA69" s="4"/>
      <c r="JFB69" s="4"/>
      <c r="JFC69" s="4"/>
      <c r="JFD69" s="4"/>
      <c r="JFE69" s="4"/>
      <c r="JFF69" s="4"/>
      <c r="JFG69" s="4"/>
      <c r="JFH69" s="4"/>
      <c r="JFI69" s="4"/>
      <c r="JFJ69" s="4"/>
      <c r="JFK69" s="4"/>
      <c r="JFL69" s="4"/>
      <c r="JFM69" s="4"/>
      <c r="JFN69" s="4"/>
      <c r="JFO69" s="4"/>
      <c r="JFP69" s="4"/>
      <c r="JFQ69" s="4"/>
      <c r="JFR69" s="4"/>
      <c r="JFS69" s="4"/>
      <c r="JFT69" s="4"/>
      <c r="JFU69" s="4"/>
      <c r="JFV69" s="4"/>
      <c r="JFW69" s="4"/>
      <c r="JFX69" s="4"/>
      <c r="JFY69" s="4"/>
      <c r="JFZ69" s="4"/>
      <c r="JGA69" s="4"/>
      <c r="JGB69" s="4"/>
      <c r="JGC69" s="4"/>
      <c r="JGD69" s="4"/>
      <c r="JGE69" s="4"/>
      <c r="JGF69" s="4"/>
      <c r="JGG69" s="4"/>
      <c r="JGH69" s="4"/>
      <c r="JGI69" s="4"/>
      <c r="JGJ69" s="4"/>
      <c r="JGK69" s="4"/>
      <c r="JGL69" s="4"/>
      <c r="JGM69" s="4"/>
      <c r="JGN69" s="4"/>
      <c r="JGO69" s="4"/>
      <c r="JGP69" s="4"/>
      <c r="JGQ69" s="4"/>
      <c r="JGR69" s="4"/>
      <c r="JGS69" s="4"/>
      <c r="JGT69" s="4"/>
      <c r="JGU69" s="4"/>
      <c r="JGV69" s="4"/>
      <c r="JGW69" s="4"/>
      <c r="JGX69" s="4"/>
      <c r="JGY69" s="4"/>
      <c r="JGZ69" s="4"/>
      <c r="JHA69" s="4"/>
      <c r="JHB69" s="4"/>
      <c r="JHC69" s="4"/>
      <c r="JHD69" s="4"/>
      <c r="JHE69" s="4"/>
      <c r="JHF69" s="4"/>
      <c r="JHG69" s="4"/>
      <c r="JHH69" s="4"/>
      <c r="JHI69" s="4"/>
      <c r="JHJ69" s="4"/>
      <c r="JHK69" s="4"/>
      <c r="JHL69" s="4"/>
      <c r="JHM69" s="4"/>
      <c r="JHN69" s="4"/>
      <c r="JHO69" s="4"/>
      <c r="JHP69" s="4"/>
      <c r="JHQ69" s="4"/>
      <c r="JHR69" s="4"/>
      <c r="JHS69" s="4"/>
      <c r="JHT69" s="4"/>
      <c r="JHU69" s="4"/>
      <c r="JHV69" s="4"/>
      <c r="JHW69" s="4"/>
      <c r="JHX69" s="4"/>
      <c r="JHY69" s="4"/>
      <c r="JHZ69" s="4"/>
      <c r="JIA69" s="4"/>
      <c r="JIB69" s="4"/>
      <c r="JIC69" s="4"/>
      <c r="JID69" s="4"/>
      <c r="JIE69" s="4"/>
      <c r="JIF69" s="4"/>
      <c r="JIG69" s="4"/>
      <c r="JIH69" s="4"/>
      <c r="JII69" s="4"/>
      <c r="JIJ69" s="4"/>
      <c r="JIK69" s="4"/>
      <c r="JIL69" s="4"/>
      <c r="JIM69" s="4"/>
      <c r="JIN69" s="4"/>
      <c r="JIO69" s="4"/>
      <c r="JIP69" s="4"/>
      <c r="JIQ69" s="4"/>
      <c r="JIR69" s="4"/>
      <c r="JIS69" s="4"/>
      <c r="JIT69" s="4"/>
      <c r="JIU69" s="4"/>
      <c r="JIV69" s="4"/>
      <c r="JIW69" s="4"/>
      <c r="JIX69" s="4"/>
      <c r="JIY69" s="4"/>
      <c r="JIZ69" s="4"/>
      <c r="JJA69" s="4"/>
      <c r="JJB69" s="4"/>
      <c r="JJC69" s="4"/>
      <c r="JJD69" s="4"/>
      <c r="JJE69" s="4"/>
      <c r="JJF69" s="4"/>
      <c r="JJG69" s="4"/>
      <c r="JJH69" s="4"/>
      <c r="JJI69" s="4"/>
      <c r="JJJ69" s="4"/>
      <c r="JJK69" s="4"/>
      <c r="JJL69" s="4"/>
      <c r="JJM69" s="4"/>
      <c r="JJN69" s="4"/>
      <c r="JJO69" s="4"/>
      <c r="JJP69" s="4"/>
      <c r="JJQ69" s="4"/>
      <c r="JJR69" s="4"/>
      <c r="JJS69" s="4"/>
      <c r="JJT69" s="4"/>
      <c r="JJU69" s="4"/>
      <c r="JJV69" s="4"/>
      <c r="JJW69" s="4"/>
      <c r="JJX69" s="4"/>
      <c r="JJY69" s="4"/>
      <c r="JJZ69" s="4"/>
      <c r="JKA69" s="4"/>
      <c r="JKB69" s="4"/>
      <c r="JKC69" s="4"/>
      <c r="JKD69" s="4"/>
      <c r="JKE69" s="4"/>
      <c r="JKF69" s="4"/>
      <c r="JKG69" s="4"/>
      <c r="JKH69" s="4"/>
      <c r="JKI69" s="4"/>
      <c r="JKJ69" s="4"/>
      <c r="JKK69" s="4"/>
      <c r="JKL69" s="4"/>
      <c r="JKM69" s="4"/>
      <c r="JKN69" s="4"/>
      <c r="JKO69" s="4"/>
      <c r="JKP69" s="4"/>
      <c r="JKQ69" s="4"/>
      <c r="JKR69" s="4"/>
      <c r="JKS69" s="4"/>
      <c r="JKT69" s="4"/>
      <c r="JKU69" s="4"/>
      <c r="JKV69" s="4"/>
      <c r="JKW69" s="4"/>
      <c r="JKX69" s="4"/>
      <c r="JKY69" s="4"/>
      <c r="JKZ69" s="4"/>
      <c r="JLA69" s="4"/>
      <c r="JLB69" s="4"/>
      <c r="JLC69" s="4"/>
      <c r="JLD69" s="4"/>
      <c r="JLE69" s="4"/>
      <c r="JLF69" s="4"/>
      <c r="JLG69" s="4"/>
      <c r="JLH69" s="4"/>
      <c r="JLI69" s="4"/>
      <c r="JLJ69" s="4"/>
      <c r="JLK69" s="4"/>
      <c r="JLL69" s="4"/>
      <c r="JLM69" s="4"/>
      <c r="JLN69" s="4"/>
      <c r="JLO69" s="4"/>
      <c r="JLP69" s="4"/>
      <c r="JLQ69" s="4"/>
      <c r="JLR69" s="4"/>
      <c r="JLS69" s="4"/>
      <c r="JLT69" s="4"/>
      <c r="JLU69" s="4"/>
      <c r="JLV69" s="4"/>
      <c r="JLW69" s="4"/>
      <c r="JLX69" s="4"/>
      <c r="JLY69" s="4"/>
      <c r="JLZ69" s="4"/>
      <c r="JMA69" s="4"/>
      <c r="JMB69" s="4"/>
      <c r="JMC69" s="4"/>
      <c r="JMD69" s="4"/>
      <c r="JME69" s="4"/>
      <c r="JMF69" s="4"/>
      <c r="JMG69" s="4"/>
      <c r="JMH69" s="4"/>
      <c r="JMI69" s="4"/>
      <c r="JMJ69" s="4"/>
      <c r="JMK69" s="4"/>
      <c r="JML69" s="4"/>
      <c r="JMM69" s="4"/>
      <c r="JMN69" s="4"/>
      <c r="JMO69" s="4"/>
      <c r="JMP69" s="4"/>
      <c r="JMQ69" s="4"/>
      <c r="JMR69" s="4"/>
      <c r="JMS69" s="4"/>
      <c r="JMT69" s="4"/>
      <c r="JMU69" s="4"/>
      <c r="JMV69" s="4"/>
      <c r="JMW69" s="4"/>
      <c r="JMX69" s="4"/>
      <c r="JMY69" s="4"/>
      <c r="JMZ69" s="4"/>
      <c r="JNA69" s="4"/>
      <c r="JNB69" s="4"/>
      <c r="JNC69" s="4"/>
      <c r="JND69" s="4"/>
      <c r="JNE69" s="4"/>
      <c r="JNF69" s="4"/>
      <c r="JNG69" s="4"/>
      <c r="JNH69" s="4"/>
      <c r="JNI69" s="4"/>
      <c r="JNJ69" s="4"/>
      <c r="JNK69" s="4"/>
      <c r="JNL69" s="4"/>
      <c r="JNM69" s="4"/>
      <c r="JNN69" s="4"/>
      <c r="JNO69" s="4"/>
      <c r="JNP69" s="4"/>
      <c r="JNQ69" s="4"/>
      <c r="JNR69" s="4"/>
      <c r="JNS69" s="4"/>
      <c r="JNT69" s="4"/>
      <c r="JNU69" s="4"/>
      <c r="JNV69" s="4"/>
      <c r="JNW69" s="4"/>
      <c r="JNX69" s="4"/>
      <c r="JNY69" s="4"/>
      <c r="JNZ69" s="4"/>
      <c r="JOA69" s="4"/>
      <c r="JOB69" s="4"/>
      <c r="JOC69" s="4"/>
      <c r="JOD69" s="4"/>
      <c r="JOE69" s="4"/>
      <c r="JOF69" s="4"/>
      <c r="JOG69" s="4"/>
      <c r="JOH69" s="4"/>
      <c r="JOI69" s="4"/>
      <c r="JOJ69" s="4"/>
      <c r="JOK69" s="4"/>
      <c r="JOL69" s="4"/>
      <c r="JOM69" s="4"/>
      <c r="JON69" s="4"/>
      <c r="JOO69" s="4"/>
      <c r="JOP69" s="4"/>
      <c r="JOQ69" s="4"/>
      <c r="JOR69" s="4"/>
      <c r="JOS69" s="4"/>
      <c r="JOT69" s="4"/>
      <c r="JOU69" s="4"/>
      <c r="JOV69" s="4"/>
      <c r="JOW69" s="4"/>
      <c r="JOX69" s="4"/>
      <c r="JOY69" s="4"/>
      <c r="JOZ69" s="4"/>
      <c r="JPA69" s="4"/>
      <c r="JPB69" s="4"/>
      <c r="JPC69" s="4"/>
      <c r="JPD69" s="4"/>
      <c r="JPE69" s="4"/>
      <c r="JPF69" s="4"/>
      <c r="JPG69" s="4"/>
      <c r="JPH69" s="4"/>
      <c r="JPI69" s="4"/>
      <c r="JPJ69" s="4"/>
      <c r="JPK69" s="4"/>
      <c r="JPL69" s="4"/>
      <c r="JPM69" s="4"/>
      <c r="JPN69" s="4"/>
      <c r="JPO69" s="4"/>
      <c r="JPP69" s="4"/>
      <c r="JPQ69" s="4"/>
      <c r="JPR69" s="4"/>
      <c r="JPS69" s="4"/>
      <c r="JPT69" s="4"/>
      <c r="JPU69" s="4"/>
      <c r="JPV69" s="4"/>
      <c r="JPW69" s="4"/>
      <c r="JPX69" s="4"/>
      <c r="JPY69" s="4"/>
      <c r="JPZ69" s="4"/>
      <c r="JQA69" s="4"/>
      <c r="JQB69" s="4"/>
      <c r="JQC69" s="4"/>
      <c r="JQD69" s="4"/>
      <c r="JQE69" s="4"/>
      <c r="JQF69" s="4"/>
      <c r="JQG69" s="4"/>
      <c r="JQH69" s="4"/>
      <c r="JQI69" s="4"/>
      <c r="JQJ69" s="4"/>
      <c r="JQK69" s="4"/>
      <c r="JQL69" s="4"/>
      <c r="JQM69" s="4"/>
      <c r="JQN69" s="4"/>
      <c r="JQO69" s="4"/>
      <c r="JQP69" s="4"/>
      <c r="JQQ69" s="4"/>
      <c r="JQR69" s="4"/>
      <c r="JQS69" s="4"/>
      <c r="JQT69" s="4"/>
      <c r="JQU69" s="4"/>
      <c r="JQV69" s="4"/>
      <c r="JQW69" s="4"/>
      <c r="JQX69" s="4"/>
      <c r="JQY69" s="4"/>
      <c r="JQZ69" s="4"/>
      <c r="JRA69" s="4"/>
      <c r="JRB69" s="4"/>
      <c r="JRC69" s="4"/>
      <c r="JRD69" s="4"/>
      <c r="JRE69" s="4"/>
      <c r="JRF69" s="4"/>
      <c r="JRG69" s="4"/>
      <c r="JRH69" s="4"/>
      <c r="JRI69" s="4"/>
      <c r="JRJ69" s="4"/>
      <c r="JRK69" s="4"/>
      <c r="JRL69" s="4"/>
      <c r="JRM69" s="4"/>
      <c r="JRN69" s="4"/>
      <c r="JRO69" s="4"/>
      <c r="JRP69" s="4"/>
      <c r="JRQ69" s="4"/>
      <c r="JRR69" s="4"/>
      <c r="JRS69" s="4"/>
      <c r="JRT69" s="4"/>
      <c r="JRU69" s="4"/>
      <c r="JRV69" s="4"/>
      <c r="JRW69" s="4"/>
      <c r="JRX69" s="4"/>
      <c r="JRY69" s="4"/>
      <c r="JRZ69" s="4"/>
      <c r="JSA69" s="4"/>
      <c r="JSB69" s="4"/>
      <c r="JSC69" s="4"/>
      <c r="JSD69" s="4"/>
      <c r="JSE69" s="4"/>
      <c r="JSF69" s="4"/>
      <c r="JSG69" s="4"/>
      <c r="JSH69" s="4"/>
      <c r="JSI69" s="4"/>
      <c r="JSJ69" s="4"/>
      <c r="JSK69" s="4"/>
      <c r="JSL69" s="4"/>
      <c r="JSM69" s="4"/>
      <c r="JSN69" s="4"/>
      <c r="JSO69" s="4"/>
      <c r="JSP69" s="4"/>
      <c r="JSQ69" s="4"/>
      <c r="JSR69" s="4"/>
      <c r="JSS69" s="4"/>
      <c r="JST69" s="4"/>
      <c r="JSU69" s="4"/>
      <c r="JSV69" s="4"/>
      <c r="JSW69" s="4"/>
      <c r="JSX69" s="4"/>
      <c r="JSY69" s="4"/>
      <c r="JSZ69" s="4"/>
      <c r="JTA69" s="4"/>
      <c r="JTB69" s="4"/>
      <c r="JTC69" s="4"/>
      <c r="JTD69" s="4"/>
      <c r="JTE69" s="4"/>
      <c r="JTF69" s="4"/>
      <c r="JTG69" s="4"/>
      <c r="JTH69" s="4"/>
      <c r="JTI69" s="4"/>
      <c r="JTJ69" s="4"/>
      <c r="JTK69" s="4"/>
      <c r="JTL69" s="4"/>
      <c r="JTM69" s="4"/>
      <c r="JTN69" s="4"/>
      <c r="JTO69" s="4"/>
      <c r="JTP69" s="4"/>
      <c r="JTQ69" s="4"/>
      <c r="JTR69" s="4"/>
      <c r="JTS69" s="4"/>
      <c r="JTT69" s="4"/>
      <c r="JTU69" s="4"/>
      <c r="JTV69" s="4"/>
      <c r="JTW69" s="4"/>
      <c r="JTX69" s="4"/>
      <c r="JTY69" s="4"/>
      <c r="JTZ69" s="4"/>
      <c r="JUA69" s="4"/>
      <c r="JUB69" s="4"/>
      <c r="JUC69" s="4"/>
      <c r="JUD69" s="4"/>
      <c r="JUE69" s="4"/>
      <c r="JUF69" s="4"/>
      <c r="JUG69" s="4"/>
      <c r="JUH69" s="4"/>
      <c r="JUI69" s="4"/>
      <c r="JUJ69" s="4"/>
      <c r="JUK69" s="4"/>
      <c r="JUL69" s="4"/>
      <c r="JUM69" s="4"/>
      <c r="JUN69" s="4"/>
      <c r="JUO69" s="4"/>
      <c r="JUP69" s="4"/>
      <c r="JUQ69" s="4"/>
      <c r="JUR69" s="4"/>
      <c r="JUS69" s="4"/>
      <c r="JUT69" s="4"/>
      <c r="JUU69" s="4"/>
      <c r="JUV69" s="4"/>
      <c r="JUW69" s="4"/>
      <c r="JUX69" s="4"/>
      <c r="JUY69" s="4"/>
      <c r="JUZ69" s="4"/>
      <c r="JVA69" s="4"/>
      <c r="JVB69" s="4"/>
      <c r="JVC69" s="4"/>
      <c r="JVD69" s="4"/>
      <c r="JVE69" s="4"/>
      <c r="JVF69" s="4"/>
      <c r="JVG69" s="4"/>
      <c r="JVH69" s="4"/>
      <c r="JVI69" s="4"/>
      <c r="JVJ69" s="4"/>
      <c r="JVK69" s="4"/>
      <c r="JVL69" s="4"/>
      <c r="JVM69" s="4"/>
      <c r="JVN69" s="4"/>
      <c r="JVO69" s="4"/>
      <c r="JVP69" s="4"/>
      <c r="JVQ69" s="4"/>
      <c r="JVR69" s="4"/>
      <c r="JVS69" s="4"/>
      <c r="JVT69" s="4"/>
      <c r="JVU69" s="4"/>
      <c r="JVV69" s="4"/>
      <c r="JVW69" s="4"/>
      <c r="JVX69" s="4"/>
      <c r="JVY69" s="4"/>
      <c r="JVZ69" s="4"/>
      <c r="JWA69" s="4"/>
      <c r="JWB69" s="4"/>
      <c r="JWC69" s="4"/>
      <c r="JWD69" s="4"/>
      <c r="JWE69" s="4"/>
      <c r="JWF69" s="4"/>
      <c r="JWG69" s="4"/>
      <c r="JWH69" s="4"/>
      <c r="JWI69" s="4"/>
      <c r="JWJ69" s="4"/>
      <c r="JWK69" s="4"/>
      <c r="JWL69" s="4"/>
      <c r="JWM69" s="4"/>
      <c r="JWN69" s="4"/>
      <c r="JWO69" s="4"/>
      <c r="JWP69" s="4"/>
      <c r="JWQ69" s="4"/>
      <c r="JWR69" s="4"/>
      <c r="JWS69" s="4"/>
      <c r="JWT69" s="4"/>
      <c r="JWU69" s="4"/>
      <c r="JWV69" s="4"/>
      <c r="JWW69" s="4"/>
      <c r="JWX69" s="4"/>
      <c r="JWY69" s="4"/>
      <c r="JWZ69" s="4"/>
      <c r="JXA69" s="4"/>
      <c r="JXB69" s="4"/>
      <c r="JXC69" s="4"/>
      <c r="JXD69" s="4"/>
      <c r="JXE69" s="4"/>
      <c r="JXF69" s="4"/>
      <c r="JXG69" s="4"/>
      <c r="JXH69" s="4"/>
      <c r="JXI69" s="4"/>
      <c r="JXJ69" s="4"/>
      <c r="JXK69" s="4"/>
      <c r="JXL69" s="4"/>
      <c r="JXM69" s="4"/>
      <c r="JXN69" s="4"/>
      <c r="JXO69" s="4"/>
      <c r="JXP69" s="4"/>
      <c r="JXQ69" s="4"/>
      <c r="JXR69" s="4"/>
      <c r="JXS69" s="4"/>
      <c r="JXT69" s="4"/>
      <c r="JXU69" s="4"/>
      <c r="JXV69" s="4"/>
      <c r="JXW69" s="4"/>
      <c r="JXX69" s="4"/>
      <c r="JXY69" s="4"/>
      <c r="JXZ69" s="4"/>
      <c r="JYA69" s="4"/>
      <c r="JYB69" s="4"/>
      <c r="JYC69" s="4"/>
      <c r="JYD69" s="4"/>
      <c r="JYE69" s="4"/>
      <c r="JYF69" s="4"/>
      <c r="JYG69" s="4"/>
      <c r="JYH69" s="4"/>
      <c r="JYI69" s="4"/>
      <c r="JYJ69" s="4"/>
      <c r="JYK69" s="4"/>
      <c r="JYL69" s="4"/>
      <c r="JYM69" s="4"/>
      <c r="JYN69" s="4"/>
      <c r="JYO69" s="4"/>
      <c r="JYP69" s="4"/>
      <c r="JYQ69" s="4"/>
      <c r="JYR69" s="4"/>
      <c r="JYS69" s="4"/>
      <c r="JYT69" s="4"/>
      <c r="JYU69" s="4"/>
      <c r="JYV69" s="4"/>
      <c r="JYW69" s="4"/>
      <c r="JYX69" s="4"/>
      <c r="JYY69" s="4"/>
      <c r="JYZ69" s="4"/>
      <c r="JZA69" s="4"/>
      <c r="JZB69" s="4"/>
      <c r="JZC69" s="4"/>
      <c r="JZD69" s="4"/>
      <c r="JZE69" s="4"/>
      <c r="JZF69" s="4"/>
      <c r="JZG69" s="4"/>
      <c r="JZH69" s="4"/>
      <c r="JZI69" s="4"/>
      <c r="JZJ69" s="4"/>
      <c r="JZK69" s="4"/>
      <c r="JZL69" s="4"/>
      <c r="JZM69" s="4"/>
      <c r="JZN69" s="4"/>
      <c r="JZO69" s="4"/>
      <c r="JZP69" s="4"/>
      <c r="JZQ69" s="4"/>
      <c r="JZR69" s="4"/>
      <c r="JZS69" s="4"/>
      <c r="JZT69" s="4"/>
      <c r="JZU69" s="4"/>
      <c r="JZV69" s="4"/>
      <c r="JZW69" s="4"/>
      <c r="JZX69" s="4"/>
      <c r="JZY69" s="4"/>
      <c r="JZZ69" s="4"/>
      <c r="KAA69" s="4"/>
      <c r="KAB69" s="4"/>
      <c r="KAC69" s="4"/>
      <c r="KAD69" s="4"/>
      <c r="KAE69" s="4"/>
      <c r="KAF69" s="4"/>
      <c r="KAG69" s="4"/>
      <c r="KAH69" s="4"/>
      <c r="KAI69" s="4"/>
      <c r="KAJ69" s="4"/>
      <c r="KAK69" s="4"/>
      <c r="KAL69" s="4"/>
      <c r="KAM69" s="4"/>
      <c r="KAN69" s="4"/>
      <c r="KAO69" s="4"/>
      <c r="KAP69" s="4"/>
      <c r="KAQ69" s="4"/>
      <c r="KAR69" s="4"/>
      <c r="KAS69" s="4"/>
      <c r="KAT69" s="4"/>
      <c r="KAU69" s="4"/>
      <c r="KAV69" s="4"/>
      <c r="KAW69" s="4"/>
      <c r="KAX69" s="4"/>
      <c r="KAY69" s="4"/>
      <c r="KAZ69" s="4"/>
      <c r="KBA69" s="4"/>
      <c r="KBB69" s="4"/>
      <c r="KBC69" s="4"/>
      <c r="KBD69" s="4"/>
      <c r="KBE69" s="4"/>
      <c r="KBF69" s="4"/>
      <c r="KBG69" s="4"/>
      <c r="KBH69" s="4"/>
      <c r="KBI69" s="4"/>
      <c r="KBJ69" s="4"/>
      <c r="KBK69" s="4"/>
      <c r="KBL69" s="4"/>
      <c r="KBM69" s="4"/>
      <c r="KBN69" s="4"/>
      <c r="KBO69" s="4"/>
      <c r="KBP69" s="4"/>
      <c r="KBQ69" s="4"/>
      <c r="KBR69" s="4"/>
      <c r="KBS69" s="4"/>
      <c r="KBT69" s="4"/>
      <c r="KBU69" s="4"/>
      <c r="KBV69" s="4"/>
      <c r="KBW69" s="4"/>
      <c r="KBX69" s="4"/>
      <c r="KBY69" s="4"/>
      <c r="KBZ69" s="4"/>
      <c r="KCA69" s="4"/>
      <c r="KCB69" s="4"/>
      <c r="KCC69" s="4"/>
      <c r="KCD69" s="4"/>
      <c r="KCE69" s="4"/>
      <c r="KCF69" s="4"/>
      <c r="KCG69" s="4"/>
      <c r="KCH69" s="4"/>
      <c r="KCI69" s="4"/>
      <c r="KCJ69" s="4"/>
      <c r="KCK69" s="4"/>
      <c r="KCL69" s="4"/>
      <c r="KCM69" s="4"/>
      <c r="KCN69" s="4"/>
      <c r="KCO69" s="4"/>
      <c r="KCP69" s="4"/>
      <c r="KCQ69" s="4"/>
      <c r="KCR69" s="4"/>
      <c r="KCS69" s="4"/>
      <c r="KCT69" s="4"/>
      <c r="KCU69" s="4"/>
      <c r="KCV69" s="4"/>
      <c r="KCW69" s="4"/>
      <c r="KCX69" s="4"/>
      <c r="KCY69" s="4"/>
      <c r="KCZ69" s="4"/>
      <c r="KDA69" s="4"/>
      <c r="KDB69" s="4"/>
      <c r="KDC69" s="4"/>
      <c r="KDD69" s="4"/>
      <c r="KDE69" s="4"/>
      <c r="KDF69" s="4"/>
      <c r="KDG69" s="4"/>
      <c r="KDH69" s="4"/>
      <c r="KDI69" s="4"/>
      <c r="KDJ69" s="4"/>
      <c r="KDK69" s="4"/>
      <c r="KDL69" s="4"/>
      <c r="KDM69" s="4"/>
      <c r="KDN69" s="4"/>
      <c r="KDO69" s="4"/>
      <c r="KDP69" s="4"/>
      <c r="KDQ69" s="4"/>
      <c r="KDR69" s="4"/>
      <c r="KDS69" s="4"/>
      <c r="KDT69" s="4"/>
      <c r="KDU69" s="4"/>
      <c r="KDV69" s="4"/>
      <c r="KDW69" s="4"/>
      <c r="KDX69" s="4"/>
      <c r="KDY69" s="4"/>
      <c r="KDZ69" s="4"/>
      <c r="KEA69" s="4"/>
      <c r="KEB69" s="4"/>
      <c r="KEC69" s="4"/>
      <c r="KED69" s="4"/>
      <c r="KEE69" s="4"/>
      <c r="KEF69" s="4"/>
      <c r="KEG69" s="4"/>
      <c r="KEH69" s="4"/>
      <c r="KEI69" s="4"/>
      <c r="KEJ69" s="4"/>
      <c r="KEK69" s="4"/>
      <c r="KEL69" s="4"/>
      <c r="KEM69" s="4"/>
      <c r="KEN69" s="4"/>
      <c r="KEO69" s="4"/>
      <c r="KEP69" s="4"/>
      <c r="KEQ69" s="4"/>
      <c r="KER69" s="4"/>
      <c r="KES69" s="4"/>
      <c r="KET69" s="4"/>
      <c r="KEU69" s="4"/>
      <c r="KEV69" s="4"/>
      <c r="KEW69" s="4"/>
      <c r="KEX69" s="4"/>
      <c r="KEY69" s="4"/>
      <c r="KEZ69" s="4"/>
      <c r="KFA69" s="4"/>
      <c r="KFB69" s="4"/>
      <c r="KFC69" s="4"/>
      <c r="KFD69" s="4"/>
      <c r="KFE69" s="4"/>
      <c r="KFF69" s="4"/>
      <c r="KFG69" s="4"/>
      <c r="KFH69" s="4"/>
      <c r="KFI69" s="4"/>
      <c r="KFJ69" s="4"/>
      <c r="KFK69" s="4"/>
      <c r="KFL69" s="4"/>
      <c r="KFM69" s="4"/>
      <c r="KFN69" s="4"/>
      <c r="KFO69" s="4"/>
      <c r="KFP69" s="4"/>
      <c r="KFQ69" s="4"/>
      <c r="KFR69" s="4"/>
      <c r="KFS69" s="4"/>
      <c r="KFT69" s="4"/>
      <c r="KFU69" s="4"/>
      <c r="KFV69" s="4"/>
      <c r="KFW69" s="4"/>
      <c r="KFX69" s="4"/>
      <c r="KFY69" s="4"/>
      <c r="KFZ69" s="4"/>
      <c r="KGA69" s="4"/>
      <c r="KGB69" s="4"/>
      <c r="KGC69" s="4"/>
      <c r="KGD69" s="4"/>
      <c r="KGE69" s="4"/>
      <c r="KGF69" s="4"/>
      <c r="KGG69" s="4"/>
      <c r="KGH69" s="4"/>
      <c r="KGI69" s="4"/>
      <c r="KGJ69" s="4"/>
      <c r="KGK69" s="4"/>
      <c r="KGL69" s="4"/>
      <c r="KGM69" s="4"/>
      <c r="KGN69" s="4"/>
      <c r="KGO69" s="4"/>
      <c r="KGP69" s="4"/>
      <c r="KGQ69" s="4"/>
      <c r="KGR69" s="4"/>
      <c r="KGS69" s="4"/>
      <c r="KGT69" s="4"/>
      <c r="KGU69" s="4"/>
      <c r="KGV69" s="4"/>
      <c r="KGW69" s="4"/>
      <c r="KGX69" s="4"/>
      <c r="KGY69" s="4"/>
      <c r="KGZ69" s="4"/>
      <c r="KHA69" s="4"/>
      <c r="KHB69" s="4"/>
      <c r="KHC69" s="4"/>
      <c r="KHD69" s="4"/>
      <c r="KHE69" s="4"/>
      <c r="KHF69" s="4"/>
      <c r="KHG69" s="4"/>
      <c r="KHH69" s="4"/>
      <c r="KHI69" s="4"/>
      <c r="KHJ69" s="4"/>
      <c r="KHK69" s="4"/>
      <c r="KHL69" s="4"/>
      <c r="KHM69" s="4"/>
      <c r="KHN69" s="4"/>
      <c r="KHO69" s="4"/>
      <c r="KHP69" s="4"/>
      <c r="KHQ69" s="4"/>
      <c r="KHR69" s="4"/>
      <c r="KHS69" s="4"/>
      <c r="KHT69" s="4"/>
      <c r="KHU69" s="4"/>
      <c r="KHV69" s="4"/>
      <c r="KHW69" s="4"/>
      <c r="KHX69" s="4"/>
      <c r="KHY69" s="4"/>
      <c r="KHZ69" s="4"/>
      <c r="KIA69" s="4"/>
      <c r="KIB69" s="4"/>
      <c r="KIC69" s="4"/>
      <c r="KID69" s="4"/>
      <c r="KIE69" s="4"/>
      <c r="KIF69" s="4"/>
      <c r="KIG69" s="4"/>
      <c r="KIH69" s="4"/>
      <c r="KII69" s="4"/>
      <c r="KIJ69" s="4"/>
      <c r="KIK69" s="4"/>
      <c r="KIL69" s="4"/>
      <c r="KIM69" s="4"/>
      <c r="KIN69" s="4"/>
      <c r="KIO69" s="4"/>
      <c r="KIP69" s="4"/>
      <c r="KIQ69" s="4"/>
      <c r="KIR69" s="4"/>
      <c r="KIS69" s="4"/>
      <c r="KIT69" s="4"/>
      <c r="KIU69" s="4"/>
      <c r="KIV69" s="4"/>
      <c r="KIW69" s="4"/>
      <c r="KIX69" s="4"/>
      <c r="KIY69" s="4"/>
      <c r="KIZ69" s="4"/>
      <c r="KJA69" s="4"/>
      <c r="KJB69" s="4"/>
      <c r="KJC69" s="4"/>
      <c r="KJD69" s="4"/>
      <c r="KJE69" s="4"/>
      <c r="KJF69" s="4"/>
      <c r="KJG69" s="4"/>
      <c r="KJH69" s="4"/>
      <c r="KJI69" s="4"/>
      <c r="KJJ69" s="4"/>
      <c r="KJK69" s="4"/>
      <c r="KJL69" s="4"/>
      <c r="KJM69" s="4"/>
      <c r="KJN69" s="4"/>
      <c r="KJO69" s="4"/>
      <c r="KJP69" s="4"/>
      <c r="KJQ69" s="4"/>
      <c r="KJR69" s="4"/>
      <c r="KJS69" s="4"/>
      <c r="KJT69" s="4"/>
      <c r="KJU69" s="4"/>
      <c r="KJV69" s="4"/>
      <c r="KJW69" s="4"/>
      <c r="KJX69" s="4"/>
      <c r="KJY69" s="4"/>
      <c r="KJZ69" s="4"/>
      <c r="KKA69" s="4"/>
      <c r="KKB69" s="4"/>
      <c r="KKC69" s="4"/>
      <c r="KKD69" s="4"/>
      <c r="KKE69" s="4"/>
      <c r="KKF69" s="4"/>
      <c r="KKG69" s="4"/>
      <c r="KKH69" s="4"/>
      <c r="KKI69" s="4"/>
      <c r="KKJ69" s="4"/>
      <c r="KKK69" s="4"/>
      <c r="KKL69" s="4"/>
      <c r="KKM69" s="4"/>
      <c r="KKN69" s="4"/>
      <c r="KKO69" s="4"/>
      <c r="KKP69" s="4"/>
      <c r="KKQ69" s="4"/>
      <c r="KKR69" s="4"/>
      <c r="KKS69" s="4"/>
      <c r="KKT69" s="4"/>
      <c r="KKU69" s="4"/>
      <c r="KKV69" s="4"/>
      <c r="KKW69" s="4"/>
      <c r="KKX69" s="4"/>
      <c r="KKY69" s="4"/>
      <c r="KKZ69" s="4"/>
      <c r="KLA69" s="4"/>
      <c r="KLB69" s="4"/>
      <c r="KLC69" s="4"/>
      <c r="KLD69" s="4"/>
      <c r="KLE69" s="4"/>
      <c r="KLF69" s="4"/>
      <c r="KLG69" s="4"/>
      <c r="KLH69" s="4"/>
      <c r="KLI69" s="4"/>
      <c r="KLJ69" s="4"/>
      <c r="KLK69" s="4"/>
      <c r="KLL69" s="4"/>
      <c r="KLM69" s="4"/>
      <c r="KLN69" s="4"/>
      <c r="KLO69" s="4"/>
      <c r="KLP69" s="4"/>
      <c r="KLQ69" s="4"/>
      <c r="KLR69" s="4"/>
      <c r="KLS69" s="4"/>
      <c r="KLT69" s="4"/>
      <c r="KLU69" s="4"/>
      <c r="KLV69" s="4"/>
      <c r="KLW69" s="4"/>
      <c r="KLX69" s="4"/>
      <c r="KLY69" s="4"/>
      <c r="KLZ69" s="4"/>
      <c r="KMA69" s="4"/>
      <c r="KMB69" s="4"/>
      <c r="KMC69" s="4"/>
      <c r="KMD69" s="4"/>
      <c r="KME69" s="4"/>
      <c r="KMF69" s="4"/>
      <c r="KMG69" s="4"/>
      <c r="KMH69" s="4"/>
      <c r="KMI69" s="4"/>
      <c r="KMJ69" s="4"/>
      <c r="KMK69" s="4"/>
      <c r="KML69" s="4"/>
      <c r="KMM69" s="4"/>
      <c r="KMN69" s="4"/>
      <c r="KMO69" s="4"/>
      <c r="KMP69" s="4"/>
      <c r="KMQ69" s="4"/>
      <c r="KMR69" s="4"/>
      <c r="KMS69" s="4"/>
      <c r="KMT69" s="4"/>
      <c r="KMU69" s="4"/>
      <c r="KMV69" s="4"/>
      <c r="KMW69" s="4"/>
      <c r="KMX69" s="4"/>
      <c r="KMY69" s="4"/>
      <c r="KMZ69" s="4"/>
      <c r="KNA69" s="4"/>
      <c r="KNB69" s="4"/>
      <c r="KNC69" s="4"/>
      <c r="KND69" s="4"/>
      <c r="KNE69" s="4"/>
      <c r="KNF69" s="4"/>
      <c r="KNG69" s="4"/>
      <c r="KNH69" s="4"/>
      <c r="KNI69" s="4"/>
      <c r="KNJ69" s="4"/>
      <c r="KNK69" s="4"/>
      <c r="KNL69" s="4"/>
      <c r="KNM69" s="4"/>
      <c r="KNN69" s="4"/>
      <c r="KNO69" s="4"/>
      <c r="KNP69" s="4"/>
      <c r="KNQ69" s="4"/>
      <c r="KNR69" s="4"/>
      <c r="KNS69" s="4"/>
      <c r="KNT69" s="4"/>
      <c r="KNU69" s="4"/>
      <c r="KNV69" s="4"/>
      <c r="KNW69" s="4"/>
      <c r="KNX69" s="4"/>
      <c r="KNY69" s="4"/>
      <c r="KNZ69" s="4"/>
      <c r="KOA69" s="4"/>
      <c r="KOB69" s="4"/>
      <c r="KOC69" s="4"/>
      <c r="KOD69" s="4"/>
      <c r="KOE69" s="4"/>
      <c r="KOF69" s="4"/>
      <c r="KOG69" s="4"/>
      <c r="KOH69" s="4"/>
      <c r="KOI69" s="4"/>
      <c r="KOJ69" s="4"/>
      <c r="KOK69" s="4"/>
      <c r="KOL69" s="4"/>
      <c r="KOM69" s="4"/>
      <c r="KON69" s="4"/>
      <c r="KOO69" s="4"/>
      <c r="KOP69" s="4"/>
      <c r="KOQ69" s="4"/>
      <c r="KOR69" s="4"/>
      <c r="KOS69" s="4"/>
      <c r="KOT69" s="4"/>
      <c r="KOU69" s="4"/>
      <c r="KOV69" s="4"/>
      <c r="KOW69" s="4"/>
      <c r="KOX69" s="4"/>
      <c r="KOY69" s="4"/>
      <c r="KOZ69" s="4"/>
      <c r="KPA69" s="4"/>
      <c r="KPB69" s="4"/>
      <c r="KPC69" s="4"/>
      <c r="KPD69" s="4"/>
      <c r="KPE69" s="4"/>
      <c r="KPF69" s="4"/>
      <c r="KPG69" s="4"/>
      <c r="KPH69" s="4"/>
      <c r="KPI69" s="4"/>
      <c r="KPJ69" s="4"/>
      <c r="KPK69" s="4"/>
      <c r="KPL69" s="4"/>
      <c r="KPM69" s="4"/>
      <c r="KPN69" s="4"/>
      <c r="KPO69" s="4"/>
      <c r="KPP69" s="4"/>
      <c r="KPQ69" s="4"/>
      <c r="KPR69" s="4"/>
      <c r="KPS69" s="4"/>
      <c r="KPT69" s="4"/>
      <c r="KPU69" s="4"/>
      <c r="KPV69" s="4"/>
      <c r="KPW69" s="4"/>
      <c r="KPX69" s="4"/>
      <c r="KPY69" s="4"/>
      <c r="KPZ69" s="4"/>
      <c r="KQA69" s="4"/>
      <c r="KQB69" s="4"/>
      <c r="KQC69" s="4"/>
      <c r="KQD69" s="4"/>
      <c r="KQE69" s="4"/>
      <c r="KQF69" s="4"/>
      <c r="KQG69" s="4"/>
      <c r="KQH69" s="4"/>
      <c r="KQI69" s="4"/>
      <c r="KQJ69" s="4"/>
      <c r="KQK69" s="4"/>
      <c r="KQL69" s="4"/>
      <c r="KQM69" s="4"/>
      <c r="KQN69" s="4"/>
      <c r="KQO69" s="4"/>
      <c r="KQP69" s="4"/>
      <c r="KQQ69" s="4"/>
      <c r="KQR69" s="4"/>
      <c r="KQS69" s="4"/>
      <c r="KQT69" s="4"/>
      <c r="KQU69" s="4"/>
      <c r="KQV69" s="4"/>
      <c r="KQW69" s="4"/>
      <c r="KQX69" s="4"/>
      <c r="KQY69" s="4"/>
      <c r="KQZ69" s="4"/>
      <c r="KRA69" s="4"/>
      <c r="KRB69" s="4"/>
      <c r="KRC69" s="4"/>
      <c r="KRD69" s="4"/>
      <c r="KRE69" s="4"/>
      <c r="KRF69" s="4"/>
      <c r="KRG69" s="4"/>
      <c r="KRH69" s="4"/>
      <c r="KRI69" s="4"/>
      <c r="KRJ69" s="4"/>
      <c r="KRK69" s="4"/>
      <c r="KRL69" s="4"/>
      <c r="KRM69" s="4"/>
      <c r="KRN69" s="4"/>
      <c r="KRO69" s="4"/>
      <c r="KRP69" s="4"/>
      <c r="KRQ69" s="4"/>
      <c r="KRR69" s="4"/>
      <c r="KRS69" s="4"/>
      <c r="KRT69" s="4"/>
      <c r="KRU69" s="4"/>
      <c r="KRV69" s="4"/>
      <c r="KRW69" s="4"/>
      <c r="KRX69" s="4"/>
      <c r="KRY69" s="4"/>
      <c r="KRZ69" s="4"/>
      <c r="KSA69" s="4"/>
      <c r="KSB69" s="4"/>
      <c r="KSC69" s="4"/>
      <c r="KSD69" s="4"/>
      <c r="KSE69" s="4"/>
      <c r="KSF69" s="4"/>
      <c r="KSG69" s="4"/>
      <c r="KSH69" s="4"/>
      <c r="KSI69" s="4"/>
      <c r="KSJ69" s="4"/>
      <c r="KSK69" s="4"/>
      <c r="KSL69" s="4"/>
      <c r="KSM69" s="4"/>
      <c r="KSN69" s="4"/>
      <c r="KSO69" s="4"/>
      <c r="KSP69" s="4"/>
      <c r="KSQ69" s="4"/>
      <c r="KSR69" s="4"/>
      <c r="KSS69" s="4"/>
      <c r="KST69" s="4"/>
      <c r="KSU69" s="4"/>
      <c r="KSV69" s="4"/>
      <c r="KSW69" s="4"/>
      <c r="KSX69" s="4"/>
      <c r="KSY69" s="4"/>
      <c r="KSZ69" s="4"/>
      <c r="KTA69" s="4"/>
      <c r="KTB69" s="4"/>
      <c r="KTC69" s="4"/>
      <c r="KTD69" s="4"/>
      <c r="KTE69" s="4"/>
      <c r="KTF69" s="4"/>
      <c r="KTG69" s="4"/>
      <c r="KTH69" s="4"/>
      <c r="KTI69" s="4"/>
      <c r="KTJ69" s="4"/>
      <c r="KTK69" s="4"/>
      <c r="KTL69" s="4"/>
      <c r="KTM69" s="4"/>
      <c r="KTN69" s="4"/>
      <c r="KTO69" s="4"/>
      <c r="KTP69" s="4"/>
      <c r="KTQ69" s="4"/>
      <c r="KTR69" s="4"/>
      <c r="KTS69" s="4"/>
      <c r="KTT69" s="4"/>
      <c r="KTU69" s="4"/>
      <c r="KTV69" s="4"/>
      <c r="KTW69" s="4"/>
      <c r="KTX69" s="4"/>
      <c r="KTY69" s="4"/>
      <c r="KTZ69" s="4"/>
      <c r="KUA69" s="4"/>
      <c r="KUB69" s="4"/>
      <c r="KUC69" s="4"/>
      <c r="KUD69" s="4"/>
      <c r="KUE69" s="4"/>
      <c r="KUF69" s="4"/>
      <c r="KUG69" s="4"/>
      <c r="KUH69" s="4"/>
      <c r="KUI69" s="4"/>
      <c r="KUJ69" s="4"/>
      <c r="KUK69" s="4"/>
      <c r="KUL69" s="4"/>
      <c r="KUM69" s="4"/>
      <c r="KUN69" s="4"/>
      <c r="KUO69" s="4"/>
      <c r="KUP69" s="4"/>
      <c r="KUQ69" s="4"/>
      <c r="KUR69" s="4"/>
      <c r="KUS69" s="4"/>
      <c r="KUT69" s="4"/>
      <c r="KUU69" s="4"/>
      <c r="KUV69" s="4"/>
      <c r="KUW69" s="4"/>
      <c r="KUX69" s="4"/>
      <c r="KUY69" s="4"/>
      <c r="KUZ69" s="4"/>
      <c r="KVA69" s="4"/>
      <c r="KVB69" s="4"/>
      <c r="KVC69" s="4"/>
      <c r="KVD69" s="4"/>
      <c r="KVE69" s="4"/>
      <c r="KVF69" s="4"/>
      <c r="KVG69" s="4"/>
      <c r="KVH69" s="4"/>
      <c r="KVI69" s="4"/>
      <c r="KVJ69" s="4"/>
      <c r="KVK69" s="4"/>
      <c r="KVL69" s="4"/>
      <c r="KVM69" s="4"/>
      <c r="KVN69" s="4"/>
      <c r="KVO69" s="4"/>
      <c r="KVP69" s="4"/>
      <c r="KVQ69" s="4"/>
      <c r="KVR69" s="4"/>
      <c r="KVS69" s="4"/>
      <c r="KVT69" s="4"/>
      <c r="KVU69" s="4"/>
      <c r="KVV69" s="4"/>
      <c r="KVW69" s="4"/>
      <c r="KVX69" s="4"/>
      <c r="KVY69" s="4"/>
      <c r="KVZ69" s="4"/>
      <c r="KWA69" s="4"/>
      <c r="KWB69" s="4"/>
      <c r="KWC69" s="4"/>
      <c r="KWD69" s="4"/>
      <c r="KWE69" s="4"/>
      <c r="KWF69" s="4"/>
      <c r="KWG69" s="4"/>
      <c r="KWH69" s="4"/>
      <c r="KWI69" s="4"/>
      <c r="KWJ69" s="4"/>
      <c r="KWK69" s="4"/>
      <c r="KWL69" s="4"/>
      <c r="KWM69" s="4"/>
      <c r="KWN69" s="4"/>
      <c r="KWO69" s="4"/>
      <c r="KWP69" s="4"/>
      <c r="KWQ69" s="4"/>
      <c r="KWR69" s="4"/>
      <c r="KWS69" s="4"/>
      <c r="KWT69" s="4"/>
      <c r="KWU69" s="4"/>
      <c r="KWV69" s="4"/>
      <c r="KWW69" s="4"/>
      <c r="KWX69" s="4"/>
      <c r="KWY69" s="4"/>
      <c r="KWZ69" s="4"/>
      <c r="KXA69" s="4"/>
      <c r="KXB69" s="4"/>
      <c r="KXC69" s="4"/>
      <c r="KXD69" s="4"/>
      <c r="KXE69" s="4"/>
      <c r="KXF69" s="4"/>
      <c r="KXG69" s="4"/>
      <c r="KXH69" s="4"/>
      <c r="KXI69" s="4"/>
      <c r="KXJ69" s="4"/>
      <c r="KXK69" s="4"/>
      <c r="KXL69" s="4"/>
      <c r="KXM69" s="4"/>
      <c r="KXN69" s="4"/>
      <c r="KXO69" s="4"/>
      <c r="KXP69" s="4"/>
      <c r="KXQ69" s="4"/>
      <c r="KXR69" s="4"/>
      <c r="KXS69" s="4"/>
      <c r="KXT69" s="4"/>
      <c r="KXU69" s="4"/>
      <c r="KXV69" s="4"/>
      <c r="KXW69" s="4"/>
      <c r="KXX69" s="4"/>
      <c r="KXY69" s="4"/>
      <c r="KXZ69" s="4"/>
      <c r="KYA69" s="4"/>
      <c r="KYB69" s="4"/>
      <c r="KYC69" s="4"/>
      <c r="KYD69" s="4"/>
      <c r="KYE69" s="4"/>
      <c r="KYF69" s="4"/>
      <c r="KYG69" s="4"/>
      <c r="KYH69" s="4"/>
      <c r="KYI69" s="4"/>
      <c r="KYJ69" s="4"/>
      <c r="KYK69" s="4"/>
      <c r="KYL69" s="4"/>
      <c r="KYM69" s="4"/>
      <c r="KYN69" s="4"/>
      <c r="KYO69" s="4"/>
      <c r="KYP69" s="4"/>
      <c r="KYQ69" s="4"/>
      <c r="KYR69" s="4"/>
      <c r="KYS69" s="4"/>
      <c r="KYT69" s="4"/>
      <c r="KYU69" s="4"/>
      <c r="KYV69" s="4"/>
      <c r="KYW69" s="4"/>
      <c r="KYX69" s="4"/>
      <c r="KYY69" s="4"/>
      <c r="KYZ69" s="4"/>
      <c r="KZA69" s="4"/>
      <c r="KZB69" s="4"/>
      <c r="KZC69" s="4"/>
      <c r="KZD69" s="4"/>
      <c r="KZE69" s="4"/>
      <c r="KZF69" s="4"/>
      <c r="KZG69" s="4"/>
      <c r="KZH69" s="4"/>
      <c r="KZI69" s="4"/>
      <c r="KZJ69" s="4"/>
      <c r="KZK69" s="4"/>
      <c r="KZL69" s="4"/>
      <c r="KZM69" s="4"/>
      <c r="KZN69" s="4"/>
      <c r="KZO69" s="4"/>
      <c r="KZP69" s="4"/>
      <c r="KZQ69" s="4"/>
      <c r="KZR69" s="4"/>
      <c r="KZS69" s="4"/>
      <c r="KZT69" s="4"/>
      <c r="KZU69" s="4"/>
      <c r="KZV69" s="4"/>
      <c r="KZW69" s="4"/>
      <c r="KZX69" s="4"/>
      <c r="KZY69" s="4"/>
      <c r="KZZ69" s="4"/>
      <c r="LAA69" s="4"/>
      <c r="LAB69" s="4"/>
      <c r="LAC69" s="4"/>
      <c r="LAD69" s="4"/>
      <c r="LAE69" s="4"/>
      <c r="LAF69" s="4"/>
      <c r="LAG69" s="4"/>
      <c r="LAH69" s="4"/>
      <c r="LAI69" s="4"/>
      <c r="LAJ69" s="4"/>
      <c r="LAK69" s="4"/>
      <c r="LAL69" s="4"/>
      <c r="LAM69" s="4"/>
      <c r="LAN69" s="4"/>
      <c r="LAO69" s="4"/>
      <c r="LAP69" s="4"/>
      <c r="LAQ69" s="4"/>
      <c r="LAR69" s="4"/>
      <c r="LAS69" s="4"/>
      <c r="LAT69" s="4"/>
      <c r="LAU69" s="4"/>
      <c r="LAV69" s="4"/>
      <c r="LAW69" s="4"/>
      <c r="LAX69" s="4"/>
      <c r="LAY69" s="4"/>
      <c r="LAZ69" s="4"/>
      <c r="LBA69" s="4"/>
      <c r="LBB69" s="4"/>
      <c r="LBC69" s="4"/>
      <c r="LBD69" s="4"/>
      <c r="LBE69" s="4"/>
      <c r="LBF69" s="4"/>
      <c r="LBG69" s="4"/>
      <c r="LBH69" s="4"/>
      <c r="LBI69" s="4"/>
      <c r="LBJ69" s="4"/>
      <c r="LBK69" s="4"/>
      <c r="LBL69" s="4"/>
      <c r="LBM69" s="4"/>
      <c r="LBN69" s="4"/>
      <c r="LBO69" s="4"/>
      <c r="LBP69" s="4"/>
      <c r="LBQ69" s="4"/>
      <c r="LBR69" s="4"/>
      <c r="LBS69" s="4"/>
      <c r="LBT69" s="4"/>
      <c r="LBU69" s="4"/>
      <c r="LBV69" s="4"/>
      <c r="LBW69" s="4"/>
      <c r="LBX69" s="4"/>
      <c r="LBY69" s="4"/>
      <c r="LBZ69" s="4"/>
      <c r="LCA69" s="4"/>
      <c r="LCB69" s="4"/>
      <c r="LCC69" s="4"/>
      <c r="LCD69" s="4"/>
      <c r="LCE69" s="4"/>
      <c r="LCF69" s="4"/>
      <c r="LCG69" s="4"/>
      <c r="LCH69" s="4"/>
      <c r="LCI69" s="4"/>
      <c r="LCJ69" s="4"/>
      <c r="LCK69" s="4"/>
      <c r="LCL69" s="4"/>
      <c r="LCM69" s="4"/>
      <c r="LCN69" s="4"/>
      <c r="LCO69" s="4"/>
      <c r="LCP69" s="4"/>
      <c r="LCQ69" s="4"/>
      <c r="LCR69" s="4"/>
      <c r="LCS69" s="4"/>
      <c r="LCT69" s="4"/>
      <c r="LCU69" s="4"/>
      <c r="LCV69" s="4"/>
      <c r="LCW69" s="4"/>
      <c r="LCX69" s="4"/>
      <c r="LCY69" s="4"/>
      <c r="LCZ69" s="4"/>
      <c r="LDA69" s="4"/>
      <c r="LDB69" s="4"/>
      <c r="LDC69" s="4"/>
      <c r="LDD69" s="4"/>
      <c r="LDE69" s="4"/>
      <c r="LDF69" s="4"/>
      <c r="LDG69" s="4"/>
      <c r="LDH69" s="4"/>
      <c r="LDI69" s="4"/>
      <c r="LDJ69" s="4"/>
      <c r="LDK69" s="4"/>
      <c r="LDL69" s="4"/>
      <c r="LDM69" s="4"/>
      <c r="LDN69" s="4"/>
      <c r="LDO69" s="4"/>
      <c r="LDP69" s="4"/>
      <c r="LDQ69" s="4"/>
      <c r="LDR69" s="4"/>
      <c r="LDS69" s="4"/>
      <c r="LDT69" s="4"/>
      <c r="LDU69" s="4"/>
      <c r="LDV69" s="4"/>
      <c r="LDW69" s="4"/>
      <c r="LDX69" s="4"/>
      <c r="LDY69" s="4"/>
      <c r="LDZ69" s="4"/>
      <c r="LEA69" s="4"/>
      <c r="LEB69" s="4"/>
      <c r="LEC69" s="4"/>
      <c r="LED69" s="4"/>
      <c r="LEE69" s="4"/>
      <c r="LEF69" s="4"/>
      <c r="LEG69" s="4"/>
      <c r="LEH69" s="4"/>
      <c r="LEI69" s="4"/>
      <c r="LEJ69" s="4"/>
      <c r="LEK69" s="4"/>
      <c r="LEL69" s="4"/>
      <c r="LEM69" s="4"/>
      <c r="LEN69" s="4"/>
      <c r="LEO69" s="4"/>
      <c r="LEP69" s="4"/>
      <c r="LEQ69" s="4"/>
      <c r="LER69" s="4"/>
      <c r="LES69" s="4"/>
      <c r="LET69" s="4"/>
      <c r="LEU69" s="4"/>
      <c r="LEV69" s="4"/>
      <c r="LEW69" s="4"/>
      <c r="LEX69" s="4"/>
      <c r="LEY69" s="4"/>
      <c r="LEZ69" s="4"/>
      <c r="LFA69" s="4"/>
      <c r="LFB69" s="4"/>
      <c r="LFC69" s="4"/>
      <c r="LFD69" s="4"/>
      <c r="LFE69" s="4"/>
      <c r="LFF69" s="4"/>
      <c r="LFG69" s="4"/>
      <c r="LFH69" s="4"/>
      <c r="LFI69" s="4"/>
      <c r="LFJ69" s="4"/>
      <c r="LFK69" s="4"/>
      <c r="LFL69" s="4"/>
      <c r="LFM69" s="4"/>
      <c r="LFN69" s="4"/>
      <c r="LFO69" s="4"/>
      <c r="LFP69" s="4"/>
      <c r="LFQ69" s="4"/>
      <c r="LFR69" s="4"/>
      <c r="LFS69" s="4"/>
      <c r="LFT69" s="4"/>
      <c r="LFU69" s="4"/>
      <c r="LFV69" s="4"/>
      <c r="LFW69" s="4"/>
      <c r="LFX69" s="4"/>
      <c r="LFY69" s="4"/>
      <c r="LFZ69" s="4"/>
      <c r="LGA69" s="4"/>
      <c r="LGB69" s="4"/>
      <c r="LGC69" s="4"/>
      <c r="LGD69" s="4"/>
      <c r="LGE69" s="4"/>
      <c r="LGF69" s="4"/>
      <c r="LGG69" s="4"/>
      <c r="LGH69" s="4"/>
      <c r="LGI69" s="4"/>
      <c r="LGJ69" s="4"/>
      <c r="LGK69" s="4"/>
      <c r="LGL69" s="4"/>
      <c r="LGM69" s="4"/>
      <c r="LGN69" s="4"/>
      <c r="LGO69" s="4"/>
      <c r="LGP69" s="4"/>
      <c r="LGQ69" s="4"/>
      <c r="LGR69" s="4"/>
      <c r="LGS69" s="4"/>
      <c r="LGT69" s="4"/>
      <c r="LGU69" s="4"/>
      <c r="LGV69" s="4"/>
      <c r="LGW69" s="4"/>
      <c r="LGX69" s="4"/>
      <c r="LGY69" s="4"/>
      <c r="LGZ69" s="4"/>
      <c r="LHA69" s="4"/>
      <c r="LHB69" s="4"/>
      <c r="LHC69" s="4"/>
      <c r="LHD69" s="4"/>
      <c r="LHE69" s="4"/>
      <c r="LHF69" s="4"/>
      <c r="LHG69" s="4"/>
      <c r="LHH69" s="4"/>
      <c r="LHI69" s="4"/>
      <c r="LHJ69" s="4"/>
      <c r="LHK69" s="4"/>
      <c r="LHL69" s="4"/>
      <c r="LHM69" s="4"/>
      <c r="LHN69" s="4"/>
      <c r="LHO69" s="4"/>
      <c r="LHP69" s="4"/>
      <c r="LHQ69" s="4"/>
      <c r="LHR69" s="4"/>
      <c r="LHS69" s="4"/>
      <c r="LHT69" s="4"/>
      <c r="LHU69" s="4"/>
      <c r="LHV69" s="4"/>
      <c r="LHW69" s="4"/>
      <c r="LHX69" s="4"/>
      <c r="LHY69" s="4"/>
      <c r="LHZ69" s="4"/>
      <c r="LIA69" s="4"/>
      <c r="LIB69" s="4"/>
      <c r="LIC69" s="4"/>
      <c r="LID69" s="4"/>
      <c r="LIE69" s="4"/>
      <c r="LIF69" s="4"/>
      <c r="LIG69" s="4"/>
      <c r="LIH69" s="4"/>
      <c r="LII69" s="4"/>
      <c r="LIJ69" s="4"/>
      <c r="LIK69" s="4"/>
      <c r="LIL69" s="4"/>
      <c r="LIM69" s="4"/>
      <c r="LIN69" s="4"/>
      <c r="LIO69" s="4"/>
      <c r="LIP69" s="4"/>
      <c r="LIQ69" s="4"/>
      <c r="LIR69" s="4"/>
      <c r="LIS69" s="4"/>
      <c r="LIT69" s="4"/>
      <c r="LIU69" s="4"/>
      <c r="LIV69" s="4"/>
      <c r="LIW69" s="4"/>
      <c r="LIX69" s="4"/>
      <c r="LIY69" s="4"/>
      <c r="LIZ69" s="4"/>
      <c r="LJA69" s="4"/>
      <c r="LJB69" s="4"/>
      <c r="LJC69" s="4"/>
      <c r="LJD69" s="4"/>
      <c r="LJE69" s="4"/>
      <c r="LJF69" s="4"/>
      <c r="LJG69" s="4"/>
      <c r="LJH69" s="4"/>
      <c r="LJI69" s="4"/>
      <c r="LJJ69" s="4"/>
      <c r="LJK69" s="4"/>
      <c r="LJL69" s="4"/>
      <c r="LJM69" s="4"/>
      <c r="LJN69" s="4"/>
      <c r="LJO69" s="4"/>
      <c r="LJP69" s="4"/>
      <c r="LJQ69" s="4"/>
      <c r="LJR69" s="4"/>
      <c r="LJS69" s="4"/>
      <c r="LJT69" s="4"/>
      <c r="LJU69" s="4"/>
      <c r="LJV69" s="4"/>
      <c r="LJW69" s="4"/>
      <c r="LJX69" s="4"/>
      <c r="LJY69" s="4"/>
      <c r="LJZ69" s="4"/>
      <c r="LKA69" s="4"/>
      <c r="LKB69" s="4"/>
      <c r="LKC69" s="4"/>
      <c r="LKD69" s="4"/>
      <c r="LKE69" s="4"/>
      <c r="LKF69" s="4"/>
      <c r="LKG69" s="4"/>
      <c r="LKH69" s="4"/>
      <c r="LKI69" s="4"/>
      <c r="LKJ69" s="4"/>
      <c r="LKK69" s="4"/>
      <c r="LKL69" s="4"/>
      <c r="LKM69" s="4"/>
      <c r="LKN69" s="4"/>
      <c r="LKO69" s="4"/>
      <c r="LKP69" s="4"/>
      <c r="LKQ69" s="4"/>
      <c r="LKR69" s="4"/>
      <c r="LKS69" s="4"/>
      <c r="LKT69" s="4"/>
      <c r="LKU69" s="4"/>
      <c r="LKV69" s="4"/>
      <c r="LKW69" s="4"/>
      <c r="LKX69" s="4"/>
      <c r="LKY69" s="4"/>
      <c r="LKZ69" s="4"/>
      <c r="LLA69" s="4"/>
      <c r="LLB69" s="4"/>
      <c r="LLC69" s="4"/>
      <c r="LLD69" s="4"/>
      <c r="LLE69" s="4"/>
      <c r="LLF69" s="4"/>
      <c r="LLG69" s="4"/>
      <c r="LLH69" s="4"/>
      <c r="LLI69" s="4"/>
      <c r="LLJ69" s="4"/>
      <c r="LLK69" s="4"/>
      <c r="LLL69" s="4"/>
      <c r="LLM69" s="4"/>
      <c r="LLN69" s="4"/>
      <c r="LLO69" s="4"/>
      <c r="LLP69" s="4"/>
      <c r="LLQ69" s="4"/>
      <c r="LLR69" s="4"/>
      <c r="LLS69" s="4"/>
      <c r="LLT69" s="4"/>
      <c r="LLU69" s="4"/>
      <c r="LLV69" s="4"/>
      <c r="LLW69" s="4"/>
      <c r="LLX69" s="4"/>
      <c r="LLY69" s="4"/>
      <c r="LLZ69" s="4"/>
      <c r="LMA69" s="4"/>
      <c r="LMB69" s="4"/>
      <c r="LMC69" s="4"/>
      <c r="LMD69" s="4"/>
      <c r="LME69" s="4"/>
      <c r="LMF69" s="4"/>
      <c r="LMG69" s="4"/>
      <c r="LMH69" s="4"/>
      <c r="LMI69" s="4"/>
      <c r="LMJ69" s="4"/>
      <c r="LMK69" s="4"/>
      <c r="LML69" s="4"/>
      <c r="LMM69" s="4"/>
      <c r="LMN69" s="4"/>
      <c r="LMO69" s="4"/>
      <c r="LMP69" s="4"/>
      <c r="LMQ69" s="4"/>
      <c r="LMR69" s="4"/>
      <c r="LMS69" s="4"/>
      <c r="LMT69" s="4"/>
      <c r="LMU69" s="4"/>
      <c r="LMV69" s="4"/>
      <c r="LMW69" s="4"/>
      <c r="LMX69" s="4"/>
      <c r="LMY69" s="4"/>
      <c r="LMZ69" s="4"/>
      <c r="LNA69" s="4"/>
      <c r="LNB69" s="4"/>
      <c r="LNC69" s="4"/>
      <c r="LND69" s="4"/>
      <c r="LNE69" s="4"/>
      <c r="LNF69" s="4"/>
      <c r="LNG69" s="4"/>
      <c r="LNH69" s="4"/>
      <c r="LNI69" s="4"/>
      <c r="LNJ69" s="4"/>
      <c r="LNK69" s="4"/>
      <c r="LNL69" s="4"/>
      <c r="LNM69" s="4"/>
      <c r="LNN69" s="4"/>
      <c r="LNO69" s="4"/>
      <c r="LNP69" s="4"/>
      <c r="LNQ69" s="4"/>
      <c r="LNR69" s="4"/>
      <c r="LNS69" s="4"/>
      <c r="LNT69" s="4"/>
      <c r="LNU69" s="4"/>
      <c r="LNV69" s="4"/>
      <c r="LNW69" s="4"/>
      <c r="LNX69" s="4"/>
      <c r="LNY69" s="4"/>
      <c r="LNZ69" s="4"/>
      <c r="LOA69" s="4"/>
      <c r="LOB69" s="4"/>
      <c r="LOC69" s="4"/>
      <c r="LOD69" s="4"/>
      <c r="LOE69" s="4"/>
      <c r="LOF69" s="4"/>
      <c r="LOG69" s="4"/>
      <c r="LOH69" s="4"/>
      <c r="LOI69" s="4"/>
      <c r="LOJ69" s="4"/>
      <c r="LOK69" s="4"/>
      <c r="LOL69" s="4"/>
      <c r="LOM69" s="4"/>
      <c r="LON69" s="4"/>
      <c r="LOO69" s="4"/>
      <c r="LOP69" s="4"/>
      <c r="LOQ69" s="4"/>
      <c r="LOR69" s="4"/>
      <c r="LOS69" s="4"/>
      <c r="LOT69" s="4"/>
      <c r="LOU69" s="4"/>
      <c r="LOV69" s="4"/>
      <c r="LOW69" s="4"/>
      <c r="LOX69" s="4"/>
      <c r="LOY69" s="4"/>
      <c r="LOZ69" s="4"/>
      <c r="LPA69" s="4"/>
      <c r="LPB69" s="4"/>
      <c r="LPC69" s="4"/>
      <c r="LPD69" s="4"/>
      <c r="LPE69" s="4"/>
      <c r="LPF69" s="4"/>
      <c r="LPG69" s="4"/>
      <c r="LPH69" s="4"/>
      <c r="LPI69" s="4"/>
      <c r="LPJ69" s="4"/>
      <c r="LPK69" s="4"/>
      <c r="LPL69" s="4"/>
      <c r="LPM69" s="4"/>
      <c r="LPN69" s="4"/>
      <c r="LPO69" s="4"/>
      <c r="LPP69" s="4"/>
      <c r="LPQ69" s="4"/>
      <c r="LPR69" s="4"/>
      <c r="LPS69" s="4"/>
      <c r="LPT69" s="4"/>
      <c r="LPU69" s="4"/>
      <c r="LPV69" s="4"/>
      <c r="LPW69" s="4"/>
      <c r="LPX69" s="4"/>
      <c r="LPY69" s="4"/>
      <c r="LPZ69" s="4"/>
      <c r="LQA69" s="4"/>
      <c r="LQB69" s="4"/>
      <c r="LQC69" s="4"/>
      <c r="LQD69" s="4"/>
      <c r="LQE69" s="4"/>
      <c r="LQF69" s="4"/>
      <c r="LQG69" s="4"/>
      <c r="LQH69" s="4"/>
      <c r="LQI69" s="4"/>
      <c r="LQJ69" s="4"/>
      <c r="LQK69" s="4"/>
      <c r="LQL69" s="4"/>
      <c r="LQM69" s="4"/>
      <c r="LQN69" s="4"/>
      <c r="LQO69" s="4"/>
      <c r="LQP69" s="4"/>
      <c r="LQQ69" s="4"/>
      <c r="LQR69" s="4"/>
      <c r="LQS69" s="4"/>
      <c r="LQT69" s="4"/>
      <c r="LQU69" s="4"/>
      <c r="LQV69" s="4"/>
      <c r="LQW69" s="4"/>
      <c r="LQX69" s="4"/>
      <c r="LQY69" s="4"/>
      <c r="LQZ69" s="4"/>
      <c r="LRA69" s="4"/>
      <c r="LRB69" s="4"/>
      <c r="LRC69" s="4"/>
      <c r="LRD69" s="4"/>
      <c r="LRE69" s="4"/>
      <c r="LRF69" s="4"/>
      <c r="LRG69" s="4"/>
      <c r="LRH69" s="4"/>
      <c r="LRI69" s="4"/>
      <c r="LRJ69" s="4"/>
      <c r="LRK69" s="4"/>
      <c r="LRL69" s="4"/>
      <c r="LRM69" s="4"/>
      <c r="LRN69" s="4"/>
      <c r="LRO69" s="4"/>
      <c r="LRP69" s="4"/>
      <c r="LRQ69" s="4"/>
      <c r="LRR69" s="4"/>
      <c r="LRS69" s="4"/>
      <c r="LRT69" s="4"/>
      <c r="LRU69" s="4"/>
      <c r="LRV69" s="4"/>
      <c r="LRW69" s="4"/>
      <c r="LRX69" s="4"/>
      <c r="LRY69" s="4"/>
      <c r="LRZ69" s="4"/>
      <c r="LSA69" s="4"/>
      <c r="LSB69" s="4"/>
      <c r="LSC69" s="4"/>
      <c r="LSD69" s="4"/>
      <c r="LSE69" s="4"/>
      <c r="LSF69" s="4"/>
      <c r="LSG69" s="4"/>
      <c r="LSH69" s="4"/>
      <c r="LSI69" s="4"/>
      <c r="LSJ69" s="4"/>
      <c r="LSK69" s="4"/>
      <c r="LSL69" s="4"/>
      <c r="LSM69" s="4"/>
      <c r="LSN69" s="4"/>
      <c r="LSO69" s="4"/>
      <c r="LSP69" s="4"/>
      <c r="LSQ69" s="4"/>
      <c r="LSR69" s="4"/>
      <c r="LSS69" s="4"/>
      <c r="LST69" s="4"/>
      <c r="LSU69" s="4"/>
      <c r="LSV69" s="4"/>
      <c r="LSW69" s="4"/>
      <c r="LSX69" s="4"/>
      <c r="LSY69" s="4"/>
      <c r="LSZ69" s="4"/>
      <c r="LTA69" s="4"/>
      <c r="LTB69" s="4"/>
      <c r="LTC69" s="4"/>
      <c r="LTD69" s="4"/>
      <c r="LTE69" s="4"/>
      <c r="LTF69" s="4"/>
      <c r="LTG69" s="4"/>
      <c r="LTH69" s="4"/>
      <c r="LTI69" s="4"/>
      <c r="LTJ69" s="4"/>
      <c r="LTK69" s="4"/>
      <c r="LTL69" s="4"/>
      <c r="LTM69" s="4"/>
      <c r="LTN69" s="4"/>
      <c r="LTO69" s="4"/>
      <c r="LTP69" s="4"/>
      <c r="LTQ69" s="4"/>
      <c r="LTR69" s="4"/>
      <c r="LTS69" s="4"/>
      <c r="LTT69" s="4"/>
      <c r="LTU69" s="4"/>
      <c r="LTV69" s="4"/>
      <c r="LTW69" s="4"/>
      <c r="LTX69" s="4"/>
      <c r="LTY69" s="4"/>
      <c r="LTZ69" s="4"/>
      <c r="LUA69" s="4"/>
      <c r="LUB69" s="4"/>
      <c r="LUC69" s="4"/>
      <c r="LUD69" s="4"/>
      <c r="LUE69" s="4"/>
      <c r="LUF69" s="4"/>
      <c r="LUG69" s="4"/>
      <c r="LUH69" s="4"/>
      <c r="LUI69" s="4"/>
      <c r="LUJ69" s="4"/>
      <c r="LUK69" s="4"/>
      <c r="LUL69" s="4"/>
      <c r="LUM69" s="4"/>
      <c r="LUN69" s="4"/>
      <c r="LUO69" s="4"/>
      <c r="LUP69" s="4"/>
      <c r="LUQ69" s="4"/>
      <c r="LUR69" s="4"/>
      <c r="LUS69" s="4"/>
      <c r="LUT69" s="4"/>
      <c r="LUU69" s="4"/>
      <c r="LUV69" s="4"/>
      <c r="LUW69" s="4"/>
      <c r="LUX69" s="4"/>
      <c r="LUY69" s="4"/>
      <c r="LUZ69" s="4"/>
      <c r="LVA69" s="4"/>
      <c r="LVB69" s="4"/>
      <c r="LVC69" s="4"/>
      <c r="LVD69" s="4"/>
      <c r="LVE69" s="4"/>
      <c r="LVF69" s="4"/>
      <c r="LVG69" s="4"/>
      <c r="LVH69" s="4"/>
      <c r="LVI69" s="4"/>
      <c r="LVJ69" s="4"/>
      <c r="LVK69" s="4"/>
      <c r="LVL69" s="4"/>
      <c r="LVM69" s="4"/>
      <c r="LVN69" s="4"/>
      <c r="LVO69" s="4"/>
      <c r="LVP69" s="4"/>
      <c r="LVQ69" s="4"/>
      <c r="LVR69" s="4"/>
      <c r="LVS69" s="4"/>
      <c r="LVT69" s="4"/>
      <c r="LVU69" s="4"/>
      <c r="LVV69" s="4"/>
      <c r="LVW69" s="4"/>
      <c r="LVX69" s="4"/>
      <c r="LVY69" s="4"/>
      <c r="LVZ69" s="4"/>
      <c r="LWA69" s="4"/>
      <c r="LWB69" s="4"/>
      <c r="LWC69" s="4"/>
      <c r="LWD69" s="4"/>
      <c r="LWE69" s="4"/>
      <c r="LWF69" s="4"/>
      <c r="LWG69" s="4"/>
      <c r="LWH69" s="4"/>
      <c r="LWI69" s="4"/>
      <c r="LWJ69" s="4"/>
      <c r="LWK69" s="4"/>
      <c r="LWL69" s="4"/>
      <c r="LWM69" s="4"/>
      <c r="LWN69" s="4"/>
      <c r="LWO69" s="4"/>
      <c r="LWP69" s="4"/>
      <c r="LWQ69" s="4"/>
      <c r="LWR69" s="4"/>
      <c r="LWS69" s="4"/>
      <c r="LWT69" s="4"/>
      <c r="LWU69" s="4"/>
      <c r="LWV69" s="4"/>
      <c r="LWW69" s="4"/>
      <c r="LWX69" s="4"/>
      <c r="LWY69" s="4"/>
      <c r="LWZ69" s="4"/>
      <c r="LXA69" s="4"/>
      <c r="LXB69" s="4"/>
      <c r="LXC69" s="4"/>
      <c r="LXD69" s="4"/>
      <c r="LXE69" s="4"/>
      <c r="LXF69" s="4"/>
      <c r="LXG69" s="4"/>
      <c r="LXH69" s="4"/>
      <c r="LXI69" s="4"/>
      <c r="LXJ69" s="4"/>
      <c r="LXK69" s="4"/>
      <c r="LXL69" s="4"/>
      <c r="LXM69" s="4"/>
      <c r="LXN69" s="4"/>
      <c r="LXO69" s="4"/>
      <c r="LXP69" s="4"/>
      <c r="LXQ69" s="4"/>
      <c r="LXR69" s="4"/>
      <c r="LXS69" s="4"/>
      <c r="LXT69" s="4"/>
      <c r="LXU69" s="4"/>
      <c r="LXV69" s="4"/>
      <c r="LXW69" s="4"/>
      <c r="LXX69" s="4"/>
      <c r="LXY69" s="4"/>
      <c r="LXZ69" s="4"/>
      <c r="LYA69" s="4"/>
      <c r="LYB69" s="4"/>
      <c r="LYC69" s="4"/>
      <c r="LYD69" s="4"/>
      <c r="LYE69" s="4"/>
      <c r="LYF69" s="4"/>
      <c r="LYG69" s="4"/>
      <c r="LYH69" s="4"/>
      <c r="LYI69" s="4"/>
      <c r="LYJ69" s="4"/>
      <c r="LYK69" s="4"/>
      <c r="LYL69" s="4"/>
      <c r="LYM69" s="4"/>
      <c r="LYN69" s="4"/>
      <c r="LYO69" s="4"/>
      <c r="LYP69" s="4"/>
      <c r="LYQ69" s="4"/>
      <c r="LYR69" s="4"/>
      <c r="LYS69" s="4"/>
      <c r="LYT69" s="4"/>
      <c r="LYU69" s="4"/>
      <c r="LYV69" s="4"/>
      <c r="LYW69" s="4"/>
      <c r="LYX69" s="4"/>
      <c r="LYY69" s="4"/>
      <c r="LYZ69" s="4"/>
      <c r="LZA69" s="4"/>
      <c r="LZB69" s="4"/>
      <c r="LZC69" s="4"/>
      <c r="LZD69" s="4"/>
      <c r="LZE69" s="4"/>
      <c r="LZF69" s="4"/>
      <c r="LZG69" s="4"/>
      <c r="LZH69" s="4"/>
      <c r="LZI69" s="4"/>
      <c r="LZJ69" s="4"/>
      <c r="LZK69" s="4"/>
      <c r="LZL69" s="4"/>
      <c r="LZM69" s="4"/>
      <c r="LZN69" s="4"/>
      <c r="LZO69" s="4"/>
      <c r="LZP69" s="4"/>
      <c r="LZQ69" s="4"/>
      <c r="LZR69" s="4"/>
      <c r="LZS69" s="4"/>
      <c r="LZT69" s="4"/>
      <c r="LZU69" s="4"/>
      <c r="LZV69" s="4"/>
      <c r="LZW69" s="4"/>
      <c r="LZX69" s="4"/>
      <c r="LZY69" s="4"/>
      <c r="LZZ69" s="4"/>
      <c r="MAA69" s="4"/>
      <c r="MAB69" s="4"/>
      <c r="MAC69" s="4"/>
      <c r="MAD69" s="4"/>
      <c r="MAE69" s="4"/>
      <c r="MAF69" s="4"/>
      <c r="MAG69" s="4"/>
      <c r="MAH69" s="4"/>
      <c r="MAI69" s="4"/>
      <c r="MAJ69" s="4"/>
      <c r="MAK69" s="4"/>
      <c r="MAL69" s="4"/>
      <c r="MAM69" s="4"/>
      <c r="MAN69" s="4"/>
      <c r="MAO69" s="4"/>
      <c r="MAP69" s="4"/>
      <c r="MAQ69" s="4"/>
      <c r="MAR69" s="4"/>
      <c r="MAS69" s="4"/>
      <c r="MAT69" s="4"/>
      <c r="MAU69" s="4"/>
      <c r="MAV69" s="4"/>
      <c r="MAW69" s="4"/>
      <c r="MAX69" s="4"/>
      <c r="MAY69" s="4"/>
      <c r="MAZ69" s="4"/>
      <c r="MBA69" s="4"/>
      <c r="MBB69" s="4"/>
      <c r="MBC69" s="4"/>
      <c r="MBD69" s="4"/>
      <c r="MBE69" s="4"/>
      <c r="MBF69" s="4"/>
      <c r="MBG69" s="4"/>
      <c r="MBH69" s="4"/>
      <c r="MBI69" s="4"/>
      <c r="MBJ69" s="4"/>
      <c r="MBK69" s="4"/>
      <c r="MBL69" s="4"/>
      <c r="MBM69" s="4"/>
      <c r="MBN69" s="4"/>
      <c r="MBO69" s="4"/>
      <c r="MBP69" s="4"/>
      <c r="MBQ69" s="4"/>
      <c r="MBR69" s="4"/>
      <c r="MBS69" s="4"/>
      <c r="MBT69" s="4"/>
      <c r="MBU69" s="4"/>
      <c r="MBV69" s="4"/>
      <c r="MBW69" s="4"/>
      <c r="MBX69" s="4"/>
      <c r="MBY69" s="4"/>
      <c r="MBZ69" s="4"/>
      <c r="MCA69" s="4"/>
      <c r="MCB69" s="4"/>
      <c r="MCC69" s="4"/>
      <c r="MCD69" s="4"/>
      <c r="MCE69" s="4"/>
      <c r="MCF69" s="4"/>
      <c r="MCG69" s="4"/>
      <c r="MCH69" s="4"/>
      <c r="MCI69" s="4"/>
      <c r="MCJ69" s="4"/>
      <c r="MCK69" s="4"/>
      <c r="MCL69" s="4"/>
      <c r="MCM69" s="4"/>
      <c r="MCN69" s="4"/>
      <c r="MCO69" s="4"/>
      <c r="MCP69" s="4"/>
      <c r="MCQ69" s="4"/>
      <c r="MCR69" s="4"/>
      <c r="MCS69" s="4"/>
      <c r="MCT69" s="4"/>
      <c r="MCU69" s="4"/>
      <c r="MCV69" s="4"/>
      <c r="MCW69" s="4"/>
      <c r="MCX69" s="4"/>
      <c r="MCY69" s="4"/>
      <c r="MCZ69" s="4"/>
      <c r="MDA69" s="4"/>
      <c r="MDB69" s="4"/>
      <c r="MDC69" s="4"/>
      <c r="MDD69" s="4"/>
      <c r="MDE69" s="4"/>
      <c r="MDF69" s="4"/>
      <c r="MDG69" s="4"/>
      <c r="MDH69" s="4"/>
      <c r="MDI69" s="4"/>
      <c r="MDJ69" s="4"/>
      <c r="MDK69" s="4"/>
      <c r="MDL69" s="4"/>
      <c r="MDM69" s="4"/>
      <c r="MDN69" s="4"/>
      <c r="MDO69" s="4"/>
      <c r="MDP69" s="4"/>
      <c r="MDQ69" s="4"/>
      <c r="MDR69" s="4"/>
      <c r="MDS69" s="4"/>
      <c r="MDT69" s="4"/>
      <c r="MDU69" s="4"/>
      <c r="MDV69" s="4"/>
      <c r="MDW69" s="4"/>
      <c r="MDX69" s="4"/>
      <c r="MDY69" s="4"/>
      <c r="MDZ69" s="4"/>
      <c r="MEA69" s="4"/>
      <c r="MEB69" s="4"/>
      <c r="MEC69" s="4"/>
      <c r="MED69" s="4"/>
      <c r="MEE69" s="4"/>
      <c r="MEF69" s="4"/>
      <c r="MEG69" s="4"/>
      <c r="MEH69" s="4"/>
      <c r="MEI69" s="4"/>
      <c r="MEJ69" s="4"/>
      <c r="MEK69" s="4"/>
      <c r="MEL69" s="4"/>
      <c r="MEM69" s="4"/>
      <c r="MEN69" s="4"/>
      <c r="MEO69" s="4"/>
      <c r="MEP69" s="4"/>
      <c r="MEQ69" s="4"/>
      <c r="MER69" s="4"/>
      <c r="MES69" s="4"/>
      <c r="MET69" s="4"/>
      <c r="MEU69" s="4"/>
      <c r="MEV69" s="4"/>
      <c r="MEW69" s="4"/>
      <c r="MEX69" s="4"/>
      <c r="MEY69" s="4"/>
      <c r="MEZ69" s="4"/>
      <c r="MFA69" s="4"/>
      <c r="MFB69" s="4"/>
      <c r="MFC69" s="4"/>
      <c r="MFD69" s="4"/>
      <c r="MFE69" s="4"/>
      <c r="MFF69" s="4"/>
      <c r="MFG69" s="4"/>
      <c r="MFH69" s="4"/>
      <c r="MFI69" s="4"/>
      <c r="MFJ69" s="4"/>
      <c r="MFK69" s="4"/>
      <c r="MFL69" s="4"/>
      <c r="MFM69" s="4"/>
      <c r="MFN69" s="4"/>
      <c r="MFO69" s="4"/>
      <c r="MFP69" s="4"/>
      <c r="MFQ69" s="4"/>
      <c r="MFR69" s="4"/>
      <c r="MFS69" s="4"/>
      <c r="MFT69" s="4"/>
      <c r="MFU69" s="4"/>
      <c r="MFV69" s="4"/>
      <c r="MFW69" s="4"/>
      <c r="MFX69" s="4"/>
      <c r="MFY69" s="4"/>
      <c r="MFZ69" s="4"/>
      <c r="MGA69" s="4"/>
      <c r="MGB69" s="4"/>
      <c r="MGC69" s="4"/>
      <c r="MGD69" s="4"/>
      <c r="MGE69" s="4"/>
      <c r="MGF69" s="4"/>
      <c r="MGG69" s="4"/>
      <c r="MGH69" s="4"/>
      <c r="MGI69" s="4"/>
      <c r="MGJ69" s="4"/>
      <c r="MGK69" s="4"/>
      <c r="MGL69" s="4"/>
      <c r="MGM69" s="4"/>
      <c r="MGN69" s="4"/>
      <c r="MGO69" s="4"/>
      <c r="MGP69" s="4"/>
      <c r="MGQ69" s="4"/>
      <c r="MGR69" s="4"/>
      <c r="MGS69" s="4"/>
      <c r="MGT69" s="4"/>
      <c r="MGU69" s="4"/>
      <c r="MGV69" s="4"/>
      <c r="MGW69" s="4"/>
      <c r="MGX69" s="4"/>
      <c r="MGY69" s="4"/>
      <c r="MGZ69" s="4"/>
      <c r="MHA69" s="4"/>
      <c r="MHB69" s="4"/>
      <c r="MHC69" s="4"/>
      <c r="MHD69" s="4"/>
      <c r="MHE69" s="4"/>
      <c r="MHF69" s="4"/>
      <c r="MHG69" s="4"/>
      <c r="MHH69" s="4"/>
      <c r="MHI69" s="4"/>
      <c r="MHJ69" s="4"/>
      <c r="MHK69" s="4"/>
      <c r="MHL69" s="4"/>
      <c r="MHM69" s="4"/>
      <c r="MHN69" s="4"/>
      <c r="MHO69" s="4"/>
      <c r="MHP69" s="4"/>
      <c r="MHQ69" s="4"/>
      <c r="MHR69" s="4"/>
      <c r="MHS69" s="4"/>
      <c r="MHT69" s="4"/>
      <c r="MHU69" s="4"/>
      <c r="MHV69" s="4"/>
      <c r="MHW69" s="4"/>
      <c r="MHX69" s="4"/>
      <c r="MHY69" s="4"/>
      <c r="MHZ69" s="4"/>
      <c r="MIA69" s="4"/>
      <c r="MIB69" s="4"/>
      <c r="MIC69" s="4"/>
      <c r="MID69" s="4"/>
      <c r="MIE69" s="4"/>
      <c r="MIF69" s="4"/>
      <c r="MIG69" s="4"/>
      <c r="MIH69" s="4"/>
      <c r="MII69" s="4"/>
      <c r="MIJ69" s="4"/>
      <c r="MIK69" s="4"/>
      <c r="MIL69" s="4"/>
      <c r="MIM69" s="4"/>
      <c r="MIN69" s="4"/>
      <c r="MIO69" s="4"/>
      <c r="MIP69" s="4"/>
      <c r="MIQ69" s="4"/>
      <c r="MIR69" s="4"/>
      <c r="MIS69" s="4"/>
      <c r="MIT69" s="4"/>
      <c r="MIU69" s="4"/>
      <c r="MIV69" s="4"/>
      <c r="MIW69" s="4"/>
      <c r="MIX69" s="4"/>
      <c r="MIY69" s="4"/>
      <c r="MIZ69" s="4"/>
      <c r="MJA69" s="4"/>
      <c r="MJB69" s="4"/>
      <c r="MJC69" s="4"/>
      <c r="MJD69" s="4"/>
      <c r="MJE69" s="4"/>
      <c r="MJF69" s="4"/>
      <c r="MJG69" s="4"/>
      <c r="MJH69" s="4"/>
      <c r="MJI69" s="4"/>
      <c r="MJJ69" s="4"/>
      <c r="MJK69" s="4"/>
      <c r="MJL69" s="4"/>
      <c r="MJM69" s="4"/>
      <c r="MJN69" s="4"/>
      <c r="MJO69" s="4"/>
      <c r="MJP69" s="4"/>
      <c r="MJQ69" s="4"/>
      <c r="MJR69" s="4"/>
      <c r="MJS69" s="4"/>
      <c r="MJT69" s="4"/>
      <c r="MJU69" s="4"/>
      <c r="MJV69" s="4"/>
      <c r="MJW69" s="4"/>
      <c r="MJX69" s="4"/>
      <c r="MJY69" s="4"/>
      <c r="MJZ69" s="4"/>
      <c r="MKA69" s="4"/>
      <c r="MKB69" s="4"/>
      <c r="MKC69" s="4"/>
      <c r="MKD69" s="4"/>
      <c r="MKE69" s="4"/>
      <c r="MKF69" s="4"/>
      <c r="MKG69" s="4"/>
      <c r="MKH69" s="4"/>
      <c r="MKI69" s="4"/>
      <c r="MKJ69" s="4"/>
      <c r="MKK69" s="4"/>
      <c r="MKL69" s="4"/>
      <c r="MKM69" s="4"/>
      <c r="MKN69" s="4"/>
      <c r="MKO69" s="4"/>
      <c r="MKP69" s="4"/>
      <c r="MKQ69" s="4"/>
      <c r="MKR69" s="4"/>
      <c r="MKS69" s="4"/>
      <c r="MKT69" s="4"/>
      <c r="MKU69" s="4"/>
      <c r="MKV69" s="4"/>
      <c r="MKW69" s="4"/>
      <c r="MKX69" s="4"/>
      <c r="MKY69" s="4"/>
      <c r="MKZ69" s="4"/>
      <c r="MLA69" s="4"/>
      <c r="MLB69" s="4"/>
      <c r="MLC69" s="4"/>
      <c r="MLD69" s="4"/>
      <c r="MLE69" s="4"/>
      <c r="MLF69" s="4"/>
      <c r="MLG69" s="4"/>
      <c r="MLH69" s="4"/>
      <c r="MLI69" s="4"/>
      <c r="MLJ69" s="4"/>
      <c r="MLK69" s="4"/>
      <c r="MLL69" s="4"/>
      <c r="MLM69" s="4"/>
      <c r="MLN69" s="4"/>
      <c r="MLO69" s="4"/>
      <c r="MLP69" s="4"/>
      <c r="MLQ69" s="4"/>
      <c r="MLR69" s="4"/>
      <c r="MLS69" s="4"/>
      <c r="MLT69" s="4"/>
      <c r="MLU69" s="4"/>
      <c r="MLV69" s="4"/>
      <c r="MLW69" s="4"/>
      <c r="MLX69" s="4"/>
      <c r="MLY69" s="4"/>
      <c r="MLZ69" s="4"/>
      <c r="MMA69" s="4"/>
      <c r="MMB69" s="4"/>
      <c r="MMC69" s="4"/>
      <c r="MMD69" s="4"/>
      <c r="MME69" s="4"/>
      <c r="MMF69" s="4"/>
      <c r="MMG69" s="4"/>
      <c r="MMH69" s="4"/>
      <c r="MMI69" s="4"/>
      <c r="MMJ69" s="4"/>
      <c r="MMK69" s="4"/>
      <c r="MML69" s="4"/>
      <c r="MMM69" s="4"/>
      <c r="MMN69" s="4"/>
      <c r="MMO69" s="4"/>
      <c r="MMP69" s="4"/>
      <c r="MMQ69" s="4"/>
      <c r="MMR69" s="4"/>
      <c r="MMS69" s="4"/>
      <c r="MMT69" s="4"/>
      <c r="MMU69" s="4"/>
      <c r="MMV69" s="4"/>
      <c r="MMW69" s="4"/>
      <c r="MMX69" s="4"/>
      <c r="MMY69" s="4"/>
      <c r="MMZ69" s="4"/>
      <c r="MNA69" s="4"/>
      <c r="MNB69" s="4"/>
      <c r="MNC69" s="4"/>
      <c r="MND69" s="4"/>
      <c r="MNE69" s="4"/>
      <c r="MNF69" s="4"/>
      <c r="MNG69" s="4"/>
      <c r="MNH69" s="4"/>
      <c r="MNI69" s="4"/>
      <c r="MNJ69" s="4"/>
      <c r="MNK69" s="4"/>
      <c r="MNL69" s="4"/>
      <c r="MNM69" s="4"/>
      <c r="MNN69" s="4"/>
      <c r="MNO69" s="4"/>
      <c r="MNP69" s="4"/>
      <c r="MNQ69" s="4"/>
      <c r="MNR69" s="4"/>
      <c r="MNS69" s="4"/>
      <c r="MNT69" s="4"/>
      <c r="MNU69" s="4"/>
      <c r="MNV69" s="4"/>
      <c r="MNW69" s="4"/>
      <c r="MNX69" s="4"/>
      <c r="MNY69" s="4"/>
      <c r="MNZ69" s="4"/>
      <c r="MOA69" s="4"/>
      <c r="MOB69" s="4"/>
      <c r="MOC69" s="4"/>
      <c r="MOD69" s="4"/>
      <c r="MOE69" s="4"/>
      <c r="MOF69" s="4"/>
      <c r="MOG69" s="4"/>
      <c r="MOH69" s="4"/>
      <c r="MOI69" s="4"/>
      <c r="MOJ69" s="4"/>
      <c r="MOK69" s="4"/>
      <c r="MOL69" s="4"/>
      <c r="MOM69" s="4"/>
      <c r="MON69" s="4"/>
      <c r="MOO69" s="4"/>
      <c r="MOP69" s="4"/>
      <c r="MOQ69" s="4"/>
      <c r="MOR69" s="4"/>
      <c r="MOS69" s="4"/>
      <c r="MOT69" s="4"/>
      <c r="MOU69" s="4"/>
      <c r="MOV69" s="4"/>
      <c r="MOW69" s="4"/>
      <c r="MOX69" s="4"/>
      <c r="MOY69" s="4"/>
      <c r="MOZ69" s="4"/>
      <c r="MPA69" s="4"/>
      <c r="MPB69" s="4"/>
      <c r="MPC69" s="4"/>
      <c r="MPD69" s="4"/>
      <c r="MPE69" s="4"/>
      <c r="MPF69" s="4"/>
      <c r="MPG69" s="4"/>
      <c r="MPH69" s="4"/>
      <c r="MPI69" s="4"/>
      <c r="MPJ69" s="4"/>
      <c r="MPK69" s="4"/>
      <c r="MPL69" s="4"/>
      <c r="MPM69" s="4"/>
      <c r="MPN69" s="4"/>
      <c r="MPO69" s="4"/>
      <c r="MPP69" s="4"/>
      <c r="MPQ69" s="4"/>
      <c r="MPR69" s="4"/>
      <c r="MPS69" s="4"/>
      <c r="MPT69" s="4"/>
      <c r="MPU69" s="4"/>
      <c r="MPV69" s="4"/>
      <c r="MPW69" s="4"/>
      <c r="MPX69" s="4"/>
      <c r="MPY69" s="4"/>
      <c r="MPZ69" s="4"/>
      <c r="MQA69" s="4"/>
      <c r="MQB69" s="4"/>
      <c r="MQC69" s="4"/>
      <c r="MQD69" s="4"/>
      <c r="MQE69" s="4"/>
      <c r="MQF69" s="4"/>
      <c r="MQG69" s="4"/>
      <c r="MQH69" s="4"/>
      <c r="MQI69" s="4"/>
      <c r="MQJ69" s="4"/>
      <c r="MQK69" s="4"/>
      <c r="MQL69" s="4"/>
      <c r="MQM69" s="4"/>
      <c r="MQN69" s="4"/>
      <c r="MQO69" s="4"/>
      <c r="MQP69" s="4"/>
      <c r="MQQ69" s="4"/>
      <c r="MQR69" s="4"/>
      <c r="MQS69" s="4"/>
      <c r="MQT69" s="4"/>
      <c r="MQU69" s="4"/>
      <c r="MQV69" s="4"/>
      <c r="MQW69" s="4"/>
      <c r="MQX69" s="4"/>
      <c r="MQY69" s="4"/>
      <c r="MQZ69" s="4"/>
      <c r="MRA69" s="4"/>
      <c r="MRB69" s="4"/>
      <c r="MRC69" s="4"/>
      <c r="MRD69" s="4"/>
      <c r="MRE69" s="4"/>
      <c r="MRF69" s="4"/>
      <c r="MRG69" s="4"/>
      <c r="MRH69" s="4"/>
      <c r="MRI69" s="4"/>
      <c r="MRJ69" s="4"/>
      <c r="MRK69" s="4"/>
      <c r="MRL69" s="4"/>
      <c r="MRM69" s="4"/>
      <c r="MRN69" s="4"/>
      <c r="MRO69" s="4"/>
      <c r="MRP69" s="4"/>
      <c r="MRQ69" s="4"/>
      <c r="MRR69" s="4"/>
      <c r="MRS69" s="4"/>
      <c r="MRT69" s="4"/>
      <c r="MRU69" s="4"/>
      <c r="MRV69" s="4"/>
      <c r="MRW69" s="4"/>
      <c r="MRX69" s="4"/>
      <c r="MRY69" s="4"/>
      <c r="MRZ69" s="4"/>
      <c r="MSA69" s="4"/>
      <c r="MSB69" s="4"/>
      <c r="MSC69" s="4"/>
      <c r="MSD69" s="4"/>
      <c r="MSE69" s="4"/>
      <c r="MSF69" s="4"/>
      <c r="MSG69" s="4"/>
      <c r="MSH69" s="4"/>
      <c r="MSI69" s="4"/>
      <c r="MSJ69" s="4"/>
      <c r="MSK69" s="4"/>
      <c r="MSL69" s="4"/>
      <c r="MSM69" s="4"/>
      <c r="MSN69" s="4"/>
      <c r="MSO69" s="4"/>
      <c r="MSP69" s="4"/>
      <c r="MSQ69" s="4"/>
      <c r="MSR69" s="4"/>
      <c r="MSS69" s="4"/>
      <c r="MST69" s="4"/>
      <c r="MSU69" s="4"/>
      <c r="MSV69" s="4"/>
      <c r="MSW69" s="4"/>
      <c r="MSX69" s="4"/>
      <c r="MSY69" s="4"/>
      <c r="MSZ69" s="4"/>
      <c r="MTA69" s="4"/>
      <c r="MTB69" s="4"/>
      <c r="MTC69" s="4"/>
      <c r="MTD69" s="4"/>
      <c r="MTE69" s="4"/>
      <c r="MTF69" s="4"/>
      <c r="MTG69" s="4"/>
      <c r="MTH69" s="4"/>
      <c r="MTI69" s="4"/>
      <c r="MTJ69" s="4"/>
      <c r="MTK69" s="4"/>
      <c r="MTL69" s="4"/>
      <c r="MTM69" s="4"/>
      <c r="MTN69" s="4"/>
      <c r="MTO69" s="4"/>
      <c r="MTP69" s="4"/>
      <c r="MTQ69" s="4"/>
      <c r="MTR69" s="4"/>
      <c r="MTS69" s="4"/>
      <c r="MTT69" s="4"/>
      <c r="MTU69" s="4"/>
      <c r="MTV69" s="4"/>
      <c r="MTW69" s="4"/>
      <c r="MTX69" s="4"/>
      <c r="MTY69" s="4"/>
      <c r="MTZ69" s="4"/>
      <c r="MUA69" s="4"/>
      <c r="MUB69" s="4"/>
      <c r="MUC69" s="4"/>
      <c r="MUD69" s="4"/>
      <c r="MUE69" s="4"/>
      <c r="MUF69" s="4"/>
      <c r="MUG69" s="4"/>
      <c r="MUH69" s="4"/>
      <c r="MUI69" s="4"/>
      <c r="MUJ69" s="4"/>
      <c r="MUK69" s="4"/>
      <c r="MUL69" s="4"/>
      <c r="MUM69" s="4"/>
      <c r="MUN69" s="4"/>
      <c r="MUO69" s="4"/>
      <c r="MUP69" s="4"/>
      <c r="MUQ69" s="4"/>
      <c r="MUR69" s="4"/>
      <c r="MUS69" s="4"/>
      <c r="MUT69" s="4"/>
      <c r="MUU69" s="4"/>
      <c r="MUV69" s="4"/>
      <c r="MUW69" s="4"/>
      <c r="MUX69" s="4"/>
      <c r="MUY69" s="4"/>
      <c r="MUZ69" s="4"/>
      <c r="MVA69" s="4"/>
      <c r="MVB69" s="4"/>
      <c r="MVC69" s="4"/>
      <c r="MVD69" s="4"/>
      <c r="MVE69" s="4"/>
      <c r="MVF69" s="4"/>
      <c r="MVG69" s="4"/>
      <c r="MVH69" s="4"/>
      <c r="MVI69" s="4"/>
      <c r="MVJ69" s="4"/>
      <c r="MVK69" s="4"/>
      <c r="MVL69" s="4"/>
      <c r="MVM69" s="4"/>
      <c r="MVN69" s="4"/>
      <c r="MVO69" s="4"/>
      <c r="MVP69" s="4"/>
      <c r="MVQ69" s="4"/>
      <c r="MVR69" s="4"/>
      <c r="MVS69" s="4"/>
      <c r="MVT69" s="4"/>
      <c r="MVU69" s="4"/>
      <c r="MVV69" s="4"/>
      <c r="MVW69" s="4"/>
      <c r="MVX69" s="4"/>
      <c r="MVY69" s="4"/>
      <c r="MVZ69" s="4"/>
      <c r="MWA69" s="4"/>
      <c r="MWB69" s="4"/>
      <c r="MWC69" s="4"/>
      <c r="MWD69" s="4"/>
      <c r="MWE69" s="4"/>
      <c r="MWF69" s="4"/>
      <c r="MWG69" s="4"/>
      <c r="MWH69" s="4"/>
      <c r="MWI69" s="4"/>
      <c r="MWJ69" s="4"/>
      <c r="MWK69" s="4"/>
      <c r="MWL69" s="4"/>
      <c r="MWM69" s="4"/>
      <c r="MWN69" s="4"/>
      <c r="MWO69" s="4"/>
      <c r="MWP69" s="4"/>
      <c r="MWQ69" s="4"/>
      <c r="MWR69" s="4"/>
      <c r="MWS69" s="4"/>
      <c r="MWT69" s="4"/>
      <c r="MWU69" s="4"/>
      <c r="MWV69" s="4"/>
      <c r="MWW69" s="4"/>
      <c r="MWX69" s="4"/>
      <c r="MWY69" s="4"/>
      <c r="MWZ69" s="4"/>
      <c r="MXA69" s="4"/>
      <c r="MXB69" s="4"/>
      <c r="MXC69" s="4"/>
      <c r="MXD69" s="4"/>
      <c r="MXE69" s="4"/>
      <c r="MXF69" s="4"/>
      <c r="MXG69" s="4"/>
      <c r="MXH69" s="4"/>
      <c r="MXI69" s="4"/>
      <c r="MXJ69" s="4"/>
      <c r="MXK69" s="4"/>
      <c r="MXL69" s="4"/>
      <c r="MXM69" s="4"/>
      <c r="MXN69" s="4"/>
      <c r="MXO69" s="4"/>
      <c r="MXP69" s="4"/>
      <c r="MXQ69" s="4"/>
      <c r="MXR69" s="4"/>
      <c r="MXS69" s="4"/>
      <c r="MXT69" s="4"/>
      <c r="MXU69" s="4"/>
      <c r="MXV69" s="4"/>
      <c r="MXW69" s="4"/>
      <c r="MXX69" s="4"/>
      <c r="MXY69" s="4"/>
      <c r="MXZ69" s="4"/>
      <c r="MYA69" s="4"/>
      <c r="MYB69" s="4"/>
      <c r="MYC69" s="4"/>
      <c r="MYD69" s="4"/>
      <c r="MYE69" s="4"/>
      <c r="MYF69" s="4"/>
      <c r="MYG69" s="4"/>
      <c r="MYH69" s="4"/>
      <c r="MYI69" s="4"/>
      <c r="MYJ69" s="4"/>
      <c r="MYK69" s="4"/>
      <c r="MYL69" s="4"/>
      <c r="MYM69" s="4"/>
      <c r="MYN69" s="4"/>
      <c r="MYO69" s="4"/>
      <c r="MYP69" s="4"/>
      <c r="MYQ69" s="4"/>
      <c r="MYR69" s="4"/>
      <c r="MYS69" s="4"/>
      <c r="MYT69" s="4"/>
      <c r="MYU69" s="4"/>
      <c r="MYV69" s="4"/>
      <c r="MYW69" s="4"/>
      <c r="MYX69" s="4"/>
      <c r="MYY69" s="4"/>
      <c r="MYZ69" s="4"/>
      <c r="MZA69" s="4"/>
      <c r="MZB69" s="4"/>
      <c r="MZC69" s="4"/>
      <c r="MZD69" s="4"/>
      <c r="MZE69" s="4"/>
      <c r="MZF69" s="4"/>
      <c r="MZG69" s="4"/>
      <c r="MZH69" s="4"/>
      <c r="MZI69" s="4"/>
      <c r="MZJ69" s="4"/>
      <c r="MZK69" s="4"/>
      <c r="MZL69" s="4"/>
      <c r="MZM69" s="4"/>
      <c r="MZN69" s="4"/>
      <c r="MZO69" s="4"/>
      <c r="MZP69" s="4"/>
      <c r="MZQ69" s="4"/>
      <c r="MZR69" s="4"/>
      <c r="MZS69" s="4"/>
      <c r="MZT69" s="4"/>
      <c r="MZU69" s="4"/>
      <c r="MZV69" s="4"/>
      <c r="MZW69" s="4"/>
      <c r="MZX69" s="4"/>
      <c r="MZY69" s="4"/>
      <c r="MZZ69" s="4"/>
      <c r="NAA69" s="4"/>
      <c r="NAB69" s="4"/>
      <c r="NAC69" s="4"/>
      <c r="NAD69" s="4"/>
      <c r="NAE69" s="4"/>
      <c r="NAF69" s="4"/>
      <c r="NAG69" s="4"/>
      <c r="NAH69" s="4"/>
      <c r="NAI69" s="4"/>
      <c r="NAJ69" s="4"/>
      <c r="NAK69" s="4"/>
      <c r="NAL69" s="4"/>
      <c r="NAM69" s="4"/>
      <c r="NAN69" s="4"/>
      <c r="NAO69" s="4"/>
      <c r="NAP69" s="4"/>
      <c r="NAQ69" s="4"/>
      <c r="NAR69" s="4"/>
      <c r="NAS69" s="4"/>
      <c r="NAT69" s="4"/>
      <c r="NAU69" s="4"/>
      <c r="NAV69" s="4"/>
      <c r="NAW69" s="4"/>
      <c r="NAX69" s="4"/>
      <c r="NAY69" s="4"/>
      <c r="NAZ69" s="4"/>
      <c r="NBA69" s="4"/>
      <c r="NBB69" s="4"/>
      <c r="NBC69" s="4"/>
      <c r="NBD69" s="4"/>
      <c r="NBE69" s="4"/>
      <c r="NBF69" s="4"/>
      <c r="NBG69" s="4"/>
      <c r="NBH69" s="4"/>
      <c r="NBI69" s="4"/>
      <c r="NBJ69" s="4"/>
      <c r="NBK69" s="4"/>
      <c r="NBL69" s="4"/>
      <c r="NBM69" s="4"/>
      <c r="NBN69" s="4"/>
      <c r="NBO69" s="4"/>
      <c r="NBP69" s="4"/>
      <c r="NBQ69" s="4"/>
      <c r="NBR69" s="4"/>
      <c r="NBS69" s="4"/>
      <c r="NBT69" s="4"/>
      <c r="NBU69" s="4"/>
      <c r="NBV69" s="4"/>
      <c r="NBW69" s="4"/>
      <c r="NBX69" s="4"/>
      <c r="NBY69" s="4"/>
      <c r="NBZ69" s="4"/>
      <c r="NCA69" s="4"/>
      <c r="NCB69" s="4"/>
      <c r="NCC69" s="4"/>
      <c r="NCD69" s="4"/>
      <c r="NCE69" s="4"/>
      <c r="NCF69" s="4"/>
      <c r="NCG69" s="4"/>
      <c r="NCH69" s="4"/>
      <c r="NCI69" s="4"/>
      <c r="NCJ69" s="4"/>
      <c r="NCK69" s="4"/>
      <c r="NCL69" s="4"/>
      <c r="NCM69" s="4"/>
      <c r="NCN69" s="4"/>
      <c r="NCO69" s="4"/>
      <c r="NCP69" s="4"/>
      <c r="NCQ69" s="4"/>
      <c r="NCR69" s="4"/>
      <c r="NCS69" s="4"/>
      <c r="NCT69" s="4"/>
      <c r="NCU69" s="4"/>
      <c r="NCV69" s="4"/>
      <c r="NCW69" s="4"/>
      <c r="NCX69" s="4"/>
      <c r="NCY69" s="4"/>
      <c r="NCZ69" s="4"/>
      <c r="NDA69" s="4"/>
      <c r="NDB69" s="4"/>
      <c r="NDC69" s="4"/>
      <c r="NDD69" s="4"/>
      <c r="NDE69" s="4"/>
      <c r="NDF69" s="4"/>
      <c r="NDG69" s="4"/>
      <c r="NDH69" s="4"/>
      <c r="NDI69" s="4"/>
      <c r="NDJ69" s="4"/>
      <c r="NDK69" s="4"/>
      <c r="NDL69" s="4"/>
      <c r="NDM69" s="4"/>
      <c r="NDN69" s="4"/>
      <c r="NDO69" s="4"/>
      <c r="NDP69" s="4"/>
      <c r="NDQ69" s="4"/>
      <c r="NDR69" s="4"/>
      <c r="NDS69" s="4"/>
      <c r="NDT69" s="4"/>
      <c r="NDU69" s="4"/>
      <c r="NDV69" s="4"/>
      <c r="NDW69" s="4"/>
      <c r="NDX69" s="4"/>
      <c r="NDY69" s="4"/>
      <c r="NDZ69" s="4"/>
      <c r="NEA69" s="4"/>
      <c r="NEB69" s="4"/>
      <c r="NEC69" s="4"/>
      <c r="NED69" s="4"/>
      <c r="NEE69" s="4"/>
      <c r="NEF69" s="4"/>
      <c r="NEG69" s="4"/>
      <c r="NEH69" s="4"/>
      <c r="NEI69" s="4"/>
      <c r="NEJ69" s="4"/>
      <c r="NEK69" s="4"/>
      <c r="NEL69" s="4"/>
      <c r="NEM69" s="4"/>
      <c r="NEN69" s="4"/>
      <c r="NEO69" s="4"/>
      <c r="NEP69" s="4"/>
      <c r="NEQ69" s="4"/>
      <c r="NER69" s="4"/>
      <c r="NES69" s="4"/>
      <c r="NET69" s="4"/>
      <c r="NEU69" s="4"/>
      <c r="NEV69" s="4"/>
      <c r="NEW69" s="4"/>
      <c r="NEX69" s="4"/>
      <c r="NEY69" s="4"/>
      <c r="NEZ69" s="4"/>
      <c r="NFA69" s="4"/>
      <c r="NFB69" s="4"/>
      <c r="NFC69" s="4"/>
      <c r="NFD69" s="4"/>
      <c r="NFE69" s="4"/>
      <c r="NFF69" s="4"/>
      <c r="NFG69" s="4"/>
      <c r="NFH69" s="4"/>
      <c r="NFI69" s="4"/>
      <c r="NFJ69" s="4"/>
      <c r="NFK69" s="4"/>
      <c r="NFL69" s="4"/>
      <c r="NFM69" s="4"/>
      <c r="NFN69" s="4"/>
      <c r="NFO69" s="4"/>
      <c r="NFP69" s="4"/>
      <c r="NFQ69" s="4"/>
      <c r="NFR69" s="4"/>
      <c r="NFS69" s="4"/>
      <c r="NFT69" s="4"/>
      <c r="NFU69" s="4"/>
      <c r="NFV69" s="4"/>
      <c r="NFW69" s="4"/>
      <c r="NFX69" s="4"/>
      <c r="NFY69" s="4"/>
      <c r="NFZ69" s="4"/>
      <c r="NGA69" s="4"/>
      <c r="NGB69" s="4"/>
      <c r="NGC69" s="4"/>
      <c r="NGD69" s="4"/>
      <c r="NGE69" s="4"/>
      <c r="NGF69" s="4"/>
      <c r="NGG69" s="4"/>
      <c r="NGH69" s="4"/>
      <c r="NGI69" s="4"/>
      <c r="NGJ69" s="4"/>
      <c r="NGK69" s="4"/>
      <c r="NGL69" s="4"/>
      <c r="NGM69" s="4"/>
      <c r="NGN69" s="4"/>
      <c r="NGO69" s="4"/>
      <c r="NGP69" s="4"/>
      <c r="NGQ69" s="4"/>
      <c r="NGR69" s="4"/>
      <c r="NGS69" s="4"/>
      <c r="NGT69" s="4"/>
      <c r="NGU69" s="4"/>
      <c r="NGV69" s="4"/>
      <c r="NGW69" s="4"/>
      <c r="NGX69" s="4"/>
      <c r="NGY69" s="4"/>
      <c r="NGZ69" s="4"/>
      <c r="NHA69" s="4"/>
      <c r="NHB69" s="4"/>
      <c r="NHC69" s="4"/>
      <c r="NHD69" s="4"/>
      <c r="NHE69" s="4"/>
      <c r="NHF69" s="4"/>
      <c r="NHG69" s="4"/>
      <c r="NHH69" s="4"/>
      <c r="NHI69" s="4"/>
      <c r="NHJ69" s="4"/>
      <c r="NHK69" s="4"/>
      <c r="NHL69" s="4"/>
      <c r="NHM69" s="4"/>
      <c r="NHN69" s="4"/>
      <c r="NHO69" s="4"/>
      <c r="NHP69" s="4"/>
      <c r="NHQ69" s="4"/>
      <c r="NHR69" s="4"/>
      <c r="NHS69" s="4"/>
      <c r="NHT69" s="4"/>
      <c r="NHU69" s="4"/>
      <c r="NHV69" s="4"/>
      <c r="NHW69" s="4"/>
      <c r="NHX69" s="4"/>
      <c r="NHY69" s="4"/>
      <c r="NHZ69" s="4"/>
      <c r="NIA69" s="4"/>
      <c r="NIB69" s="4"/>
      <c r="NIC69" s="4"/>
      <c r="NID69" s="4"/>
      <c r="NIE69" s="4"/>
      <c r="NIF69" s="4"/>
      <c r="NIG69" s="4"/>
      <c r="NIH69" s="4"/>
      <c r="NII69" s="4"/>
      <c r="NIJ69" s="4"/>
      <c r="NIK69" s="4"/>
      <c r="NIL69" s="4"/>
      <c r="NIM69" s="4"/>
      <c r="NIN69" s="4"/>
      <c r="NIO69" s="4"/>
      <c r="NIP69" s="4"/>
      <c r="NIQ69" s="4"/>
      <c r="NIR69" s="4"/>
      <c r="NIS69" s="4"/>
      <c r="NIT69" s="4"/>
      <c r="NIU69" s="4"/>
      <c r="NIV69" s="4"/>
      <c r="NIW69" s="4"/>
      <c r="NIX69" s="4"/>
      <c r="NIY69" s="4"/>
      <c r="NIZ69" s="4"/>
      <c r="NJA69" s="4"/>
      <c r="NJB69" s="4"/>
      <c r="NJC69" s="4"/>
      <c r="NJD69" s="4"/>
      <c r="NJE69" s="4"/>
      <c r="NJF69" s="4"/>
      <c r="NJG69" s="4"/>
      <c r="NJH69" s="4"/>
      <c r="NJI69" s="4"/>
      <c r="NJJ69" s="4"/>
      <c r="NJK69" s="4"/>
      <c r="NJL69" s="4"/>
      <c r="NJM69" s="4"/>
      <c r="NJN69" s="4"/>
      <c r="NJO69" s="4"/>
      <c r="NJP69" s="4"/>
      <c r="NJQ69" s="4"/>
      <c r="NJR69" s="4"/>
      <c r="NJS69" s="4"/>
      <c r="NJT69" s="4"/>
      <c r="NJU69" s="4"/>
      <c r="NJV69" s="4"/>
      <c r="NJW69" s="4"/>
      <c r="NJX69" s="4"/>
      <c r="NJY69" s="4"/>
      <c r="NJZ69" s="4"/>
      <c r="NKA69" s="4"/>
      <c r="NKB69" s="4"/>
      <c r="NKC69" s="4"/>
      <c r="NKD69" s="4"/>
      <c r="NKE69" s="4"/>
      <c r="NKF69" s="4"/>
      <c r="NKG69" s="4"/>
      <c r="NKH69" s="4"/>
      <c r="NKI69" s="4"/>
      <c r="NKJ69" s="4"/>
      <c r="NKK69" s="4"/>
      <c r="NKL69" s="4"/>
      <c r="NKM69" s="4"/>
      <c r="NKN69" s="4"/>
      <c r="NKO69" s="4"/>
      <c r="NKP69" s="4"/>
      <c r="NKQ69" s="4"/>
      <c r="NKR69" s="4"/>
      <c r="NKS69" s="4"/>
      <c r="NKT69" s="4"/>
      <c r="NKU69" s="4"/>
      <c r="NKV69" s="4"/>
      <c r="NKW69" s="4"/>
      <c r="NKX69" s="4"/>
      <c r="NKY69" s="4"/>
      <c r="NKZ69" s="4"/>
      <c r="NLA69" s="4"/>
      <c r="NLB69" s="4"/>
      <c r="NLC69" s="4"/>
      <c r="NLD69" s="4"/>
      <c r="NLE69" s="4"/>
      <c r="NLF69" s="4"/>
      <c r="NLG69" s="4"/>
      <c r="NLH69" s="4"/>
      <c r="NLI69" s="4"/>
      <c r="NLJ69" s="4"/>
      <c r="NLK69" s="4"/>
      <c r="NLL69" s="4"/>
      <c r="NLM69" s="4"/>
      <c r="NLN69" s="4"/>
      <c r="NLO69" s="4"/>
      <c r="NLP69" s="4"/>
      <c r="NLQ69" s="4"/>
      <c r="NLR69" s="4"/>
      <c r="NLS69" s="4"/>
      <c r="NLT69" s="4"/>
      <c r="NLU69" s="4"/>
      <c r="NLV69" s="4"/>
      <c r="NLW69" s="4"/>
      <c r="NLX69" s="4"/>
      <c r="NLY69" s="4"/>
      <c r="NLZ69" s="4"/>
      <c r="NMA69" s="4"/>
      <c r="NMB69" s="4"/>
      <c r="NMC69" s="4"/>
      <c r="NMD69" s="4"/>
      <c r="NME69" s="4"/>
      <c r="NMF69" s="4"/>
      <c r="NMG69" s="4"/>
      <c r="NMH69" s="4"/>
      <c r="NMI69" s="4"/>
      <c r="NMJ69" s="4"/>
      <c r="NMK69" s="4"/>
      <c r="NML69" s="4"/>
      <c r="NMM69" s="4"/>
      <c r="NMN69" s="4"/>
      <c r="NMO69" s="4"/>
      <c r="NMP69" s="4"/>
      <c r="NMQ69" s="4"/>
      <c r="NMR69" s="4"/>
      <c r="NMS69" s="4"/>
      <c r="NMT69" s="4"/>
      <c r="NMU69" s="4"/>
      <c r="NMV69" s="4"/>
      <c r="NMW69" s="4"/>
      <c r="NMX69" s="4"/>
      <c r="NMY69" s="4"/>
      <c r="NMZ69" s="4"/>
      <c r="NNA69" s="4"/>
      <c r="NNB69" s="4"/>
      <c r="NNC69" s="4"/>
      <c r="NND69" s="4"/>
      <c r="NNE69" s="4"/>
      <c r="NNF69" s="4"/>
      <c r="NNG69" s="4"/>
      <c r="NNH69" s="4"/>
      <c r="NNI69" s="4"/>
      <c r="NNJ69" s="4"/>
      <c r="NNK69" s="4"/>
      <c r="NNL69" s="4"/>
      <c r="NNM69" s="4"/>
      <c r="NNN69" s="4"/>
      <c r="NNO69" s="4"/>
      <c r="NNP69" s="4"/>
      <c r="NNQ69" s="4"/>
      <c r="NNR69" s="4"/>
      <c r="NNS69" s="4"/>
      <c r="NNT69" s="4"/>
      <c r="NNU69" s="4"/>
      <c r="NNV69" s="4"/>
      <c r="NNW69" s="4"/>
      <c r="NNX69" s="4"/>
      <c r="NNY69" s="4"/>
      <c r="NNZ69" s="4"/>
      <c r="NOA69" s="4"/>
      <c r="NOB69" s="4"/>
      <c r="NOC69" s="4"/>
      <c r="NOD69" s="4"/>
      <c r="NOE69" s="4"/>
      <c r="NOF69" s="4"/>
      <c r="NOG69" s="4"/>
      <c r="NOH69" s="4"/>
      <c r="NOI69" s="4"/>
      <c r="NOJ69" s="4"/>
      <c r="NOK69" s="4"/>
      <c r="NOL69" s="4"/>
      <c r="NOM69" s="4"/>
      <c r="NON69" s="4"/>
      <c r="NOO69" s="4"/>
      <c r="NOP69" s="4"/>
      <c r="NOQ69" s="4"/>
      <c r="NOR69" s="4"/>
      <c r="NOS69" s="4"/>
      <c r="NOT69" s="4"/>
      <c r="NOU69" s="4"/>
      <c r="NOV69" s="4"/>
      <c r="NOW69" s="4"/>
      <c r="NOX69" s="4"/>
      <c r="NOY69" s="4"/>
      <c r="NOZ69" s="4"/>
      <c r="NPA69" s="4"/>
      <c r="NPB69" s="4"/>
      <c r="NPC69" s="4"/>
      <c r="NPD69" s="4"/>
      <c r="NPE69" s="4"/>
      <c r="NPF69" s="4"/>
      <c r="NPG69" s="4"/>
      <c r="NPH69" s="4"/>
      <c r="NPI69" s="4"/>
      <c r="NPJ69" s="4"/>
      <c r="NPK69" s="4"/>
      <c r="NPL69" s="4"/>
      <c r="NPM69" s="4"/>
      <c r="NPN69" s="4"/>
      <c r="NPO69" s="4"/>
      <c r="NPP69" s="4"/>
      <c r="NPQ69" s="4"/>
      <c r="NPR69" s="4"/>
      <c r="NPS69" s="4"/>
      <c r="NPT69" s="4"/>
      <c r="NPU69" s="4"/>
      <c r="NPV69" s="4"/>
      <c r="NPW69" s="4"/>
      <c r="NPX69" s="4"/>
      <c r="NPY69" s="4"/>
      <c r="NPZ69" s="4"/>
      <c r="NQA69" s="4"/>
      <c r="NQB69" s="4"/>
      <c r="NQC69" s="4"/>
      <c r="NQD69" s="4"/>
      <c r="NQE69" s="4"/>
      <c r="NQF69" s="4"/>
      <c r="NQG69" s="4"/>
      <c r="NQH69" s="4"/>
      <c r="NQI69" s="4"/>
      <c r="NQJ69" s="4"/>
      <c r="NQK69" s="4"/>
      <c r="NQL69" s="4"/>
      <c r="NQM69" s="4"/>
      <c r="NQN69" s="4"/>
      <c r="NQO69" s="4"/>
      <c r="NQP69" s="4"/>
      <c r="NQQ69" s="4"/>
      <c r="NQR69" s="4"/>
      <c r="NQS69" s="4"/>
      <c r="NQT69" s="4"/>
      <c r="NQU69" s="4"/>
      <c r="NQV69" s="4"/>
      <c r="NQW69" s="4"/>
      <c r="NQX69" s="4"/>
      <c r="NQY69" s="4"/>
      <c r="NQZ69" s="4"/>
      <c r="NRA69" s="4"/>
      <c r="NRB69" s="4"/>
      <c r="NRC69" s="4"/>
      <c r="NRD69" s="4"/>
      <c r="NRE69" s="4"/>
      <c r="NRF69" s="4"/>
      <c r="NRG69" s="4"/>
      <c r="NRH69" s="4"/>
      <c r="NRI69" s="4"/>
      <c r="NRJ69" s="4"/>
      <c r="NRK69" s="4"/>
      <c r="NRL69" s="4"/>
      <c r="NRM69" s="4"/>
      <c r="NRN69" s="4"/>
      <c r="NRO69" s="4"/>
      <c r="NRP69" s="4"/>
      <c r="NRQ69" s="4"/>
      <c r="NRR69" s="4"/>
      <c r="NRS69" s="4"/>
      <c r="NRT69" s="4"/>
      <c r="NRU69" s="4"/>
      <c r="NRV69" s="4"/>
      <c r="NRW69" s="4"/>
      <c r="NRX69" s="4"/>
      <c r="NRY69" s="4"/>
      <c r="NRZ69" s="4"/>
      <c r="NSA69" s="4"/>
      <c r="NSB69" s="4"/>
      <c r="NSC69" s="4"/>
      <c r="NSD69" s="4"/>
      <c r="NSE69" s="4"/>
      <c r="NSF69" s="4"/>
      <c r="NSG69" s="4"/>
      <c r="NSH69" s="4"/>
      <c r="NSI69" s="4"/>
      <c r="NSJ69" s="4"/>
      <c r="NSK69" s="4"/>
      <c r="NSL69" s="4"/>
      <c r="NSM69" s="4"/>
      <c r="NSN69" s="4"/>
      <c r="NSO69" s="4"/>
      <c r="NSP69" s="4"/>
      <c r="NSQ69" s="4"/>
      <c r="NSR69" s="4"/>
      <c r="NSS69" s="4"/>
      <c r="NST69" s="4"/>
      <c r="NSU69" s="4"/>
      <c r="NSV69" s="4"/>
      <c r="NSW69" s="4"/>
      <c r="NSX69" s="4"/>
      <c r="NSY69" s="4"/>
      <c r="NSZ69" s="4"/>
      <c r="NTA69" s="4"/>
      <c r="NTB69" s="4"/>
      <c r="NTC69" s="4"/>
      <c r="NTD69" s="4"/>
      <c r="NTE69" s="4"/>
      <c r="NTF69" s="4"/>
      <c r="NTG69" s="4"/>
      <c r="NTH69" s="4"/>
      <c r="NTI69" s="4"/>
      <c r="NTJ69" s="4"/>
      <c r="NTK69" s="4"/>
      <c r="NTL69" s="4"/>
      <c r="NTM69" s="4"/>
      <c r="NTN69" s="4"/>
      <c r="NTO69" s="4"/>
      <c r="NTP69" s="4"/>
      <c r="NTQ69" s="4"/>
      <c r="NTR69" s="4"/>
      <c r="NTS69" s="4"/>
      <c r="NTT69" s="4"/>
      <c r="NTU69" s="4"/>
      <c r="NTV69" s="4"/>
      <c r="NTW69" s="4"/>
      <c r="NTX69" s="4"/>
      <c r="NTY69" s="4"/>
      <c r="NTZ69" s="4"/>
      <c r="NUA69" s="4"/>
      <c r="NUB69" s="4"/>
      <c r="NUC69" s="4"/>
      <c r="NUD69" s="4"/>
      <c r="NUE69" s="4"/>
      <c r="NUF69" s="4"/>
      <c r="NUG69" s="4"/>
      <c r="NUH69" s="4"/>
      <c r="NUI69" s="4"/>
      <c r="NUJ69" s="4"/>
      <c r="NUK69" s="4"/>
      <c r="NUL69" s="4"/>
      <c r="NUM69" s="4"/>
      <c r="NUN69" s="4"/>
      <c r="NUO69" s="4"/>
      <c r="NUP69" s="4"/>
      <c r="NUQ69" s="4"/>
      <c r="NUR69" s="4"/>
      <c r="NUS69" s="4"/>
      <c r="NUT69" s="4"/>
      <c r="NUU69" s="4"/>
      <c r="NUV69" s="4"/>
      <c r="NUW69" s="4"/>
      <c r="NUX69" s="4"/>
      <c r="NUY69" s="4"/>
      <c r="NUZ69" s="4"/>
      <c r="NVA69" s="4"/>
      <c r="NVB69" s="4"/>
      <c r="NVC69" s="4"/>
      <c r="NVD69" s="4"/>
      <c r="NVE69" s="4"/>
      <c r="NVF69" s="4"/>
      <c r="NVG69" s="4"/>
      <c r="NVH69" s="4"/>
      <c r="NVI69" s="4"/>
      <c r="NVJ69" s="4"/>
      <c r="NVK69" s="4"/>
      <c r="NVL69" s="4"/>
      <c r="NVM69" s="4"/>
      <c r="NVN69" s="4"/>
      <c r="NVO69" s="4"/>
      <c r="NVP69" s="4"/>
      <c r="NVQ69" s="4"/>
      <c r="NVR69" s="4"/>
      <c r="NVS69" s="4"/>
      <c r="NVT69" s="4"/>
      <c r="NVU69" s="4"/>
      <c r="NVV69" s="4"/>
      <c r="NVW69" s="4"/>
      <c r="NVX69" s="4"/>
      <c r="NVY69" s="4"/>
      <c r="NVZ69" s="4"/>
      <c r="NWA69" s="4"/>
      <c r="NWB69" s="4"/>
      <c r="NWC69" s="4"/>
      <c r="NWD69" s="4"/>
      <c r="NWE69" s="4"/>
      <c r="NWF69" s="4"/>
      <c r="NWG69" s="4"/>
      <c r="NWH69" s="4"/>
      <c r="NWI69" s="4"/>
      <c r="NWJ69" s="4"/>
      <c r="NWK69" s="4"/>
      <c r="NWL69" s="4"/>
      <c r="NWM69" s="4"/>
      <c r="NWN69" s="4"/>
      <c r="NWO69" s="4"/>
      <c r="NWP69" s="4"/>
      <c r="NWQ69" s="4"/>
      <c r="NWR69" s="4"/>
      <c r="NWS69" s="4"/>
      <c r="NWT69" s="4"/>
      <c r="NWU69" s="4"/>
      <c r="NWV69" s="4"/>
      <c r="NWW69" s="4"/>
      <c r="NWX69" s="4"/>
      <c r="NWY69" s="4"/>
      <c r="NWZ69" s="4"/>
      <c r="NXA69" s="4"/>
      <c r="NXB69" s="4"/>
      <c r="NXC69" s="4"/>
      <c r="NXD69" s="4"/>
      <c r="NXE69" s="4"/>
      <c r="NXF69" s="4"/>
      <c r="NXG69" s="4"/>
      <c r="NXH69" s="4"/>
      <c r="NXI69" s="4"/>
      <c r="NXJ69" s="4"/>
      <c r="NXK69" s="4"/>
      <c r="NXL69" s="4"/>
      <c r="NXM69" s="4"/>
      <c r="NXN69" s="4"/>
      <c r="NXO69" s="4"/>
      <c r="NXP69" s="4"/>
      <c r="NXQ69" s="4"/>
      <c r="NXR69" s="4"/>
      <c r="NXS69" s="4"/>
      <c r="NXT69" s="4"/>
      <c r="NXU69" s="4"/>
      <c r="NXV69" s="4"/>
      <c r="NXW69" s="4"/>
      <c r="NXX69" s="4"/>
      <c r="NXY69" s="4"/>
      <c r="NXZ69" s="4"/>
      <c r="NYA69" s="4"/>
      <c r="NYB69" s="4"/>
      <c r="NYC69" s="4"/>
      <c r="NYD69" s="4"/>
      <c r="NYE69" s="4"/>
      <c r="NYF69" s="4"/>
      <c r="NYG69" s="4"/>
      <c r="NYH69" s="4"/>
      <c r="NYI69" s="4"/>
      <c r="NYJ69" s="4"/>
      <c r="NYK69" s="4"/>
      <c r="NYL69" s="4"/>
      <c r="NYM69" s="4"/>
      <c r="NYN69" s="4"/>
      <c r="NYO69" s="4"/>
      <c r="NYP69" s="4"/>
      <c r="NYQ69" s="4"/>
      <c r="NYR69" s="4"/>
      <c r="NYS69" s="4"/>
      <c r="NYT69" s="4"/>
      <c r="NYU69" s="4"/>
      <c r="NYV69" s="4"/>
      <c r="NYW69" s="4"/>
      <c r="NYX69" s="4"/>
      <c r="NYY69" s="4"/>
      <c r="NYZ69" s="4"/>
      <c r="NZA69" s="4"/>
      <c r="NZB69" s="4"/>
      <c r="NZC69" s="4"/>
      <c r="NZD69" s="4"/>
      <c r="NZE69" s="4"/>
      <c r="NZF69" s="4"/>
      <c r="NZG69" s="4"/>
      <c r="NZH69" s="4"/>
      <c r="NZI69" s="4"/>
      <c r="NZJ69" s="4"/>
      <c r="NZK69" s="4"/>
      <c r="NZL69" s="4"/>
      <c r="NZM69" s="4"/>
      <c r="NZN69" s="4"/>
      <c r="NZO69" s="4"/>
      <c r="NZP69" s="4"/>
      <c r="NZQ69" s="4"/>
      <c r="NZR69" s="4"/>
      <c r="NZS69" s="4"/>
      <c r="NZT69" s="4"/>
      <c r="NZU69" s="4"/>
      <c r="NZV69" s="4"/>
      <c r="NZW69" s="4"/>
      <c r="NZX69" s="4"/>
      <c r="NZY69" s="4"/>
      <c r="NZZ69" s="4"/>
      <c r="OAA69" s="4"/>
      <c r="OAB69" s="4"/>
      <c r="OAC69" s="4"/>
      <c r="OAD69" s="4"/>
      <c r="OAE69" s="4"/>
      <c r="OAF69" s="4"/>
      <c r="OAG69" s="4"/>
      <c r="OAH69" s="4"/>
      <c r="OAI69" s="4"/>
      <c r="OAJ69" s="4"/>
      <c r="OAK69" s="4"/>
      <c r="OAL69" s="4"/>
      <c r="OAM69" s="4"/>
      <c r="OAN69" s="4"/>
      <c r="OAO69" s="4"/>
      <c r="OAP69" s="4"/>
      <c r="OAQ69" s="4"/>
      <c r="OAR69" s="4"/>
      <c r="OAS69" s="4"/>
      <c r="OAT69" s="4"/>
      <c r="OAU69" s="4"/>
      <c r="OAV69" s="4"/>
      <c r="OAW69" s="4"/>
      <c r="OAX69" s="4"/>
      <c r="OAY69" s="4"/>
      <c r="OAZ69" s="4"/>
      <c r="OBA69" s="4"/>
      <c r="OBB69" s="4"/>
      <c r="OBC69" s="4"/>
      <c r="OBD69" s="4"/>
      <c r="OBE69" s="4"/>
      <c r="OBF69" s="4"/>
      <c r="OBG69" s="4"/>
      <c r="OBH69" s="4"/>
      <c r="OBI69" s="4"/>
      <c r="OBJ69" s="4"/>
      <c r="OBK69" s="4"/>
      <c r="OBL69" s="4"/>
      <c r="OBM69" s="4"/>
      <c r="OBN69" s="4"/>
      <c r="OBO69" s="4"/>
      <c r="OBP69" s="4"/>
      <c r="OBQ69" s="4"/>
      <c r="OBR69" s="4"/>
      <c r="OBS69" s="4"/>
      <c r="OBT69" s="4"/>
      <c r="OBU69" s="4"/>
      <c r="OBV69" s="4"/>
      <c r="OBW69" s="4"/>
      <c r="OBX69" s="4"/>
      <c r="OBY69" s="4"/>
      <c r="OBZ69" s="4"/>
      <c r="OCA69" s="4"/>
      <c r="OCB69" s="4"/>
      <c r="OCC69" s="4"/>
      <c r="OCD69" s="4"/>
      <c r="OCE69" s="4"/>
      <c r="OCF69" s="4"/>
      <c r="OCG69" s="4"/>
      <c r="OCH69" s="4"/>
      <c r="OCI69" s="4"/>
      <c r="OCJ69" s="4"/>
      <c r="OCK69" s="4"/>
      <c r="OCL69" s="4"/>
      <c r="OCM69" s="4"/>
      <c r="OCN69" s="4"/>
      <c r="OCO69" s="4"/>
      <c r="OCP69" s="4"/>
      <c r="OCQ69" s="4"/>
      <c r="OCR69" s="4"/>
      <c r="OCS69" s="4"/>
      <c r="OCT69" s="4"/>
      <c r="OCU69" s="4"/>
      <c r="OCV69" s="4"/>
      <c r="OCW69" s="4"/>
      <c r="OCX69" s="4"/>
      <c r="OCY69" s="4"/>
      <c r="OCZ69" s="4"/>
      <c r="ODA69" s="4"/>
      <c r="ODB69" s="4"/>
      <c r="ODC69" s="4"/>
      <c r="ODD69" s="4"/>
      <c r="ODE69" s="4"/>
      <c r="ODF69" s="4"/>
      <c r="ODG69" s="4"/>
      <c r="ODH69" s="4"/>
      <c r="ODI69" s="4"/>
      <c r="ODJ69" s="4"/>
      <c r="ODK69" s="4"/>
      <c r="ODL69" s="4"/>
      <c r="ODM69" s="4"/>
      <c r="ODN69" s="4"/>
      <c r="ODO69" s="4"/>
      <c r="ODP69" s="4"/>
      <c r="ODQ69" s="4"/>
      <c r="ODR69" s="4"/>
      <c r="ODS69" s="4"/>
      <c r="ODT69" s="4"/>
      <c r="ODU69" s="4"/>
      <c r="ODV69" s="4"/>
      <c r="ODW69" s="4"/>
      <c r="ODX69" s="4"/>
      <c r="ODY69" s="4"/>
      <c r="ODZ69" s="4"/>
      <c r="OEA69" s="4"/>
      <c r="OEB69" s="4"/>
      <c r="OEC69" s="4"/>
      <c r="OED69" s="4"/>
      <c r="OEE69" s="4"/>
      <c r="OEF69" s="4"/>
      <c r="OEG69" s="4"/>
      <c r="OEH69" s="4"/>
      <c r="OEI69" s="4"/>
      <c r="OEJ69" s="4"/>
      <c r="OEK69" s="4"/>
      <c r="OEL69" s="4"/>
      <c r="OEM69" s="4"/>
      <c r="OEN69" s="4"/>
      <c r="OEO69" s="4"/>
      <c r="OEP69" s="4"/>
      <c r="OEQ69" s="4"/>
      <c r="OER69" s="4"/>
      <c r="OES69" s="4"/>
      <c r="OET69" s="4"/>
      <c r="OEU69" s="4"/>
      <c r="OEV69" s="4"/>
      <c r="OEW69" s="4"/>
      <c r="OEX69" s="4"/>
      <c r="OEY69" s="4"/>
      <c r="OEZ69" s="4"/>
      <c r="OFA69" s="4"/>
      <c r="OFB69" s="4"/>
      <c r="OFC69" s="4"/>
      <c r="OFD69" s="4"/>
      <c r="OFE69" s="4"/>
      <c r="OFF69" s="4"/>
      <c r="OFG69" s="4"/>
      <c r="OFH69" s="4"/>
      <c r="OFI69" s="4"/>
      <c r="OFJ69" s="4"/>
      <c r="OFK69" s="4"/>
      <c r="OFL69" s="4"/>
      <c r="OFM69" s="4"/>
      <c r="OFN69" s="4"/>
      <c r="OFO69" s="4"/>
      <c r="OFP69" s="4"/>
      <c r="OFQ69" s="4"/>
      <c r="OFR69" s="4"/>
      <c r="OFS69" s="4"/>
      <c r="OFT69" s="4"/>
      <c r="OFU69" s="4"/>
      <c r="OFV69" s="4"/>
      <c r="OFW69" s="4"/>
      <c r="OFX69" s="4"/>
      <c r="OFY69" s="4"/>
      <c r="OFZ69" s="4"/>
      <c r="OGA69" s="4"/>
      <c r="OGB69" s="4"/>
      <c r="OGC69" s="4"/>
      <c r="OGD69" s="4"/>
      <c r="OGE69" s="4"/>
      <c r="OGF69" s="4"/>
      <c r="OGG69" s="4"/>
      <c r="OGH69" s="4"/>
      <c r="OGI69" s="4"/>
      <c r="OGJ69" s="4"/>
      <c r="OGK69" s="4"/>
      <c r="OGL69" s="4"/>
      <c r="OGM69" s="4"/>
      <c r="OGN69" s="4"/>
      <c r="OGO69" s="4"/>
      <c r="OGP69" s="4"/>
      <c r="OGQ69" s="4"/>
      <c r="OGR69" s="4"/>
      <c r="OGS69" s="4"/>
      <c r="OGT69" s="4"/>
      <c r="OGU69" s="4"/>
      <c r="OGV69" s="4"/>
      <c r="OGW69" s="4"/>
      <c r="OGX69" s="4"/>
      <c r="OGY69" s="4"/>
      <c r="OGZ69" s="4"/>
      <c r="OHA69" s="4"/>
      <c r="OHB69" s="4"/>
      <c r="OHC69" s="4"/>
      <c r="OHD69" s="4"/>
      <c r="OHE69" s="4"/>
      <c r="OHF69" s="4"/>
      <c r="OHG69" s="4"/>
      <c r="OHH69" s="4"/>
      <c r="OHI69" s="4"/>
      <c r="OHJ69" s="4"/>
      <c r="OHK69" s="4"/>
      <c r="OHL69" s="4"/>
      <c r="OHM69" s="4"/>
      <c r="OHN69" s="4"/>
      <c r="OHO69" s="4"/>
      <c r="OHP69" s="4"/>
      <c r="OHQ69" s="4"/>
      <c r="OHR69" s="4"/>
      <c r="OHS69" s="4"/>
      <c r="OHT69" s="4"/>
      <c r="OHU69" s="4"/>
      <c r="OHV69" s="4"/>
      <c r="OHW69" s="4"/>
      <c r="OHX69" s="4"/>
      <c r="OHY69" s="4"/>
      <c r="OHZ69" s="4"/>
      <c r="OIA69" s="4"/>
      <c r="OIB69" s="4"/>
      <c r="OIC69" s="4"/>
      <c r="OID69" s="4"/>
      <c r="OIE69" s="4"/>
      <c r="OIF69" s="4"/>
      <c r="OIG69" s="4"/>
      <c r="OIH69" s="4"/>
      <c r="OII69" s="4"/>
      <c r="OIJ69" s="4"/>
      <c r="OIK69" s="4"/>
      <c r="OIL69" s="4"/>
      <c r="OIM69" s="4"/>
      <c r="OIN69" s="4"/>
      <c r="OIO69" s="4"/>
      <c r="OIP69" s="4"/>
      <c r="OIQ69" s="4"/>
      <c r="OIR69" s="4"/>
      <c r="OIS69" s="4"/>
      <c r="OIT69" s="4"/>
      <c r="OIU69" s="4"/>
      <c r="OIV69" s="4"/>
      <c r="OIW69" s="4"/>
      <c r="OIX69" s="4"/>
      <c r="OIY69" s="4"/>
      <c r="OIZ69" s="4"/>
      <c r="OJA69" s="4"/>
      <c r="OJB69" s="4"/>
      <c r="OJC69" s="4"/>
      <c r="OJD69" s="4"/>
      <c r="OJE69" s="4"/>
      <c r="OJF69" s="4"/>
      <c r="OJG69" s="4"/>
      <c r="OJH69" s="4"/>
      <c r="OJI69" s="4"/>
      <c r="OJJ69" s="4"/>
      <c r="OJK69" s="4"/>
      <c r="OJL69" s="4"/>
      <c r="OJM69" s="4"/>
      <c r="OJN69" s="4"/>
      <c r="OJO69" s="4"/>
      <c r="OJP69" s="4"/>
      <c r="OJQ69" s="4"/>
      <c r="OJR69" s="4"/>
      <c r="OJS69" s="4"/>
      <c r="OJT69" s="4"/>
      <c r="OJU69" s="4"/>
      <c r="OJV69" s="4"/>
      <c r="OJW69" s="4"/>
      <c r="OJX69" s="4"/>
      <c r="OJY69" s="4"/>
      <c r="OJZ69" s="4"/>
      <c r="OKA69" s="4"/>
      <c r="OKB69" s="4"/>
      <c r="OKC69" s="4"/>
      <c r="OKD69" s="4"/>
      <c r="OKE69" s="4"/>
      <c r="OKF69" s="4"/>
      <c r="OKG69" s="4"/>
      <c r="OKH69" s="4"/>
      <c r="OKI69" s="4"/>
      <c r="OKJ69" s="4"/>
      <c r="OKK69" s="4"/>
      <c r="OKL69" s="4"/>
      <c r="OKM69" s="4"/>
      <c r="OKN69" s="4"/>
      <c r="OKO69" s="4"/>
      <c r="OKP69" s="4"/>
      <c r="OKQ69" s="4"/>
      <c r="OKR69" s="4"/>
      <c r="OKS69" s="4"/>
      <c r="OKT69" s="4"/>
      <c r="OKU69" s="4"/>
      <c r="OKV69" s="4"/>
      <c r="OKW69" s="4"/>
      <c r="OKX69" s="4"/>
      <c r="OKY69" s="4"/>
      <c r="OKZ69" s="4"/>
      <c r="OLA69" s="4"/>
      <c r="OLB69" s="4"/>
      <c r="OLC69" s="4"/>
      <c r="OLD69" s="4"/>
      <c r="OLE69" s="4"/>
      <c r="OLF69" s="4"/>
      <c r="OLG69" s="4"/>
      <c r="OLH69" s="4"/>
      <c r="OLI69" s="4"/>
      <c r="OLJ69" s="4"/>
      <c r="OLK69" s="4"/>
      <c r="OLL69" s="4"/>
      <c r="OLM69" s="4"/>
      <c r="OLN69" s="4"/>
      <c r="OLO69" s="4"/>
      <c r="OLP69" s="4"/>
      <c r="OLQ69" s="4"/>
      <c r="OLR69" s="4"/>
      <c r="OLS69" s="4"/>
      <c r="OLT69" s="4"/>
      <c r="OLU69" s="4"/>
      <c r="OLV69" s="4"/>
      <c r="OLW69" s="4"/>
      <c r="OLX69" s="4"/>
      <c r="OLY69" s="4"/>
      <c r="OLZ69" s="4"/>
      <c r="OMA69" s="4"/>
      <c r="OMB69" s="4"/>
      <c r="OMC69" s="4"/>
      <c r="OMD69" s="4"/>
      <c r="OME69" s="4"/>
      <c r="OMF69" s="4"/>
      <c r="OMG69" s="4"/>
      <c r="OMH69" s="4"/>
      <c r="OMI69" s="4"/>
      <c r="OMJ69" s="4"/>
      <c r="OMK69" s="4"/>
      <c r="OML69" s="4"/>
      <c r="OMM69" s="4"/>
      <c r="OMN69" s="4"/>
      <c r="OMO69" s="4"/>
      <c r="OMP69" s="4"/>
      <c r="OMQ69" s="4"/>
      <c r="OMR69" s="4"/>
      <c r="OMS69" s="4"/>
      <c r="OMT69" s="4"/>
      <c r="OMU69" s="4"/>
      <c r="OMV69" s="4"/>
      <c r="OMW69" s="4"/>
      <c r="OMX69" s="4"/>
      <c r="OMY69" s="4"/>
      <c r="OMZ69" s="4"/>
      <c r="ONA69" s="4"/>
      <c r="ONB69" s="4"/>
      <c r="ONC69" s="4"/>
      <c r="OND69" s="4"/>
      <c r="ONE69" s="4"/>
      <c r="ONF69" s="4"/>
      <c r="ONG69" s="4"/>
      <c r="ONH69" s="4"/>
      <c r="ONI69" s="4"/>
      <c r="ONJ69" s="4"/>
      <c r="ONK69" s="4"/>
      <c r="ONL69" s="4"/>
      <c r="ONM69" s="4"/>
      <c r="ONN69" s="4"/>
      <c r="ONO69" s="4"/>
      <c r="ONP69" s="4"/>
      <c r="ONQ69" s="4"/>
      <c r="ONR69" s="4"/>
      <c r="ONS69" s="4"/>
      <c r="ONT69" s="4"/>
      <c r="ONU69" s="4"/>
      <c r="ONV69" s="4"/>
      <c r="ONW69" s="4"/>
      <c r="ONX69" s="4"/>
      <c r="ONY69" s="4"/>
      <c r="ONZ69" s="4"/>
      <c r="OOA69" s="4"/>
      <c r="OOB69" s="4"/>
      <c r="OOC69" s="4"/>
      <c r="OOD69" s="4"/>
      <c r="OOE69" s="4"/>
      <c r="OOF69" s="4"/>
      <c r="OOG69" s="4"/>
      <c r="OOH69" s="4"/>
      <c r="OOI69" s="4"/>
      <c r="OOJ69" s="4"/>
      <c r="OOK69" s="4"/>
      <c r="OOL69" s="4"/>
      <c r="OOM69" s="4"/>
      <c r="OON69" s="4"/>
      <c r="OOO69" s="4"/>
      <c r="OOP69" s="4"/>
      <c r="OOQ69" s="4"/>
      <c r="OOR69" s="4"/>
      <c r="OOS69" s="4"/>
      <c r="OOT69" s="4"/>
      <c r="OOU69" s="4"/>
      <c r="OOV69" s="4"/>
      <c r="OOW69" s="4"/>
      <c r="OOX69" s="4"/>
      <c r="OOY69" s="4"/>
      <c r="OOZ69" s="4"/>
      <c r="OPA69" s="4"/>
      <c r="OPB69" s="4"/>
      <c r="OPC69" s="4"/>
      <c r="OPD69" s="4"/>
      <c r="OPE69" s="4"/>
      <c r="OPF69" s="4"/>
      <c r="OPG69" s="4"/>
      <c r="OPH69" s="4"/>
      <c r="OPI69" s="4"/>
      <c r="OPJ69" s="4"/>
      <c r="OPK69" s="4"/>
      <c r="OPL69" s="4"/>
      <c r="OPM69" s="4"/>
      <c r="OPN69" s="4"/>
      <c r="OPO69" s="4"/>
      <c r="OPP69" s="4"/>
      <c r="OPQ69" s="4"/>
      <c r="OPR69" s="4"/>
      <c r="OPS69" s="4"/>
      <c r="OPT69" s="4"/>
      <c r="OPU69" s="4"/>
      <c r="OPV69" s="4"/>
      <c r="OPW69" s="4"/>
      <c r="OPX69" s="4"/>
      <c r="OPY69" s="4"/>
      <c r="OPZ69" s="4"/>
      <c r="OQA69" s="4"/>
      <c r="OQB69" s="4"/>
      <c r="OQC69" s="4"/>
      <c r="OQD69" s="4"/>
      <c r="OQE69" s="4"/>
      <c r="OQF69" s="4"/>
      <c r="OQG69" s="4"/>
      <c r="OQH69" s="4"/>
      <c r="OQI69" s="4"/>
      <c r="OQJ69" s="4"/>
      <c r="OQK69" s="4"/>
      <c r="OQL69" s="4"/>
      <c r="OQM69" s="4"/>
      <c r="OQN69" s="4"/>
      <c r="OQO69" s="4"/>
      <c r="OQP69" s="4"/>
      <c r="OQQ69" s="4"/>
      <c r="OQR69" s="4"/>
      <c r="OQS69" s="4"/>
      <c r="OQT69" s="4"/>
      <c r="OQU69" s="4"/>
      <c r="OQV69" s="4"/>
      <c r="OQW69" s="4"/>
      <c r="OQX69" s="4"/>
      <c r="OQY69" s="4"/>
      <c r="OQZ69" s="4"/>
      <c r="ORA69" s="4"/>
      <c r="ORB69" s="4"/>
      <c r="ORC69" s="4"/>
      <c r="ORD69" s="4"/>
      <c r="ORE69" s="4"/>
      <c r="ORF69" s="4"/>
      <c r="ORG69" s="4"/>
      <c r="ORH69" s="4"/>
      <c r="ORI69" s="4"/>
      <c r="ORJ69" s="4"/>
      <c r="ORK69" s="4"/>
      <c r="ORL69" s="4"/>
      <c r="ORM69" s="4"/>
      <c r="ORN69" s="4"/>
      <c r="ORO69" s="4"/>
      <c r="ORP69" s="4"/>
      <c r="ORQ69" s="4"/>
      <c r="ORR69" s="4"/>
      <c r="ORS69" s="4"/>
      <c r="ORT69" s="4"/>
      <c r="ORU69" s="4"/>
      <c r="ORV69" s="4"/>
      <c r="ORW69" s="4"/>
      <c r="ORX69" s="4"/>
      <c r="ORY69" s="4"/>
      <c r="ORZ69" s="4"/>
      <c r="OSA69" s="4"/>
      <c r="OSB69" s="4"/>
      <c r="OSC69" s="4"/>
      <c r="OSD69" s="4"/>
      <c r="OSE69" s="4"/>
      <c r="OSF69" s="4"/>
      <c r="OSG69" s="4"/>
      <c r="OSH69" s="4"/>
      <c r="OSI69" s="4"/>
      <c r="OSJ69" s="4"/>
      <c r="OSK69" s="4"/>
      <c r="OSL69" s="4"/>
      <c r="OSM69" s="4"/>
      <c r="OSN69" s="4"/>
      <c r="OSO69" s="4"/>
      <c r="OSP69" s="4"/>
      <c r="OSQ69" s="4"/>
      <c r="OSR69" s="4"/>
      <c r="OSS69" s="4"/>
      <c r="OST69" s="4"/>
      <c r="OSU69" s="4"/>
      <c r="OSV69" s="4"/>
      <c r="OSW69" s="4"/>
      <c r="OSX69" s="4"/>
      <c r="OSY69" s="4"/>
      <c r="OSZ69" s="4"/>
      <c r="OTA69" s="4"/>
      <c r="OTB69" s="4"/>
      <c r="OTC69" s="4"/>
      <c r="OTD69" s="4"/>
      <c r="OTE69" s="4"/>
      <c r="OTF69" s="4"/>
      <c r="OTG69" s="4"/>
      <c r="OTH69" s="4"/>
      <c r="OTI69" s="4"/>
      <c r="OTJ69" s="4"/>
      <c r="OTK69" s="4"/>
      <c r="OTL69" s="4"/>
      <c r="OTM69" s="4"/>
      <c r="OTN69" s="4"/>
      <c r="OTO69" s="4"/>
      <c r="OTP69" s="4"/>
      <c r="OTQ69" s="4"/>
      <c r="OTR69" s="4"/>
      <c r="OTS69" s="4"/>
      <c r="OTT69" s="4"/>
      <c r="OTU69" s="4"/>
      <c r="OTV69" s="4"/>
      <c r="OTW69" s="4"/>
      <c r="OTX69" s="4"/>
      <c r="OTY69" s="4"/>
      <c r="OTZ69" s="4"/>
      <c r="OUA69" s="4"/>
      <c r="OUB69" s="4"/>
      <c r="OUC69" s="4"/>
      <c r="OUD69" s="4"/>
      <c r="OUE69" s="4"/>
      <c r="OUF69" s="4"/>
      <c r="OUG69" s="4"/>
      <c r="OUH69" s="4"/>
      <c r="OUI69" s="4"/>
      <c r="OUJ69" s="4"/>
      <c r="OUK69" s="4"/>
      <c r="OUL69" s="4"/>
      <c r="OUM69" s="4"/>
      <c r="OUN69" s="4"/>
      <c r="OUO69" s="4"/>
      <c r="OUP69" s="4"/>
      <c r="OUQ69" s="4"/>
      <c r="OUR69" s="4"/>
      <c r="OUS69" s="4"/>
      <c r="OUT69" s="4"/>
      <c r="OUU69" s="4"/>
      <c r="OUV69" s="4"/>
      <c r="OUW69" s="4"/>
      <c r="OUX69" s="4"/>
      <c r="OUY69" s="4"/>
      <c r="OUZ69" s="4"/>
      <c r="OVA69" s="4"/>
      <c r="OVB69" s="4"/>
      <c r="OVC69" s="4"/>
      <c r="OVD69" s="4"/>
      <c r="OVE69" s="4"/>
      <c r="OVF69" s="4"/>
      <c r="OVG69" s="4"/>
      <c r="OVH69" s="4"/>
      <c r="OVI69" s="4"/>
      <c r="OVJ69" s="4"/>
      <c r="OVK69" s="4"/>
      <c r="OVL69" s="4"/>
      <c r="OVM69" s="4"/>
      <c r="OVN69" s="4"/>
      <c r="OVO69" s="4"/>
      <c r="OVP69" s="4"/>
      <c r="OVQ69" s="4"/>
      <c r="OVR69" s="4"/>
      <c r="OVS69" s="4"/>
      <c r="OVT69" s="4"/>
      <c r="OVU69" s="4"/>
      <c r="OVV69" s="4"/>
      <c r="OVW69" s="4"/>
      <c r="OVX69" s="4"/>
      <c r="OVY69" s="4"/>
      <c r="OVZ69" s="4"/>
      <c r="OWA69" s="4"/>
      <c r="OWB69" s="4"/>
      <c r="OWC69" s="4"/>
      <c r="OWD69" s="4"/>
      <c r="OWE69" s="4"/>
      <c r="OWF69" s="4"/>
      <c r="OWG69" s="4"/>
      <c r="OWH69" s="4"/>
      <c r="OWI69" s="4"/>
      <c r="OWJ69" s="4"/>
      <c r="OWK69" s="4"/>
      <c r="OWL69" s="4"/>
      <c r="OWM69" s="4"/>
      <c r="OWN69" s="4"/>
      <c r="OWO69" s="4"/>
      <c r="OWP69" s="4"/>
      <c r="OWQ69" s="4"/>
      <c r="OWR69" s="4"/>
      <c r="OWS69" s="4"/>
      <c r="OWT69" s="4"/>
      <c r="OWU69" s="4"/>
      <c r="OWV69" s="4"/>
      <c r="OWW69" s="4"/>
      <c r="OWX69" s="4"/>
      <c r="OWY69" s="4"/>
      <c r="OWZ69" s="4"/>
      <c r="OXA69" s="4"/>
      <c r="OXB69" s="4"/>
      <c r="OXC69" s="4"/>
      <c r="OXD69" s="4"/>
      <c r="OXE69" s="4"/>
      <c r="OXF69" s="4"/>
      <c r="OXG69" s="4"/>
      <c r="OXH69" s="4"/>
      <c r="OXI69" s="4"/>
      <c r="OXJ69" s="4"/>
      <c r="OXK69" s="4"/>
      <c r="OXL69" s="4"/>
      <c r="OXM69" s="4"/>
      <c r="OXN69" s="4"/>
      <c r="OXO69" s="4"/>
      <c r="OXP69" s="4"/>
      <c r="OXQ69" s="4"/>
      <c r="OXR69" s="4"/>
      <c r="OXS69" s="4"/>
      <c r="OXT69" s="4"/>
      <c r="OXU69" s="4"/>
      <c r="OXV69" s="4"/>
      <c r="OXW69" s="4"/>
      <c r="OXX69" s="4"/>
      <c r="OXY69" s="4"/>
      <c r="OXZ69" s="4"/>
      <c r="OYA69" s="4"/>
      <c r="OYB69" s="4"/>
      <c r="OYC69" s="4"/>
      <c r="OYD69" s="4"/>
      <c r="OYE69" s="4"/>
      <c r="OYF69" s="4"/>
      <c r="OYG69" s="4"/>
      <c r="OYH69" s="4"/>
      <c r="OYI69" s="4"/>
      <c r="OYJ69" s="4"/>
      <c r="OYK69" s="4"/>
      <c r="OYL69" s="4"/>
      <c r="OYM69" s="4"/>
      <c r="OYN69" s="4"/>
      <c r="OYO69" s="4"/>
      <c r="OYP69" s="4"/>
      <c r="OYQ69" s="4"/>
      <c r="OYR69" s="4"/>
      <c r="OYS69" s="4"/>
      <c r="OYT69" s="4"/>
      <c r="OYU69" s="4"/>
      <c r="OYV69" s="4"/>
      <c r="OYW69" s="4"/>
      <c r="OYX69" s="4"/>
      <c r="OYY69" s="4"/>
      <c r="OYZ69" s="4"/>
      <c r="OZA69" s="4"/>
      <c r="OZB69" s="4"/>
      <c r="OZC69" s="4"/>
      <c r="OZD69" s="4"/>
      <c r="OZE69" s="4"/>
      <c r="OZF69" s="4"/>
      <c r="OZG69" s="4"/>
      <c r="OZH69" s="4"/>
      <c r="OZI69" s="4"/>
      <c r="OZJ69" s="4"/>
      <c r="OZK69" s="4"/>
      <c r="OZL69" s="4"/>
      <c r="OZM69" s="4"/>
      <c r="OZN69" s="4"/>
      <c r="OZO69" s="4"/>
      <c r="OZP69" s="4"/>
      <c r="OZQ69" s="4"/>
      <c r="OZR69" s="4"/>
      <c r="OZS69" s="4"/>
      <c r="OZT69" s="4"/>
      <c r="OZU69" s="4"/>
      <c r="OZV69" s="4"/>
      <c r="OZW69" s="4"/>
      <c r="OZX69" s="4"/>
      <c r="OZY69" s="4"/>
      <c r="OZZ69" s="4"/>
      <c r="PAA69" s="4"/>
      <c r="PAB69" s="4"/>
      <c r="PAC69" s="4"/>
      <c r="PAD69" s="4"/>
      <c r="PAE69" s="4"/>
      <c r="PAF69" s="4"/>
      <c r="PAG69" s="4"/>
      <c r="PAH69" s="4"/>
      <c r="PAI69" s="4"/>
      <c r="PAJ69" s="4"/>
      <c r="PAK69" s="4"/>
      <c r="PAL69" s="4"/>
      <c r="PAM69" s="4"/>
      <c r="PAN69" s="4"/>
      <c r="PAO69" s="4"/>
      <c r="PAP69" s="4"/>
      <c r="PAQ69" s="4"/>
      <c r="PAR69" s="4"/>
      <c r="PAS69" s="4"/>
      <c r="PAT69" s="4"/>
      <c r="PAU69" s="4"/>
      <c r="PAV69" s="4"/>
      <c r="PAW69" s="4"/>
      <c r="PAX69" s="4"/>
      <c r="PAY69" s="4"/>
      <c r="PAZ69" s="4"/>
      <c r="PBA69" s="4"/>
      <c r="PBB69" s="4"/>
      <c r="PBC69" s="4"/>
      <c r="PBD69" s="4"/>
      <c r="PBE69" s="4"/>
      <c r="PBF69" s="4"/>
      <c r="PBG69" s="4"/>
      <c r="PBH69" s="4"/>
      <c r="PBI69" s="4"/>
      <c r="PBJ69" s="4"/>
      <c r="PBK69" s="4"/>
      <c r="PBL69" s="4"/>
      <c r="PBM69" s="4"/>
      <c r="PBN69" s="4"/>
      <c r="PBO69" s="4"/>
      <c r="PBP69" s="4"/>
      <c r="PBQ69" s="4"/>
      <c r="PBR69" s="4"/>
      <c r="PBS69" s="4"/>
      <c r="PBT69" s="4"/>
      <c r="PBU69" s="4"/>
      <c r="PBV69" s="4"/>
      <c r="PBW69" s="4"/>
      <c r="PBX69" s="4"/>
      <c r="PBY69" s="4"/>
      <c r="PBZ69" s="4"/>
      <c r="PCA69" s="4"/>
      <c r="PCB69" s="4"/>
      <c r="PCC69" s="4"/>
      <c r="PCD69" s="4"/>
      <c r="PCE69" s="4"/>
      <c r="PCF69" s="4"/>
      <c r="PCG69" s="4"/>
      <c r="PCH69" s="4"/>
      <c r="PCI69" s="4"/>
      <c r="PCJ69" s="4"/>
      <c r="PCK69" s="4"/>
      <c r="PCL69" s="4"/>
      <c r="PCM69" s="4"/>
      <c r="PCN69" s="4"/>
      <c r="PCO69" s="4"/>
      <c r="PCP69" s="4"/>
      <c r="PCQ69" s="4"/>
      <c r="PCR69" s="4"/>
      <c r="PCS69" s="4"/>
      <c r="PCT69" s="4"/>
      <c r="PCU69" s="4"/>
      <c r="PCV69" s="4"/>
      <c r="PCW69" s="4"/>
      <c r="PCX69" s="4"/>
      <c r="PCY69" s="4"/>
      <c r="PCZ69" s="4"/>
      <c r="PDA69" s="4"/>
      <c r="PDB69" s="4"/>
      <c r="PDC69" s="4"/>
      <c r="PDD69" s="4"/>
      <c r="PDE69" s="4"/>
      <c r="PDF69" s="4"/>
      <c r="PDG69" s="4"/>
      <c r="PDH69" s="4"/>
      <c r="PDI69" s="4"/>
      <c r="PDJ69" s="4"/>
      <c r="PDK69" s="4"/>
      <c r="PDL69" s="4"/>
      <c r="PDM69" s="4"/>
      <c r="PDN69" s="4"/>
      <c r="PDO69" s="4"/>
      <c r="PDP69" s="4"/>
      <c r="PDQ69" s="4"/>
      <c r="PDR69" s="4"/>
      <c r="PDS69" s="4"/>
      <c r="PDT69" s="4"/>
      <c r="PDU69" s="4"/>
      <c r="PDV69" s="4"/>
      <c r="PDW69" s="4"/>
      <c r="PDX69" s="4"/>
      <c r="PDY69" s="4"/>
      <c r="PDZ69" s="4"/>
      <c r="PEA69" s="4"/>
      <c r="PEB69" s="4"/>
      <c r="PEC69" s="4"/>
      <c r="PED69" s="4"/>
      <c r="PEE69" s="4"/>
      <c r="PEF69" s="4"/>
      <c r="PEG69" s="4"/>
      <c r="PEH69" s="4"/>
      <c r="PEI69" s="4"/>
      <c r="PEJ69" s="4"/>
      <c r="PEK69" s="4"/>
      <c r="PEL69" s="4"/>
      <c r="PEM69" s="4"/>
      <c r="PEN69" s="4"/>
      <c r="PEO69" s="4"/>
      <c r="PEP69" s="4"/>
      <c r="PEQ69" s="4"/>
      <c r="PER69" s="4"/>
      <c r="PES69" s="4"/>
      <c r="PET69" s="4"/>
      <c r="PEU69" s="4"/>
      <c r="PEV69" s="4"/>
      <c r="PEW69" s="4"/>
      <c r="PEX69" s="4"/>
      <c r="PEY69" s="4"/>
      <c r="PEZ69" s="4"/>
      <c r="PFA69" s="4"/>
      <c r="PFB69" s="4"/>
      <c r="PFC69" s="4"/>
      <c r="PFD69" s="4"/>
      <c r="PFE69" s="4"/>
      <c r="PFF69" s="4"/>
      <c r="PFG69" s="4"/>
      <c r="PFH69" s="4"/>
      <c r="PFI69" s="4"/>
      <c r="PFJ69" s="4"/>
      <c r="PFK69" s="4"/>
      <c r="PFL69" s="4"/>
      <c r="PFM69" s="4"/>
      <c r="PFN69" s="4"/>
      <c r="PFO69" s="4"/>
      <c r="PFP69" s="4"/>
      <c r="PFQ69" s="4"/>
      <c r="PFR69" s="4"/>
      <c r="PFS69" s="4"/>
      <c r="PFT69" s="4"/>
      <c r="PFU69" s="4"/>
      <c r="PFV69" s="4"/>
      <c r="PFW69" s="4"/>
      <c r="PFX69" s="4"/>
      <c r="PFY69" s="4"/>
      <c r="PFZ69" s="4"/>
      <c r="PGA69" s="4"/>
      <c r="PGB69" s="4"/>
      <c r="PGC69" s="4"/>
      <c r="PGD69" s="4"/>
      <c r="PGE69" s="4"/>
      <c r="PGF69" s="4"/>
      <c r="PGG69" s="4"/>
      <c r="PGH69" s="4"/>
      <c r="PGI69" s="4"/>
      <c r="PGJ69" s="4"/>
      <c r="PGK69" s="4"/>
      <c r="PGL69" s="4"/>
      <c r="PGM69" s="4"/>
      <c r="PGN69" s="4"/>
      <c r="PGO69" s="4"/>
      <c r="PGP69" s="4"/>
      <c r="PGQ69" s="4"/>
      <c r="PGR69" s="4"/>
      <c r="PGS69" s="4"/>
      <c r="PGT69" s="4"/>
      <c r="PGU69" s="4"/>
      <c r="PGV69" s="4"/>
      <c r="PGW69" s="4"/>
      <c r="PGX69" s="4"/>
      <c r="PGY69" s="4"/>
      <c r="PGZ69" s="4"/>
      <c r="PHA69" s="4"/>
      <c r="PHB69" s="4"/>
      <c r="PHC69" s="4"/>
      <c r="PHD69" s="4"/>
      <c r="PHE69" s="4"/>
      <c r="PHF69" s="4"/>
      <c r="PHG69" s="4"/>
      <c r="PHH69" s="4"/>
      <c r="PHI69" s="4"/>
      <c r="PHJ69" s="4"/>
      <c r="PHK69" s="4"/>
      <c r="PHL69" s="4"/>
      <c r="PHM69" s="4"/>
      <c r="PHN69" s="4"/>
      <c r="PHO69" s="4"/>
      <c r="PHP69" s="4"/>
      <c r="PHQ69" s="4"/>
      <c r="PHR69" s="4"/>
      <c r="PHS69" s="4"/>
      <c r="PHT69" s="4"/>
      <c r="PHU69" s="4"/>
      <c r="PHV69" s="4"/>
      <c r="PHW69" s="4"/>
      <c r="PHX69" s="4"/>
      <c r="PHY69" s="4"/>
      <c r="PHZ69" s="4"/>
      <c r="PIA69" s="4"/>
      <c r="PIB69" s="4"/>
      <c r="PIC69" s="4"/>
      <c r="PID69" s="4"/>
      <c r="PIE69" s="4"/>
      <c r="PIF69" s="4"/>
      <c r="PIG69" s="4"/>
      <c r="PIH69" s="4"/>
      <c r="PII69" s="4"/>
      <c r="PIJ69" s="4"/>
      <c r="PIK69" s="4"/>
      <c r="PIL69" s="4"/>
      <c r="PIM69" s="4"/>
      <c r="PIN69" s="4"/>
      <c r="PIO69" s="4"/>
      <c r="PIP69" s="4"/>
      <c r="PIQ69" s="4"/>
      <c r="PIR69" s="4"/>
      <c r="PIS69" s="4"/>
      <c r="PIT69" s="4"/>
      <c r="PIU69" s="4"/>
      <c r="PIV69" s="4"/>
      <c r="PIW69" s="4"/>
      <c r="PIX69" s="4"/>
      <c r="PIY69" s="4"/>
      <c r="PIZ69" s="4"/>
      <c r="PJA69" s="4"/>
      <c r="PJB69" s="4"/>
      <c r="PJC69" s="4"/>
      <c r="PJD69" s="4"/>
      <c r="PJE69" s="4"/>
      <c r="PJF69" s="4"/>
      <c r="PJG69" s="4"/>
      <c r="PJH69" s="4"/>
      <c r="PJI69" s="4"/>
      <c r="PJJ69" s="4"/>
      <c r="PJK69" s="4"/>
      <c r="PJL69" s="4"/>
      <c r="PJM69" s="4"/>
      <c r="PJN69" s="4"/>
      <c r="PJO69" s="4"/>
      <c r="PJP69" s="4"/>
      <c r="PJQ69" s="4"/>
      <c r="PJR69" s="4"/>
      <c r="PJS69" s="4"/>
      <c r="PJT69" s="4"/>
      <c r="PJU69" s="4"/>
      <c r="PJV69" s="4"/>
      <c r="PJW69" s="4"/>
      <c r="PJX69" s="4"/>
      <c r="PJY69" s="4"/>
      <c r="PJZ69" s="4"/>
      <c r="PKA69" s="4"/>
      <c r="PKB69" s="4"/>
      <c r="PKC69" s="4"/>
      <c r="PKD69" s="4"/>
      <c r="PKE69" s="4"/>
      <c r="PKF69" s="4"/>
      <c r="PKG69" s="4"/>
      <c r="PKH69" s="4"/>
      <c r="PKI69" s="4"/>
      <c r="PKJ69" s="4"/>
      <c r="PKK69" s="4"/>
      <c r="PKL69" s="4"/>
      <c r="PKM69" s="4"/>
      <c r="PKN69" s="4"/>
      <c r="PKO69" s="4"/>
      <c r="PKP69" s="4"/>
      <c r="PKQ69" s="4"/>
      <c r="PKR69" s="4"/>
      <c r="PKS69" s="4"/>
      <c r="PKT69" s="4"/>
      <c r="PKU69" s="4"/>
      <c r="PKV69" s="4"/>
      <c r="PKW69" s="4"/>
      <c r="PKX69" s="4"/>
      <c r="PKY69" s="4"/>
      <c r="PKZ69" s="4"/>
      <c r="PLA69" s="4"/>
      <c r="PLB69" s="4"/>
      <c r="PLC69" s="4"/>
      <c r="PLD69" s="4"/>
      <c r="PLE69" s="4"/>
      <c r="PLF69" s="4"/>
      <c r="PLG69" s="4"/>
      <c r="PLH69" s="4"/>
      <c r="PLI69" s="4"/>
      <c r="PLJ69" s="4"/>
      <c r="PLK69" s="4"/>
      <c r="PLL69" s="4"/>
      <c r="PLM69" s="4"/>
      <c r="PLN69" s="4"/>
      <c r="PLO69" s="4"/>
      <c r="PLP69" s="4"/>
      <c r="PLQ69" s="4"/>
      <c r="PLR69" s="4"/>
      <c r="PLS69" s="4"/>
      <c r="PLT69" s="4"/>
      <c r="PLU69" s="4"/>
      <c r="PLV69" s="4"/>
      <c r="PLW69" s="4"/>
      <c r="PLX69" s="4"/>
      <c r="PLY69" s="4"/>
      <c r="PLZ69" s="4"/>
      <c r="PMA69" s="4"/>
      <c r="PMB69" s="4"/>
      <c r="PMC69" s="4"/>
      <c r="PMD69" s="4"/>
      <c r="PME69" s="4"/>
      <c r="PMF69" s="4"/>
      <c r="PMG69" s="4"/>
      <c r="PMH69" s="4"/>
      <c r="PMI69" s="4"/>
      <c r="PMJ69" s="4"/>
      <c r="PMK69" s="4"/>
      <c r="PML69" s="4"/>
      <c r="PMM69" s="4"/>
      <c r="PMN69" s="4"/>
      <c r="PMO69" s="4"/>
      <c r="PMP69" s="4"/>
      <c r="PMQ69" s="4"/>
      <c r="PMR69" s="4"/>
      <c r="PMS69" s="4"/>
      <c r="PMT69" s="4"/>
      <c r="PMU69" s="4"/>
      <c r="PMV69" s="4"/>
      <c r="PMW69" s="4"/>
      <c r="PMX69" s="4"/>
      <c r="PMY69" s="4"/>
      <c r="PMZ69" s="4"/>
      <c r="PNA69" s="4"/>
      <c r="PNB69" s="4"/>
      <c r="PNC69" s="4"/>
      <c r="PND69" s="4"/>
      <c r="PNE69" s="4"/>
      <c r="PNF69" s="4"/>
      <c r="PNG69" s="4"/>
      <c r="PNH69" s="4"/>
      <c r="PNI69" s="4"/>
      <c r="PNJ69" s="4"/>
      <c r="PNK69" s="4"/>
      <c r="PNL69" s="4"/>
      <c r="PNM69" s="4"/>
      <c r="PNN69" s="4"/>
      <c r="PNO69" s="4"/>
      <c r="PNP69" s="4"/>
      <c r="PNQ69" s="4"/>
      <c r="PNR69" s="4"/>
      <c r="PNS69" s="4"/>
      <c r="PNT69" s="4"/>
      <c r="PNU69" s="4"/>
      <c r="PNV69" s="4"/>
      <c r="PNW69" s="4"/>
      <c r="PNX69" s="4"/>
      <c r="PNY69" s="4"/>
      <c r="PNZ69" s="4"/>
      <c r="POA69" s="4"/>
      <c r="POB69" s="4"/>
      <c r="POC69" s="4"/>
      <c r="POD69" s="4"/>
      <c r="POE69" s="4"/>
      <c r="POF69" s="4"/>
      <c r="POG69" s="4"/>
      <c r="POH69" s="4"/>
      <c r="POI69" s="4"/>
      <c r="POJ69" s="4"/>
      <c r="POK69" s="4"/>
      <c r="POL69" s="4"/>
      <c r="POM69" s="4"/>
      <c r="PON69" s="4"/>
      <c r="POO69" s="4"/>
      <c r="POP69" s="4"/>
      <c r="POQ69" s="4"/>
      <c r="POR69" s="4"/>
      <c r="POS69" s="4"/>
      <c r="POT69" s="4"/>
      <c r="POU69" s="4"/>
      <c r="POV69" s="4"/>
      <c r="POW69" s="4"/>
      <c r="POX69" s="4"/>
      <c r="POY69" s="4"/>
      <c r="POZ69" s="4"/>
      <c r="PPA69" s="4"/>
      <c r="PPB69" s="4"/>
      <c r="PPC69" s="4"/>
      <c r="PPD69" s="4"/>
      <c r="PPE69" s="4"/>
      <c r="PPF69" s="4"/>
      <c r="PPG69" s="4"/>
      <c r="PPH69" s="4"/>
      <c r="PPI69" s="4"/>
      <c r="PPJ69" s="4"/>
      <c r="PPK69" s="4"/>
      <c r="PPL69" s="4"/>
      <c r="PPM69" s="4"/>
      <c r="PPN69" s="4"/>
      <c r="PPO69" s="4"/>
      <c r="PPP69" s="4"/>
      <c r="PPQ69" s="4"/>
      <c r="PPR69" s="4"/>
      <c r="PPS69" s="4"/>
      <c r="PPT69" s="4"/>
      <c r="PPU69" s="4"/>
      <c r="PPV69" s="4"/>
      <c r="PPW69" s="4"/>
      <c r="PPX69" s="4"/>
      <c r="PPY69" s="4"/>
      <c r="PPZ69" s="4"/>
      <c r="PQA69" s="4"/>
      <c r="PQB69" s="4"/>
      <c r="PQC69" s="4"/>
      <c r="PQD69" s="4"/>
      <c r="PQE69" s="4"/>
      <c r="PQF69" s="4"/>
      <c r="PQG69" s="4"/>
      <c r="PQH69" s="4"/>
      <c r="PQI69" s="4"/>
      <c r="PQJ69" s="4"/>
      <c r="PQK69" s="4"/>
      <c r="PQL69" s="4"/>
      <c r="PQM69" s="4"/>
      <c r="PQN69" s="4"/>
      <c r="PQO69" s="4"/>
      <c r="PQP69" s="4"/>
      <c r="PQQ69" s="4"/>
      <c r="PQR69" s="4"/>
      <c r="PQS69" s="4"/>
      <c r="PQT69" s="4"/>
      <c r="PQU69" s="4"/>
      <c r="PQV69" s="4"/>
      <c r="PQW69" s="4"/>
      <c r="PQX69" s="4"/>
      <c r="PQY69" s="4"/>
      <c r="PQZ69" s="4"/>
      <c r="PRA69" s="4"/>
      <c r="PRB69" s="4"/>
      <c r="PRC69" s="4"/>
      <c r="PRD69" s="4"/>
      <c r="PRE69" s="4"/>
      <c r="PRF69" s="4"/>
      <c r="PRG69" s="4"/>
      <c r="PRH69" s="4"/>
      <c r="PRI69" s="4"/>
      <c r="PRJ69" s="4"/>
      <c r="PRK69" s="4"/>
      <c r="PRL69" s="4"/>
      <c r="PRM69" s="4"/>
      <c r="PRN69" s="4"/>
      <c r="PRO69" s="4"/>
      <c r="PRP69" s="4"/>
      <c r="PRQ69" s="4"/>
      <c r="PRR69" s="4"/>
      <c r="PRS69" s="4"/>
      <c r="PRT69" s="4"/>
      <c r="PRU69" s="4"/>
      <c r="PRV69" s="4"/>
      <c r="PRW69" s="4"/>
      <c r="PRX69" s="4"/>
      <c r="PRY69" s="4"/>
      <c r="PRZ69" s="4"/>
      <c r="PSA69" s="4"/>
      <c r="PSB69" s="4"/>
      <c r="PSC69" s="4"/>
      <c r="PSD69" s="4"/>
      <c r="PSE69" s="4"/>
      <c r="PSF69" s="4"/>
      <c r="PSG69" s="4"/>
      <c r="PSH69" s="4"/>
      <c r="PSI69" s="4"/>
      <c r="PSJ69" s="4"/>
      <c r="PSK69" s="4"/>
      <c r="PSL69" s="4"/>
      <c r="PSM69" s="4"/>
      <c r="PSN69" s="4"/>
      <c r="PSO69" s="4"/>
      <c r="PSP69" s="4"/>
      <c r="PSQ69" s="4"/>
      <c r="PSR69" s="4"/>
      <c r="PSS69" s="4"/>
      <c r="PST69" s="4"/>
      <c r="PSU69" s="4"/>
      <c r="PSV69" s="4"/>
      <c r="PSW69" s="4"/>
      <c r="PSX69" s="4"/>
      <c r="PSY69" s="4"/>
      <c r="PSZ69" s="4"/>
      <c r="PTA69" s="4"/>
      <c r="PTB69" s="4"/>
      <c r="PTC69" s="4"/>
      <c r="PTD69" s="4"/>
      <c r="PTE69" s="4"/>
      <c r="PTF69" s="4"/>
      <c r="PTG69" s="4"/>
      <c r="PTH69" s="4"/>
      <c r="PTI69" s="4"/>
      <c r="PTJ69" s="4"/>
      <c r="PTK69" s="4"/>
      <c r="PTL69" s="4"/>
      <c r="PTM69" s="4"/>
      <c r="PTN69" s="4"/>
      <c r="PTO69" s="4"/>
      <c r="PTP69" s="4"/>
      <c r="PTQ69" s="4"/>
      <c r="PTR69" s="4"/>
      <c r="PTS69" s="4"/>
      <c r="PTT69" s="4"/>
      <c r="PTU69" s="4"/>
      <c r="PTV69" s="4"/>
      <c r="PTW69" s="4"/>
      <c r="PTX69" s="4"/>
      <c r="PTY69" s="4"/>
      <c r="PTZ69" s="4"/>
      <c r="PUA69" s="4"/>
      <c r="PUB69" s="4"/>
      <c r="PUC69" s="4"/>
      <c r="PUD69" s="4"/>
      <c r="PUE69" s="4"/>
      <c r="PUF69" s="4"/>
      <c r="PUG69" s="4"/>
      <c r="PUH69" s="4"/>
      <c r="PUI69" s="4"/>
      <c r="PUJ69" s="4"/>
      <c r="PUK69" s="4"/>
      <c r="PUL69" s="4"/>
      <c r="PUM69" s="4"/>
      <c r="PUN69" s="4"/>
      <c r="PUO69" s="4"/>
      <c r="PUP69" s="4"/>
      <c r="PUQ69" s="4"/>
      <c r="PUR69" s="4"/>
      <c r="PUS69" s="4"/>
      <c r="PUT69" s="4"/>
      <c r="PUU69" s="4"/>
      <c r="PUV69" s="4"/>
      <c r="PUW69" s="4"/>
      <c r="PUX69" s="4"/>
      <c r="PUY69" s="4"/>
      <c r="PUZ69" s="4"/>
      <c r="PVA69" s="4"/>
      <c r="PVB69" s="4"/>
      <c r="PVC69" s="4"/>
      <c r="PVD69" s="4"/>
      <c r="PVE69" s="4"/>
      <c r="PVF69" s="4"/>
      <c r="PVG69" s="4"/>
      <c r="PVH69" s="4"/>
      <c r="PVI69" s="4"/>
      <c r="PVJ69" s="4"/>
      <c r="PVK69" s="4"/>
      <c r="PVL69" s="4"/>
      <c r="PVM69" s="4"/>
      <c r="PVN69" s="4"/>
      <c r="PVO69" s="4"/>
      <c r="PVP69" s="4"/>
      <c r="PVQ69" s="4"/>
      <c r="PVR69" s="4"/>
      <c r="PVS69" s="4"/>
      <c r="PVT69" s="4"/>
      <c r="PVU69" s="4"/>
      <c r="PVV69" s="4"/>
      <c r="PVW69" s="4"/>
      <c r="PVX69" s="4"/>
      <c r="PVY69" s="4"/>
      <c r="PVZ69" s="4"/>
      <c r="PWA69" s="4"/>
      <c r="PWB69" s="4"/>
      <c r="PWC69" s="4"/>
      <c r="PWD69" s="4"/>
      <c r="PWE69" s="4"/>
      <c r="PWF69" s="4"/>
      <c r="PWG69" s="4"/>
      <c r="PWH69" s="4"/>
      <c r="PWI69" s="4"/>
      <c r="PWJ69" s="4"/>
      <c r="PWK69" s="4"/>
      <c r="PWL69" s="4"/>
      <c r="PWM69" s="4"/>
      <c r="PWN69" s="4"/>
      <c r="PWO69" s="4"/>
      <c r="PWP69" s="4"/>
      <c r="PWQ69" s="4"/>
      <c r="PWR69" s="4"/>
      <c r="PWS69" s="4"/>
      <c r="PWT69" s="4"/>
      <c r="PWU69" s="4"/>
      <c r="PWV69" s="4"/>
      <c r="PWW69" s="4"/>
      <c r="PWX69" s="4"/>
      <c r="PWY69" s="4"/>
      <c r="PWZ69" s="4"/>
      <c r="PXA69" s="4"/>
      <c r="PXB69" s="4"/>
      <c r="PXC69" s="4"/>
      <c r="PXD69" s="4"/>
      <c r="PXE69" s="4"/>
      <c r="PXF69" s="4"/>
      <c r="PXG69" s="4"/>
      <c r="PXH69" s="4"/>
      <c r="PXI69" s="4"/>
      <c r="PXJ69" s="4"/>
      <c r="PXK69" s="4"/>
      <c r="PXL69" s="4"/>
      <c r="PXM69" s="4"/>
      <c r="PXN69" s="4"/>
      <c r="PXO69" s="4"/>
      <c r="PXP69" s="4"/>
      <c r="PXQ69" s="4"/>
      <c r="PXR69" s="4"/>
      <c r="PXS69" s="4"/>
      <c r="PXT69" s="4"/>
      <c r="PXU69" s="4"/>
      <c r="PXV69" s="4"/>
      <c r="PXW69" s="4"/>
      <c r="PXX69" s="4"/>
      <c r="PXY69" s="4"/>
      <c r="PXZ69" s="4"/>
      <c r="PYA69" s="4"/>
      <c r="PYB69" s="4"/>
      <c r="PYC69" s="4"/>
      <c r="PYD69" s="4"/>
      <c r="PYE69" s="4"/>
      <c r="PYF69" s="4"/>
      <c r="PYG69" s="4"/>
      <c r="PYH69" s="4"/>
      <c r="PYI69" s="4"/>
      <c r="PYJ69" s="4"/>
      <c r="PYK69" s="4"/>
      <c r="PYL69" s="4"/>
      <c r="PYM69" s="4"/>
      <c r="PYN69" s="4"/>
      <c r="PYO69" s="4"/>
      <c r="PYP69" s="4"/>
      <c r="PYQ69" s="4"/>
      <c r="PYR69" s="4"/>
      <c r="PYS69" s="4"/>
      <c r="PYT69" s="4"/>
      <c r="PYU69" s="4"/>
      <c r="PYV69" s="4"/>
      <c r="PYW69" s="4"/>
      <c r="PYX69" s="4"/>
      <c r="PYY69" s="4"/>
      <c r="PYZ69" s="4"/>
      <c r="PZA69" s="4"/>
      <c r="PZB69" s="4"/>
      <c r="PZC69" s="4"/>
      <c r="PZD69" s="4"/>
      <c r="PZE69" s="4"/>
      <c r="PZF69" s="4"/>
      <c r="PZG69" s="4"/>
      <c r="PZH69" s="4"/>
      <c r="PZI69" s="4"/>
      <c r="PZJ69" s="4"/>
      <c r="PZK69" s="4"/>
      <c r="PZL69" s="4"/>
      <c r="PZM69" s="4"/>
      <c r="PZN69" s="4"/>
      <c r="PZO69" s="4"/>
      <c r="PZP69" s="4"/>
      <c r="PZQ69" s="4"/>
      <c r="PZR69" s="4"/>
      <c r="PZS69" s="4"/>
      <c r="PZT69" s="4"/>
      <c r="PZU69" s="4"/>
      <c r="PZV69" s="4"/>
      <c r="PZW69" s="4"/>
      <c r="PZX69" s="4"/>
      <c r="PZY69" s="4"/>
      <c r="PZZ69" s="4"/>
      <c r="QAA69" s="4"/>
      <c r="QAB69" s="4"/>
      <c r="QAC69" s="4"/>
      <c r="QAD69" s="4"/>
      <c r="QAE69" s="4"/>
      <c r="QAF69" s="4"/>
      <c r="QAG69" s="4"/>
      <c r="QAH69" s="4"/>
      <c r="QAI69" s="4"/>
      <c r="QAJ69" s="4"/>
      <c r="QAK69" s="4"/>
      <c r="QAL69" s="4"/>
      <c r="QAM69" s="4"/>
      <c r="QAN69" s="4"/>
      <c r="QAO69" s="4"/>
      <c r="QAP69" s="4"/>
      <c r="QAQ69" s="4"/>
      <c r="QAR69" s="4"/>
      <c r="QAS69" s="4"/>
      <c r="QAT69" s="4"/>
      <c r="QAU69" s="4"/>
      <c r="QAV69" s="4"/>
      <c r="QAW69" s="4"/>
      <c r="QAX69" s="4"/>
      <c r="QAY69" s="4"/>
      <c r="QAZ69" s="4"/>
      <c r="QBA69" s="4"/>
      <c r="QBB69" s="4"/>
      <c r="QBC69" s="4"/>
      <c r="QBD69" s="4"/>
      <c r="QBE69" s="4"/>
      <c r="QBF69" s="4"/>
      <c r="QBG69" s="4"/>
      <c r="QBH69" s="4"/>
      <c r="QBI69" s="4"/>
      <c r="QBJ69" s="4"/>
      <c r="QBK69" s="4"/>
      <c r="QBL69" s="4"/>
      <c r="QBM69" s="4"/>
      <c r="QBN69" s="4"/>
      <c r="QBO69" s="4"/>
      <c r="QBP69" s="4"/>
      <c r="QBQ69" s="4"/>
      <c r="QBR69" s="4"/>
      <c r="QBS69" s="4"/>
      <c r="QBT69" s="4"/>
      <c r="QBU69" s="4"/>
      <c r="QBV69" s="4"/>
      <c r="QBW69" s="4"/>
      <c r="QBX69" s="4"/>
      <c r="QBY69" s="4"/>
      <c r="QBZ69" s="4"/>
      <c r="QCA69" s="4"/>
      <c r="QCB69" s="4"/>
      <c r="QCC69" s="4"/>
      <c r="QCD69" s="4"/>
      <c r="QCE69" s="4"/>
      <c r="QCF69" s="4"/>
      <c r="QCG69" s="4"/>
      <c r="QCH69" s="4"/>
      <c r="QCI69" s="4"/>
      <c r="QCJ69" s="4"/>
      <c r="QCK69" s="4"/>
      <c r="QCL69" s="4"/>
      <c r="QCM69" s="4"/>
      <c r="QCN69" s="4"/>
      <c r="QCO69" s="4"/>
      <c r="QCP69" s="4"/>
      <c r="QCQ69" s="4"/>
      <c r="QCR69" s="4"/>
      <c r="QCS69" s="4"/>
      <c r="QCT69" s="4"/>
      <c r="QCU69" s="4"/>
      <c r="QCV69" s="4"/>
      <c r="QCW69" s="4"/>
      <c r="QCX69" s="4"/>
      <c r="QCY69" s="4"/>
      <c r="QCZ69" s="4"/>
      <c r="QDA69" s="4"/>
      <c r="QDB69" s="4"/>
      <c r="QDC69" s="4"/>
      <c r="QDD69" s="4"/>
      <c r="QDE69" s="4"/>
      <c r="QDF69" s="4"/>
      <c r="QDG69" s="4"/>
      <c r="QDH69" s="4"/>
      <c r="QDI69" s="4"/>
      <c r="QDJ69" s="4"/>
      <c r="QDK69" s="4"/>
      <c r="QDL69" s="4"/>
      <c r="QDM69" s="4"/>
      <c r="QDN69" s="4"/>
      <c r="QDO69" s="4"/>
      <c r="QDP69" s="4"/>
      <c r="QDQ69" s="4"/>
      <c r="QDR69" s="4"/>
      <c r="QDS69" s="4"/>
      <c r="QDT69" s="4"/>
      <c r="QDU69" s="4"/>
      <c r="QDV69" s="4"/>
      <c r="QDW69" s="4"/>
      <c r="QDX69" s="4"/>
      <c r="QDY69" s="4"/>
      <c r="QDZ69" s="4"/>
      <c r="QEA69" s="4"/>
      <c r="QEB69" s="4"/>
      <c r="QEC69" s="4"/>
      <c r="QED69" s="4"/>
      <c r="QEE69" s="4"/>
      <c r="QEF69" s="4"/>
      <c r="QEG69" s="4"/>
      <c r="QEH69" s="4"/>
      <c r="QEI69" s="4"/>
      <c r="QEJ69" s="4"/>
      <c r="QEK69" s="4"/>
      <c r="QEL69" s="4"/>
      <c r="QEM69" s="4"/>
      <c r="QEN69" s="4"/>
      <c r="QEO69" s="4"/>
      <c r="QEP69" s="4"/>
      <c r="QEQ69" s="4"/>
      <c r="QER69" s="4"/>
      <c r="QES69" s="4"/>
      <c r="QET69" s="4"/>
      <c r="QEU69" s="4"/>
      <c r="QEV69" s="4"/>
      <c r="QEW69" s="4"/>
      <c r="QEX69" s="4"/>
      <c r="QEY69" s="4"/>
      <c r="QEZ69" s="4"/>
      <c r="QFA69" s="4"/>
      <c r="QFB69" s="4"/>
      <c r="QFC69" s="4"/>
      <c r="QFD69" s="4"/>
      <c r="QFE69" s="4"/>
      <c r="QFF69" s="4"/>
      <c r="QFG69" s="4"/>
      <c r="QFH69" s="4"/>
      <c r="QFI69" s="4"/>
      <c r="QFJ69" s="4"/>
      <c r="QFK69" s="4"/>
      <c r="QFL69" s="4"/>
      <c r="QFM69" s="4"/>
      <c r="QFN69" s="4"/>
      <c r="QFO69" s="4"/>
      <c r="QFP69" s="4"/>
      <c r="QFQ69" s="4"/>
      <c r="QFR69" s="4"/>
      <c r="QFS69" s="4"/>
      <c r="QFT69" s="4"/>
      <c r="QFU69" s="4"/>
      <c r="QFV69" s="4"/>
      <c r="QFW69" s="4"/>
      <c r="QFX69" s="4"/>
      <c r="QFY69" s="4"/>
      <c r="QFZ69" s="4"/>
      <c r="QGA69" s="4"/>
      <c r="QGB69" s="4"/>
      <c r="QGC69" s="4"/>
      <c r="QGD69" s="4"/>
      <c r="QGE69" s="4"/>
      <c r="QGF69" s="4"/>
      <c r="QGG69" s="4"/>
      <c r="QGH69" s="4"/>
      <c r="QGI69" s="4"/>
      <c r="QGJ69" s="4"/>
      <c r="QGK69" s="4"/>
      <c r="QGL69" s="4"/>
      <c r="QGM69" s="4"/>
      <c r="QGN69" s="4"/>
      <c r="QGO69" s="4"/>
      <c r="QGP69" s="4"/>
      <c r="QGQ69" s="4"/>
      <c r="QGR69" s="4"/>
      <c r="QGS69" s="4"/>
      <c r="QGT69" s="4"/>
      <c r="QGU69" s="4"/>
      <c r="QGV69" s="4"/>
      <c r="QGW69" s="4"/>
      <c r="QGX69" s="4"/>
      <c r="QGY69" s="4"/>
      <c r="QGZ69" s="4"/>
      <c r="QHA69" s="4"/>
      <c r="QHB69" s="4"/>
      <c r="QHC69" s="4"/>
      <c r="QHD69" s="4"/>
      <c r="QHE69" s="4"/>
      <c r="QHF69" s="4"/>
      <c r="QHG69" s="4"/>
      <c r="QHH69" s="4"/>
      <c r="QHI69" s="4"/>
      <c r="QHJ69" s="4"/>
      <c r="QHK69" s="4"/>
      <c r="QHL69" s="4"/>
      <c r="QHM69" s="4"/>
      <c r="QHN69" s="4"/>
      <c r="QHO69" s="4"/>
      <c r="QHP69" s="4"/>
      <c r="QHQ69" s="4"/>
      <c r="QHR69" s="4"/>
      <c r="QHS69" s="4"/>
      <c r="QHT69" s="4"/>
      <c r="QHU69" s="4"/>
      <c r="QHV69" s="4"/>
      <c r="QHW69" s="4"/>
      <c r="QHX69" s="4"/>
      <c r="QHY69" s="4"/>
      <c r="QHZ69" s="4"/>
      <c r="QIA69" s="4"/>
      <c r="QIB69" s="4"/>
      <c r="QIC69" s="4"/>
      <c r="QID69" s="4"/>
      <c r="QIE69" s="4"/>
      <c r="QIF69" s="4"/>
      <c r="QIG69" s="4"/>
      <c r="QIH69" s="4"/>
      <c r="QII69" s="4"/>
      <c r="QIJ69" s="4"/>
      <c r="QIK69" s="4"/>
      <c r="QIL69" s="4"/>
      <c r="QIM69" s="4"/>
      <c r="QIN69" s="4"/>
      <c r="QIO69" s="4"/>
      <c r="QIP69" s="4"/>
      <c r="QIQ69" s="4"/>
      <c r="QIR69" s="4"/>
      <c r="QIS69" s="4"/>
      <c r="QIT69" s="4"/>
      <c r="QIU69" s="4"/>
      <c r="QIV69" s="4"/>
      <c r="QIW69" s="4"/>
      <c r="QIX69" s="4"/>
      <c r="QIY69" s="4"/>
      <c r="QIZ69" s="4"/>
      <c r="QJA69" s="4"/>
      <c r="QJB69" s="4"/>
      <c r="QJC69" s="4"/>
      <c r="QJD69" s="4"/>
      <c r="QJE69" s="4"/>
      <c r="QJF69" s="4"/>
      <c r="QJG69" s="4"/>
      <c r="QJH69" s="4"/>
      <c r="QJI69" s="4"/>
      <c r="QJJ69" s="4"/>
      <c r="QJK69" s="4"/>
      <c r="QJL69" s="4"/>
      <c r="QJM69" s="4"/>
      <c r="QJN69" s="4"/>
      <c r="QJO69" s="4"/>
      <c r="QJP69" s="4"/>
      <c r="QJQ69" s="4"/>
      <c r="QJR69" s="4"/>
      <c r="QJS69" s="4"/>
      <c r="QJT69" s="4"/>
      <c r="QJU69" s="4"/>
      <c r="QJV69" s="4"/>
      <c r="QJW69" s="4"/>
      <c r="QJX69" s="4"/>
      <c r="QJY69" s="4"/>
      <c r="QJZ69" s="4"/>
      <c r="QKA69" s="4"/>
      <c r="QKB69" s="4"/>
      <c r="QKC69" s="4"/>
      <c r="QKD69" s="4"/>
      <c r="QKE69" s="4"/>
      <c r="QKF69" s="4"/>
      <c r="QKG69" s="4"/>
      <c r="QKH69" s="4"/>
      <c r="QKI69" s="4"/>
      <c r="QKJ69" s="4"/>
      <c r="QKK69" s="4"/>
      <c r="QKL69" s="4"/>
      <c r="QKM69" s="4"/>
      <c r="QKN69" s="4"/>
      <c r="QKO69" s="4"/>
      <c r="QKP69" s="4"/>
      <c r="QKQ69" s="4"/>
      <c r="QKR69" s="4"/>
      <c r="QKS69" s="4"/>
      <c r="QKT69" s="4"/>
      <c r="QKU69" s="4"/>
      <c r="QKV69" s="4"/>
      <c r="QKW69" s="4"/>
      <c r="QKX69" s="4"/>
      <c r="QKY69" s="4"/>
      <c r="QKZ69" s="4"/>
      <c r="QLA69" s="4"/>
      <c r="QLB69" s="4"/>
      <c r="QLC69" s="4"/>
      <c r="QLD69" s="4"/>
      <c r="QLE69" s="4"/>
      <c r="QLF69" s="4"/>
      <c r="QLG69" s="4"/>
      <c r="QLH69" s="4"/>
      <c r="QLI69" s="4"/>
      <c r="QLJ69" s="4"/>
      <c r="QLK69" s="4"/>
      <c r="QLL69" s="4"/>
      <c r="QLM69" s="4"/>
      <c r="QLN69" s="4"/>
      <c r="QLO69" s="4"/>
      <c r="QLP69" s="4"/>
      <c r="QLQ69" s="4"/>
      <c r="QLR69" s="4"/>
      <c r="QLS69" s="4"/>
      <c r="QLT69" s="4"/>
      <c r="QLU69" s="4"/>
      <c r="QLV69" s="4"/>
      <c r="QLW69" s="4"/>
      <c r="QLX69" s="4"/>
      <c r="QLY69" s="4"/>
      <c r="QLZ69" s="4"/>
      <c r="QMA69" s="4"/>
      <c r="QMB69" s="4"/>
      <c r="QMC69" s="4"/>
      <c r="QMD69" s="4"/>
      <c r="QME69" s="4"/>
      <c r="QMF69" s="4"/>
      <c r="QMG69" s="4"/>
      <c r="QMH69" s="4"/>
      <c r="QMI69" s="4"/>
      <c r="QMJ69" s="4"/>
      <c r="QMK69" s="4"/>
      <c r="QML69" s="4"/>
      <c r="QMM69" s="4"/>
      <c r="QMN69" s="4"/>
      <c r="QMO69" s="4"/>
      <c r="QMP69" s="4"/>
      <c r="QMQ69" s="4"/>
      <c r="QMR69" s="4"/>
      <c r="QMS69" s="4"/>
      <c r="QMT69" s="4"/>
      <c r="QMU69" s="4"/>
      <c r="QMV69" s="4"/>
      <c r="QMW69" s="4"/>
      <c r="QMX69" s="4"/>
      <c r="QMY69" s="4"/>
      <c r="QMZ69" s="4"/>
      <c r="QNA69" s="4"/>
      <c r="QNB69" s="4"/>
      <c r="QNC69" s="4"/>
      <c r="QND69" s="4"/>
      <c r="QNE69" s="4"/>
      <c r="QNF69" s="4"/>
      <c r="QNG69" s="4"/>
      <c r="QNH69" s="4"/>
      <c r="QNI69" s="4"/>
      <c r="QNJ69" s="4"/>
      <c r="QNK69" s="4"/>
      <c r="QNL69" s="4"/>
      <c r="QNM69" s="4"/>
      <c r="QNN69" s="4"/>
      <c r="QNO69" s="4"/>
      <c r="QNP69" s="4"/>
      <c r="QNQ69" s="4"/>
      <c r="QNR69" s="4"/>
      <c r="QNS69" s="4"/>
      <c r="QNT69" s="4"/>
      <c r="QNU69" s="4"/>
      <c r="QNV69" s="4"/>
      <c r="QNW69" s="4"/>
      <c r="QNX69" s="4"/>
      <c r="QNY69" s="4"/>
      <c r="QNZ69" s="4"/>
      <c r="QOA69" s="4"/>
      <c r="QOB69" s="4"/>
      <c r="QOC69" s="4"/>
      <c r="QOD69" s="4"/>
      <c r="QOE69" s="4"/>
      <c r="QOF69" s="4"/>
      <c r="QOG69" s="4"/>
      <c r="QOH69" s="4"/>
      <c r="QOI69" s="4"/>
      <c r="QOJ69" s="4"/>
      <c r="QOK69" s="4"/>
      <c r="QOL69" s="4"/>
      <c r="QOM69" s="4"/>
      <c r="QON69" s="4"/>
      <c r="QOO69" s="4"/>
      <c r="QOP69" s="4"/>
      <c r="QOQ69" s="4"/>
      <c r="QOR69" s="4"/>
      <c r="QOS69" s="4"/>
      <c r="QOT69" s="4"/>
      <c r="QOU69" s="4"/>
      <c r="QOV69" s="4"/>
      <c r="QOW69" s="4"/>
      <c r="QOX69" s="4"/>
      <c r="QOY69" s="4"/>
      <c r="QOZ69" s="4"/>
      <c r="QPA69" s="4"/>
      <c r="QPB69" s="4"/>
      <c r="QPC69" s="4"/>
      <c r="QPD69" s="4"/>
      <c r="QPE69" s="4"/>
      <c r="QPF69" s="4"/>
      <c r="QPG69" s="4"/>
      <c r="QPH69" s="4"/>
      <c r="QPI69" s="4"/>
      <c r="QPJ69" s="4"/>
      <c r="QPK69" s="4"/>
      <c r="QPL69" s="4"/>
      <c r="QPM69" s="4"/>
      <c r="QPN69" s="4"/>
      <c r="QPO69" s="4"/>
      <c r="QPP69" s="4"/>
      <c r="QPQ69" s="4"/>
      <c r="QPR69" s="4"/>
      <c r="QPS69" s="4"/>
      <c r="QPT69" s="4"/>
      <c r="QPU69" s="4"/>
      <c r="QPV69" s="4"/>
      <c r="QPW69" s="4"/>
      <c r="QPX69" s="4"/>
      <c r="QPY69" s="4"/>
      <c r="QPZ69" s="4"/>
      <c r="QQA69" s="4"/>
      <c r="QQB69" s="4"/>
      <c r="QQC69" s="4"/>
      <c r="QQD69" s="4"/>
      <c r="QQE69" s="4"/>
      <c r="QQF69" s="4"/>
      <c r="QQG69" s="4"/>
      <c r="QQH69" s="4"/>
      <c r="QQI69" s="4"/>
      <c r="QQJ69" s="4"/>
      <c r="QQK69" s="4"/>
      <c r="QQL69" s="4"/>
      <c r="QQM69" s="4"/>
      <c r="QQN69" s="4"/>
      <c r="QQO69" s="4"/>
      <c r="QQP69" s="4"/>
      <c r="QQQ69" s="4"/>
      <c r="QQR69" s="4"/>
      <c r="QQS69" s="4"/>
      <c r="QQT69" s="4"/>
      <c r="QQU69" s="4"/>
      <c r="QQV69" s="4"/>
      <c r="QQW69" s="4"/>
      <c r="QQX69" s="4"/>
      <c r="QQY69" s="4"/>
      <c r="QQZ69" s="4"/>
      <c r="QRA69" s="4"/>
      <c r="QRB69" s="4"/>
      <c r="QRC69" s="4"/>
      <c r="QRD69" s="4"/>
      <c r="QRE69" s="4"/>
      <c r="QRF69" s="4"/>
      <c r="QRG69" s="4"/>
      <c r="QRH69" s="4"/>
      <c r="QRI69" s="4"/>
      <c r="QRJ69" s="4"/>
      <c r="QRK69" s="4"/>
      <c r="QRL69" s="4"/>
      <c r="QRM69" s="4"/>
      <c r="QRN69" s="4"/>
      <c r="QRO69" s="4"/>
      <c r="QRP69" s="4"/>
      <c r="QRQ69" s="4"/>
      <c r="QRR69" s="4"/>
      <c r="QRS69" s="4"/>
      <c r="QRT69" s="4"/>
      <c r="QRU69" s="4"/>
      <c r="QRV69" s="4"/>
      <c r="QRW69" s="4"/>
      <c r="QRX69" s="4"/>
      <c r="QRY69" s="4"/>
      <c r="QRZ69" s="4"/>
      <c r="QSA69" s="4"/>
      <c r="QSB69" s="4"/>
      <c r="QSC69" s="4"/>
      <c r="QSD69" s="4"/>
      <c r="QSE69" s="4"/>
      <c r="QSF69" s="4"/>
      <c r="QSG69" s="4"/>
      <c r="QSH69" s="4"/>
      <c r="QSI69" s="4"/>
      <c r="QSJ69" s="4"/>
      <c r="QSK69" s="4"/>
      <c r="QSL69" s="4"/>
      <c r="QSM69" s="4"/>
      <c r="QSN69" s="4"/>
      <c r="QSO69" s="4"/>
      <c r="QSP69" s="4"/>
      <c r="QSQ69" s="4"/>
      <c r="QSR69" s="4"/>
      <c r="QSS69" s="4"/>
      <c r="QST69" s="4"/>
      <c r="QSU69" s="4"/>
      <c r="QSV69" s="4"/>
      <c r="QSW69" s="4"/>
      <c r="QSX69" s="4"/>
      <c r="QSY69" s="4"/>
      <c r="QSZ69" s="4"/>
      <c r="QTA69" s="4"/>
      <c r="QTB69" s="4"/>
      <c r="QTC69" s="4"/>
      <c r="QTD69" s="4"/>
      <c r="QTE69" s="4"/>
      <c r="QTF69" s="4"/>
      <c r="QTG69" s="4"/>
      <c r="QTH69" s="4"/>
      <c r="QTI69" s="4"/>
      <c r="QTJ69" s="4"/>
      <c r="QTK69" s="4"/>
      <c r="QTL69" s="4"/>
      <c r="QTM69" s="4"/>
      <c r="QTN69" s="4"/>
      <c r="QTO69" s="4"/>
      <c r="QTP69" s="4"/>
      <c r="QTQ69" s="4"/>
      <c r="QTR69" s="4"/>
      <c r="QTS69" s="4"/>
      <c r="QTT69" s="4"/>
      <c r="QTU69" s="4"/>
      <c r="QTV69" s="4"/>
      <c r="QTW69" s="4"/>
      <c r="QTX69" s="4"/>
      <c r="QTY69" s="4"/>
      <c r="QTZ69" s="4"/>
      <c r="QUA69" s="4"/>
      <c r="QUB69" s="4"/>
      <c r="QUC69" s="4"/>
      <c r="QUD69" s="4"/>
      <c r="QUE69" s="4"/>
      <c r="QUF69" s="4"/>
      <c r="QUG69" s="4"/>
      <c r="QUH69" s="4"/>
      <c r="QUI69" s="4"/>
      <c r="QUJ69" s="4"/>
      <c r="QUK69" s="4"/>
      <c r="QUL69" s="4"/>
      <c r="QUM69" s="4"/>
      <c r="QUN69" s="4"/>
      <c r="QUO69" s="4"/>
      <c r="QUP69" s="4"/>
      <c r="QUQ69" s="4"/>
      <c r="QUR69" s="4"/>
      <c r="QUS69" s="4"/>
      <c r="QUT69" s="4"/>
      <c r="QUU69" s="4"/>
      <c r="QUV69" s="4"/>
      <c r="QUW69" s="4"/>
      <c r="QUX69" s="4"/>
      <c r="QUY69" s="4"/>
      <c r="QUZ69" s="4"/>
      <c r="QVA69" s="4"/>
      <c r="QVB69" s="4"/>
      <c r="QVC69" s="4"/>
      <c r="QVD69" s="4"/>
      <c r="QVE69" s="4"/>
      <c r="QVF69" s="4"/>
      <c r="QVG69" s="4"/>
      <c r="QVH69" s="4"/>
      <c r="QVI69" s="4"/>
      <c r="QVJ69" s="4"/>
      <c r="QVK69" s="4"/>
      <c r="QVL69" s="4"/>
      <c r="QVM69" s="4"/>
      <c r="QVN69" s="4"/>
      <c r="QVO69" s="4"/>
      <c r="QVP69" s="4"/>
      <c r="QVQ69" s="4"/>
      <c r="QVR69" s="4"/>
      <c r="QVS69" s="4"/>
      <c r="QVT69" s="4"/>
      <c r="QVU69" s="4"/>
      <c r="QVV69" s="4"/>
      <c r="QVW69" s="4"/>
      <c r="QVX69" s="4"/>
      <c r="QVY69" s="4"/>
      <c r="QVZ69" s="4"/>
      <c r="QWA69" s="4"/>
      <c r="QWB69" s="4"/>
      <c r="QWC69" s="4"/>
      <c r="QWD69" s="4"/>
      <c r="QWE69" s="4"/>
      <c r="QWF69" s="4"/>
      <c r="QWG69" s="4"/>
      <c r="QWH69" s="4"/>
      <c r="QWI69" s="4"/>
      <c r="QWJ69" s="4"/>
      <c r="QWK69" s="4"/>
      <c r="QWL69" s="4"/>
      <c r="QWM69" s="4"/>
      <c r="QWN69" s="4"/>
      <c r="QWO69" s="4"/>
      <c r="QWP69" s="4"/>
      <c r="QWQ69" s="4"/>
      <c r="QWR69" s="4"/>
      <c r="QWS69" s="4"/>
      <c r="QWT69" s="4"/>
      <c r="QWU69" s="4"/>
      <c r="QWV69" s="4"/>
      <c r="QWW69" s="4"/>
      <c r="QWX69" s="4"/>
      <c r="QWY69" s="4"/>
      <c r="QWZ69" s="4"/>
      <c r="QXA69" s="4"/>
      <c r="QXB69" s="4"/>
      <c r="QXC69" s="4"/>
      <c r="QXD69" s="4"/>
      <c r="QXE69" s="4"/>
      <c r="QXF69" s="4"/>
      <c r="QXG69" s="4"/>
      <c r="QXH69" s="4"/>
      <c r="QXI69" s="4"/>
      <c r="QXJ69" s="4"/>
      <c r="QXK69" s="4"/>
      <c r="QXL69" s="4"/>
      <c r="QXM69" s="4"/>
      <c r="QXN69" s="4"/>
      <c r="QXO69" s="4"/>
      <c r="QXP69" s="4"/>
      <c r="QXQ69" s="4"/>
      <c r="QXR69" s="4"/>
      <c r="QXS69" s="4"/>
      <c r="QXT69" s="4"/>
      <c r="QXU69" s="4"/>
      <c r="QXV69" s="4"/>
      <c r="QXW69" s="4"/>
      <c r="QXX69" s="4"/>
      <c r="QXY69" s="4"/>
      <c r="QXZ69" s="4"/>
      <c r="QYA69" s="4"/>
      <c r="QYB69" s="4"/>
      <c r="QYC69" s="4"/>
      <c r="QYD69" s="4"/>
      <c r="QYE69" s="4"/>
      <c r="QYF69" s="4"/>
      <c r="QYG69" s="4"/>
      <c r="QYH69" s="4"/>
      <c r="QYI69" s="4"/>
      <c r="QYJ69" s="4"/>
      <c r="QYK69" s="4"/>
      <c r="QYL69" s="4"/>
      <c r="QYM69" s="4"/>
      <c r="QYN69" s="4"/>
      <c r="QYO69" s="4"/>
      <c r="QYP69" s="4"/>
      <c r="QYQ69" s="4"/>
      <c r="QYR69" s="4"/>
      <c r="QYS69" s="4"/>
      <c r="QYT69" s="4"/>
      <c r="QYU69" s="4"/>
      <c r="QYV69" s="4"/>
      <c r="QYW69" s="4"/>
      <c r="QYX69" s="4"/>
      <c r="QYY69" s="4"/>
      <c r="QYZ69" s="4"/>
      <c r="QZA69" s="4"/>
      <c r="QZB69" s="4"/>
      <c r="QZC69" s="4"/>
      <c r="QZD69" s="4"/>
      <c r="QZE69" s="4"/>
      <c r="QZF69" s="4"/>
      <c r="QZG69" s="4"/>
      <c r="QZH69" s="4"/>
      <c r="QZI69" s="4"/>
      <c r="QZJ69" s="4"/>
      <c r="QZK69" s="4"/>
      <c r="QZL69" s="4"/>
      <c r="QZM69" s="4"/>
      <c r="QZN69" s="4"/>
      <c r="QZO69" s="4"/>
      <c r="QZP69" s="4"/>
      <c r="QZQ69" s="4"/>
      <c r="QZR69" s="4"/>
      <c r="QZS69" s="4"/>
      <c r="QZT69" s="4"/>
      <c r="QZU69" s="4"/>
      <c r="QZV69" s="4"/>
      <c r="QZW69" s="4"/>
      <c r="QZX69" s="4"/>
      <c r="QZY69" s="4"/>
      <c r="QZZ69" s="4"/>
      <c r="RAA69" s="4"/>
      <c r="RAB69" s="4"/>
      <c r="RAC69" s="4"/>
      <c r="RAD69" s="4"/>
      <c r="RAE69" s="4"/>
      <c r="RAF69" s="4"/>
      <c r="RAG69" s="4"/>
      <c r="RAH69" s="4"/>
      <c r="RAI69" s="4"/>
      <c r="RAJ69" s="4"/>
      <c r="RAK69" s="4"/>
      <c r="RAL69" s="4"/>
      <c r="RAM69" s="4"/>
      <c r="RAN69" s="4"/>
      <c r="RAO69" s="4"/>
      <c r="RAP69" s="4"/>
      <c r="RAQ69" s="4"/>
      <c r="RAR69" s="4"/>
      <c r="RAS69" s="4"/>
      <c r="RAT69" s="4"/>
      <c r="RAU69" s="4"/>
      <c r="RAV69" s="4"/>
      <c r="RAW69" s="4"/>
      <c r="RAX69" s="4"/>
      <c r="RAY69" s="4"/>
      <c r="RAZ69" s="4"/>
      <c r="RBA69" s="4"/>
      <c r="RBB69" s="4"/>
      <c r="RBC69" s="4"/>
      <c r="RBD69" s="4"/>
      <c r="RBE69" s="4"/>
      <c r="RBF69" s="4"/>
      <c r="RBG69" s="4"/>
      <c r="RBH69" s="4"/>
      <c r="RBI69" s="4"/>
      <c r="RBJ69" s="4"/>
      <c r="RBK69" s="4"/>
      <c r="RBL69" s="4"/>
      <c r="RBM69" s="4"/>
      <c r="RBN69" s="4"/>
      <c r="RBO69" s="4"/>
      <c r="RBP69" s="4"/>
      <c r="RBQ69" s="4"/>
      <c r="RBR69" s="4"/>
      <c r="RBS69" s="4"/>
      <c r="RBT69" s="4"/>
      <c r="RBU69" s="4"/>
      <c r="RBV69" s="4"/>
      <c r="RBW69" s="4"/>
      <c r="RBX69" s="4"/>
      <c r="RBY69" s="4"/>
      <c r="RBZ69" s="4"/>
      <c r="RCA69" s="4"/>
      <c r="RCB69" s="4"/>
      <c r="RCC69" s="4"/>
      <c r="RCD69" s="4"/>
      <c r="RCE69" s="4"/>
      <c r="RCF69" s="4"/>
      <c r="RCG69" s="4"/>
      <c r="RCH69" s="4"/>
      <c r="RCI69" s="4"/>
      <c r="RCJ69" s="4"/>
      <c r="RCK69" s="4"/>
      <c r="RCL69" s="4"/>
      <c r="RCM69" s="4"/>
      <c r="RCN69" s="4"/>
      <c r="RCO69" s="4"/>
      <c r="RCP69" s="4"/>
      <c r="RCQ69" s="4"/>
      <c r="RCR69" s="4"/>
      <c r="RCS69" s="4"/>
      <c r="RCT69" s="4"/>
      <c r="RCU69" s="4"/>
      <c r="RCV69" s="4"/>
      <c r="RCW69" s="4"/>
      <c r="RCX69" s="4"/>
      <c r="RCY69" s="4"/>
      <c r="RCZ69" s="4"/>
      <c r="RDA69" s="4"/>
      <c r="RDB69" s="4"/>
      <c r="RDC69" s="4"/>
      <c r="RDD69" s="4"/>
      <c r="RDE69" s="4"/>
      <c r="RDF69" s="4"/>
      <c r="RDG69" s="4"/>
      <c r="RDH69" s="4"/>
      <c r="RDI69" s="4"/>
      <c r="RDJ69" s="4"/>
      <c r="RDK69" s="4"/>
      <c r="RDL69" s="4"/>
      <c r="RDM69" s="4"/>
      <c r="RDN69" s="4"/>
      <c r="RDO69" s="4"/>
      <c r="RDP69" s="4"/>
      <c r="RDQ69" s="4"/>
      <c r="RDR69" s="4"/>
      <c r="RDS69" s="4"/>
      <c r="RDT69" s="4"/>
      <c r="RDU69" s="4"/>
      <c r="RDV69" s="4"/>
      <c r="RDW69" s="4"/>
      <c r="RDX69" s="4"/>
      <c r="RDY69" s="4"/>
      <c r="RDZ69" s="4"/>
      <c r="REA69" s="4"/>
      <c r="REB69" s="4"/>
      <c r="REC69" s="4"/>
      <c r="RED69" s="4"/>
      <c r="REE69" s="4"/>
      <c r="REF69" s="4"/>
      <c r="REG69" s="4"/>
      <c r="REH69" s="4"/>
      <c r="REI69" s="4"/>
      <c r="REJ69" s="4"/>
      <c r="REK69" s="4"/>
      <c r="REL69" s="4"/>
      <c r="REM69" s="4"/>
      <c r="REN69" s="4"/>
      <c r="REO69" s="4"/>
      <c r="REP69" s="4"/>
      <c r="REQ69" s="4"/>
      <c r="RER69" s="4"/>
      <c r="RES69" s="4"/>
      <c r="RET69" s="4"/>
      <c r="REU69" s="4"/>
      <c r="REV69" s="4"/>
      <c r="REW69" s="4"/>
      <c r="REX69" s="4"/>
      <c r="REY69" s="4"/>
      <c r="REZ69" s="4"/>
      <c r="RFA69" s="4"/>
      <c r="RFB69" s="4"/>
      <c r="RFC69" s="4"/>
      <c r="RFD69" s="4"/>
      <c r="RFE69" s="4"/>
      <c r="RFF69" s="4"/>
      <c r="RFG69" s="4"/>
      <c r="RFH69" s="4"/>
      <c r="RFI69" s="4"/>
      <c r="RFJ69" s="4"/>
      <c r="RFK69" s="4"/>
      <c r="RFL69" s="4"/>
      <c r="RFM69" s="4"/>
      <c r="RFN69" s="4"/>
      <c r="RFO69" s="4"/>
      <c r="RFP69" s="4"/>
      <c r="RFQ69" s="4"/>
      <c r="RFR69" s="4"/>
      <c r="RFS69" s="4"/>
      <c r="RFT69" s="4"/>
      <c r="RFU69" s="4"/>
      <c r="RFV69" s="4"/>
      <c r="RFW69" s="4"/>
      <c r="RFX69" s="4"/>
      <c r="RFY69" s="4"/>
      <c r="RFZ69" s="4"/>
      <c r="RGA69" s="4"/>
      <c r="RGB69" s="4"/>
      <c r="RGC69" s="4"/>
      <c r="RGD69" s="4"/>
      <c r="RGE69" s="4"/>
      <c r="RGF69" s="4"/>
      <c r="RGG69" s="4"/>
      <c r="RGH69" s="4"/>
      <c r="RGI69" s="4"/>
      <c r="RGJ69" s="4"/>
      <c r="RGK69" s="4"/>
      <c r="RGL69" s="4"/>
      <c r="RGM69" s="4"/>
      <c r="RGN69" s="4"/>
      <c r="RGO69" s="4"/>
      <c r="RGP69" s="4"/>
      <c r="RGQ69" s="4"/>
      <c r="RGR69" s="4"/>
      <c r="RGS69" s="4"/>
      <c r="RGT69" s="4"/>
      <c r="RGU69" s="4"/>
      <c r="RGV69" s="4"/>
      <c r="RGW69" s="4"/>
      <c r="RGX69" s="4"/>
      <c r="RGY69" s="4"/>
      <c r="RGZ69" s="4"/>
      <c r="RHA69" s="4"/>
      <c r="RHB69" s="4"/>
      <c r="RHC69" s="4"/>
      <c r="RHD69" s="4"/>
      <c r="RHE69" s="4"/>
      <c r="RHF69" s="4"/>
      <c r="RHG69" s="4"/>
      <c r="RHH69" s="4"/>
      <c r="RHI69" s="4"/>
      <c r="RHJ69" s="4"/>
      <c r="RHK69" s="4"/>
      <c r="RHL69" s="4"/>
      <c r="RHM69" s="4"/>
      <c r="RHN69" s="4"/>
      <c r="RHO69" s="4"/>
      <c r="RHP69" s="4"/>
      <c r="RHQ69" s="4"/>
      <c r="RHR69" s="4"/>
      <c r="RHS69" s="4"/>
      <c r="RHT69" s="4"/>
      <c r="RHU69" s="4"/>
      <c r="RHV69" s="4"/>
      <c r="RHW69" s="4"/>
      <c r="RHX69" s="4"/>
      <c r="RHY69" s="4"/>
      <c r="RHZ69" s="4"/>
      <c r="RIA69" s="4"/>
      <c r="RIB69" s="4"/>
      <c r="RIC69" s="4"/>
      <c r="RID69" s="4"/>
      <c r="RIE69" s="4"/>
      <c r="RIF69" s="4"/>
      <c r="RIG69" s="4"/>
      <c r="RIH69" s="4"/>
      <c r="RII69" s="4"/>
      <c r="RIJ69" s="4"/>
      <c r="RIK69" s="4"/>
      <c r="RIL69" s="4"/>
      <c r="RIM69" s="4"/>
      <c r="RIN69" s="4"/>
      <c r="RIO69" s="4"/>
      <c r="RIP69" s="4"/>
      <c r="RIQ69" s="4"/>
      <c r="RIR69" s="4"/>
      <c r="RIS69" s="4"/>
      <c r="RIT69" s="4"/>
      <c r="RIU69" s="4"/>
      <c r="RIV69" s="4"/>
      <c r="RIW69" s="4"/>
      <c r="RIX69" s="4"/>
      <c r="RIY69" s="4"/>
      <c r="RIZ69" s="4"/>
      <c r="RJA69" s="4"/>
      <c r="RJB69" s="4"/>
      <c r="RJC69" s="4"/>
      <c r="RJD69" s="4"/>
      <c r="RJE69" s="4"/>
      <c r="RJF69" s="4"/>
      <c r="RJG69" s="4"/>
      <c r="RJH69" s="4"/>
      <c r="RJI69" s="4"/>
      <c r="RJJ69" s="4"/>
      <c r="RJK69" s="4"/>
      <c r="RJL69" s="4"/>
      <c r="RJM69" s="4"/>
      <c r="RJN69" s="4"/>
      <c r="RJO69" s="4"/>
      <c r="RJP69" s="4"/>
      <c r="RJQ69" s="4"/>
      <c r="RJR69" s="4"/>
      <c r="RJS69" s="4"/>
      <c r="RJT69" s="4"/>
      <c r="RJU69" s="4"/>
      <c r="RJV69" s="4"/>
      <c r="RJW69" s="4"/>
      <c r="RJX69" s="4"/>
      <c r="RJY69" s="4"/>
      <c r="RJZ69" s="4"/>
      <c r="RKA69" s="4"/>
      <c r="RKB69" s="4"/>
      <c r="RKC69" s="4"/>
      <c r="RKD69" s="4"/>
      <c r="RKE69" s="4"/>
      <c r="RKF69" s="4"/>
      <c r="RKG69" s="4"/>
      <c r="RKH69" s="4"/>
      <c r="RKI69" s="4"/>
      <c r="RKJ69" s="4"/>
      <c r="RKK69" s="4"/>
      <c r="RKL69" s="4"/>
      <c r="RKM69" s="4"/>
      <c r="RKN69" s="4"/>
      <c r="RKO69" s="4"/>
      <c r="RKP69" s="4"/>
      <c r="RKQ69" s="4"/>
      <c r="RKR69" s="4"/>
      <c r="RKS69" s="4"/>
      <c r="RKT69" s="4"/>
      <c r="RKU69" s="4"/>
      <c r="RKV69" s="4"/>
      <c r="RKW69" s="4"/>
      <c r="RKX69" s="4"/>
      <c r="RKY69" s="4"/>
      <c r="RKZ69" s="4"/>
      <c r="RLA69" s="4"/>
      <c r="RLB69" s="4"/>
      <c r="RLC69" s="4"/>
      <c r="RLD69" s="4"/>
      <c r="RLE69" s="4"/>
      <c r="RLF69" s="4"/>
      <c r="RLG69" s="4"/>
      <c r="RLH69" s="4"/>
      <c r="RLI69" s="4"/>
      <c r="RLJ69" s="4"/>
      <c r="RLK69" s="4"/>
      <c r="RLL69" s="4"/>
      <c r="RLM69" s="4"/>
      <c r="RLN69" s="4"/>
      <c r="RLO69" s="4"/>
      <c r="RLP69" s="4"/>
      <c r="RLQ69" s="4"/>
      <c r="RLR69" s="4"/>
      <c r="RLS69" s="4"/>
      <c r="RLT69" s="4"/>
      <c r="RLU69" s="4"/>
      <c r="RLV69" s="4"/>
      <c r="RLW69" s="4"/>
      <c r="RLX69" s="4"/>
      <c r="RLY69" s="4"/>
      <c r="RLZ69" s="4"/>
      <c r="RMA69" s="4"/>
      <c r="RMB69" s="4"/>
      <c r="RMC69" s="4"/>
      <c r="RMD69" s="4"/>
      <c r="RME69" s="4"/>
      <c r="RMF69" s="4"/>
      <c r="RMG69" s="4"/>
      <c r="RMH69" s="4"/>
      <c r="RMI69" s="4"/>
      <c r="RMJ69" s="4"/>
      <c r="RMK69" s="4"/>
      <c r="RML69" s="4"/>
      <c r="RMM69" s="4"/>
      <c r="RMN69" s="4"/>
      <c r="RMO69" s="4"/>
      <c r="RMP69" s="4"/>
      <c r="RMQ69" s="4"/>
      <c r="RMR69" s="4"/>
      <c r="RMS69" s="4"/>
      <c r="RMT69" s="4"/>
      <c r="RMU69" s="4"/>
      <c r="RMV69" s="4"/>
      <c r="RMW69" s="4"/>
      <c r="RMX69" s="4"/>
      <c r="RMY69" s="4"/>
      <c r="RMZ69" s="4"/>
      <c r="RNA69" s="4"/>
      <c r="RNB69" s="4"/>
      <c r="RNC69" s="4"/>
      <c r="RND69" s="4"/>
      <c r="RNE69" s="4"/>
      <c r="RNF69" s="4"/>
      <c r="RNG69" s="4"/>
      <c r="RNH69" s="4"/>
      <c r="RNI69" s="4"/>
      <c r="RNJ69" s="4"/>
      <c r="RNK69" s="4"/>
      <c r="RNL69" s="4"/>
      <c r="RNM69" s="4"/>
      <c r="RNN69" s="4"/>
      <c r="RNO69" s="4"/>
      <c r="RNP69" s="4"/>
      <c r="RNQ69" s="4"/>
      <c r="RNR69" s="4"/>
      <c r="RNS69" s="4"/>
      <c r="RNT69" s="4"/>
      <c r="RNU69" s="4"/>
      <c r="RNV69" s="4"/>
      <c r="RNW69" s="4"/>
      <c r="RNX69" s="4"/>
      <c r="RNY69" s="4"/>
      <c r="RNZ69" s="4"/>
      <c r="ROA69" s="4"/>
      <c r="ROB69" s="4"/>
      <c r="ROC69" s="4"/>
      <c r="ROD69" s="4"/>
      <c r="ROE69" s="4"/>
      <c r="ROF69" s="4"/>
      <c r="ROG69" s="4"/>
      <c r="ROH69" s="4"/>
      <c r="ROI69" s="4"/>
      <c r="ROJ69" s="4"/>
      <c r="ROK69" s="4"/>
      <c r="ROL69" s="4"/>
      <c r="ROM69" s="4"/>
      <c r="RON69" s="4"/>
      <c r="ROO69" s="4"/>
      <c r="ROP69" s="4"/>
      <c r="ROQ69" s="4"/>
      <c r="ROR69" s="4"/>
      <c r="ROS69" s="4"/>
      <c r="ROT69" s="4"/>
      <c r="ROU69" s="4"/>
      <c r="ROV69" s="4"/>
      <c r="ROW69" s="4"/>
      <c r="ROX69" s="4"/>
      <c r="ROY69" s="4"/>
      <c r="ROZ69" s="4"/>
      <c r="RPA69" s="4"/>
      <c r="RPB69" s="4"/>
      <c r="RPC69" s="4"/>
      <c r="RPD69" s="4"/>
      <c r="RPE69" s="4"/>
      <c r="RPF69" s="4"/>
      <c r="RPG69" s="4"/>
      <c r="RPH69" s="4"/>
      <c r="RPI69" s="4"/>
      <c r="RPJ69" s="4"/>
      <c r="RPK69" s="4"/>
      <c r="RPL69" s="4"/>
      <c r="RPM69" s="4"/>
      <c r="RPN69" s="4"/>
      <c r="RPO69" s="4"/>
      <c r="RPP69" s="4"/>
      <c r="RPQ69" s="4"/>
      <c r="RPR69" s="4"/>
      <c r="RPS69" s="4"/>
      <c r="RPT69" s="4"/>
      <c r="RPU69" s="4"/>
      <c r="RPV69" s="4"/>
      <c r="RPW69" s="4"/>
      <c r="RPX69" s="4"/>
      <c r="RPY69" s="4"/>
      <c r="RPZ69" s="4"/>
      <c r="RQA69" s="4"/>
      <c r="RQB69" s="4"/>
      <c r="RQC69" s="4"/>
      <c r="RQD69" s="4"/>
      <c r="RQE69" s="4"/>
      <c r="RQF69" s="4"/>
      <c r="RQG69" s="4"/>
      <c r="RQH69" s="4"/>
      <c r="RQI69" s="4"/>
      <c r="RQJ69" s="4"/>
      <c r="RQK69" s="4"/>
      <c r="RQL69" s="4"/>
      <c r="RQM69" s="4"/>
      <c r="RQN69" s="4"/>
      <c r="RQO69" s="4"/>
      <c r="RQP69" s="4"/>
      <c r="RQQ69" s="4"/>
      <c r="RQR69" s="4"/>
      <c r="RQS69" s="4"/>
      <c r="RQT69" s="4"/>
      <c r="RQU69" s="4"/>
      <c r="RQV69" s="4"/>
      <c r="RQW69" s="4"/>
      <c r="RQX69" s="4"/>
      <c r="RQY69" s="4"/>
      <c r="RQZ69" s="4"/>
      <c r="RRA69" s="4"/>
      <c r="RRB69" s="4"/>
      <c r="RRC69" s="4"/>
      <c r="RRD69" s="4"/>
      <c r="RRE69" s="4"/>
      <c r="RRF69" s="4"/>
      <c r="RRG69" s="4"/>
      <c r="RRH69" s="4"/>
      <c r="RRI69" s="4"/>
      <c r="RRJ69" s="4"/>
      <c r="RRK69" s="4"/>
      <c r="RRL69" s="4"/>
      <c r="RRM69" s="4"/>
      <c r="RRN69" s="4"/>
      <c r="RRO69" s="4"/>
      <c r="RRP69" s="4"/>
      <c r="RRQ69" s="4"/>
      <c r="RRR69" s="4"/>
      <c r="RRS69" s="4"/>
      <c r="RRT69" s="4"/>
      <c r="RRU69" s="4"/>
      <c r="RRV69" s="4"/>
      <c r="RRW69" s="4"/>
      <c r="RRX69" s="4"/>
      <c r="RRY69" s="4"/>
      <c r="RRZ69" s="4"/>
      <c r="RSA69" s="4"/>
      <c r="RSB69" s="4"/>
      <c r="RSC69" s="4"/>
      <c r="RSD69" s="4"/>
      <c r="RSE69" s="4"/>
      <c r="RSF69" s="4"/>
      <c r="RSG69" s="4"/>
      <c r="RSH69" s="4"/>
      <c r="RSI69" s="4"/>
      <c r="RSJ69" s="4"/>
      <c r="RSK69" s="4"/>
      <c r="RSL69" s="4"/>
      <c r="RSM69" s="4"/>
      <c r="RSN69" s="4"/>
      <c r="RSO69" s="4"/>
      <c r="RSP69" s="4"/>
      <c r="RSQ69" s="4"/>
      <c r="RSR69" s="4"/>
      <c r="RSS69" s="4"/>
      <c r="RST69" s="4"/>
      <c r="RSU69" s="4"/>
      <c r="RSV69" s="4"/>
      <c r="RSW69" s="4"/>
      <c r="RSX69" s="4"/>
      <c r="RSY69" s="4"/>
      <c r="RSZ69" s="4"/>
      <c r="RTA69" s="4"/>
      <c r="RTB69" s="4"/>
      <c r="RTC69" s="4"/>
      <c r="RTD69" s="4"/>
      <c r="RTE69" s="4"/>
      <c r="RTF69" s="4"/>
      <c r="RTG69" s="4"/>
      <c r="RTH69" s="4"/>
      <c r="RTI69" s="4"/>
      <c r="RTJ69" s="4"/>
      <c r="RTK69" s="4"/>
      <c r="RTL69" s="4"/>
      <c r="RTM69" s="4"/>
      <c r="RTN69" s="4"/>
      <c r="RTO69" s="4"/>
      <c r="RTP69" s="4"/>
      <c r="RTQ69" s="4"/>
      <c r="RTR69" s="4"/>
      <c r="RTS69" s="4"/>
      <c r="RTT69" s="4"/>
      <c r="RTU69" s="4"/>
      <c r="RTV69" s="4"/>
      <c r="RTW69" s="4"/>
      <c r="RTX69" s="4"/>
      <c r="RTY69" s="4"/>
      <c r="RTZ69" s="4"/>
      <c r="RUA69" s="4"/>
      <c r="RUB69" s="4"/>
      <c r="RUC69" s="4"/>
      <c r="RUD69" s="4"/>
      <c r="RUE69" s="4"/>
      <c r="RUF69" s="4"/>
      <c r="RUG69" s="4"/>
      <c r="RUH69" s="4"/>
      <c r="RUI69" s="4"/>
      <c r="RUJ69" s="4"/>
      <c r="RUK69" s="4"/>
      <c r="RUL69" s="4"/>
      <c r="RUM69" s="4"/>
      <c r="RUN69" s="4"/>
      <c r="RUO69" s="4"/>
      <c r="RUP69" s="4"/>
      <c r="RUQ69" s="4"/>
      <c r="RUR69" s="4"/>
      <c r="RUS69" s="4"/>
      <c r="RUT69" s="4"/>
      <c r="RUU69" s="4"/>
      <c r="RUV69" s="4"/>
      <c r="RUW69" s="4"/>
      <c r="RUX69" s="4"/>
      <c r="RUY69" s="4"/>
      <c r="RUZ69" s="4"/>
      <c r="RVA69" s="4"/>
      <c r="RVB69" s="4"/>
      <c r="RVC69" s="4"/>
      <c r="RVD69" s="4"/>
      <c r="RVE69" s="4"/>
      <c r="RVF69" s="4"/>
      <c r="RVG69" s="4"/>
      <c r="RVH69" s="4"/>
      <c r="RVI69" s="4"/>
      <c r="RVJ69" s="4"/>
      <c r="RVK69" s="4"/>
      <c r="RVL69" s="4"/>
      <c r="RVM69" s="4"/>
      <c r="RVN69" s="4"/>
      <c r="RVO69" s="4"/>
      <c r="RVP69" s="4"/>
      <c r="RVQ69" s="4"/>
      <c r="RVR69" s="4"/>
      <c r="RVS69" s="4"/>
      <c r="RVT69" s="4"/>
      <c r="RVU69" s="4"/>
      <c r="RVV69" s="4"/>
      <c r="RVW69" s="4"/>
      <c r="RVX69" s="4"/>
      <c r="RVY69" s="4"/>
      <c r="RVZ69" s="4"/>
      <c r="RWA69" s="4"/>
      <c r="RWB69" s="4"/>
      <c r="RWC69" s="4"/>
      <c r="RWD69" s="4"/>
      <c r="RWE69" s="4"/>
      <c r="RWF69" s="4"/>
      <c r="RWG69" s="4"/>
      <c r="RWH69" s="4"/>
      <c r="RWI69" s="4"/>
      <c r="RWJ69" s="4"/>
      <c r="RWK69" s="4"/>
      <c r="RWL69" s="4"/>
      <c r="RWM69" s="4"/>
      <c r="RWN69" s="4"/>
      <c r="RWO69" s="4"/>
      <c r="RWP69" s="4"/>
      <c r="RWQ69" s="4"/>
      <c r="RWR69" s="4"/>
      <c r="RWS69" s="4"/>
      <c r="RWT69" s="4"/>
      <c r="RWU69" s="4"/>
      <c r="RWV69" s="4"/>
      <c r="RWW69" s="4"/>
      <c r="RWX69" s="4"/>
      <c r="RWY69" s="4"/>
      <c r="RWZ69" s="4"/>
      <c r="RXA69" s="4"/>
      <c r="RXB69" s="4"/>
      <c r="RXC69" s="4"/>
      <c r="RXD69" s="4"/>
      <c r="RXE69" s="4"/>
      <c r="RXF69" s="4"/>
      <c r="RXG69" s="4"/>
      <c r="RXH69" s="4"/>
      <c r="RXI69" s="4"/>
      <c r="RXJ69" s="4"/>
      <c r="RXK69" s="4"/>
      <c r="RXL69" s="4"/>
      <c r="RXM69" s="4"/>
      <c r="RXN69" s="4"/>
      <c r="RXO69" s="4"/>
      <c r="RXP69" s="4"/>
      <c r="RXQ69" s="4"/>
      <c r="RXR69" s="4"/>
      <c r="RXS69" s="4"/>
      <c r="RXT69" s="4"/>
      <c r="RXU69" s="4"/>
      <c r="RXV69" s="4"/>
      <c r="RXW69" s="4"/>
      <c r="RXX69" s="4"/>
      <c r="RXY69" s="4"/>
      <c r="RXZ69" s="4"/>
      <c r="RYA69" s="4"/>
      <c r="RYB69" s="4"/>
      <c r="RYC69" s="4"/>
      <c r="RYD69" s="4"/>
      <c r="RYE69" s="4"/>
      <c r="RYF69" s="4"/>
      <c r="RYG69" s="4"/>
      <c r="RYH69" s="4"/>
      <c r="RYI69" s="4"/>
      <c r="RYJ69" s="4"/>
      <c r="RYK69" s="4"/>
      <c r="RYL69" s="4"/>
      <c r="RYM69" s="4"/>
      <c r="RYN69" s="4"/>
      <c r="RYO69" s="4"/>
      <c r="RYP69" s="4"/>
      <c r="RYQ69" s="4"/>
      <c r="RYR69" s="4"/>
      <c r="RYS69" s="4"/>
      <c r="RYT69" s="4"/>
      <c r="RYU69" s="4"/>
      <c r="RYV69" s="4"/>
      <c r="RYW69" s="4"/>
      <c r="RYX69" s="4"/>
      <c r="RYY69" s="4"/>
      <c r="RYZ69" s="4"/>
      <c r="RZA69" s="4"/>
      <c r="RZB69" s="4"/>
      <c r="RZC69" s="4"/>
      <c r="RZD69" s="4"/>
      <c r="RZE69" s="4"/>
      <c r="RZF69" s="4"/>
      <c r="RZG69" s="4"/>
      <c r="RZH69" s="4"/>
      <c r="RZI69" s="4"/>
      <c r="RZJ69" s="4"/>
      <c r="RZK69" s="4"/>
      <c r="RZL69" s="4"/>
      <c r="RZM69" s="4"/>
      <c r="RZN69" s="4"/>
      <c r="RZO69" s="4"/>
      <c r="RZP69" s="4"/>
      <c r="RZQ69" s="4"/>
      <c r="RZR69" s="4"/>
      <c r="RZS69" s="4"/>
      <c r="RZT69" s="4"/>
      <c r="RZU69" s="4"/>
      <c r="RZV69" s="4"/>
      <c r="RZW69" s="4"/>
      <c r="RZX69" s="4"/>
      <c r="RZY69" s="4"/>
      <c r="RZZ69" s="4"/>
      <c r="SAA69" s="4"/>
      <c r="SAB69" s="4"/>
      <c r="SAC69" s="4"/>
      <c r="SAD69" s="4"/>
      <c r="SAE69" s="4"/>
      <c r="SAF69" s="4"/>
      <c r="SAG69" s="4"/>
      <c r="SAH69" s="4"/>
      <c r="SAI69" s="4"/>
      <c r="SAJ69" s="4"/>
      <c r="SAK69" s="4"/>
      <c r="SAL69" s="4"/>
      <c r="SAM69" s="4"/>
      <c r="SAN69" s="4"/>
      <c r="SAO69" s="4"/>
      <c r="SAP69" s="4"/>
      <c r="SAQ69" s="4"/>
      <c r="SAR69" s="4"/>
      <c r="SAS69" s="4"/>
      <c r="SAT69" s="4"/>
      <c r="SAU69" s="4"/>
      <c r="SAV69" s="4"/>
      <c r="SAW69" s="4"/>
      <c r="SAX69" s="4"/>
      <c r="SAY69" s="4"/>
      <c r="SAZ69" s="4"/>
      <c r="SBA69" s="4"/>
      <c r="SBB69" s="4"/>
      <c r="SBC69" s="4"/>
      <c r="SBD69" s="4"/>
      <c r="SBE69" s="4"/>
      <c r="SBF69" s="4"/>
      <c r="SBG69" s="4"/>
      <c r="SBH69" s="4"/>
      <c r="SBI69" s="4"/>
      <c r="SBJ69" s="4"/>
      <c r="SBK69" s="4"/>
      <c r="SBL69" s="4"/>
      <c r="SBM69" s="4"/>
      <c r="SBN69" s="4"/>
      <c r="SBO69" s="4"/>
      <c r="SBP69" s="4"/>
      <c r="SBQ69" s="4"/>
      <c r="SBR69" s="4"/>
      <c r="SBS69" s="4"/>
      <c r="SBT69" s="4"/>
      <c r="SBU69" s="4"/>
      <c r="SBV69" s="4"/>
      <c r="SBW69" s="4"/>
      <c r="SBX69" s="4"/>
      <c r="SBY69" s="4"/>
      <c r="SBZ69" s="4"/>
      <c r="SCA69" s="4"/>
      <c r="SCB69" s="4"/>
      <c r="SCC69" s="4"/>
      <c r="SCD69" s="4"/>
      <c r="SCE69" s="4"/>
      <c r="SCF69" s="4"/>
      <c r="SCG69" s="4"/>
      <c r="SCH69" s="4"/>
      <c r="SCI69" s="4"/>
      <c r="SCJ69" s="4"/>
      <c r="SCK69" s="4"/>
      <c r="SCL69" s="4"/>
      <c r="SCM69" s="4"/>
      <c r="SCN69" s="4"/>
      <c r="SCO69" s="4"/>
      <c r="SCP69" s="4"/>
      <c r="SCQ69" s="4"/>
      <c r="SCR69" s="4"/>
      <c r="SCS69" s="4"/>
      <c r="SCT69" s="4"/>
      <c r="SCU69" s="4"/>
      <c r="SCV69" s="4"/>
      <c r="SCW69" s="4"/>
      <c r="SCX69" s="4"/>
      <c r="SCY69" s="4"/>
      <c r="SCZ69" s="4"/>
      <c r="SDA69" s="4"/>
      <c r="SDB69" s="4"/>
      <c r="SDC69" s="4"/>
      <c r="SDD69" s="4"/>
      <c r="SDE69" s="4"/>
      <c r="SDF69" s="4"/>
      <c r="SDG69" s="4"/>
      <c r="SDH69" s="4"/>
      <c r="SDI69" s="4"/>
      <c r="SDJ69" s="4"/>
      <c r="SDK69" s="4"/>
      <c r="SDL69" s="4"/>
      <c r="SDM69" s="4"/>
      <c r="SDN69" s="4"/>
      <c r="SDO69" s="4"/>
      <c r="SDP69" s="4"/>
      <c r="SDQ69" s="4"/>
      <c r="SDR69" s="4"/>
      <c r="SDS69" s="4"/>
      <c r="SDT69" s="4"/>
      <c r="SDU69" s="4"/>
      <c r="SDV69" s="4"/>
      <c r="SDW69" s="4"/>
      <c r="SDX69" s="4"/>
      <c r="SDY69" s="4"/>
      <c r="SDZ69" s="4"/>
      <c r="SEA69" s="4"/>
      <c r="SEB69" s="4"/>
      <c r="SEC69" s="4"/>
      <c r="SED69" s="4"/>
      <c r="SEE69" s="4"/>
      <c r="SEF69" s="4"/>
      <c r="SEG69" s="4"/>
      <c r="SEH69" s="4"/>
      <c r="SEI69" s="4"/>
      <c r="SEJ69" s="4"/>
      <c r="SEK69" s="4"/>
      <c r="SEL69" s="4"/>
      <c r="SEM69" s="4"/>
      <c r="SEN69" s="4"/>
      <c r="SEO69" s="4"/>
      <c r="SEP69" s="4"/>
      <c r="SEQ69" s="4"/>
      <c r="SER69" s="4"/>
      <c r="SES69" s="4"/>
      <c r="SET69" s="4"/>
      <c r="SEU69" s="4"/>
      <c r="SEV69" s="4"/>
      <c r="SEW69" s="4"/>
      <c r="SEX69" s="4"/>
      <c r="SEY69" s="4"/>
      <c r="SEZ69" s="4"/>
      <c r="SFA69" s="4"/>
      <c r="SFB69" s="4"/>
      <c r="SFC69" s="4"/>
      <c r="SFD69" s="4"/>
      <c r="SFE69" s="4"/>
      <c r="SFF69" s="4"/>
      <c r="SFG69" s="4"/>
      <c r="SFH69" s="4"/>
      <c r="SFI69" s="4"/>
      <c r="SFJ69" s="4"/>
      <c r="SFK69" s="4"/>
      <c r="SFL69" s="4"/>
      <c r="SFM69" s="4"/>
      <c r="SFN69" s="4"/>
      <c r="SFO69" s="4"/>
      <c r="SFP69" s="4"/>
      <c r="SFQ69" s="4"/>
      <c r="SFR69" s="4"/>
      <c r="SFS69" s="4"/>
      <c r="SFT69" s="4"/>
      <c r="SFU69" s="4"/>
      <c r="SFV69" s="4"/>
      <c r="SFW69" s="4"/>
      <c r="SFX69" s="4"/>
      <c r="SFY69" s="4"/>
      <c r="SFZ69" s="4"/>
      <c r="SGA69" s="4"/>
      <c r="SGB69" s="4"/>
      <c r="SGC69" s="4"/>
      <c r="SGD69" s="4"/>
      <c r="SGE69" s="4"/>
      <c r="SGF69" s="4"/>
      <c r="SGG69" s="4"/>
      <c r="SGH69" s="4"/>
      <c r="SGI69" s="4"/>
      <c r="SGJ69" s="4"/>
      <c r="SGK69" s="4"/>
      <c r="SGL69" s="4"/>
      <c r="SGM69" s="4"/>
      <c r="SGN69" s="4"/>
      <c r="SGO69" s="4"/>
      <c r="SGP69" s="4"/>
      <c r="SGQ69" s="4"/>
      <c r="SGR69" s="4"/>
      <c r="SGS69" s="4"/>
      <c r="SGT69" s="4"/>
      <c r="SGU69" s="4"/>
      <c r="SGV69" s="4"/>
      <c r="SGW69" s="4"/>
      <c r="SGX69" s="4"/>
      <c r="SGY69" s="4"/>
      <c r="SGZ69" s="4"/>
      <c r="SHA69" s="4"/>
      <c r="SHB69" s="4"/>
      <c r="SHC69" s="4"/>
      <c r="SHD69" s="4"/>
      <c r="SHE69" s="4"/>
      <c r="SHF69" s="4"/>
      <c r="SHG69" s="4"/>
      <c r="SHH69" s="4"/>
      <c r="SHI69" s="4"/>
      <c r="SHJ69" s="4"/>
      <c r="SHK69" s="4"/>
      <c r="SHL69" s="4"/>
      <c r="SHM69" s="4"/>
      <c r="SHN69" s="4"/>
      <c r="SHO69" s="4"/>
      <c r="SHP69" s="4"/>
      <c r="SHQ69" s="4"/>
      <c r="SHR69" s="4"/>
      <c r="SHS69" s="4"/>
      <c r="SHT69" s="4"/>
      <c r="SHU69" s="4"/>
      <c r="SHV69" s="4"/>
      <c r="SHW69" s="4"/>
      <c r="SHX69" s="4"/>
      <c r="SHY69" s="4"/>
      <c r="SHZ69" s="4"/>
      <c r="SIA69" s="4"/>
      <c r="SIB69" s="4"/>
      <c r="SIC69" s="4"/>
      <c r="SID69" s="4"/>
      <c r="SIE69" s="4"/>
      <c r="SIF69" s="4"/>
      <c r="SIG69" s="4"/>
      <c r="SIH69" s="4"/>
      <c r="SII69" s="4"/>
      <c r="SIJ69" s="4"/>
      <c r="SIK69" s="4"/>
      <c r="SIL69" s="4"/>
      <c r="SIM69" s="4"/>
      <c r="SIN69" s="4"/>
      <c r="SIO69" s="4"/>
      <c r="SIP69" s="4"/>
      <c r="SIQ69" s="4"/>
      <c r="SIR69" s="4"/>
      <c r="SIS69" s="4"/>
      <c r="SIT69" s="4"/>
      <c r="SIU69" s="4"/>
      <c r="SIV69" s="4"/>
      <c r="SIW69" s="4"/>
      <c r="SIX69" s="4"/>
      <c r="SIY69" s="4"/>
      <c r="SIZ69" s="4"/>
      <c r="SJA69" s="4"/>
      <c r="SJB69" s="4"/>
      <c r="SJC69" s="4"/>
      <c r="SJD69" s="4"/>
      <c r="SJE69" s="4"/>
      <c r="SJF69" s="4"/>
      <c r="SJG69" s="4"/>
      <c r="SJH69" s="4"/>
      <c r="SJI69" s="4"/>
      <c r="SJJ69" s="4"/>
      <c r="SJK69" s="4"/>
      <c r="SJL69" s="4"/>
      <c r="SJM69" s="4"/>
      <c r="SJN69" s="4"/>
      <c r="SJO69" s="4"/>
      <c r="SJP69" s="4"/>
      <c r="SJQ69" s="4"/>
      <c r="SJR69" s="4"/>
      <c r="SJS69" s="4"/>
      <c r="SJT69" s="4"/>
      <c r="SJU69" s="4"/>
      <c r="SJV69" s="4"/>
      <c r="SJW69" s="4"/>
      <c r="SJX69" s="4"/>
      <c r="SJY69" s="4"/>
      <c r="SJZ69" s="4"/>
      <c r="SKA69" s="4"/>
      <c r="SKB69" s="4"/>
      <c r="SKC69" s="4"/>
      <c r="SKD69" s="4"/>
      <c r="SKE69" s="4"/>
      <c r="SKF69" s="4"/>
      <c r="SKG69" s="4"/>
      <c r="SKH69" s="4"/>
      <c r="SKI69" s="4"/>
      <c r="SKJ69" s="4"/>
      <c r="SKK69" s="4"/>
      <c r="SKL69" s="4"/>
      <c r="SKM69" s="4"/>
      <c r="SKN69" s="4"/>
      <c r="SKO69" s="4"/>
      <c r="SKP69" s="4"/>
      <c r="SKQ69" s="4"/>
      <c r="SKR69" s="4"/>
      <c r="SKS69" s="4"/>
      <c r="SKT69" s="4"/>
      <c r="SKU69" s="4"/>
      <c r="SKV69" s="4"/>
      <c r="SKW69" s="4"/>
      <c r="SKX69" s="4"/>
      <c r="SKY69" s="4"/>
      <c r="SKZ69" s="4"/>
      <c r="SLA69" s="4"/>
      <c r="SLB69" s="4"/>
      <c r="SLC69" s="4"/>
      <c r="SLD69" s="4"/>
      <c r="SLE69" s="4"/>
      <c r="SLF69" s="4"/>
      <c r="SLG69" s="4"/>
      <c r="SLH69" s="4"/>
      <c r="SLI69" s="4"/>
      <c r="SLJ69" s="4"/>
      <c r="SLK69" s="4"/>
      <c r="SLL69" s="4"/>
      <c r="SLM69" s="4"/>
      <c r="SLN69" s="4"/>
      <c r="SLO69" s="4"/>
      <c r="SLP69" s="4"/>
      <c r="SLQ69" s="4"/>
      <c r="SLR69" s="4"/>
      <c r="SLS69" s="4"/>
      <c r="SLT69" s="4"/>
      <c r="SLU69" s="4"/>
      <c r="SLV69" s="4"/>
      <c r="SLW69" s="4"/>
      <c r="SLX69" s="4"/>
      <c r="SLY69" s="4"/>
      <c r="SLZ69" s="4"/>
      <c r="SMA69" s="4"/>
      <c r="SMB69" s="4"/>
      <c r="SMC69" s="4"/>
      <c r="SMD69" s="4"/>
      <c r="SME69" s="4"/>
      <c r="SMF69" s="4"/>
      <c r="SMG69" s="4"/>
      <c r="SMH69" s="4"/>
      <c r="SMI69" s="4"/>
      <c r="SMJ69" s="4"/>
      <c r="SMK69" s="4"/>
      <c r="SML69" s="4"/>
      <c r="SMM69" s="4"/>
      <c r="SMN69" s="4"/>
      <c r="SMO69" s="4"/>
      <c r="SMP69" s="4"/>
      <c r="SMQ69" s="4"/>
      <c r="SMR69" s="4"/>
      <c r="SMS69" s="4"/>
      <c r="SMT69" s="4"/>
      <c r="SMU69" s="4"/>
      <c r="SMV69" s="4"/>
      <c r="SMW69" s="4"/>
      <c r="SMX69" s="4"/>
      <c r="SMY69" s="4"/>
      <c r="SMZ69" s="4"/>
      <c r="SNA69" s="4"/>
      <c r="SNB69" s="4"/>
      <c r="SNC69" s="4"/>
      <c r="SND69" s="4"/>
      <c r="SNE69" s="4"/>
      <c r="SNF69" s="4"/>
      <c r="SNG69" s="4"/>
      <c r="SNH69" s="4"/>
      <c r="SNI69" s="4"/>
      <c r="SNJ69" s="4"/>
      <c r="SNK69" s="4"/>
      <c r="SNL69" s="4"/>
      <c r="SNM69" s="4"/>
      <c r="SNN69" s="4"/>
      <c r="SNO69" s="4"/>
      <c r="SNP69" s="4"/>
      <c r="SNQ69" s="4"/>
      <c r="SNR69" s="4"/>
      <c r="SNS69" s="4"/>
      <c r="SNT69" s="4"/>
      <c r="SNU69" s="4"/>
      <c r="SNV69" s="4"/>
      <c r="SNW69" s="4"/>
      <c r="SNX69" s="4"/>
      <c r="SNY69" s="4"/>
      <c r="SNZ69" s="4"/>
      <c r="SOA69" s="4"/>
      <c r="SOB69" s="4"/>
      <c r="SOC69" s="4"/>
      <c r="SOD69" s="4"/>
      <c r="SOE69" s="4"/>
      <c r="SOF69" s="4"/>
      <c r="SOG69" s="4"/>
      <c r="SOH69" s="4"/>
      <c r="SOI69" s="4"/>
      <c r="SOJ69" s="4"/>
      <c r="SOK69" s="4"/>
      <c r="SOL69" s="4"/>
      <c r="SOM69" s="4"/>
      <c r="SON69" s="4"/>
      <c r="SOO69" s="4"/>
      <c r="SOP69" s="4"/>
      <c r="SOQ69" s="4"/>
      <c r="SOR69" s="4"/>
      <c r="SOS69" s="4"/>
      <c r="SOT69" s="4"/>
      <c r="SOU69" s="4"/>
      <c r="SOV69" s="4"/>
      <c r="SOW69" s="4"/>
      <c r="SOX69" s="4"/>
      <c r="SOY69" s="4"/>
      <c r="SOZ69" s="4"/>
      <c r="SPA69" s="4"/>
      <c r="SPB69" s="4"/>
      <c r="SPC69" s="4"/>
      <c r="SPD69" s="4"/>
      <c r="SPE69" s="4"/>
      <c r="SPF69" s="4"/>
      <c r="SPG69" s="4"/>
      <c r="SPH69" s="4"/>
      <c r="SPI69" s="4"/>
      <c r="SPJ69" s="4"/>
      <c r="SPK69" s="4"/>
      <c r="SPL69" s="4"/>
      <c r="SPM69" s="4"/>
      <c r="SPN69" s="4"/>
      <c r="SPO69" s="4"/>
      <c r="SPP69" s="4"/>
      <c r="SPQ69" s="4"/>
      <c r="SPR69" s="4"/>
      <c r="SPS69" s="4"/>
      <c r="SPT69" s="4"/>
      <c r="SPU69" s="4"/>
      <c r="SPV69" s="4"/>
      <c r="SPW69" s="4"/>
      <c r="SPX69" s="4"/>
      <c r="SPY69" s="4"/>
      <c r="SPZ69" s="4"/>
      <c r="SQA69" s="4"/>
      <c r="SQB69" s="4"/>
      <c r="SQC69" s="4"/>
      <c r="SQD69" s="4"/>
      <c r="SQE69" s="4"/>
      <c r="SQF69" s="4"/>
      <c r="SQG69" s="4"/>
      <c r="SQH69" s="4"/>
      <c r="SQI69" s="4"/>
      <c r="SQJ69" s="4"/>
      <c r="SQK69" s="4"/>
      <c r="SQL69" s="4"/>
      <c r="SQM69" s="4"/>
      <c r="SQN69" s="4"/>
      <c r="SQO69" s="4"/>
      <c r="SQP69" s="4"/>
      <c r="SQQ69" s="4"/>
      <c r="SQR69" s="4"/>
      <c r="SQS69" s="4"/>
      <c r="SQT69" s="4"/>
      <c r="SQU69" s="4"/>
      <c r="SQV69" s="4"/>
      <c r="SQW69" s="4"/>
      <c r="SQX69" s="4"/>
      <c r="SQY69" s="4"/>
      <c r="SQZ69" s="4"/>
      <c r="SRA69" s="4"/>
      <c r="SRB69" s="4"/>
      <c r="SRC69" s="4"/>
      <c r="SRD69" s="4"/>
      <c r="SRE69" s="4"/>
      <c r="SRF69" s="4"/>
      <c r="SRG69" s="4"/>
      <c r="SRH69" s="4"/>
      <c r="SRI69" s="4"/>
      <c r="SRJ69" s="4"/>
      <c r="SRK69" s="4"/>
      <c r="SRL69" s="4"/>
      <c r="SRM69" s="4"/>
      <c r="SRN69" s="4"/>
      <c r="SRO69" s="4"/>
      <c r="SRP69" s="4"/>
      <c r="SRQ69" s="4"/>
      <c r="SRR69" s="4"/>
      <c r="SRS69" s="4"/>
      <c r="SRT69" s="4"/>
      <c r="SRU69" s="4"/>
      <c r="SRV69" s="4"/>
      <c r="SRW69" s="4"/>
      <c r="SRX69" s="4"/>
      <c r="SRY69" s="4"/>
      <c r="SRZ69" s="4"/>
      <c r="SSA69" s="4"/>
      <c r="SSB69" s="4"/>
      <c r="SSC69" s="4"/>
      <c r="SSD69" s="4"/>
      <c r="SSE69" s="4"/>
      <c r="SSF69" s="4"/>
      <c r="SSG69" s="4"/>
      <c r="SSH69" s="4"/>
      <c r="SSI69" s="4"/>
      <c r="SSJ69" s="4"/>
      <c r="SSK69" s="4"/>
      <c r="SSL69" s="4"/>
      <c r="SSM69" s="4"/>
      <c r="SSN69" s="4"/>
      <c r="SSO69" s="4"/>
      <c r="SSP69" s="4"/>
      <c r="SSQ69" s="4"/>
      <c r="SSR69" s="4"/>
      <c r="SSS69" s="4"/>
      <c r="SST69" s="4"/>
      <c r="SSU69" s="4"/>
      <c r="SSV69" s="4"/>
      <c r="SSW69" s="4"/>
      <c r="SSX69" s="4"/>
      <c r="SSY69" s="4"/>
      <c r="SSZ69" s="4"/>
      <c r="STA69" s="4"/>
      <c r="STB69" s="4"/>
      <c r="STC69" s="4"/>
      <c r="STD69" s="4"/>
      <c r="STE69" s="4"/>
      <c r="STF69" s="4"/>
      <c r="STG69" s="4"/>
      <c r="STH69" s="4"/>
      <c r="STI69" s="4"/>
      <c r="STJ69" s="4"/>
      <c r="STK69" s="4"/>
      <c r="STL69" s="4"/>
      <c r="STM69" s="4"/>
      <c r="STN69" s="4"/>
      <c r="STO69" s="4"/>
      <c r="STP69" s="4"/>
      <c r="STQ69" s="4"/>
      <c r="STR69" s="4"/>
      <c r="STS69" s="4"/>
      <c r="STT69" s="4"/>
      <c r="STU69" s="4"/>
      <c r="STV69" s="4"/>
      <c r="STW69" s="4"/>
      <c r="STX69" s="4"/>
      <c r="STY69" s="4"/>
      <c r="STZ69" s="4"/>
      <c r="SUA69" s="4"/>
      <c r="SUB69" s="4"/>
      <c r="SUC69" s="4"/>
      <c r="SUD69" s="4"/>
      <c r="SUE69" s="4"/>
      <c r="SUF69" s="4"/>
      <c r="SUG69" s="4"/>
      <c r="SUH69" s="4"/>
      <c r="SUI69" s="4"/>
      <c r="SUJ69" s="4"/>
      <c r="SUK69" s="4"/>
      <c r="SUL69" s="4"/>
      <c r="SUM69" s="4"/>
      <c r="SUN69" s="4"/>
      <c r="SUO69" s="4"/>
      <c r="SUP69" s="4"/>
      <c r="SUQ69" s="4"/>
      <c r="SUR69" s="4"/>
      <c r="SUS69" s="4"/>
      <c r="SUT69" s="4"/>
      <c r="SUU69" s="4"/>
      <c r="SUV69" s="4"/>
      <c r="SUW69" s="4"/>
      <c r="SUX69" s="4"/>
      <c r="SUY69" s="4"/>
      <c r="SUZ69" s="4"/>
      <c r="SVA69" s="4"/>
      <c r="SVB69" s="4"/>
      <c r="SVC69" s="4"/>
      <c r="SVD69" s="4"/>
      <c r="SVE69" s="4"/>
      <c r="SVF69" s="4"/>
      <c r="SVG69" s="4"/>
      <c r="SVH69" s="4"/>
      <c r="SVI69" s="4"/>
      <c r="SVJ69" s="4"/>
      <c r="SVK69" s="4"/>
      <c r="SVL69" s="4"/>
      <c r="SVM69" s="4"/>
      <c r="SVN69" s="4"/>
      <c r="SVO69" s="4"/>
      <c r="SVP69" s="4"/>
      <c r="SVQ69" s="4"/>
      <c r="SVR69" s="4"/>
      <c r="SVS69" s="4"/>
      <c r="SVT69" s="4"/>
      <c r="SVU69" s="4"/>
      <c r="SVV69" s="4"/>
      <c r="SVW69" s="4"/>
      <c r="SVX69" s="4"/>
      <c r="SVY69" s="4"/>
      <c r="SVZ69" s="4"/>
      <c r="SWA69" s="4"/>
      <c r="SWB69" s="4"/>
      <c r="SWC69" s="4"/>
      <c r="SWD69" s="4"/>
      <c r="SWE69" s="4"/>
      <c r="SWF69" s="4"/>
      <c r="SWG69" s="4"/>
      <c r="SWH69" s="4"/>
      <c r="SWI69" s="4"/>
      <c r="SWJ69" s="4"/>
      <c r="SWK69" s="4"/>
      <c r="SWL69" s="4"/>
      <c r="SWM69" s="4"/>
      <c r="SWN69" s="4"/>
      <c r="SWO69" s="4"/>
      <c r="SWP69" s="4"/>
      <c r="SWQ69" s="4"/>
      <c r="SWR69" s="4"/>
      <c r="SWS69" s="4"/>
      <c r="SWT69" s="4"/>
      <c r="SWU69" s="4"/>
      <c r="SWV69" s="4"/>
      <c r="SWW69" s="4"/>
      <c r="SWX69" s="4"/>
      <c r="SWY69" s="4"/>
      <c r="SWZ69" s="4"/>
      <c r="SXA69" s="4"/>
      <c r="SXB69" s="4"/>
      <c r="SXC69" s="4"/>
      <c r="SXD69" s="4"/>
      <c r="SXE69" s="4"/>
      <c r="SXF69" s="4"/>
      <c r="SXG69" s="4"/>
      <c r="SXH69" s="4"/>
      <c r="SXI69" s="4"/>
      <c r="SXJ69" s="4"/>
      <c r="SXK69" s="4"/>
      <c r="SXL69" s="4"/>
      <c r="SXM69" s="4"/>
      <c r="SXN69" s="4"/>
      <c r="SXO69" s="4"/>
      <c r="SXP69" s="4"/>
      <c r="SXQ69" s="4"/>
      <c r="SXR69" s="4"/>
      <c r="SXS69" s="4"/>
      <c r="SXT69" s="4"/>
      <c r="SXU69" s="4"/>
      <c r="SXV69" s="4"/>
      <c r="SXW69" s="4"/>
      <c r="SXX69" s="4"/>
      <c r="SXY69" s="4"/>
      <c r="SXZ69" s="4"/>
      <c r="SYA69" s="4"/>
      <c r="SYB69" s="4"/>
      <c r="SYC69" s="4"/>
      <c r="SYD69" s="4"/>
      <c r="SYE69" s="4"/>
      <c r="SYF69" s="4"/>
      <c r="SYG69" s="4"/>
      <c r="SYH69" s="4"/>
      <c r="SYI69" s="4"/>
      <c r="SYJ69" s="4"/>
      <c r="SYK69" s="4"/>
      <c r="SYL69" s="4"/>
      <c r="SYM69" s="4"/>
      <c r="SYN69" s="4"/>
      <c r="SYO69" s="4"/>
      <c r="SYP69" s="4"/>
      <c r="SYQ69" s="4"/>
      <c r="SYR69" s="4"/>
      <c r="SYS69" s="4"/>
      <c r="SYT69" s="4"/>
      <c r="SYU69" s="4"/>
      <c r="SYV69" s="4"/>
      <c r="SYW69" s="4"/>
      <c r="SYX69" s="4"/>
      <c r="SYY69" s="4"/>
      <c r="SYZ69" s="4"/>
      <c r="SZA69" s="4"/>
      <c r="SZB69" s="4"/>
      <c r="SZC69" s="4"/>
      <c r="SZD69" s="4"/>
      <c r="SZE69" s="4"/>
      <c r="SZF69" s="4"/>
      <c r="SZG69" s="4"/>
      <c r="SZH69" s="4"/>
      <c r="SZI69" s="4"/>
      <c r="SZJ69" s="4"/>
      <c r="SZK69" s="4"/>
      <c r="SZL69" s="4"/>
      <c r="SZM69" s="4"/>
      <c r="SZN69" s="4"/>
      <c r="SZO69" s="4"/>
      <c r="SZP69" s="4"/>
      <c r="SZQ69" s="4"/>
      <c r="SZR69" s="4"/>
      <c r="SZS69" s="4"/>
      <c r="SZT69" s="4"/>
      <c r="SZU69" s="4"/>
      <c r="SZV69" s="4"/>
      <c r="SZW69" s="4"/>
      <c r="SZX69" s="4"/>
      <c r="SZY69" s="4"/>
      <c r="SZZ69" s="4"/>
      <c r="TAA69" s="4"/>
      <c r="TAB69" s="4"/>
      <c r="TAC69" s="4"/>
      <c r="TAD69" s="4"/>
      <c r="TAE69" s="4"/>
      <c r="TAF69" s="4"/>
      <c r="TAG69" s="4"/>
      <c r="TAH69" s="4"/>
      <c r="TAI69" s="4"/>
      <c r="TAJ69" s="4"/>
      <c r="TAK69" s="4"/>
      <c r="TAL69" s="4"/>
      <c r="TAM69" s="4"/>
      <c r="TAN69" s="4"/>
      <c r="TAO69" s="4"/>
      <c r="TAP69" s="4"/>
      <c r="TAQ69" s="4"/>
      <c r="TAR69" s="4"/>
      <c r="TAS69" s="4"/>
      <c r="TAT69" s="4"/>
      <c r="TAU69" s="4"/>
      <c r="TAV69" s="4"/>
      <c r="TAW69" s="4"/>
      <c r="TAX69" s="4"/>
      <c r="TAY69" s="4"/>
      <c r="TAZ69" s="4"/>
      <c r="TBA69" s="4"/>
      <c r="TBB69" s="4"/>
      <c r="TBC69" s="4"/>
      <c r="TBD69" s="4"/>
      <c r="TBE69" s="4"/>
      <c r="TBF69" s="4"/>
      <c r="TBG69" s="4"/>
      <c r="TBH69" s="4"/>
      <c r="TBI69" s="4"/>
      <c r="TBJ69" s="4"/>
      <c r="TBK69" s="4"/>
      <c r="TBL69" s="4"/>
      <c r="TBM69" s="4"/>
      <c r="TBN69" s="4"/>
      <c r="TBO69" s="4"/>
      <c r="TBP69" s="4"/>
      <c r="TBQ69" s="4"/>
      <c r="TBR69" s="4"/>
      <c r="TBS69" s="4"/>
      <c r="TBT69" s="4"/>
      <c r="TBU69" s="4"/>
      <c r="TBV69" s="4"/>
      <c r="TBW69" s="4"/>
      <c r="TBX69" s="4"/>
      <c r="TBY69" s="4"/>
      <c r="TBZ69" s="4"/>
      <c r="TCA69" s="4"/>
      <c r="TCB69" s="4"/>
      <c r="TCC69" s="4"/>
      <c r="TCD69" s="4"/>
      <c r="TCE69" s="4"/>
      <c r="TCF69" s="4"/>
      <c r="TCG69" s="4"/>
      <c r="TCH69" s="4"/>
      <c r="TCI69" s="4"/>
      <c r="TCJ69" s="4"/>
      <c r="TCK69" s="4"/>
      <c r="TCL69" s="4"/>
      <c r="TCM69" s="4"/>
      <c r="TCN69" s="4"/>
      <c r="TCO69" s="4"/>
      <c r="TCP69" s="4"/>
      <c r="TCQ69" s="4"/>
      <c r="TCR69" s="4"/>
      <c r="TCS69" s="4"/>
      <c r="TCT69" s="4"/>
      <c r="TCU69" s="4"/>
      <c r="TCV69" s="4"/>
      <c r="TCW69" s="4"/>
      <c r="TCX69" s="4"/>
      <c r="TCY69" s="4"/>
      <c r="TCZ69" s="4"/>
      <c r="TDA69" s="4"/>
      <c r="TDB69" s="4"/>
      <c r="TDC69" s="4"/>
      <c r="TDD69" s="4"/>
      <c r="TDE69" s="4"/>
      <c r="TDF69" s="4"/>
      <c r="TDG69" s="4"/>
      <c r="TDH69" s="4"/>
      <c r="TDI69" s="4"/>
      <c r="TDJ69" s="4"/>
      <c r="TDK69" s="4"/>
      <c r="TDL69" s="4"/>
      <c r="TDM69" s="4"/>
      <c r="TDN69" s="4"/>
      <c r="TDO69" s="4"/>
      <c r="TDP69" s="4"/>
      <c r="TDQ69" s="4"/>
      <c r="TDR69" s="4"/>
      <c r="TDS69" s="4"/>
      <c r="TDT69" s="4"/>
      <c r="TDU69" s="4"/>
      <c r="TDV69" s="4"/>
      <c r="TDW69" s="4"/>
      <c r="TDX69" s="4"/>
      <c r="TDY69" s="4"/>
      <c r="TDZ69" s="4"/>
      <c r="TEA69" s="4"/>
      <c r="TEB69" s="4"/>
      <c r="TEC69" s="4"/>
      <c r="TED69" s="4"/>
      <c r="TEE69" s="4"/>
      <c r="TEF69" s="4"/>
      <c r="TEG69" s="4"/>
      <c r="TEH69" s="4"/>
      <c r="TEI69" s="4"/>
      <c r="TEJ69" s="4"/>
      <c r="TEK69" s="4"/>
      <c r="TEL69" s="4"/>
      <c r="TEM69" s="4"/>
      <c r="TEN69" s="4"/>
      <c r="TEO69" s="4"/>
      <c r="TEP69" s="4"/>
      <c r="TEQ69" s="4"/>
      <c r="TER69" s="4"/>
      <c r="TES69" s="4"/>
      <c r="TET69" s="4"/>
      <c r="TEU69" s="4"/>
      <c r="TEV69" s="4"/>
      <c r="TEW69" s="4"/>
      <c r="TEX69" s="4"/>
      <c r="TEY69" s="4"/>
      <c r="TEZ69" s="4"/>
      <c r="TFA69" s="4"/>
      <c r="TFB69" s="4"/>
      <c r="TFC69" s="4"/>
      <c r="TFD69" s="4"/>
      <c r="TFE69" s="4"/>
      <c r="TFF69" s="4"/>
      <c r="TFG69" s="4"/>
      <c r="TFH69" s="4"/>
      <c r="TFI69" s="4"/>
      <c r="TFJ69" s="4"/>
      <c r="TFK69" s="4"/>
      <c r="TFL69" s="4"/>
      <c r="TFM69" s="4"/>
      <c r="TFN69" s="4"/>
      <c r="TFO69" s="4"/>
      <c r="TFP69" s="4"/>
      <c r="TFQ69" s="4"/>
      <c r="TFR69" s="4"/>
      <c r="TFS69" s="4"/>
      <c r="TFT69" s="4"/>
      <c r="TFU69" s="4"/>
      <c r="TFV69" s="4"/>
      <c r="TFW69" s="4"/>
      <c r="TFX69" s="4"/>
      <c r="TFY69" s="4"/>
      <c r="TFZ69" s="4"/>
      <c r="TGA69" s="4"/>
      <c r="TGB69" s="4"/>
      <c r="TGC69" s="4"/>
      <c r="TGD69" s="4"/>
      <c r="TGE69" s="4"/>
      <c r="TGF69" s="4"/>
      <c r="TGG69" s="4"/>
      <c r="TGH69" s="4"/>
      <c r="TGI69" s="4"/>
      <c r="TGJ69" s="4"/>
      <c r="TGK69" s="4"/>
      <c r="TGL69" s="4"/>
      <c r="TGM69" s="4"/>
      <c r="TGN69" s="4"/>
      <c r="TGO69" s="4"/>
      <c r="TGP69" s="4"/>
      <c r="TGQ69" s="4"/>
      <c r="TGR69" s="4"/>
      <c r="TGS69" s="4"/>
      <c r="TGT69" s="4"/>
      <c r="TGU69" s="4"/>
      <c r="TGV69" s="4"/>
      <c r="TGW69" s="4"/>
      <c r="TGX69" s="4"/>
      <c r="TGY69" s="4"/>
      <c r="TGZ69" s="4"/>
      <c r="THA69" s="4"/>
      <c r="THB69" s="4"/>
      <c r="THC69" s="4"/>
      <c r="THD69" s="4"/>
      <c r="THE69" s="4"/>
      <c r="THF69" s="4"/>
      <c r="THG69" s="4"/>
      <c r="THH69" s="4"/>
      <c r="THI69" s="4"/>
      <c r="THJ69" s="4"/>
      <c r="THK69" s="4"/>
      <c r="THL69" s="4"/>
      <c r="THM69" s="4"/>
      <c r="THN69" s="4"/>
      <c r="THO69" s="4"/>
      <c r="THP69" s="4"/>
      <c r="THQ69" s="4"/>
      <c r="THR69" s="4"/>
      <c r="THS69" s="4"/>
      <c r="THT69" s="4"/>
      <c r="THU69" s="4"/>
      <c r="THV69" s="4"/>
      <c r="THW69" s="4"/>
      <c r="THX69" s="4"/>
      <c r="THY69" s="4"/>
      <c r="THZ69" s="4"/>
      <c r="TIA69" s="4"/>
      <c r="TIB69" s="4"/>
      <c r="TIC69" s="4"/>
      <c r="TID69" s="4"/>
      <c r="TIE69" s="4"/>
      <c r="TIF69" s="4"/>
      <c r="TIG69" s="4"/>
      <c r="TIH69" s="4"/>
      <c r="TII69" s="4"/>
      <c r="TIJ69" s="4"/>
      <c r="TIK69" s="4"/>
      <c r="TIL69" s="4"/>
      <c r="TIM69" s="4"/>
      <c r="TIN69" s="4"/>
      <c r="TIO69" s="4"/>
      <c r="TIP69" s="4"/>
      <c r="TIQ69" s="4"/>
      <c r="TIR69" s="4"/>
      <c r="TIS69" s="4"/>
      <c r="TIT69" s="4"/>
      <c r="TIU69" s="4"/>
      <c r="TIV69" s="4"/>
      <c r="TIW69" s="4"/>
      <c r="TIX69" s="4"/>
      <c r="TIY69" s="4"/>
      <c r="TIZ69" s="4"/>
      <c r="TJA69" s="4"/>
      <c r="TJB69" s="4"/>
      <c r="TJC69" s="4"/>
      <c r="TJD69" s="4"/>
      <c r="TJE69" s="4"/>
      <c r="TJF69" s="4"/>
      <c r="TJG69" s="4"/>
      <c r="TJH69" s="4"/>
      <c r="TJI69" s="4"/>
      <c r="TJJ69" s="4"/>
      <c r="TJK69" s="4"/>
      <c r="TJL69" s="4"/>
      <c r="TJM69" s="4"/>
      <c r="TJN69" s="4"/>
      <c r="TJO69" s="4"/>
      <c r="TJP69" s="4"/>
      <c r="TJQ69" s="4"/>
      <c r="TJR69" s="4"/>
      <c r="TJS69" s="4"/>
      <c r="TJT69" s="4"/>
      <c r="TJU69" s="4"/>
      <c r="TJV69" s="4"/>
      <c r="TJW69" s="4"/>
      <c r="TJX69" s="4"/>
      <c r="TJY69" s="4"/>
      <c r="TJZ69" s="4"/>
      <c r="TKA69" s="4"/>
      <c r="TKB69" s="4"/>
      <c r="TKC69" s="4"/>
      <c r="TKD69" s="4"/>
      <c r="TKE69" s="4"/>
      <c r="TKF69" s="4"/>
      <c r="TKG69" s="4"/>
      <c r="TKH69" s="4"/>
      <c r="TKI69" s="4"/>
      <c r="TKJ69" s="4"/>
      <c r="TKK69" s="4"/>
      <c r="TKL69" s="4"/>
      <c r="TKM69" s="4"/>
      <c r="TKN69" s="4"/>
      <c r="TKO69" s="4"/>
      <c r="TKP69" s="4"/>
      <c r="TKQ69" s="4"/>
      <c r="TKR69" s="4"/>
      <c r="TKS69" s="4"/>
      <c r="TKT69" s="4"/>
      <c r="TKU69" s="4"/>
      <c r="TKV69" s="4"/>
      <c r="TKW69" s="4"/>
      <c r="TKX69" s="4"/>
      <c r="TKY69" s="4"/>
      <c r="TKZ69" s="4"/>
      <c r="TLA69" s="4"/>
      <c r="TLB69" s="4"/>
      <c r="TLC69" s="4"/>
      <c r="TLD69" s="4"/>
      <c r="TLE69" s="4"/>
      <c r="TLF69" s="4"/>
      <c r="TLG69" s="4"/>
      <c r="TLH69" s="4"/>
      <c r="TLI69" s="4"/>
      <c r="TLJ69" s="4"/>
      <c r="TLK69" s="4"/>
      <c r="TLL69" s="4"/>
      <c r="TLM69" s="4"/>
      <c r="TLN69" s="4"/>
      <c r="TLO69" s="4"/>
      <c r="TLP69" s="4"/>
      <c r="TLQ69" s="4"/>
      <c r="TLR69" s="4"/>
      <c r="TLS69" s="4"/>
      <c r="TLT69" s="4"/>
      <c r="TLU69" s="4"/>
      <c r="TLV69" s="4"/>
      <c r="TLW69" s="4"/>
      <c r="TLX69" s="4"/>
      <c r="TLY69" s="4"/>
      <c r="TLZ69" s="4"/>
      <c r="TMA69" s="4"/>
      <c r="TMB69" s="4"/>
      <c r="TMC69" s="4"/>
      <c r="TMD69" s="4"/>
      <c r="TME69" s="4"/>
      <c r="TMF69" s="4"/>
      <c r="TMG69" s="4"/>
      <c r="TMH69" s="4"/>
      <c r="TMI69" s="4"/>
      <c r="TMJ69" s="4"/>
      <c r="TMK69" s="4"/>
      <c r="TML69" s="4"/>
      <c r="TMM69" s="4"/>
      <c r="TMN69" s="4"/>
      <c r="TMO69" s="4"/>
      <c r="TMP69" s="4"/>
      <c r="TMQ69" s="4"/>
      <c r="TMR69" s="4"/>
      <c r="TMS69" s="4"/>
      <c r="TMT69" s="4"/>
      <c r="TMU69" s="4"/>
      <c r="TMV69" s="4"/>
      <c r="TMW69" s="4"/>
      <c r="TMX69" s="4"/>
      <c r="TMY69" s="4"/>
      <c r="TMZ69" s="4"/>
      <c r="TNA69" s="4"/>
      <c r="TNB69" s="4"/>
      <c r="TNC69" s="4"/>
      <c r="TND69" s="4"/>
      <c r="TNE69" s="4"/>
      <c r="TNF69" s="4"/>
      <c r="TNG69" s="4"/>
      <c r="TNH69" s="4"/>
      <c r="TNI69" s="4"/>
      <c r="TNJ69" s="4"/>
      <c r="TNK69" s="4"/>
      <c r="TNL69" s="4"/>
      <c r="TNM69" s="4"/>
      <c r="TNN69" s="4"/>
      <c r="TNO69" s="4"/>
      <c r="TNP69" s="4"/>
      <c r="TNQ69" s="4"/>
      <c r="TNR69" s="4"/>
      <c r="TNS69" s="4"/>
      <c r="TNT69" s="4"/>
      <c r="TNU69" s="4"/>
      <c r="TNV69" s="4"/>
      <c r="TNW69" s="4"/>
      <c r="TNX69" s="4"/>
      <c r="TNY69" s="4"/>
      <c r="TNZ69" s="4"/>
      <c r="TOA69" s="4"/>
      <c r="TOB69" s="4"/>
      <c r="TOC69" s="4"/>
      <c r="TOD69" s="4"/>
      <c r="TOE69" s="4"/>
      <c r="TOF69" s="4"/>
      <c r="TOG69" s="4"/>
      <c r="TOH69" s="4"/>
      <c r="TOI69" s="4"/>
      <c r="TOJ69" s="4"/>
      <c r="TOK69" s="4"/>
      <c r="TOL69" s="4"/>
      <c r="TOM69" s="4"/>
      <c r="TON69" s="4"/>
      <c r="TOO69" s="4"/>
      <c r="TOP69" s="4"/>
      <c r="TOQ69" s="4"/>
      <c r="TOR69" s="4"/>
      <c r="TOS69" s="4"/>
      <c r="TOT69" s="4"/>
      <c r="TOU69" s="4"/>
      <c r="TOV69" s="4"/>
      <c r="TOW69" s="4"/>
      <c r="TOX69" s="4"/>
      <c r="TOY69" s="4"/>
      <c r="TOZ69" s="4"/>
      <c r="TPA69" s="4"/>
      <c r="TPB69" s="4"/>
      <c r="TPC69" s="4"/>
      <c r="TPD69" s="4"/>
      <c r="TPE69" s="4"/>
      <c r="TPF69" s="4"/>
      <c r="TPG69" s="4"/>
      <c r="TPH69" s="4"/>
      <c r="TPI69" s="4"/>
      <c r="TPJ69" s="4"/>
      <c r="TPK69" s="4"/>
      <c r="TPL69" s="4"/>
      <c r="TPM69" s="4"/>
      <c r="TPN69" s="4"/>
      <c r="TPO69" s="4"/>
      <c r="TPP69" s="4"/>
      <c r="TPQ69" s="4"/>
      <c r="TPR69" s="4"/>
      <c r="TPS69" s="4"/>
      <c r="TPT69" s="4"/>
      <c r="TPU69" s="4"/>
      <c r="TPV69" s="4"/>
      <c r="TPW69" s="4"/>
      <c r="TPX69" s="4"/>
      <c r="TPY69" s="4"/>
      <c r="TPZ69" s="4"/>
      <c r="TQA69" s="4"/>
      <c r="TQB69" s="4"/>
      <c r="TQC69" s="4"/>
      <c r="TQD69" s="4"/>
      <c r="TQE69" s="4"/>
      <c r="TQF69" s="4"/>
      <c r="TQG69" s="4"/>
      <c r="TQH69" s="4"/>
      <c r="TQI69" s="4"/>
      <c r="TQJ69" s="4"/>
      <c r="TQK69" s="4"/>
      <c r="TQL69" s="4"/>
      <c r="TQM69" s="4"/>
      <c r="TQN69" s="4"/>
      <c r="TQO69" s="4"/>
      <c r="TQP69" s="4"/>
      <c r="TQQ69" s="4"/>
      <c r="TQR69" s="4"/>
      <c r="TQS69" s="4"/>
      <c r="TQT69" s="4"/>
      <c r="TQU69" s="4"/>
      <c r="TQV69" s="4"/>
      <c r="TQW69" s="4"/>
      <c r="TQX69" s="4"/>
      <c r="TQY69" s="4"/>
      <c r="TQZ69" s="4"/>
      <c r="TRA69" s="4"/>
      <c r="TRB69" s="4"/>
      <c r="TRC69" s="4"/>
      <c r="TRD69" s="4"/>
      <c r="TRE69" s="4"/>
      <c r="TRF69" s="4"/>
      <c r="TRG69" s="4"/>
      <c r="TRH69" s="4"/>
      <c r="TRI69" s="4"/>
      <c r="TRJ69" s="4"/>
      <c r="TRK69" s="4"/>
      <c r="TRL69" s="4"/>
      <c r="TRM69" s="4"/>
      <c r="TRN69" s="4"/>
      <c r="TRO69" s="4"/>
      <c r="TRP69" s="4"/>
      <c r="TRQ69" s="4"/>
      <c r="TRR69" s="4"/>
      <c r="TRS69" s="4"/>
      <c r="TRT69" s="4"/>
      <c r="TRU69" s="4"/>
      <c r="TRV69" s="4"/>
      <c r="TRW69" s="4"/>
      <c r="TRX69" s="4"/>
      <c r="TRY69" s="4"/>
      <c r="TRZ69" s="4"/>
      <c r="TSA69" s="4"/>
      <c r="TSB69" s="4"/>
      <c r="TSC69" s="4"/>
      <c r="TSD69" s="4"/>
      <c r="TSE69" s="4"/>
      <c r="TSF69" s="4"/>
      <c r="TSG69" s="4"/>
      <c r="TSH69" s="4"/>
      <c r="TSI69" s="4"/>
      <c r="TSJ69" s="4"/>
      <c r="TSK69" s="4"/>
      <c r="TSL69" s="4"/>
      <c r="TSM69" s="4"/>
      <c r="TSN69" s="4"/>
      <c r="TSO69" s="4"/>
      <c r="TSP69" s="4"/>
      <c r="TSQ69" s="4"/>
      <c r="TSR69" s="4"/>
      <c r="TSS69" s="4"/>
      <c r="TST69" s="4"/>
      <c r="TSU69" s="4"/>
      <c r="TSV69" s="4"/>
      <c r="TSW69" s="4"/>
      <c r="TSX69" s="4"/>
      <c r="TSY69" s="4"/>
      <c r="TSZ69" s="4"/>
      <c r="TTA69" s="4"/>
      <c r="TTB69" s="4"/>
      <c r="TTC69" s="4"/>
      <c r="TTD69" s="4"/>
      <c r="TTE69" s="4"/>
      <c r="TTF69" s="4"/>
      <c r="TTG69" s="4"/>
      <c r="TTH69" s="4"/>
      <c r="TTI69" s="4"/>
      <c r="TTJ69" s="4"/>
      <c r="TTK69" s="4"/>
      <c r="TTL69" s="4"/>
      <c r="TTM69" s="4"/>
      <c r="TTN69" s="4"/>
      <c r="TTO69" s="4"/>
      <c r="TTP69" s="4"/>
      <c r="TTQ69" s="4"/>
      <c r="TTR69" s="4"/>
      <c r="TTS69" s="4"/>
      <c r="TTT69" s="4"/>
      <c r="TTU69" s="4"/>
      <c r="TTV69" s="4"/>
      <c r="TTW69" s="4"/>
      <c r="TTX69" s="4"/>
      <c r="TTY69" s="4"/>
      <c r="TTZ69" s="4"/>
      <c r="TUA69" s="4"/>
      <c r="TUB69" s="4"/>
      <c r="TUC69" s="4"/>
      <c r="TUD69" s="4"/>
      <c r="TUE69" s="4"/>
      <c r="TUF69" s="4"/>
      <c r="TUG69" s="4"/>
      <c r="TUH69" s="4"/>
      <c r="TUI69" s="4"/>
      <c r="TUJ69" s="4"/>
      <c r="TUK69" s="4"/>
      <c r="TUL69" s="4"/>
      <c r="TUM69" s="4"/>
      <c r="TUN69" s="4"/>
      <c r="TUO69" s="4"/>
      <c r="TUP69" s="4"/>
      <c r="TUQ69" s="4"/>
      <c r="TUR69" s="4"/>
      <c r="TUS69" s="4"/>
      <c r="TUT69" s="4"/>
      <c r="TUU69" s="4"/>
      <c r="TUV69" s="4"/>
      <c r="TUW69" s="4"/>
      <c r="TUX69" s="4"/>
      <c r="TUY69" s="4"/>
      <c r="TUZ69" s="4"/>
      <c r="TVA69" s="4"/>
      <c r="TVB69" s="4"/>
      <c r="TVC69" s="4"/>
      <c r="TVD69" s="4"/>
      <c r="TVE69" s="4"/>
      <c r="TVF69" s="4"/>
      <c r="TVG69" s="4"/>
      <c r="TVH69" s="4"/>
      <c r="TVI69" s="4"/>
      <c r="TVJ69" s="4"/>
      <c r="TVK69" s="4"/>
      <c r="TVL69" s="4"/>
      <c r="TVM69" s="4"/>
      <c r="TVN69" s="4"/>
      <c r="TVO69" s="4"/>
      <c r="TVP69" s="4"/>
      <c r="TVQ69" s="4"/>
      <c r="TVR69" s="4"/>
      <c r="TVS69" s="4"/>
      <c r="TVT69" s="4"/>
      <c r="TVU69" s="4"/>
      <c r="TVV69" s="4"/>
      <c r="TVW69" s="4"/>
      <c r="TVX69" s="4"/>
      <c r="TVY69" s="4"/>
      <c r="TVZ69" s="4"/>
      <c r="TWA69" s="4"/>
      <c r="TWB69" s="4"/>
      <c r="TWC69" s="4"/>
      <c r="TWD69" s="4"/>
      <c r="TWE69" s="4"/>
      <c r="TWF69" s="4"/>
      <c r="TWG69" s="4"/>
      <c r="TWH69" s="4"/>
      <c r="TWI69" s="4"/>
      <c r="TWJ69" s="4"/>
      <c r="TWK69" s="4"/>
      <c r="TWL69" s="4"/>
      <c r="TWM69" s="4"/>
      <c r="TWN69" s="4"/>
      <c r="TWO69" s="4"/>
      <c r="TWP69" s="4"/>
      <c r="TWQ69" s="4"/>
      <c r="TWR69" s="4"/>
      <c r="TWS69" s="4"/>
      <c r="TWT69" s="4"/>
      <c r="TWU69" s="4"/>
      <c r="TWV69" s="4"/>
      <c r="TWW69" s="4"/>
      <c r="TWX69" s="4"/>
      <c r="TWY69" s="4"/>
      <c r="TWZ69" s="4"/>
      <c r="TXA69" s="4"/>
      <c r="TXB69" s="4"/>
      <c r="TXC69" s="4"/>
      <c r="TXD69" s="4"/>
      <c r="TXE69" s="4"/>
      <c r="TXF69" s="4"/>
      <c r="TXG69" s="4"/>
      <c r="TXH69" s="4"/>
      <c r="TXI69" s="4"/>
      <c r="TXJ69" s="4"/>
      <c r="TXK69" s="4"/>
      <c r="TXL69" s="4"/>
      <c r="TXM69" s="4"/>
      <c r="TXN69" s="4"/>
      <c r="TXO69" s="4"/>
      <c r="TXP69" s="4"/>
      <c r="TXQ69" s="4"/>
      <c r="TXR69" s="4"/>
      <c r="TXS69" s="4"/>
      <c r="TXT69" s="4"/>
      <c r="TXU69" s="4"/>
      <c r="TXV69" s="4"/>
      <c r="TXW69" s="4"/>
      <c r="TXX69" s="4"/>
      <c r="TXY69" s="4"/>
      <c r="TXZ69" s="4"/>
      <c r="TYA69" s="4"/>
      <c r="TYB69" s="4"/>
      <c r="TYC69" s="4"/>
      <c r="TYD69" s="4"/>
      <c r="TYE69" s="4"/>
      <c r="TYF69" s="4"/>
      <c r="TYG69" s="4"/>
      <c r="TYH69" s="4"/>
      <c r="TYI69" s="4"/>
      <c r="TYJ69" s="4"/>
      <c r="TYK69" s="4"/>
      <c r="TYL69" s="4"/>
      <c r="TYM69" s="4"/>
      <c r="TYN69" s="4"/>
      <c r="TYO69" s="4"/>
      <c r="TYP69" s="4"/>
      <c r="TYQ69" s="4"/>
      <c r="TYR69" s="4"/>
      <c r="TYS69" s="4"/>
      <c r="TYT69" s="4"/>
      <c r="TYU69" s="4"/>
      <c r="TYV69" s="4"/>
      <c r="TYW69" s="4"/>
      <c r="TYX69" s="4"/>
      <c r="TYY69" s="4"/>
      <c r="TYZ69" s="4"/>
      <c r="TZA69" s="4"/>
      <c r="TZB69" s="4"/>
      <c r="TZC69" s="4"/>
      <c r="TZD69" s="4"/>
      <c r="TZE69" s="4"/>
      <c r="TZF69" s="4"/>
      <c r="TZG69" s="4"/>
      <c r="TZH69" s="4"/>
      <c r="TZI69" s="4"/>
      <c r="TZJ69" s="4"/>
      <c r="TZK69" s="4"/>
      <c r="TZL69" s="4"/>
      <c r="TZM69" s="4"/>
      <c r="TZN69" s="4"/>
      <c r="TZO69" s="4"/>
      <c r="TZP69" s="4"/>
      <c r="TZQ69" s="4"/>
      <c r="TZR69" s="4"/>
      <c r="TZS69" s="4"/>
      <c r="TZT69" s="4"/>
      <c r="TZU69" s="4"/>
      <c r="TZV69" s="4"/>
      <c r="TZW69" s="4"/>
      <c r="TZX69" s="4"/>
      <c r="TZY69" s="4"/>
      <c r="TZZ69" s="4"/>
      <c r="UAA69" s="4"/>
      <c r="UAB69" s="4"/>
      <c r="UAC69" s="4"/>
      <c r="UAD69" s="4"/>
      <c r="UAE69" s="4"/>
      <c r="UAF69" s="4"/>
      <c r="UAG69" s="4"/>
      <c r="UAH69" s="4"/>
      <c r="UAI69" s="4"/>
      <c r="UAJ69" s="4"/>
      <c r="UAK69" s="4"/>
      <c r="UAL69" s="4"/>
      <c r="UAM69" s="4"/>
      <c r="UAN69" s="4"/>
      <c r="UAO69" s="4"/>
      <c r="UAP69" s="4"/>
      <c r="UAQ69" s="4"/>
      <c r="UAR69" s="4"/>
      <c r="UAS69" s="4"/>
      <c r="UAT69" s="4"/>
      <c r="UAU69" s="4"/>
      <c r="UAV69" s="4"/>
      <c r="UAW69" s="4"/>
      <c r="UAX69" s="4"/>
      <c r="UAY69" s="4"/>
      <c r="UAZ69" s="4"/>
      <c r="UBA69" s="4"/>
      <c r="UBB69" s="4"/>
      <c r="UBC69" s="4"/>
      <c r="UBD69" s="4"/>
      <c r="UBE69" s="4"/>
      <c r="UBF69" s="4"/>
      <c r="UBG69" s="4"/>
      <c r="UBH69" s="4"/>
      <c r="UBI69" s="4"/>
      <c r="UBJ69" s="4"/>
      <c r="UBK69" s="4"/>
      <c r="UBL69" s="4"/>
      <c r="UBM69" s="4"/>
      <c r="UBN69" s="4"/>
      <c r="UBO69" s="4"/>
      <c r="UBP69" s="4"/>
      <c r="UBQ69" s="4"/>
      <c r="UBR69" s="4"/>
      <c r="UBS69" s="4"/>
      <c r="UBT69" s="4"/>
      <c r="UBU69" s="4"/>
      <c r="UBV69" s="4"/>
      <c r="UBW69" s="4"/>
      <c r="UBX69" s="4"/>
      <c r="UBY69" s="4"/>
      <c r="UBZ69" s="4"/>
      <c r="UCA69" s="4"/>
      <c r="UCB69" s="4"/>
      <c r="UCC69" s="4"/>
      <c r="UCD69" s="4"/>
      <c r="UCE69" s="4"/>
      <c r="UCF69" s="4"/>
      <c r="UCG69" s="4"/>
      <c r="UCH69" s="4"/>
      <c r="UCI69" s="4"/>
      <c r="UCJ69" s="4"/>
      <c r="UCK69" s="4"/>
      <c r="UCL69" s="4"/>
      <c r="UCM69" s="4"/>
      <c r="UCN69" s="4"/>
      <c r="UCO69" s="4"/>
      <c r="UCP69" s="4"/>
      <c r="UCQ69" s="4"/>
      <c r="UCR69" s="4"/>
      <c r="UCS69" s="4"/>
      <c r="UCT69" s="4"/>
      <c r="UCU69" s="4"/>
      <c r="UCV69" s="4"/>
      <c r="UCW69" s="4"/>
      <c r="UCX69" s="4"/>
      <c r="UCY69" s="4"/>
      <c r="UCZ69" s="4"/>
      <c r="UDA69" s="4"/>
      <c r="UDB69" s="4"/>
      <c r="UDC69" s="4"/>
      <c r="UDD69" s="4"/>
      <c r="UDE69" s="4"/>
      <c r="UDF69" s="4"/>
      <c r="UDG69" s="4"/>
      <c r="UDH69" s="4"/>
      <c r="UDI69" s="4"/>
      <c r="UDJ69" s="4"/>
      <c r="UDK69" s="4"/>
      <c r="UDL69" s="4"/>
      <c r="UDM69" s="4"/>
      <c r="UDN69" s="4"/>
      <c r="UDO69" s="4"/>
      <c r="UDP69" s="4"/>
      <c r="UDQ69" s="4"/>
      <c r="UDR69" s="4"/>
      <c r="UDS69" s="4"/>
      <c r="UDT69" s="4"/>
      <c r="UDU69" s="4"/>
      <c r="UDV69" s="4"/>
      <c r="UDW69" s="4"/>
      <c r="UDX69" s="4"/>
      <c r="UDY69" s="4"/>
      <c r="UDZ69" s="4"/>
      <c r="UEA69" s="4"/>
      <c r="UEB69" s="4"/>
      <c r="UEC69" s="4"/>
      <c r="UED69" s="4"/>
      <c r="UEE69" s="4"/>
      <c r="UEF69" s="4"/>
      <c r="UEG69" s="4"/>
      <c r="UEH69" s="4"/>
      <c r="UEI69" s="4"/>
      <c r="UEJ69" s="4"/>
      <c r="UEK69" s="4"/>
      <c r="UEL69" s="4"/>
      <c r="UEM69" s="4"/>
      <c r="UEN69" s="4"/>
      <c r="UEO69" s="4"/>
      <c r="UEP69" s="4"/>
      <c r="UEQ69" s="4"/>
      <c r="UER69" s="4"/>
      <c r="UES69" s="4"/>
      <c r="UET69" s="4"/>
      <c r="UEU69" s="4"/>
      <c r="UEV69" s="4"/>
      <c r="UEW69" s="4"/>
      <c r="UEX69" s="4"/>
      <c r="UEY69" s="4"/>
      <c r="UEZ69" s="4"/>
      <c r="UFA69" s="4"/>
      <c r="UFB69" s="4"/>
      <c r="UFC69" s="4"/>
      <c r="UFD69" s="4"/>
      <c r="UFE69" s="4"/>
      <c r="UFF69" s="4"/>
      <c r="UFG69" s="4"/>
      <c r="UFH69" s="4"/>
      <c r="UFI69" s="4"/>
      <c r="UFJ69" s="4"/>
      <c r="UFK69" s="4"/>
      <c r="UFL69" s="4"/>
      <c r="UFM69" s="4"/>
      <c r="UFN69" s="4"/>
      <c r="UFO69" s="4"/>
      <c r="UFP69" s="4"/>
      <c r="UFQ69" s="4"/>
      <c r="UFR69" s="4"/>
      <c r="UFS69" s="4"/>
      <c r="UFT69" s="4"/>
      <c r="UFU69" s="4"/>
      <c r="UFV69" s="4"/>
      <c r="UFW69" s="4"/>
      <c r="UFX69" s="4"/>
      <c r="UFY69" s="4"/>
      <c r="UFZ69" s="4"/>
      <c r="UGA69" s="4"/>
      <c r="UGB69" s="4"/>
      <c r="UGC69" s="4"/>
      <c r="UGD69" s="4"/>
      <c r="UGE69" s="4"/>
      <c r="UGF69" s="4"/>
      <c r="UGG69" s="4"/>
      <c r="UGH69" s="4"/>
      <c r="UGI69" s="4"/>
      <c r="UGJ69" s="4"/>
      <c r="UGK69" s="4"/>
      <c r="UGL69" s="4"/>
      <c r="UGM69" s="4"/>
      <c r="UGN69" s="4"/>
      <c r="UGO69" s="4"/>
      <c r="UGP69" s="4"/>
      <c r="UGQ69" s="4"/>
      <c r="UGR69" s="4"/>
      <c r="UGS69" s="4"/>
      <c r="UGT69" s="4"/>
      <c r="UGU69" s="4"/>
      <c r="UGV69" s="4"/>
      <c r="UGW69" s="4"/>
      <c r="UGX69" s="4"/>
      <c r="UGY69" s="4"/>
      <c r="UGZ69" s="4"/>
      <c r="UHA69" s="4"/>
      <c r="UHB69" s="4"/>
      <c r="UHC69" s="4"/>
      <c r="UHD69" s="4"/>
      <c r="UHE69" s="4"/>
      <c r="UHF69" s="4"/>
      <c r="UHG69" s="4"/>
      <c r="UHH69" s="4"/>
      <c r="UHI69" s="4"/>
      <c r="UHJ69" s="4"/>
      <c r="UHK69" s="4"/>
      <c r="UHL69" s="4"/>
      <c r="UHM69" s="4"/>
      <c r="UHN69" s="4"/>
      <c r="UHO69" s="4"/>
      <c r="UHP69" s="4"/>
      <c r="UHQ69" s="4"/>
      <c r="UHR69" s="4"/>
      <c r="UHS69" s="4"/>
      <c r="UHT69" s="4"/>
      <c r="UHU69" s="4"/>
      <c r="UHV69" s="4"/>
      <c r="UHW69" s="4"/>
      <c r="UHX69" s="4"/>
      <c r="UHY69" s="4"/>
      <c r="UHZ69" s="4"/>
      <c r="UIA69" s="4"/>
      <c r="UIB69" s="4"/>
      <c r="UIC69" s="4"/>
      <c r="UID69" s="4"/>
      <c r="UIE69" s="4"/>
      <c r="UIF69" s="4"/>
      <c r="UIG69" s="4"/>
      <c r="UIH69" s="4"/>
      <c r="UII69" s="4"/>
      <c r="UIJ69" s="4"/>
      <c r="UIK69" s="4"/>
      <c r="UIL69" s="4"/>
      <c r="UIM69" s="4"/>
      <c r="UIN69" s="4"/>
      <c r="UIO69" s="4"/>
      <c r="UIP69" s="4"/>
      <c r="UIQ69" s="4"/>
      <c r="UIR69" s="4"/>
      <c r="UIS69" s="4"/>
      <c r="UIT69" s="4"/>
      <c r="UIU69" s="4"/>
      <c r="UIV69" s="4"/>
      <c r="UIW69" s="4"/>
      <c r="UIX69" s="4"/>
      <c r="UIY69" s="4"/>
      <c r="UIZ69" s="4"/>
      <c r="UJA69" s="4"/>
      <c r="UJB69" s="4"/>
      <c r="UJC69" s="4"/>
      <c r="UJD69" s="4"/>
      <c r="UJE69" s="4"/>
      <c r="UJF69" s="4"/>
      <c r="UJG69" s="4"/>
      <c r="UJH69" s="4"/>
      <c r="UJI69" s="4"/>
      <c r="UJJ69" s="4"/>
      <c r="UJK69" s="4"/>
      <c r="UJL69" s="4"/>
      <c r="UJM69" s="4"/>
      <c r="UJN69" s="4"/>
      <c r="UJO69" s="4"/>
      <c r="UJP69" s="4"/>
      <c r="UJQ69" s="4"/>
      <c r="UJR69" s="4"/>
      <c r="UJS69" s="4"/>
      <c r="UJT69" s="4"/>
      <c r="UJU69" s="4"/>
      <c r="UJV69" s="4"/>
      <c r="UJW69" s="4"/>
      <c r="UJX69" s="4"/>
      <c r="UJY69" s="4"/>
      <c r="UJZ69" s="4"/>
      <c r="UKA69" s="4"/>
      <c r="UKB69" s="4"/>
      <c r="UKC69" s="4"/>
      <c r="UKD69" s="4"/>
      <c r="UKE69" s="4"/>
      <c r="UKF69" s="4"/>
      <c r="UKG69" s="4"/>
      <c r="UKH69" s="4"/>
      <c r="UKI69" s="4"/>
      <c r="UKJ69" s="4"/>
      <c r="UKK69" s="4"/>
      <c r="UKL69" s="4"/>
      <c r="UKM69" s="4"/>
      <c r="UKN69" s="4"/>
      <c r="UKO69" s="4"/>
      <c r="UKP69" s="4"/>
      <c r="UKQ69" s="4"/>
      <c r="UKR69" s="4"/>
      <c r="UKS69" s="4"/>
      <c r="UKT69" s="4"/>
      <c r="UKU69" s="4"/>
      <c r="UKV69" s="4"/>
      <c r="UKW69" s="4"/>
      <c r="UKX69" s="4"/>
      <c r="UKY69" s="4"/>
      <c r="UKZ69" s="4"/>
      <c r="ULA69" s="4"/>
      <c r="ULB69" s="4"/>
      <c r="ULC69" s="4"/>
      <c r="ULD69" s="4"/>
      <c r="ULE69" s="4"/>
      <c r="ULF69" s="4"/>
      <c r="ULG69" s="4"/>
      <c r="ULH69" s="4"/>
      <c r="ULI69" s="4"/>
      <c r="ULJ69" s="4"/>
      <c r="ULK69" s="4"/>
      <c r="ULL69" s="4"/>
      <c r="ULM69" s="4"/>
      <c r="ULN69" s="4"/>
      <c r="ULO69" s="4"/>
      <c r="ULP69" s="4"/>
      <c r="ULQ69" s="4"/>
      <c r="ULR69" s="4"/>
      <c r="ULS69" s="4"/>
      <c r="ULT69" s="4"/>
      <c r="ULU69" s="4"/>
      <c r="ULV69" s="4"/>
      <c r="ULW69" s="4"/>
      <c r="ULX69" s="4"/>
      <c r="ULY69" s="4"/>
      <c r="ULZ69" s="4"/>
      <c r="UMA69" s="4"/>
      <c r="UMB69" s="4"/>
      <c r="UMC69" s="4"/>
      <c r="UMD69" s="4"/>
      <c r="UME69" s="4"/>
      <c r="UMF69" s="4"/>
      <c r="UMG69" s="4"/>
      <c r="UMH69" s="4"/>
      <c r="UMI69" s="4"/>
      <c r="UMJ69" s="4"/>
      <c r="UMK69" s="4"/>
      <c r="UML69" s="4"/>
      <c r="UMM69" s="4"/>
      <c r="UMN69" s="4"/>
      <c r="UMO69" s="4"/>
      <c r="UMP69" s="4"/>
      <c r="UMQ69" s="4"/>
      <c r="UMR69" s="4"/>
      <c r="UMS69" s="4"/>
      <c r="UMT69" s="4"/>
      <c r="UMU69" s="4"/>
      <c r="UMV69" s="4"/>
      <c r="UMW69" s="4"/>
      <c r="UMX69" s="4"/>
      <c r="UMY69" s="4"/>
      <c r="UMZ69" s="4"/>
      <c r="UNA69" s="4"/>
      <c r="UNB69" s="4"/>
      <c r="UNC69" s="4"/>
      <c r="UND69" s="4"/>
      <c r="UNE69" s="4"/>
      <c r="UNF69" s="4"/>
      <c r="UNG69" s="4"/>
      <c r="UNH69" s="4"/>
      <c r="UNI69" s="4"/>
      <c r="UNJ69" s="4"/>
      <c r="UNK69" s="4"/>
      <c r="UNL69" s="4"/>
      <c r="UNM69" s="4"/>
      <c r="UNN69" s="4"/>
      <c r="UNO69" s="4"/>
      <c r="UNP69" s="4"/>
      <c r="UNQ69" s="4"/>
      <c r="UNR69" s="4"/>
      <c r="UNS69" s="4"/>
      <c r="UNT69" s="4"/>
      <c r="UNU69" s="4"/>
      <c r="UNV69" s="4"/>
      <c r="UNW69" s="4"/>
      <c r="UNX69" s="4"/>
      <c r="UNY69" s="4"/>
      <c r="UNZ69" s="4"/>
      <c r="UOA69" s="4"/>
      <c r="UOB69" s="4"/>
      <c r="UOC69" s="4"/>
      <c r="UOD69" s="4"/>
      <c r="UOE69" s="4"/>
      <c r="UOF69" s="4"/>
      <c r="UOG69" s="4"/>
      <c r="UOH69" s="4"/>
      <c r="UOI69" s="4"/>
      <c r="UOJ69" s="4"/>
      <c r="UOK69" s="4"/>
      <c r="UOL69" s="4"/>
      <c r="UOM69" s="4"/>
      <c r="UON69" s="4"/>
      <c r="UOO69" s="4"/>
      <c r="UOP69" s="4"/>
      <c r="UOQ69" s="4"/>
      <c r="UOR69" s="4"/>
      <c r="UOS69" s="4"/>
      <c r="UOT69" s="4"/>
      <c r="UOU69" s="4"/>
      <c r="UOV69" s="4"/>
      <c r="UOW69" s="4"/>
      <c r="UOX69" s="4"/>
      <c r="UOY69" s="4"/>
      <c r="UOZ69" s="4"/>
      <c r="UPA69" s="4"/>
      <c r="UPB69" s="4"/>
      <c r="UPC69" s="4"/>
      <c r="UPD69" s="4"/>
      <c r="UPE69" s="4"/>
      <c r="UPF69" s="4"/>
      <c r="UPG69" s="4"/>
      <c r="UPH69" s="4"/>
      <c r="UPI69" s="4"/>
      <c r="UPJ69" s="4"/>
      <c r="UPK69" s="4"/>
      <c r="UPL69" s="4"/>
      <c r="UPM69" s="4"/>
      <c r="UPN69" s="4"/>
      <c r="UPO69" s="4"/>
      <c r="UPP69" s="4"/>
      <c r="UPQ69" s="4"/>
      <c r="UPR69" s="4"/>
      <c r="UPS69" s="4"/>
      <c r="UPT69" s="4"/>
      <c r="UPU69" s="4"/>
      <c r="UPV69" s="4"/>
      <c r="UPW69" s="4"/>
      <c r="UPX69" s="4"/>
      <c r="UPY69" s="4"/>
      <c r="UPZ69" s="4"/>
      <c r="UQA69" s="4"/>
      <c r="UQB69" s="4"/>
      <c r="UQC69" s="4"/>
      <c r="UQD69" s="4"/>
      <c r="UQE69" s="4"/>
      <c r="UQF69" s="4"/>
      <c r="UQG69" s="4"/>
      <c r="UQH69" s="4"/>
      <c r="UQI69" s="4"/>
      <c r="UQJ69" s="4"/>
      <c r="UQK69" s="4"/>
      <c r="UQL69" s="4"/>
      <c r="UQM69" s="4"/>
      <c r="UQN69" s="4"/>
      <c r="UQO69" s="4"/>
      <c r="UQP69" s="4"/>
      <c r="UQQ69" s="4"/>
      <c r="UQR69" s="4"/>
      <c r="UQS69" s="4"/>
      <c r="UQT69" s="4"/>
      <c r="UQU69" s="4"/>
      <c r="UQV69" s="4"/>
      <c r="UQW69" s="4"/>
      <c r="UQX69" s="4"/>
      <c r="UQY69" s="4"/>
      <c r="UQZ69" s="4"/>
      <c r="URA69" s="4"/>
      <c r="URB69" s="4"/>
      <c r="URC69" s="4"/>
      <c r="URD69" s="4"/>
      <c r="URE69" s="4"/>
      <c r="URF69" s="4"/>
      <c r="URG69" s="4"/>
      <c r="URH69" s="4"/>
      <c r="URI69" s="4"/>
      <c r="URJ69" s="4"/>
      <c r="URK69" s="4"/>
      <c r="URL69" s="4"/>
      <c r="URM69" s="4"/>
      <c r="URN69" s="4"/>
      <c r="URO69" s="4"/>
      <c r="URP69" s="4"/>
      <c r="URQ69" s="4"/>
      <c r="URR69" s="4"/>
      <c r="URS69" s="4"/>
      <c r="URT69" s="4"/>
      <c r="URU69" s="4"/>
      <c r="URV69" s="4"/>
      <c r="URW69" s="4"/>
      <c r="URX69" s="4"/>
      <c r="URY69" s="4"/>
      <c r="URZ69" s="4"/>
      <c r="USA69" s="4"/>
      <c r="USB69" s="4"/>
      <c r="USC69" s="4"/>
      <c r="USD69" s="4"/>
      <c r="USE69" s="4"/>
      <c r="USF69" s="4"/>
      <c r="USG69" s="4"/>
      <c r="USH69" s="4"/>
      <c r="USI69" s="4"/>
      <c r="USJ69" s="4"/>
      <c r="USK69" s="4"/>
      <c r="USL69" s="4"/>
      <c r="USM69" s="4"/>
      <c r="USN69" s="4"/>
      <c r="USO69" s="4"/>
      <c r="USP69" s="4"/>
      <c r="USQ69" s="4"/>
      <c r="USR69" s="4"/>
      <c r="USS69" s="4"/>
      <c r="UST69" s="4"/>
      <c r="USU69" s="4"/>
      <c r="USV69" s="4"/>
      <c r="USW69" s="4"/>
      <c r="USX69" s="4"/>
      <c r="USY69" s="4"/>
      <c r="USZ69" s="4"/>
      <c r="UTA69" s="4"/>
      <c r="UTB69" s="4"/>
      <c r="UTC69" s="4"/>
      <c r="UTD69" s="4"/>
      <c r="UTE69" s="4"/>
      <c r="UTF69" s="4"/>
      <c r="UTG69" s="4"/>
      <c r="UTH69" s="4"/>
      <c r="UTI69" s="4"/>
      <c r="UTJ69" s="4"/>
      <c r="UTK69" s="4"/>
      <c r="UTL69" s="4"/>
      <c r="UTM69" s="4"/>
      <c r="UTN69" s="4"/>
      <c r="UTO69" s="4"/>
      <c r="UTP69" s="4"/>
      <c r="UTQ69" s="4"/>
      <c r="UTR69" s="4"/>
      <c r="UTS69" s="4"/>
      <c r="UTT69" s="4"/>
      <c r="UTU69" s="4"/>
      <c r="UTV69" s="4"/>
      <c r="UTW69" s="4"/>
      <c r="UTX69" s="4"/>
      <c r="UTY69" s="4"/>
      <c r="UTZ69" s="4"/>
      <c r="UUA69" s="4"/>
      <c r="UUB69" s="4"/>
      <c r="UUC69" s="4"/>
      <c r="UUD69" s="4"/>
      <c r="UUE69" s="4"/>
      <c r="UUF69" s="4"/>
      <c r="UUG69" s="4"/>
      <c r="UUH69" s="4"/>
      <c r="UUI69" s="4"/>
      <c r="UUJ69" s="4"/>
      <c r="UUK69" s="4"/>
      <c r="UUL69" s="4"/>
      <c r="UUM69" s="4"/>
      <c r="UUN69" s="4"/>
      <c r="UUO69" s="4"/>
      <c r="UUP69" s="4"/>
      <c r="UUQ69" s="4"/>
      <c r="UUR69" s="4"/>
      <c r="UUS69" s="4"/>
      <c r="UUT69" s="4"/>
      <c r="UUU69" s="4"/>
      <c r="UUV69" s="4"/>
      <c r="UUW69" s="4"/>
      <c r="UUX69" s="4"/>
      <c r="UUY69" s="4"/>
      <c r="UUZ69" s="4"/>
      <c r="UVA69" s="4"/>
      <c r="UVB69" s="4"/>
      <c r="UVC69" s="4"/>
      <c r="UVD69" s="4"/>
      <c r="UVE69" s="4"/>
      <c r="UVF69" s="4"/>
      <c r="UVG69" s="4"/>
      <c r="UVH69" s="4"/>
      <c r="UVI69" s="4"/>
      <c r="UVJ69" s="4"/>
      <c r="UVK69" s="4"/>
      <c r="UVL69" s="4"/>
      <c r="UVM69" s="4"/>
      <c r="UVN69" s="4"/>
      <c r="UVO69" s="4"/>
      <c r="UVP69" s="4"/>
      <c r="UVQ69" s="4"/>
      <c r="UVR69" s="4"/>
      <c r="UVS69" s="4"/>
      <c r="UVT69" s="4"/>
      <c r="UVU69" s="4"/>
      <c r="UVV69" s="4"/>
      <c r="UVW69" s="4"/>
      <c r="UVX69" s="4"/>
      <c r="UVY69" s="4"/>
      <c r="UVZ69" s="4"/>
      <c r="UWA69" s="4"/>
      <c r="UWB69" s="4"/>
      <c r="UWC69" s="4"/>
      <c r="UWD69" s="4"/>
      <c r="UWE69" s="4"/>
      <c r="UWF69" s="4"/>
      <c r="UWG69" s="4"/>
      <c r="UWH69" s="4"/>
      <c r="UWI69" s="4"/>
      <c r="UWJ69" s="4"/>
      <c r="UWK69" s="4"/>
      <c r="UWL69" s="4"/>
      <c r="UWM69" s="4"/>
      <c r="UWN69" s="4"/>
      <c r="UWO69" s="4"/>
      <c r="UWP69" s="4"/>
      <c r="UWQ69" s="4"/>
      <c r="UWR69" s="4"/>
      <c r="UWS69" s="4"/>
      <c r="UWT69" s="4"/>
      <c r="UWU69" s="4"/>
      <c r="UWV69" s="4"/>
      <c r="UWW69" s="4"/>
      <c r="UWX69" s="4"/>
      <c r="UWY69" s="4"/>
      <c r="UWZ69" s="4"/>
      <c r="UXA69" s="4"/>
      <c r="UXB69" s="4"/>
      <c r="UXC69" s="4"/>
      <c r="UXD69" s="4"/>
      <c r="UXE69" s="4"/>
      <c r="UXF69" s="4"/>
      <c r="UXG69" s="4"/>
      <c r="UXH69" s="4"/>
      <c r="UXI69" s="4"/>
      <c r="UXJ69" s="4"/>
      <c r="UXK69" s="4"/>
      <c r="UXL69" s="4"/>
      <c r="UXM69" s="4"/>
      <c r="UXN69" s="4"/>
      <c r="UXO69" s="4"/>
      <c r="UXP69" s="4"/>
      <c r="UXQ69" s="4"/>
      <c r="UXR69" s="4"/>
      <c r="UXS69" s="4"/>
      <c r="UXT69" s="4"/>
      <c r="UXU69" s="4"/>
      <c r="UXV69" s="4"/>
      <c r="UXW69" s="4"/>
      <c r="UXX69" s="4"/>
      <c r="UXY69" s="4"/>
      <c r="UXZ69" s="4"/>
      <c r="UYA69" s="4"/>
      <c r="UYB69" s="4"/>
      <c r="UYC69" s="4"/>
      <c r="UYD69" s="4"/>
      <c r="UYE69" s="4"/>
      <c r="UYF69" s="4"/>
      <c r="UYG69" s="4"/>
      <c r="UYH69" s="4"/>
      <c r="UYI69" s="4"/>
      <c r="UYJ69" s="4"/>
      <c r="UYK69" s="4"/>
      <c r="UYL69" s="4"/>
      <c r="UYM69" s="4"/>
      <c r="UYN69" s="4"/>
      <c r="UYO69" s="4"/>
      <c r="UYP69" s="4"/>
      <c r="UYQ69" s="4"/>
      <c r="UYR69" s="4"/>
      <c r="UYS69" s="4"/>
      <c r="UYT69" s="4"/>
      <c r="UYU69" s="4"/>
      <c r="UYV69" s="4"/>
      <c r="UYW69" s="4"/>
      <c r="UYX69" s="4"/>
      <c r="UYY69" s="4"/>
      <c r="UYZ69" s="4"/>
      <c r="UZA69" s="4"/>
      <c r="UZB69" s="4"/>
      <c r="UZC69" s="4"/>
      <c r="UZD69" s="4"/>
      <c r="UZE69" s="4"/>
      <c r="UZF69" s="4"/>
      <c r="UZG69" s="4"/>
      <c r="UZH69" s="4"/>
      <c r="UZI69" s="4"/>
      <c r="UZJ69" s="4"/>
      <c r="UZK69" s="4"/>
      <c r="UZL69" s="4"/>
      <c r="UZM69" s="4"/>
      <c r="UZN69" s="4"/>
      <c r="UZO69" s="4"/>
      <c r="UZP69" s="4"/>
      <c r="UZQ69" s="4"/>
      <c r="UZR69" s="4"/>
      <c r="UZS69" s="4"/>
      <c r="UZT69" s="4"/>
      <c r="UZU69" s="4"/>
      <c r="UZV69" s="4"/>
      <c r="UZW69" s="4"/>
      <c r="UZX69" s="4"/>
      <c r="UZY69" s="4"/>
      <c r="UZZ69" s="4"/>
      <c r="VAA69" s="4"/>
      <c r="VAB69" s="4"/>
      <c r="VAC69" s="4"/>
      <c r="VAD69" s="4"/>
      <c r="VAE69" s="4"/>
      <c r="VAF69" s="4"/>
      <c r="VAG69" s="4"/>
      <c r="VAH69" s="4"/>
      <c r="VAI69" s="4"/>
      <c r="VAJ69" s="4"/>
      <c r="VAK69" s="4"/>
      <c r="VAL69" s="4"/>
      <c r="VAM69" s="4"/>
      <c r="VAN69" s="4"/>
      <c r="VAO69" s="4"/>
      <c r="VAP69" s="4"/>
      <c r="VAQ69" s="4"/>
      <c r="VAR69" s="4"/>
      <c r="VAS69" s="4"/>
      <c r="VAT69" s="4"/>
      <c r="VAU69" s="4"/>
      <c r="VAV69" s="4"/>
      <c r="VAW69" s="4"/>
      <c r="VAX69" s="4"/>
      <c r="VAY69" s="4"/>
      <c r="VAZ69" s="4"/>
      <c r="VBA69" s="4"/>
      <c r="VBB69" s="4"/>
      <c r="VBC69" s="4"/>
      <c r="VBD69" s="4"/>
      <c r="VBE69" s="4"/>
      <c r="VBF69" s="4"/>
      <c r="VBG69" s="4"/>
      <c r="VBH69" s="4"/>
      <c r="VBI69" s="4"/>
      <c r="VBJ69" s="4"/>
      <c r="VBK69" s="4"/>
      <c r="VBL69" s="4"/>
      <c r="VBM69" s="4"/>
      <c r="VBN69" s="4"/>
      <c r="VBO69" s="4"/>
      <c r="VBP69" s="4"/>
      <c r="VBQ69" s="4"/>
      <c r="VBR69" s="4"/>
      <c r="VBS69" s="4"/>
      <c r="VBT69" s="4"/>
      <c r="VBU69" s="4"/>
      <c r="VBV69" s="4"/>
      <c r="VBW69" s="4"/>
      <c r="VBX69" s="4"/>
      <c r="VBY69" s="4"/>
      <c r="VBZ69" s="4"/>
      <c r="VCA69" s="4"/>
      <c r="VCB69" s="4"/>
      <c r="VCC69" s="4"/>
      <c r="VCD69" s="4"/>
      <c r="VCE69" s="4"/>
      <c r="VCF69" s="4"/>
      <c r="VCG69" s="4"/>
      <c r="VCH69" s="4"/>
      <c r="VCI69" s="4"/>
      <c r="VCJ69" s="4"/>
      <c r="VCK69" s="4"/>
      <c r="VCL69" s="4"/>
      <c r="VCM69" s="4"/>
      <c r="VCN69" s="4"/>
      <c r="VCO69" s="4"/>
      <c r="VCP69" s="4"/>
      <c r="VCQ69" s="4"/>
      <c r="VCR69" s="4"/>
      <c r="VCS69" s="4"/>
      <c r="VCT69" s="4"/>
      <c r="VCU69" s="4"/>
      <c r="VCV69" s="4"/>
      <c r="VCW69" s="4"/>
      <c r="VCX69" s="4"/>
      <c r="VCY69" s="4"/>
      <c r="VCZ69" s="4"/>
      <c r="VDA69" s="4"/>
      <c r="VDB69" s="4"/>
      <c r="VDC69" s="4"/>
      <c r="VDD69" s="4"/>
      <c r="VDE69" s="4"/>
      <c r="VDF69" s="4"/>
      <c r="VDG69" s="4"/>
      <c r="VDH69" s="4"/>
      <c r="VDI69" s="4"/>
      <c r="VDJ69" s="4"/>
      <c r="VDK69" s="4"/>
      <c r="VDL69" s="4"/>
      <c r="VDM69" s="4"/>
      <c r="VDN69" s="4"/>
      <c r="VDO69" s="4"/>
      <c r="VDP69" s="4"/>
      <c r="VDQ69" s="4"/>
      <c r="VDR69" s="4"/>
      <c r="VDS69" s="4"/>
      <c r="VDT69" s="4"/>
      <c r="VDU69" s="4"/>
      <c r="VDV69" s="4"/>
      <c r="VDW69" s="4"/>
      <c r="VDX69" s="4"/>
      <c r="VDY69" s="4"/>
      <c r="VDZ69" s="4"/>
      <c r="VEA69" s="4"/>
      <c r="VEB69" s="4"/>
      <c r="VEC69" s="4"/>
      <c r="VED69" s="4"/>
      <c r="VEE69" s="4"/>
      <c r="VEF69" s="4"/>
      <c r="VEG69" s="4"/>
      <c r="VEH69" s="4"/>
      <c r="VEI69" s="4"/>
      <c r="VEJ69" s="4"/>
      <c r="VEK69" s="4"/>
      <c r="VEL69" s="4"/>
      <c r="VEM69" s="4"/>
      <c r="VEN69" s="4"/>
      <c r="VEO69" s="4"/>
      <c r="VEP69" s="4"/>
      <c r="VEQ69" s="4"/>
      <c r="VER69" s="4"/>
      <c r="VES69" s="4"/>
      <c r="VET69" s="4"/>
      <c r="VEU69" s="4"/>
      <c r="VEV69" s="4"/>
      <c r="VEW69" s="4"/>
      <c r="VEX69" s="4"/>
      <c r="VEY69" s="4"/>
      <c r="VEZ69" s="4"/>
      <c r="VFA69" s="4"/>
      <c r="VFB69" s="4"/>
      <c r="VFC69" s="4"/>
      <c r="VFD69" s="4"/>
      <c r="VFE69" s="4"/>
      <c r="VFF69" s="4"/>
      <c r="VFG69" s="4"/>
      <c r="VFH69" s="4"/>
      <c r="VFI69" s="4"/>
      <c r="VFJ69" s="4"/>
      <c r="VFK69" s="4"/>
      <c r="VFL69" s="4"/>
      <c r="VFM69" s="4"/>
      <c r="VFN69" s="4"/>
      <c r="VFO69" s="4"/>
      <c r="VFP69" s="4"/>
      <c r="VFQ69" s="4"/>
      <c r="VFR69" s="4"/>
      <c r="VFS69" s="4"/>
      <c r="VFT69" s="4"/>
      <c r="VFU69" s="4"/>
      <c r="VFV69" s="4"/>
      <c r="VFW69" s="4"/>
      <c r="VFX69" s="4"/>
      <c r="VFY69" s="4"/>
      <c r="VFZ69" s="4"/>
      <c r="VGA69" s="4"/>
      <c r="VGB69" s="4"/>
      <c r="VGC69" s="4"/>
      <c r="VGD69" s="4"/>
      <c r="VGE69" s="4"/>
      <c r="VGF69" s="4"/>
      <c r="VGG69" s="4"/>
      <c r="VGH69" s="4"/>
      <c r="VGI69" s="4"/>
      <c r="VGJ69" s="4"/>
      <c r="VGK69" s="4"/>
      <c r="VGL69" s="4"/>
      <c r="VGM69" s="4"/>
      <c r="VGN69" s="4"/>
      <c r="VGO69" s="4"/>
      <c r="VGP69" s="4"/>
      <c r="VGQ69" s="4"/>
      <c r="VGR69" s="4"/>
      <c r="VGS69" s="4"/>
      <c r="VGT69" s="4"/>
      <c r="VGU69" s="4"/>
      <c r="VGV69" s="4"/>
      <c r="VGW69" s="4"/>
      <c r="VGX69" s="4"/>
      <c r="VGY69" s="4"/>
      <c r="VGZ69" s="4"/>
      <c r="VHA69" s="4"/>
      <c r="VHB69" s="4"/>
      <c r="VHC69" s="4"/>
      <c r="VHD69" s="4"/>
      <c r="VHE69" s="4"/>
      <c r="VHF69" s="4"/>
      <c r="VHG69" s="4"/>
      <c r="VHH69" s="4"/>
      <c r="VHI69" s="4"/>
      <c r="VHJ69" s="4"/>
      <c r="VHK69" s="4"/>
      <c r="VHL69" s="4"/>
      <c r="VHM69" s="4"/>
      <c r="VHN69" s="4"/>
      <c r="VHO69" s="4"/>
      <c r="VHP69" s="4"/>
      <c r="VHQ69" s="4"/>
      <c r="VHR69" s="4"/>
      <c r="VHS69" s="4"/>
      <c r="VHT69" s="4"/>
      <c r="VHU69" s="4"/>
      <c r="VHV69" s="4"/>
      <c r="VHW69" s="4"/>
      <c r="VHX69" s="4"/>
      <c r="VHY69" s="4"/>
      <c r="VHZ69" s="4"/>
      <c r="VIA69" s="4"/>
      <c r="VIB69" s="4"/>
      <c r="VIC69" s="4"/>
      <c r="VID69" s="4"/>
      <c r="VIE69" s="4"/>
      <c r="VIF69" s="4"/>
      <c r="VIG69" s="4"/>
      <c r="VIH69" s="4"/>
      <c r="VII69" s="4"/>
      <c r="VIJ69" s="4"/>
      <c r="VIK69" s="4"/>
      <c r="VIL69" s="4"/>
      <c r="VIM69" s="4"/>
      <c r="VIN69" s="4"/>
      <c r="VIO69" s="4"/>
      <c r="VIP69" s="4"/>
      <c r="VIQ69" s="4"/>
      <c r="VIR69" s="4"/>
      <c r="VIS69" s="4"/>
      <c r="VIT69" s="4"/>
      <c r="VIU69" s="4"/>
      <c r="VIV69" s="4"/>
      <c r="VIW69" s="4"/>
      <c r="VIX69" s="4"/>
      <c r="VIY69" s="4"/>
      <c r="VIZ69" s="4"/>
      <c r="VJA69" s="4"/>
      <c r="VJB69" s="4"/>
      <c r="VJC69" s="4"/>
      <c r="VJD69" s="4"/>
      <c r="VJE69" s="4"/>
      <c r="VJF69" s="4"/>
      <c r="VJG69" s="4"/>
      <c r="VJH69" s="4"/>
      <c r="VJI69" s="4"/>
      <c r="VJJ69" s="4"/>
      <c r="VJK69" s="4"/>
      <c r="VJL69" s="4"/>
      <c r="VJM69" s="4"/>
      <c r="VJN69" s="4"/>
      <c r="VJO69" s="4"/>
      <c r="VJP69" s="4"/>
      <c r="VJQ69" s="4"/>
      <c r="VJR69" s="4"/>
      <c r="VJS69" s="4"/>
      <c r="VJT69" s="4"/>
      <c r="VJU69" s="4"/>
      <c r="VJV69" s="4"/>
      <c r="VJW69" s="4"/>
      <c r="VJX69" s="4"/>
      <c r="VJY69" s="4"/>
      <c r="VJZ69" s="4"/>
      <c r="VKA69" s="4"/>
      <c r="VKB69" s="4"/>
      <c r="VKC69" s="4"/>
      <c r="VKD69" s="4"/>
      <c r="VKE69" s="4"/>
      <c r="VKF69" s="4"/>
      <c r="VKG69" s="4"/>
      <c r="VKH69" s="4"/>
      <c r="VKI69" s="4"/>
      <c r="VKJ69" s="4"/>
      <c r="VKK69" s="4"/>
      <c r="VKL69" s="4"/>
      <c r="VKM69" s="4"/>
      <c r="VKN69" s="4"/>
      <c r="VKO69" s="4"/>
      <c r="VKP69" s="4"/>
      <c r="VKQ69" s="4"/>
      <c r="VKR69" s="4"/>
      <c r="VKS69" s="4"/>
      <c r="VKT69" s="4"/>
      <c r="VKU69" s="4"/>
      <c r="VKV69" s="4"/>
      <c r="VKW69" s="4"/>
      <c r="VKX69" s="4"/>
      <c r="VKY69" s="4"/>
      <c r="VKZ69" s="4"/>
      <c r="VLA69" s="4"/>
      <c r="VLB69" s="4"/>
      <c r="VLC69" s="4"/>
      <c r="VLD69" s="4"/>
      <c r="VLE69" s="4"/>
      <c r="VLF69" s="4"/>
      <c r="VLG69" s="4"/>
      <c r="VLH69" s="4"/>
      <c r="VLI69" s="4"/>
      <c r="VLJ69" s="4"/>
      <c r="VLK69" s="4"/>
      <c r="VLL69" s="4"/>
      <c r="VLM69" s="4"/>
      <c r="VLN69" s="4"/>
      <c r="VLO69" s="4"/>
      <c r="VLP69" s="4"/>
      <c r="VLQ69" s="4"/>
      <c r="VLR69" s="4"/>
      <c r="VLS69" s="4"/>
      <c r="VLT69" s="4"/>
      <c r="VLU69" s="4"/>
      <c r="VLV69" s="4"/>
      <c r="VLW69" s="4"/>
      <c r="VLX69" s="4"/>
      <c r="VLY69" s="4"/>
      <c r="VLZ69" s="4"/>
      <c r="VMA69" s="4"/>
      <c r="VMB69" s="4"/>
      <c r="VMC69" s="4"/>
      <c r="VMD69" s="4"/>
      <c r="VME69" s="4"/>
      <c r="VMF69" s="4"/>
      <c r="VMG69" s="4"/>
      <c r="VMH69" s="4"/>
      <c r="VMI69" s="4"/>
      <c r="VMJ69" s="4"/>
      <c r="VMK69" s="4"/>
      <c r="VML69" s="4"/>
      <c r="VMM69" s="4"/>
      <c r="VMN69" s="4"/>
      <c r="VMO69" s="4"/>
      <c r="VMP69" s="4"/>
      <c r="VMQ69" s="4"/>
      <c r="VMR69" s="4"/>
      <c r="VMS69" s="4"/>
      <c r="VMT69" s="4"/>
      <c r="VMU69" s="4"/>
      <c r="VMV69" s="4"/>
      <c r="VMW69" s="4"/>
      <c r="VMX69" s="4"/>
      <c r="VMY69" s="4"/>
      <c r="VMZ69" s="4"/>
      <c r="VNA69" s="4"/>
      <c r="VNB69" s="4"/>
      <c r="VNC69" s="4"/>
      <c r="VND69" s="4"/>
      <c r="VNE69" s="4"/>
      <c r="VNF69" s="4"/>
      <c r="VNG69" s="4"/>
      <c r="VNH69" s="4"/>
      <c r="VNI69" s="4"/>
      <c r="VNJ69" s="4"/>
      <c r="VNK69" s="4"/>
      <c r="VNL69" s="4"/>
      <c r="VNM69" s="4"/>
      <c r="VNN69" s="4"/>
      <c r="VNO69" s="4"/>
      <c r="VNP69" s="4"/>
      <c r="VNQ69" s="4"/>
      <c r="VNR69" s="4"/>
      <c r="VNS69" s="4"/>
      <c r="VNT69" s="4"/>
      <c r="VNU69" s="4"/>
      <c r="VNV69" s="4"/>
      <c r="VNW69" s="4"/>
      <c r="VNX69" s="4"/>
      <c r="VNY69" s="4"/>
      <c r="VNZ69" s="4"/>
      <c r="VOA69" s="4"/>
      <c r="VOB69" s="4"/>
      <c r="VOC69" s="4"/>
      <c r="VOD69" s="4"/>
      <c r="VOE69" s="4"/>
      <c r="VOF69" s="4"/>
      <c r="VOG69" s="4"/>
      <c r="VOH69" s="4"/>
      <c r="VOI69" s="4"/>
      <c r="VOJ69" s="4"/>
      <c r="VOK69" s="4"/>
      <c r="VOL69" s="4"/>
      <c r="VOM69" s="4"/>
      <c r="VON69" s="4"/>
      <c r="VOO69" s="4"/>
      <c r="VOP69" s="4"/>
      <c r="VOQ69" s="4"/>
      <c r="VOR69" s="4"/>
      <c r="VOS69" s="4"/>
      <c r="VOT69" s="4"/>
      <c r="VOU69" s="4"/>
      <c r="VOV69" s="4"/>
      <c r="VOW69" s="4"/>
      <c r="VOX69" s="4"/>
      <c r="VOY69" s="4"/>
      <c r="VOZ69" s="4"/>
      <c r="VPA69" s="4"/>
      <c r="VPB69" s="4"/>
      <c r="VPC69" s="4"/>
      <c r="VPD69" s="4"/>
      <c r="VPE69" s="4"/>
      <c r="VPF69" s="4"/>
      <c r="VPG69" s="4"/>
      <c r="VPH69" s="4"/>
      <c r="VPI69" s="4"/>
      <c r="VPJ69" s="4"/>
      <c r="VPK69" s="4"/>
      <c r="VPL69" s="4"/>
      <c r="VPM69" s="4"/>
      <c r="VPN69" s="4"/>
      <c r="VPO69" s="4"/>
      <c r="VPP69" s="4"/>
      <c r="VPQ69" s="4"/>
      <c r="VPR69" s="4"/>
      <c r="VPS69" s="4"/>
      <c r="VPT69" s="4"/>
      <c r="VPU69" s="4"/>
      <c r="VPV69" s="4"/>
      <c r="VPW69" s="4"/>
      <c r="VPX69" s="4"/>
      <c r="VPY69" s="4"/>
      <c r="VPZ69" s="4"/>
      <c r="VQA69" s="4"/>
      <c r="VQB69" s="4"/>
      <c r="VQC69" s="4"/>
      <c r="VQD69" s="4"/>
      <c r="VQE69" s="4"/>
      <c r="VQF69" s="4"/>
      <c r="VQG69" s="4"/>
      <c r="VQH69" s="4"/>
      <c r="VQI69" s="4"/>
      <c r="VQJ69" s="4"/>
      <c r="VQK69" s="4"/>
      <c r="VQL69" s="4"/>
      <c r="VQM69" s="4"/>
      <c r="VQN69" s="4"/>
      <c r="VQO69" s="4"/>
      <c r="VQP69" s="4"/>
      <c r="VQQ69" s="4"/>
      <c r="VQR69" s="4"/>
      <c r="VQS69" s="4"/>
      <c r="VQT69" s="4"/>
      <c r="VQU69" s="4"/>
      <c r="VQV69" s="4"/>
      <c r="VQW69" s="4"/>
      <c r="VQX69" s="4"/>
      <c r="VQY69" s="4"/>
      <c r="VQZ69" s="4"/>
      <c r="VRA69" s="4"/>
      <c r="VRB69" s="4"/>
      <c r="VRC69" s="4"/>
      <c r="VRD69" s="4"/>
      <c r="VRE69" s="4"/>
      <c r="VRF69" s="4"/>
      <c r="VRG69" s="4"/>
      <c r="VRH69" s="4"/>
      <c r="VRI69" s="4"/>
      <c r="VRJ69" s="4"/>
      <c r="VRK69" s="4"/>
      <c r="VRL69" s="4"/>
      <c r="VRM69" s="4"/>
      <c r="VRN69" s="4"/>
      <c r="VRO69" s="4"/>
      <c r="VRP69" s="4"/>
      <c r="VRQ69" s="4"/>
      <c r="VRR69" s="4"/>
      <c r="VRS69" s="4"/>
      <c r="VRT69" s="4"/>
      <c r="VRU69" s="4"/>
      <c r="VRV69" s="4"/>
      <c r="VRW69" s="4"/>
      <c r="VRX69" s="4"/>
      <c r="VRY69" s="4"/>
      <c r="VRZ69" s="4"/>
      <c r="VSA69" s="4"/>
      <c r="VSB69" s="4"/>
      <c r="VSC69" s="4"/>
      <c r="VSD69" s="4"/>
      <c r="VSE69" s="4"/>
      <c r="VSF69" s="4"/>
      <c r="VSG69" s="4"/>
      <c r="VSH69" s="4"/>
      <c r="VSI69" s="4"/>
      <c r="VSJ69" s="4"/>
      <c r="VSK69" s="4"/>
      <c r="VSL69" s="4"/>
      <c r="VSM69" s="4"/>
      <c r="VSN69" s="4"/>
      <c r="VSO69" s="4"/>
      <c r="VSP69" s="4"/>
      <c r="VSQ69" s="4"/>
      <c r="VSR69" s="4"/>
      <c r="VSS69" s="4"/>
      <c r="VST69" s="4"/>
      <c r="VSU69" s="4"/>
      <c r="VSV69" s="4"/>
      <c r="VSW69" s="4"/>
      <c r="VSX69" s="4"/>
      <c r="VSY69" s="4"/>
      <c r="VSZ69" s="4"/>
      <c r="VTA69" s="4"/>
      <c r="VTB69" s="4"/>
      <c r="VTC69" s="4"/>
      <c r="VTD69" s="4"/>
      <c r="VTE69" s="4"/>
      <c r="VTF69" s="4"/>
      <c r="VTG69" s="4"/>
      <c r="VTH69" s="4"/>
      <c r="VTI69" s="4"/>
      <c r="VTJ69" s="4"/>
      <c r="VTK69" s="4"/>
      <c r="VTL69" s="4"/>
      <c r="VTM69" s="4"/>
      <c r="VTN69" s="4"/>
      <c r="VTO69" s="4"/>
      <c r="VTP69" s="4"/>
      <c r="VTQ69" s="4"/>
      <c r="VTR69" s="4"/>
      <c r="VTS69" s="4"/>
      <c r="VTT69" s="4"/>
      <c r="VTU69" s="4"/>
      <c r="VTV69" s="4"/>
      <c r="VTW69" s="4"/>
      <c r="VTX69" s="4"/>
      <c r="VTY69" s="4"/>
      <c r="VTZ69" s="4"/>
      <c r="VUA69" s="4"/>
      <c r="VUB69" s="4"/>
      <c r="VUC69" s="4"/>
      <c r="VUD69" s="4"/>
      <c r="VUE69" s="4"/>
      <c r="VUF69" s="4"/>
      <c r="VUG69" s="4"/>
      <c r="VUH69" s="4"/>
      <c r="VUI69" s="4"/>
      <c r="VUJ69" s="4"/>
      <c r="VUK69" s="4"/>
      <c r="VUL69" s="4"/>
      <c r="VUM69" s="4"/>
      <c r="VUN69" s="4"/>
      <c r="VUO69" s="4"/>
      <c r="VUP69" s="4"/>
      <c r="VUQ69" s="4"/>
      <c r="VUR69" s="4"/>
      <c r="VUS69" s="4"/>
      <c r="VUT69" s="4"/>
      <c r="VUU69" s="4"/>
      <c r="VUV69" s="4"/>
      <c r="VUW69" s="4"/>
      <c r="VUX69" s="4"/>
      <c r="VUY69" s="4"/>
      <c r="VUZ69" s="4"/>
      <c r="VVA69" s="4"/>
      <c r="VVB69" s="4"/>
      <c r="VVC69" s="4"/>
      <c r="VVD69" s="4"/>
      <c r="VVE69" s="4"/>
      <c r="VVF69" s="4"/>
      <c r="VVG69" s="4"/>
      <c r="VVH69" s="4"/>
      <c r="VVI69" s="4"/>
      <c r="VVJ69" s="4"/>
      <c r="VVK69" s="4"/>
      <c r="VVL69" s="4"/>
      <c r="VVM69" s="4"/>
      <c r="VVN69" s="4"/>
      <c r="VVO69" s="4"/>
      <c r="VVP69" s="4"/>
      <c r="VVQ69" s="4"/>
      <c r="VVR69" s="4"/>
      <c r="VVS69" s="4"/>
      <c r="VVT69" s="4"/>
      <c r="VVU69" s="4"/>
      <c r="VVV69" s="4"/>
      <c r="VVW69" s="4"/>
      <c r="VVX69" s="4"/>
      <c r="VVY69" s="4"/>
      <c r="VVZ69" s="4"/>
      <c r="VWA69" s="4"/>
      <c r="VWB69" s="4"/>
      <c r="VWC69" s="4"/>
      <c r="VWD69" s="4"/>
      <c r="VWE69" s="4"/>
      <c r="VWF69" s="4"/>
      <c r="VWG69" s="4"/>
      <c r="VWH69" s="4"/>
      <c r="VWI69" s="4"/>
      <c r="VWJ69" s="4"/>
      <c r="VWK69" s="4"/>
      <c r="VWL69" s="4"/>
      <c r="VWM69" s="4"/>
      <c r="VWN69" s="4"/>
      <c r="VWO69" s="4"/>
      <c r="VWP69" s="4"/>
      <c r="VWQ69" s="4"/>
      <c r="VWR69" s="4"/>
      <c r="VWS69" s="4"/>
      <c r="VWT69" s="4"/>
      <c r="VWU69" s="4"/>
      <c r="VWV69" s="4"/>
      <c r="VWW69" s="4"/>
      <c r="VWX69" s="4"/>
      <c r="VWY69" s="4"/>
      <c r="VWZ69" s="4"/>
      <c r="VXA69" s="4"/>
      <c r="VXB69" s="4"/>
      <c r="VXC69" s="4"/>
      <c r="VXD69" s="4"/>
      <c r="VXE69" s="4"/>
      <c r="VXF69" s="4"/>
      <c r="VXG69" s="4"/>
      <c r="VXH69" s="4"/>
      <c r="VXI69" s="4"/>
      <c r="VXJ69" s="4"/>
      <c r="VXK69" s="4"/>
      <c r="VXL69" s="4"/>
      <c r="VXM69" s="4"/>
      <c r="VXN69" s="4"/>
      <c r="VXO69" s="4"/>
      <c r="VXP69" s="4"/>
      <c r="VXQ69" s="4"/>
      <c r="VXR69" s="4"/>
      <c r="VXS69" s="4"/>
      <c r="VXT69" s="4"/>
      <c r="VXU69" s="4"/>
      <c r="VXV69" s="4"/>
      <c r="VXW69" s="4"/>
      <c r="VXX69" s="4"/>
      <c r="VXY69" s="4"/>
      <c r="VXZ69" s="4"/>
      <c r="VYA69" s="4"/>
      <c r="VYB69" s="4"/>
      <c r="VYC69" s="4"/>
      <c r="VYD69" s="4"/>
      <c r="VYE69" s="4"/>
      <c r="VYF69" s="4"/>
      <c r="VYG69" s="4"/>
      <c r="VYH69" s="4"/>
      <c r="VYI69" s="4"/>
      <c r="VYJ69" s="4"/>
      <c r="VYK69" s="4"/>
      <c r="VYL69" s="4"/>
      <c r="VYM69" s="4"/>
      <c r="VYN69" s="4"/>
      <c r="VYO69" s="4"/>
      <c r="VYP69" s="4"/>
      <c r="VYQ69" s="4"/>
      <c r="VYR69" s="4"/>
      <c r="VYS69" s="4"/>
      <c r="VYT69" s="4"/>
      <c r="VYU69" s="4"/>
      <c r="VYV69" s="4"/>
      <c r="VYW69" s="4"/>
      <c r="VYX69" s="4"/>
      <c r="VYY69" s="4"/>
      <c r="VYZ69" s="4"/>
      <c r="VZA69" s="4"/>
      <c r="VZB69" s="4"/>
      <c r="VZC69" s="4"/>
      <c r="VZD69" s="4"/>
      <c r="VZE69" s="4"/>
      <c r="VZF69" s="4"/>
      <c r="VZG69" s="4"/>
      <c r="VZH69" s="4"/>
      <c r="VZI69" s="4"/>
      <c r="VZJ69" s="4"/>
      <c r="VZK69" s="4"/>
      <c r="VZL69" s="4"/>
      <c r="VZM69" s="4"/>
      <c r="VZN69" s="4"/>
      <c r="VZO69" s="4"/>
      <c r="VZP69" s="4"/>
      <c r="VZQ69" s="4"/>
      <c r="VZR69" s="4"/>
      <c r="VZS69" s="4"/>
      <c r="VZT69" s="4"/>
      <c r="VZU69" s="4"/>
      <c r="VZV69" s="4"/>
      <c r="VZW69" s="4"/>
      <c r="VZX69" s="4"/>
      <c r="VZY69" s="4"/>
      <c r="VZZ69" s="4"/>
      <c r="WAA69" s="4"/>
      <c r="WAB69" s="4"/>
      <c r="WAC69" s="4"/>
      <c r="WAD69" s="4"/>
      <c r="WAE69" s="4"/>
      <c r="WAF69" s="4"/>
      <c r="WAG69" s="4"/>
      <c r="WAH69" s="4"/>
      <c r="WAI69" s="4"/>
      <c r="WAJ69" s="4"/>
      <c r="WAK69" s="4"/>
      <c r="WAL69" s="4"/>
      <c r="WAM69" s="4"/>
      <c r="WAN69" s="4"/>
      <c r="WAO69" s="4"/>
      <c r="WAP69" s="4"/>
      <c r="WAQ69" s="4"/>
      <c r="WAR69" s="4"/>
      <c r="WAS69" s="4"/>
      <c r="WAT69" s="4"/>
      <c r="WAU69" s="4"/>
      <c r="WAV69" s="4"/>
      <c r="WAW69" s="4"/>
      <c r="WAX69" s="4"/>
      <c r="WAY69" s="4"/>
      <c r="WAZ69" s="4"/>
      <c r="WBA69" s="4"/>
      <c r="WBB69" s="4"/>
      <c r="WBC69" s="4"/>
      <c r="WBD69" s="4"/>
      <c r="WBE69" s="4"/>
      <c r="WBF69" s="4"/>
      <c r="WBG69" s="4"/>
      <c r="WBH69" s="4"/>
      <c r="WBI69" s="4"/>
      <c r="WBJ69" s="4"/>
      <c r="WBK69" s="4"/>
      <c r="WBL69" s="4"/>
      <c r="WBM69" s="4"/>
      <c r="WBN69" s="4"/>
      <c r="WBO69" s="4"/>
      <c r="WBP69" s="4"/>
      <c r="WBQ69" s="4"/>
      <c r="WBR69" s="4"/>
      <c r="WBS69" s="4"/>
      <c r="WBT69" s="4"/>
      <c r="WBU69" s="4"/>
      <c r="WBV69" s="4"/>
      <c r="WBW69" s="4"/>
      <c r="WBX69" s="4"/>
      <c r="WBY69" s="4"/>
      <c r="WBZ69" s="4"/>
      <c r="WCA69" s="4"/>
      <c r="WCB69" s="4"/>
      <c r="WCC69" s="4"/>
      <c r="WCD69" s="4"/>
      <c r="WCE69" s="4"/>
      <c r="WCF69" s="4"/>
      <c r="WCG69" s="4"/>
      <c r="WCH69" s="4"/>
      <c r="WCI69" s="4"/>
      <c r="WCJ69" s="4"/>
      <c r="WCK69" s="4"/>
      <c r="WCL69" s="4"/>
      <c r="WCM69" s="4"/>
      <c r="WCN69" s="4"/>
      <c r="WCO69" s="4"/>
      <c r="WCP69" s="4"/>
      <c r="WCQ69" s="4"/>
      <c r="WCR69" s="4"/>
      <c r="WCS69" s="4"/>
      <c r="WCT69" s="4"/>
      <c r="WCU69" s="4"/>
      <c r="WCV69" s="4"/>
      <c r="WCW69" s="4"/>
      <c r="WCX69" s="4"/>
      <c r="WCY69" s="4"/>
      <c r="WCZ69" s="4"/>
      <c r="WDA69" s="4"/>
      <c r="WDB69" s="4"/>
      <c r="WDC69" s="4"/>
      <c r="WDD69" s="4"/>
      <c r="WDE69" s="4"/>
      <c r="WDF69" s="4"/>
      <c r="WDG69" s="4"/>
      <c r="WDH69" s="4"/>
      <c r="WDI69" s="4"/>
      <c r="WDJ69" s="4"/>
      <c r="WDK69" s="4"/>
      <c r="WDL69" s="4"/>
      <c r="WDM69" s="4"/>
      <c r="WDN69" s="4"/>
      <c r="WDO69" s="4"/>
      <c r="WDP69" s="4"/>
      <c r="WDQ69" s="4"/>
      <c r="WDR69" s="4"/>
      <c r="WDS69" s="4"/>
      <c r="WDT69" s="4"/>
      <c r="WDU69" s="4"/>
      <c r="WDV69" s="4"/>
      <c r="WDW69" s="4"/>
      <c r="WDX69" s="4"/>
      <c r="WDY69" s="4"/>
      <c r="WDZ69" s="4"/>
      <c r="WEA69" s="4"/>
      <c r="WEB69" s="4"/>
      <c r="WEC69" s="4"/>
      <c r="WED69" s="4"/>
      <c r="WEE69" s="4"/>
      <c r="WEF69" s="4"/>
      <c r="WEG69" s="4"/>
      <c r="WEH69" s="4"/>
      <c r="WEI69" s="4"/>
      <c r="WEJ69" s="4"/>
      <c r="WEK69" s="4"/>
      <c r="WEL69" s="4"/>
      <c r="WEM69" s="4"/>
      <c r="WEN69" s="4"/>
      <c r="WEO69" s="4"/>
      <c r="WEP69" s="4"/>
      <c r="WEQ69" s="4"/>
      <c r="WER69" s="4"/>
      <c r="WES69" s="4"/>
      <c r="WET69" s="4"/>
      <c r="WEU69" s="4"/>
      <c r="WEV69" s="4"/>
      <c r="WEW69" s="4"/>
      <c r="WEX69" s="4"/>
      <c r="WEY69" s="4"/>
      <c r="WEZ69" s="4"/>
      <c r="WFA69" s="4"/>
      <c r="WFB69" s="4"/>
      <c r="WFC69" s="4"/>
      <c r="WFD69" s="4"/>
      <c r="WFE69" s="4"/>
      <c r="WFF69" s="4"/>
      <c r="WFG69" s="4"/>
      <c r="WFH69" s="4"/>
      <c r="WFI69" s="4"/>
      <c r="WFJ69" s="4"/>
      <c r="WFK69" s="4"/>
      <c r="WFL69" s="4"/>
      <c r="WFM69" s="4"/>
      <c r="WFN69" s="4"/>
      <c r="WFO69" s="4"/>
      <c r="WFP69" s="4"/>
      <c r="WFQ69" s="4"/>
      <c r="WFR69" s="4"/>
      <c r="WFS69" s="4"/>
      <c r="WFT69" s="4"/>
      <c r="WFU69" s="4"/>
      <c r="WFV69" s="4"/>
      <c r="WFW69" s="4"/>
      <c r="WFX69" s="4"/>
      <c r="WFY69" s="4"/>
      <c r="WFZ69" s="4"/>
      <c r="WGA69" s="4"/>
      <c r="WGB69" s="4"/>
      <c r="WGC69" s="4"/>
      <c r="WGD69" s="4"/>
      <c r="WGE69" s="4"/>
      <c r="WGF69" s="4"/>
      <c r="WGG69" s="4"/>
      <c r="WGH69" s="4"/>
      <c r="WGI69" s="4"/>
      <c r="WGJ69" s="4"/>
      <c r="WGK69" s="4"/>
      <c r="WGL69" s="4"/>
      <c r="WGM69" s="4"/>
      <c r="WGN69" s="4"/>
      <c r="WGO69" s="4"/>
      <c r="WGP69" s="4"/>
      <c r="WGQ69" s="4"/>
      <c r="WGR69" s="4"/>
      <c r="WGS69" s="4"/>
      <c r="WGT69" s="4"/>
      <c r="WGU69" s="4"/>
      <c r="WGV69" s="4"/>
      <c r="WGW69" s="4"/>
      <c r="WGX69" s="4"/>
      <c r="WGY69" s="4"/>
      <c r="WGZ69" s="4"/>
      <c r="WHA69" s="4"/>
      <c r="WHB69" s="4"/>
      <c r="WHC69" s="4"/>
      <c r="WHD69" s="4"/>
      <c r="WHE69" s="4"/>
      <c r="WHF69" s="4"/>
      <c r="WHG69" s="4"/>
      <c r="WHH69" s="4"/>
      <c r="WHI69" s="4"/>
      <c r="WHJ69" s="4"/>
      <c r="WHK69" s="4"/>
      <c r="WHL69" s="4"/>
      <c r="WHM69" s="4"/>
      <c r="WHN69" s="4"/>
      <c r="WHO69" s="4"/>
      <c r="WHP69" s="4"/>
      <c r="WHQ69" s="4"/>
      <c r="WHR69" s="4"/>
      <c r="WHS69" s="4"/>
      <c r="WHT69" s="4"/>
      <c r="WHU69" s="4"/>
      <c r="WHV69" s="4"/>
      <c r="WHW69" s="4"/>
      <c r="WHX69" s="4"/>
      <c r="WHY69" s="4"/>
      <c r="WHZ69" s="4"/>
      <c r="WIA69" s="4"/>
      <c r="WIB69" s="4"/>
      <c r="WIC69" s="4"/>
      <c r="WID69" s="4"/>
      <c r="WIE69" s="4"/>
      <c r="WIF69" s="4"/>
      <c r="WIG69" s="4"/>
      <c r="WIH69" s="4"/>
      <c r="WII69" s="4"/>
      <c r="WIJ69" s="4"/>
      <c r="WIK69" s="4"/>
      <c r="WIL69" s="4"/>
      <c r="WIM69" s="4"/>
      <c r="WIN69" s="4"/>
      <c r="WIO69" s="4"/>
      <c r="WIP69" s="4"/>
      <c r="WIQ69" s="4"/>
      <c r="WIR69" s="4"/>
      <c r="WIS69" s="4"/>
      <c r="WIT69" s="4"/>
      <c r="WIU69" s="4"/>
      <c r="WIV69" s="4"/>
      <c r="WIW69" s="4"/>
      <c r="WIX69" s="4"/>
      <c r="WIY69" s="4"/>
      <c r="WIZ69" s="4"/>
      <c r="WJA69" s="4"/>
      <c r="WJB69" s="4"/>
      <c r="WJC69" s="4"/>
      <c r="WJD69" s="4"/>
      <c r="WJE69" s="4"/>
      <c r="WJF69" s="4"/>
      <c r="WJG69" s="4"/>
      <c r="WJH69" s="4"/>
      <c r="WJI69" s="4"/>
      <c r="WJJ69" s="4"/>
      <c r="WJK69" s="4"/>
      <c r="WJL69" s="4"/>
      <c r="WJM69" s="4"/>
      <c r="WJN69" s="4"/>
      <c r="WJO69" s="4"/>
      <c r="WJP69" s="4"/>
      <c r="WJQ69" s="4"/>
      <c r="WJR69" s="4"/>
      <c r="WJS69" s="4"/>
      <c r="WJT69" s="4"/>
      <c r="WJU69" s="4"/>
      <c r="WJV69" s="4"/>
      <c r="WJW69" s="4"/>
      <c r="WJX69" s="4"/>
      <c r="WJY69" s="4"/>
      <c r="WJZ69" s="4"/>
      <c r="WKA69" s="4"/>
      <c r="WKB69" s="4"/>
      <c r="WKC69" s="4"/>
      <c r="WKD69" s="4"/>
      <c r="WKE69" s="4"/>
      <c r="WKF69" s="4"/>
      <c r="WKG69" s="4"/>
      <c r="WKH69" s="4"/>
      <c r="WKI69" s="4"/>
      <c r="WKJ69" s="4"/>
      <c r="WKK69" s="4"/>
      <c r="WKL69" s="4"/>
      <c r="WKM69" s="4"/>
      <c r="WKN69" s="4"/>
      <c r="WKO69" s="4"/>
      <c r="WKP69" s="4"/>
      <c r="WKQ69" s="4"/>
      <c r="WKR69" s="4"/>
      <c r="WKS69" s="4"/>
      <c r="WKT69" s="4"/>
      <c r="WKU69" s="4"/>
      <c r="WKV69" s="4"/>
      <c r="WKW69" s="4"/>
      <c r="WKX69" s="4"/>
      <c r="WKY69" s="4"/>
      <c r="WKZ69" s="4"/>
      <c r="WLA69" s="4"/>
      <c r="WLB69" s="4"/>
      <c r="WLC69" s="4"/>
      <c r="WLD69" s="4"/>
      <c r="WLE69" s="4"/>
      <c r="WLF69" s="4"/>
      <c r="WLG69" s="4"/>
      <c r="WLH69" s="4"/>
      <c r="WLI69" s="4"/>
      <c r="WLJ69" s="4"/>
      <c r="WLK69" s="4"/>
      <c r="WLL69" s="4"/>
      <c r="WLM69" s="4"/>
      <c r="WLN69" s="4"/>
      <c r="WLO69" s="4"/>
      <c r="WLP69" s="4"/>
      <c r="WLQ69" s="4"/>
      <c r="WLR69" s="4"/>
      <c r="WLS69" s="4"/>
      <c r="WLT69" s="4"/>
      <c r="WLU69" s="4"/>
      <c r="WLV69" s="4"/>
      <c r="WLW69" s="4"/>
      <c r="WLX69" s="4"/>
      <c r="WLY69" s="4"/>
      <c r="WLZ69" s="4"/>
      <c r="WMA69" s="4"/>
      <c r="WMB69" s="4"/>
      <c r="WMC69" s="4"/>
      <c r="WMD69" s="4"/>
      <c r="WME69" s="4"/>
      <c r="WMF69" s="4"/>
      <c r="WMG69" s="4"/>
      <c r="WMH69" s="4"/>
      <c r="WMI69" s="4"/>
      <c r="WMJ69" s="4"/>
      <c r="WMK69" s="4"/>
      <c r="WML69" s="4"/>
      <c r="WMM69" s="4"/>
      <c r="WMN69" s="4"/>
      <c r="WMO69" s="4"/>
      <c r="WMP69" s="4"/>
      <c r="WMQ69" s="4"/>
      <c r="WMR69" s="4"/>
      <c r="WMS69" s="4"/>
      <c r="WMT69" s="4"/>
      <c r="WMU69" s="4"/>
      <c r="WMV69" s="4"/>
      <c r="WMW69" s="4"/>
      <c r="WMX69" s="4"/>
      <c r="WMY69" s="4"/>
      <c r="WMZ69" s="4"/>
      <c r="WNA69" s="4"/>
      <c r="WNB69" s="4"/>
      <c r="WNC69" s="4"/>
      <c r="WND69" s="4"/>
      <c r="WNE69" s="4"/>
      <c r="WNF69" s="4"/>
      <c r="WNG69" s="4"/>
      <c r="WNH69" s="4"/>
      <c r="WNI69" s="4"/>
      <c r="WNJ69" s="4"/>
      <c r="WNK69" s="4"/>
      <c r="WNL69" s="4"/>
      <c r="WNM69" s="4"/>
      <c r="WNN69" s="4"/>
      <c r="WNO69" s="4"/>
      <c r="WNP69" s="4"/>
      <c r="WNQ69" s="4"/>
      <c r="WNR69" s="4"/>
      <c r="WNS69" s="4"/>
      <c r="WNT69" s="4"/>
      <c r="WNU69" s="4"/>
      <c r="WNV69" s="4"/>
      <c r="WNW69" s="4"/>
      <c r="WNX69" s="4"/>
      <c r="WNY69" s="4"/>
      <c r="WNZ69" s="4"/>
      <c r="WOA69" s="4"/>
      <c r="WOB69" s="4"/>
      <c r="WOC69" s="4"/>
      <c r="WOD69" s="4"/>
      <c r="WOE69" s="4"/>
      <c r="WOF69" s="4"/>
      <c r="WOG69" s="4"/>
      <c r="WOH69" s="4"/>
      <c r="WOI69" s="4"/>
      <c r="WOJ69" s="4"/>
      <c r="WOK69" s="4"/>
      <c r="WOL69" s="4"/>
      <c r="WOM69" s="4"/>
      <c r="WON69" s="4"/>
      <c r="WOO69" s="4"/>
      <c r="WOP69" s="4"/>
      <c r="WOQ69" s="4"/>
      <c r="WOR69" s="4"/>
      <c r="WOS69" s="4"/>
      <c r="WOT69" s="4"/>
      <c r="WOU69" s="4"/>
      <c r="WOV69" s="4"/>
      <c r="WOW69" s="4"/>
      <c r="WOX69" s="4"/>
      <c r="WOY69" s="4"/>
      <c r="WOZ69" s="4"/>
      <c r="WPA69" s="4"/>
      <c r="WPB69" s="4"/>
      <c r="WPC69" s="4"/>
      <c r="WPD69" s="4"/>
      <c r="WPE69" s="4"/>
      <c r="WPF69" s="4"/>
      <c r="WPG69" s="4"/>
      <c r="WPH69" s="4"/>
      <c r="WPI69" s="4"/>
      <c r="WPJ69" s="4"/>
      <c r="WPK69" s="4"/>
      <c r="WPL69" s="4"/>
      <c r="WPM69" s="4"/>
      <c r="WPN69" s="4"/>
      <c r="WPO69" s="4"/>
      <c r="WPP69" s="4"/>
      <c r="WPQ69" s="4"/>
      <c r="WPR69" s="4"/>
      <c r="WPS69" s="4"/>
      <c r="WPT69" s="4"/>
      <c r="WPU69" s="4"/>
      <c r="WPV69" s="4"/>
      <c r="WPW69" s="4"/>
      <c r="WPX69" s="4"/>
      <c r="WPY69" s="4"/>
      <c r="WPZ69" s="4"/>
      <c r="WQA69" s="4"/>
      <c r="WQB69" s="4"/>
      <c r="WQC69" s="4"/>
      <c r="WQD69" s="4"/>
      <c r="WQE69" s="4"/>
      <c r="WQF69" s="4"/>
      <c r="WQG69" s="4"/>
      <c r="WQH69" s="4"/>
      <c r="WQI69" s="4"/>
      <c r="WQJ69" s="4"/>
      <c r="WQK69" s="4"/>
      <c r="WQL69" s="4"/>
      <c r="WQM69" s="4"/>
      <c r="WQN69" s="4"/>
      <c r="WQO69" s="4"/>
      <c r="WQP69" s="4"/>
      <c r="WQQ69" s="4"/>
      <c r="WQR69" s="4"/>
      <c r="WQS69" s="4"/>
      <c r="WQT69" s="4"/>
      <c r="WQU69" s="4"/>
      <c r="WQV69" s="4"/>
      <c r="WQW69" s="4"/>
      <c r="WQX69" s="4"/>
      <c r="WQY69" s="4"/>
      <c r="WQZ69" s="4"/>
      <c r="WRA69" s="4"/>
      <c r="WRB69" s="4"/>
      <c r="WRC69" s="4"/>
      <c r="WRD69" s="4"/>
      <c r="WRE69" s="4"/>
      <c r="WRF69" s="4"/>
      <c r="WRG69" s="4"/>
      <c r="WRH69" s="4"/>
      <c r="WRI69" s="4"/>
      <c r="WRJ69" s="4"/>
      <c r="WRK69" s="4"/>
      <c r="WRL69" s="4"/>
      <c r="WRM69" s="4"/>
      <c r="WRN69" s="4"/>
      <c r="WRO69" s="4"/>
      <c r="WRP69" s="4"/>
      <c r="WRQ69" s="4"/>
      <c r="WRR69" s="4"/>
      <c r="WRS69" s="4"/>
      <c r="WRT69" s="4"/>
      <c r="WRU69" s="4"/>
      <c r="WRV69" s="4"/>
      <c r="WRW69" s="4"/>
      <c r="WRX69" s="4"/>
      <c r="WRY69" s="4"/>
      <c r="WRZ69" s="4"/>
      <c r="WSA69" s="4"/>
      <c r="WSB69" s="4"/>
      <c r="WSC69" s="4"/>
      <c r="WSD69" s="4"/>
      <c r="WSE69" s="4"/>
      <c r="WSF69" s="4"/>
      <c r="WSG69" s="4"/>
      <c r="WSH69" s="4"/>
      <c r="WSI69" s="4"/>
      <c r="WSJ69" s="4"/>
      <c r="WSK69" s="4"/>
      <c r="WSL69" s="4"/>
      <c r="WSM69" s="4"/>
      <c r="WSN69" s="4"/>
      <c r="WSO69" s="4"/>
      <c r="WSP69" s="4"/>
      <c r="WSQ69" s="4"/>
      <c r="WSR69" s="4"/>
      <c r="WSS69" s="4"/>
      <c r="WST69" s="4"/>
      <c r="WSU69" s="4"/>
      <c r="WSV69" s="4"/>
      <c r="WSW69" s="4"/>
      <c r="WSX69" s="4"/>
      <c r="WSY69" s="4"/>
      <c r="WSZ69" s="4"/>
      <c r="WTA69" s="4"/>
      <c r="WTB69" s="4"/>
      <c r="WTC69" s="4"/>
      <c r="WTD69" s="4"/>
      <c r="WTE69" s="4"/>
      <c r="WTF69" s="4"/>
      <c r="WTG69" s="4"/>
      <c r="WTH69" s="4"/>
      <c r="WTI69" s="4"/>
      <c r="WTJ69" s="4"/>
      <c r="WTK69" s="4"/>
      <c r="WTL69" s="4"/>
      <c r="WTM69" s="4"/>
      <c r="WTN69" s="4"/>
      <c r="WTO69" s="4"/>
      <c r="WTP69" s="4"/>
      <c r="WTQ69" s="4"/>
      <c r="WTR69" s="4"/>
      <c r="WTS69" s="4"/>
      <c r="WTT69" s="4"/>
      <c r="WTU69" s="4"/>
      <c r="WTV69" s="4"/>
      <c r="WTW69" s="4"/>
      <c r="WTX69" s="4"/>
      <c r="WTY69" s="4"/>
      <c r="WTZ69" s="4"/>
      <c r="WUA69" s="4"/>
      <c r="WUB69" s="4"/>
      <c r="WUC69" s="4"/>
      <c r="WUD69" s="4"/>
      <c r="WUE69" s="4"/>
      <c r="WUF69" s="4"/>
      <c r="WUG69" s="4"/>
      <c r="WUH69" s="4"/>
      <c r="WUI69" s="4"/>
      <c r="WUJ69" s="4"/>
      <c r="WUK69" s="4"/>
      <c r="WUL69" s="4"/>
      <c r="WUM69" s="4"/>
      <c r="WUN69" s="4"/>
      <c r="WUO69" s="4"/>
      <c r="WUP69" s="4"/>
      <c r="WUQ69" s="4"/>
      <c r="WUR69" s="4"/>
      <c r="WUS69" s="4"/>
      <c r="WUT69" s="4"/>
      <c r="WUU69" s="4"/>
      <c r="WUV69" s="4"/>
      <c r="WUW69" s="4"/>
      <c r="WUX69" s="4"/>
      <c r="WUY69" s="4"/>
      <c r="WUZ69" s="4"/>
      <c r="WVA69" s="4"/>
      <c r="WVB69" s="4"/>
      <c r="WVC69" s="4"/>
      <c r="WVD69" s="4"/>
      <c r="WVE69" s="4"/>
      <c r="WVF69" s="4"/>
      <c r="WVG69" s="4"/>
      <c r="WVH69" s="4"/>
      <c r="WVI69" s="4"/>
      <c r="WVJ69" s="4"/>
      <c r="WVK69" s="4"/>
      <c r="WVL69" s="4"/>
      <c r="WVM69" s="4"/>
      <c r="WVN69" s="4"/>
      <c r="WVO69" s="4"/>
      <c r="WVP69" s="4"/>
      <c r="WVQ69" s="4"/>
      <c r="WVR69" s="4"/>
      <c r="WVS69" s="4"/>
      <c r="WVT69" s="4"/>
      <c r="WVU69" s="4"/>
      <c r="WVV69" s="4"/>
      <c r="WVW69" s="4"/>
      <c r="WVX69" s="4"/>
      <c r="WVY69" s="4"/>
      <c r="WVZ69" s="4"/>
      <c r="WWA69" s="4"/>
      <c r="WWB69" s="4"/>
      <c r="WWC69" s="4"/>
      <c r="WWD69" s="4"/>
      <c r="WWE69" s="4"/>
      <c r="WWF69" s="4"/>
      <c r="WWG69" s="4"/>
      <c r="WWH69" s="4"/>
      <c r="WWI69" s="4"/>
      <c r="WWJ69" s="4"/>
      <c r="WWK69" s="4"/>
      <c r="WWL69" s="4"/>
      <c r="WWM69" s="4"/>
      <c r="WWN69" s="4"/>
      <c r="WWO69" s="4"/>
      <c r="WWP69" s="4"/>
      <c r="WWQ69" s="4"/>
      <c r="WWR69" s="4"/>
      <c r="WWS69" s="4"/>
      <c r="WWT69" s="4"/>
      <c r="WWU69" s="4"/>
      <c r="WWV69" s="4"/>
      <c r="WWW69" s="4"/>
      <c r="WWX69" s="4"/>
      <c r="WWY69" s="4"/>
      <c r="WWZ69" s="4"/>
      <c r="WXA69" s="4"/>
      <c r="WXB69" s="4"/>
      <c r="WXC69" s="4"/>
      <c r="WXD69" s="4"/>
      <c r="WXE69" s="4"/>
      <c r="WXF69" s="4"/>
      <c r="WXG69" s="4"/>
      <c r="WXH69" s="4"/>
      <c r="WXI69" s="4"/>
      <c r="WXJ69" s="4"/>
      <c r="WXK69" s="4"/>
      <c r="WXL69" s="4"/>
      <c r="WXM69" s="4"/>
      <c r="WXN69" s="4"/>
      <c r="WXO69" s="4"/>
      <c r="WXP69" s="4"/>
      <c r="WXQ69" s="4"/>
      <c r="WXR69" s="4"/>
      <c r="WXS69" s="4"/>
      <c r="WXT69" s="4"/>
      <c r="WXU69" s="4"/>
      <c r="WXV69" s="4"/>
      <c r="WXW69" s="4"/>
      <c r="WXX69" s="4"/>
      <c r="WXY69" s="4"/>
      <c r="WXZ69" s="4"/>
      <c r="WYA69" s="4"/>
      <c r="WYB69" s="4"/>
      <c r="WYC69" s="4"/>
      <c r="WYD69" s="4"/>
      <c r="WYE69" s="4"/>
      <c r="WYF69" s="4"/>
      <c r="WYG69" s="4"/>
      <c r="WYH69" s="4"/>
      <c r="WYI69" s="4"/>
      <c r="WYJ69" s="4"/>
      <c r="WYK69" s="4"/>
      <c r="WYL69" s="4"/>
      <c r="WYM69" s="4"/>
      <c r="WYN69" s="4"/>
      <c r="WYO69" s="4"/>
      <c r="WYP69" s="4"/>
      <c r="WYQ69" s="4"/>
      <c r="WYR69" s="4"/>
      <c r="WYS69" s="4"/>
      <c r="WYT69" s="4"/>
      <c r="WYU69" s="4"/>
      <c r="WYV69" s="4"/>
      <c r="WYW69" s="4"/>
      <c r="WYX69" s="4"/>
      <c r="WYY69" s="4"/>
      <c r="WYZ69" s="4"/>
      <c r="WZA69" s="4"/>
      <c r="WZB69" s="4"/>
      <c r="WZC69" s="4"/>
      <c r="WZD69" s="4"/>
      <c r="WZE69" s="4"/>
      <c r="WZF69" s="4"/>
      <c r="WZG69" s="4"/>
      <c r="WZH69" s="4"/>
      <c r="WZI69" s="4"/>
      <c r="WZJ69" s="4"/>
      <c r="WZK69" s="4"/>
      <c r="WZL69" s="4"/>
      <c r="WZM69" s="4"/>
      <c r="WZN69" s="4"/>
      <c r="WZO69" s="4"/>
      <c r="WZP69" s="4"/>
      <c r="WZQ69" s="4"/>
      <c r="WZR69" s="4"/>
      <c r="WZS69" s="4"/>
      <c r="WZT69" s="4"/>
      <c r="WZU69" s="4"/>
      <c r="WZV69" s="4"/>
      <c r="WZW69" s="4"/>
      <c r="WZX69" s="4"/>
      <c r="WZY69" s="4"/>
      <c r="WZZ69" s="4"/>
      <c r="XAA69" s="4"/>
      <c r="XAB69" s="4"/>
      <c r="XAC69" s="4"/>
      <c r="XAD69" s="4"/>
      <c r="XAE69" s="4"/>
      <c r="XAF69" s="4"/>
      <c r="XAG69" s="4"/>
      <c r="XAH69" s="4"/>
      <c r="XAI69" s="4"/>
      <c r="XAJ69" s="4"/>
      <c r="XAK69" s="4"/>
      <c r="XAL69" s="4"/>
      <c r="XAM69" s="4"/>
      <c r="XAN69" s="4"/>
      <c r="XAO69" s="4"/>
      <c r="XAP69" s="4"/>
      <c r="XAQ69" s="4"/>
      <c r="XAR69" s="4"/>
      <c r="XAS69" s="4"/>
      <c r="XAT69" s="4"/>
      <c r="XAU69" s="4"/>
      <c r="XAV69" s="4"/>
      <c r="XAW69" s="4"/>
      <c r="XAX69" s="4"/>
      <c r="XAY69" s="4"/>
      <c r="XAZ69" s="4"/>
      <c r="XBA69" s="4"/>
      <c r="XBB69" s="4"/>
      <c r="XBC69" s="4"/>
      <c r="XBD69" s="4"/>
      <c r="XBE69" s="4"/>
      <c r="XBF69" s="4"/>
      <c r="XBG69" s="4"/>
      <c r="XBH69" s="4"/>
      <c r="XBI69" s="4"/>
      <c r="XBJ69" s="4"/>
      <c r="XBK69" s="4"/>
      <c r="XBL69" s="4"/>
      <c r="XBM69" s="4"/>
      <c r="XBN69" s="4"/>
      <c r="XBO69" s="4"/>
      <c r="XBP69" s="4"/>
      <c r="XBQ69" s="4"/>
      <c r="XBR69" s="4"/>
      <c r="XBS69" s="4"/>
      <c r="XBT69" s="4"/>
      <c r="XBU69" s="4"/>
      <c r="XBV69" s="4"/>
      <c r="XBW69" s="4"/>
      <c r="XBX69" s="4"/>
      <c r="XBY69" s="4"/>
      <c r="XBZ69" s="4"/>
      <c r="XCA69" s="4"/>
      <c r="XCB69" s="4"/>
      <c r="XCC69" s="4"/>
      <c r="XCD69" s="4"/>
      <c r="XCE69" s="4"/>
      <c r="XCF69" s="4"/>
      <c r="XCG69" s="4"/>
      <c r="XCH69" s="4"/>
      <c r="XCI69" s="4"/>
      <c r="XCJ69" s="4"/>
      <c r="XCK69" s="4"/>
      <c r="XCL69" s="4"/>
      <c r="XCM69" s="4"/>
      <c r="XCN69" s="4"/>
      <c r="XCO69" s="4"/>
      <c r="XCP69" s="4"/>
      <c r="XCQ69" s="4"/>
      <c r="XCR69" s="4"/>
      <c r="XCS69" s="4"/>
      <c r="XCT69" s="4"/>
      <c r="XCU69" s="4"/>
      <c r="XCV69" s="4"/>
      <c r="XCW69" s="4"/>
      <c r="XCX69" s="4"/>
      <c r="XCY69" s="4"/>
      <c r="XCZ69" s="4"/>
      <c r="XDA69" s="4"/>
      <c r="XDB69" s="4"/>
      <c r="XDC69" s="4"/>
      <c r="XDD69" s="4"/>
      <c r="XDE69" s="4"/>
      <c r="XDF69" s="4"/>
      <c r="XDG69" s="4"/>
      <c r="XDH69" s="4"/>
      <c r="XDI69" s="4"/>
      <c r="XDJ69" s="4"/>
      <c r="XDK69" s="4"/>
      <c r="XDL69" s="4"/>
      <c r="XDM69" s="4"/>
      <c r="XDN69" s="4"/>
      <c r="XDO69" s="4"/>
      <c r="XDP69" s="4"/>
      <c r="XDQ69" s="4"/>
      <c r="XDR69" s="4"/>
      <c r="XDS69" s="4"/>
      <c r="XDT69" s="4"/>
      <c r="XDU69" s="4"/>
      <c r="XDV69" s="4"/>
      <c r="XDW69" s="4"/>
      <c r="XDX69" s="4"/>
      <c r="XDY69" s="4"/>
      <c r="XDZ69" s="4"/>
      <c r="XEA69" s="4"/>
      <c r="XEB69" s="4"/>
      <c r="XEC69" s="4"/>
      <c r="XED69" s="4"/>
      <c r="XEE69" s="4"/>
      <c r="XEF69" s="4"/>
      <c r="XEG69" s="4"/>
      <c r="XEH69" s="4"/>
      <c r="XEI69" s="4"/>
      <c r="XEJ69" s="4"/>
      <c r="XEK69" s="4"/>
      <c r="XEL69" s="4"/>
      <c r="XEM69" s="4"/>
      <c r="XEN69" s="4"/>
      <c r="XEO69" s="4"/>
      <c r="XEP69" s="4"/>
      <c r="XEQ69" s="4"/>
      <c r="XER69" s="4"/>
      <c r="XES69" s="4"/>
      <c r="XET69" s="4"/>
      <c r="XEU69" s="4"/>
      <c r="XEV69" s="4"/>
      <c r="XEW69" s="4"/>
      <c r="XEX69" s="4"/>
      <c r="XEY69" s="4"/>
      <c r="XEZ69" s="4"/>
      <c r="XFA69" s="4"/>
      <c r="XFB69" s="4"/>
    </row>
    <row r="70" spans="1:16384" s="41" customFormat="1" x14ac:dyDescent="0.35">
      <c r="A70" s="88" t="s">
        <v>361</v>
      </c>
      <c r="B70" s="101" t="s">
        <v>0</v>
      </c>
      <c r="C70" s="101"/>
      <c r="D70" s="14"/>
      <c r="E70" s="14"/>
      <c r="F70" s="14" t="s">
        <v>80</v>
      </c>
      <c r="G70" s="14" t="s">
        <v>5</v>
      </c>
      <c r="H70" s="40" t="s">
        <v>116</v>
      </c>
      <c r="I70" s="40" t="s">
        <v>116</v>
      </c>
      <c r="J70" s="40" t="s">
        <v>11</v>
      </c>
      <c r="L70" s="42"/>
      <c r="M70" s="43"/>
      <c r="N70" s="42">
        <v>1</v>
      </c>
      <c r="O70" s="44">
        <v>3750</v>
      </c>
      <c r="P70" s="44">
        <f>+O70*N70</f>
        <v>3750</v>
      </c>
      <c r="Q70" s="44"/>
      <c r="R70" s="43"/>
      <c r="T70" s="43">
        <f>+P70+Q70+R70+S70</f>
        <v>3750</v>
      </c>
      <c r="U70" s="10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  <c r="AMK70" s="4"/>
      <c r="AML70" s="4"/>
      <c r="AMM70" s="4"/>
      <c r="AMN70" s="4"/>
      <c r="AMO70" s="4"/>
      <c r="AMP70" s="4"/>
      <c r="AMQ70" s="4"/>
      <c r="AMR70" s="4"/>
      <c r="AMS70" s="4"/>
      <c r="AMT70" s="4"/>
      <c r="AMU70" s="4"/>
      <c r="AMV70" s="4"/>
      <c r="AMW70" s="4"/>
      <c r="AMX70" s="4"/>
      <c r="AMY70" s="4"/>
      <c r="AMZ70" s="4"/>
      <c r="ANA70" s="4"/>
      <c r="ANB70" s="4"/>
      <c r="ANC70" s="4"/>
      <c r="AND70" s="4"/>
      <c r="ANE70" s="4"/>
      <c r="ANF70" s="4"/>
      <c r="ANG70" s="4"/>
      <c r="ANH70" s="4"/>
      <c r="ANI70" s="4"/>
      <c r="ANJ70" s="4"/>
      <c r="ANK70" s="4"/>
      <c r="ANL70" s="4"/>
      <c r="ANM70" s="4"/>
      <c r="ANN70" s="4"/>
      <c r="ANO70" s="4"/>
      <c r="ANP70" s="4"/>
      <c r="ANQ70" s="4"/>
      <c r="ANR70" s="4"/>
      <c r="ANS70" s="4"/>
      <c r="ANT70" s="4"/>
      <c r="ANU70" s="4"/>
      <c r="ANV70" s="4"/>
      <c r="ANW70" s="4"/>
      <c r="ANX70" s="4"/>
      <c r="ANY70" s="4"/>
      <c r="ANZ70" s="4"/>
      <c r="AOA70" s="4"/>
      <c r="AOB70" s="4"/>
      <c r="AOC70" s="4"/>
      <c r="AOD70" s="4"/>
      <c r="AOE70" s="4"/>
      <c r="AOF70" s="4"/>
      <c r="AOG70" s="4"/>
      <c r="AOH70" s="4"/>
      <c r="AOI70" s="4"/>
      <c r="AOJ70" s="4"/>
      <c r="AOK70" s="4"/>
      <c r="AOL70" s="4"/>
      <c r="AOM70" s="4"/>
      <c r="AON70" s="4"/>
      <c r="AOO70" s="4"/>
      <c r="AOP70" s="4"/>
      <c r="AOQ70" s="4"/>
      <c r="AOR70" s="4"/>
      <c r="AOS70" s="4"/>
      <c r="AOT70" s="4"/>
      <c r="AOU70" s="4"/>
      <c r="AOV70" s="4"/>
      <c r="AOW70" s="4"/>
      <c r="AOX70" s="4"/>
      <c r="AOY70" s="4"/>
      <c r="AOZ70" s="4"/>
      <c r="APA70" s="4"/>
      <c r="APB70" s="4"/>
      <c r="APC70" s="4"/>
      <c r="APD70" s="4"/>
      <c r="APE70" s="4"/>
      <c r="APF70" s="4"/>
      <c r="APG70" s="4"/>
      <c r="APH70" s="4"/>
      <c r="API70" s="4"/>
      <c r="APJ70" s="4"/>
      <c r="APK70" s="4"/>
      <c r="APL70" s="4"/>
      <c r="APM70" s="4"/>
      <c r="APN70" s="4"/>
      <c r="APO70" s="4"/>
      <c r="APP70" s="4"/>
      <c r="APQ70" s="4"/>
      <c r="APR70" s="4"/>
      <c r="APS70" s="4"/>
      <c r="APT70" s="4"/>
      <c r="APU70" s="4"/>
      <c r="APV70" s="4"/>
      <c r="APW70" s="4"/>
      <c r="APX70" s="4"/>
      <c r="APY70" s="4"/>
      <c r="APZ70" s="4"/>
      <c r="AQA70" s="4"/>
      <c r="AQB70" s="4"/>
      <c r="AQC70" s="4"/>
      <c r="AQD70" s="4"/>
      <c r="AQE70" s="4"/>
      <c r="AQF70" s="4"/>
      <c r="AQG70" s="4"/>
      <c r="AQH70" s="4"/>
      <c r="AQI70" s="4"/>
      <c r="AQJ70" s="4"/>
      <c r="AQK70" s="4"/>
      <c r="AQL70" s="4"/>
      <c r="AQM70" s="4"/>
      <c r="AQN70" s="4"/>
      <c r="AQO70" s="4"/>
      <c r="AQP70" s="4"/>
      <c r="AQQ70" s="4"/>
      <c r="AQR70" s="4"/>
      <c r="AQS70" s="4"/>
      <c r="AQT70" s="4"/>
      <c r="AQU70" s="4"/>
      <c r="AQV70" s="4"/>
      <c r="AQW70" s="4"/>
      <c r="AQX70" s="4"/>
      <c r="AQY70" s="4"/>
      <c r="AQZ70" s="4"/>
      <c r="ARA70" s="4"/>
      <c r="ARB70" s="4"/>
      <c r="ARC70" s="4"/>
      <c r="ARD70" s="4"/>
      <c r="ARE70" s="4"/>
      <c r="ARF70" s="4"/>
      <c r="ARG70" s="4"/>
      <c r="ARH70" s="4"/>
      <c r="ARI70" s="4"/>
      <c r="ARJ70" s="4"/>
      <c r="ARK70" s="4"/>
      <c r="ARL70" s="4"/>
      <c r="ARM70" s="4"/>
      <c r="ARN70" s="4"/>
      <c r="ARO70" s="4"/>
      <c r="ARP70" s="4"/>
      <c r="ARQ70" s="4"/>
      <c r="ARR70" s="4"/>
      <c r="ARS70" s="4"/>
      <c r="ART70" s="4"/>
      <c r="ARU70" s="4"/>
      <c r="ARV70" s="4"/>
      <c r="ARW70" s="4"/>
      <c r="ARX70" s="4"/>
      <c r="ARY70" s="4"/>
      <c r="ARZ70" s="4"/>
      <c r="ASA70" s="4"/>
      <c r="ASB70" s="4"/>
      <c r="ASC70" s="4"/>
      <c r="ASD70" s="4"/>
      <c r="ASE70" s="4"/>
      <c r="ASF70" s="4"/>
      <c r="ASG70" s="4"/>
      <c r="ASH70" s="4"/>
      <c r="ASI70" s="4"/>
      <c r="ASJ70" s="4"/>
      <c r="ASK70" s="4"/>
      <c r="ASL70" s="4"/>
      <c r="ASM70" s="4"/>
      <c r="ASN70" s="4"/>
      <c r="ASO70" s="4"/>
      <c r="ASP70" s="4"/>
      <c r="ASQ70" s="4"/>
      <c r="ASR70" s="4"/>
      <c r="ASS70" s="4"/>
      <c r="AST70" s="4"/>
      <c r="ASU70" s="4"/>
      <c r="ASV70" s="4"/>
      <c r="ASW70" s="4"/>
      <c r="ASX70" s="4"/>
      <c r="ASY70" s="4"/>
      <c r="ASZ70" s="4"/>
      <c r="ATA70" s="4"/>
      <c r="ATB70" s="4"/>
      <c r="ATC70" s="4"/>
      <c r="ATD70" s="4"/>
      <c r="ATE70" s="4"/>
      <c r="ATF70" s="4"/>
      <c r="ATG70" s="4"/>
      <c r="ATH70" s="4"/>
      <c r="ATI70" s="4"/>
      <c r="ATJ70" s="4"/>
      <c r="ATK70" s="4"/>
      <c r="ATL70" s="4"/>
      <c r="ATM70" s="4"/>
      <c r="ATN70" s="4"/>
      <c r="ATO70" s="4"/>
      <c r="ATP70" s="4"/>
      <c r="ATQ70" s="4"/>
      <c r="ATR70" s="4"/>
      <c r="ATS70" s="4"/>
      <c r="ATT70" s="4"/>
      <c r="ATU70" s="4"/>
      <c r="ATV70" s="4"/>
      <c r="ATW70" s="4"/>
      <c r="ATX70" s="4"/>
      <c r="ATY70" s="4"/>
      <c r="ATZ70" s="4"/>
      <c r="AUA70" s="4"/>
      <c r="AUB70" s="4"/>
      <c r="AUC70" s="4"/>
      <c r="AUD70" s="4"/>
      <c r="AUE70" s="4"/>
      <c r="AUF70" s="4"/>
      <c r="AUG70" s="4"/>
      <c r="AUH70" s="4"/>
      <c r="AUI70" s="4"/>
      <c r="AUJ70" s="4"/>
      <c r="AUK70" s="4"/>
      <c r="AUL70" s="4"/>
      <c r="AUM70" s="4"/>
      <c r="AUN70" s="4"/>
      <c r="AUO70" s="4"/>
      <c r="AUP70" s="4"/>
      <c r="AUQ70" s="4"/>
      <c r="AUR70" s="4"/>
      <c r="AUS70" s="4"/>
      <c r="AUT70" s="4"/>
      <c r="AUU70" s="4"/>
      <c r="AUV70" s="4"/>
      <c r="AUW70" s="4"/>
      <c r="AUX70" s="4"/>
      <c r="AUY70" s="4"/>
      <c r="AUZ70" s="4"/>
      <c r="AVA70" s="4"/>
      <c r="AVB70" s="4"/>
      <c r="AVC70" s="4"/>
      <c r="AVD70" s="4"/>
      <c r="AVE70" s="4"/>
      <c r="AVF70" s="4"/>
      <c r="AVG70" s="4"/>
      <c r="AVH70" s="4"/>
      <c r="AVI70" s="4"/>
      <c r="AVJ70" s="4"/>
      <c r="AVK70" s="4"/>
      <c r="AVL70" s="4"/>
      <c r="AVM70" s="4"/>
      <c r="AVN70" s="4"/>
      <c r="AVO70" s="4"/>
      <c r="AVP70" s="4"/>
      <c r="AVQ70" s="4"/>
      <c r="AVR70" s="4"/>
      <c r="AVS70" s="4"/>
      <c r="AVT70" s="4"/>
      <c r="AVU70" s="4"/>
      <c r="AVV70" s="4"/>
      <c r="AVW70" s="4"/>
      <c r="AVX70" s="4"/>
      <c r="AVY70" s="4"/>
      <c r="AVZ70" s="4"/>
      <c r="AWA70" s="4"/>
      <c r="AWB70" s="4"/>
      <c r="AWC70" s="4"/>
      <c r="AWD70" s="4"/>
      <c r="AWE70" s="4"/>
      <c r="AWF70" s="4"/>
      <c r="AWG70" s="4"/>
      <c r="AWH70" s="4"/>
      <c r="AWI70" s="4"/>
      <c r="AWJ70" s="4"/>
      <c r="AWK70" s="4"/>
      <c r="AWL70" s="4"/>
      <c r="AWM70" s="4"/>
      <c r="AWN70" s="4"/>
      <c r="AWO70" s="4"/>
      <c r="AWP70" s="4"/>
      <c r="AWQ70" s="4"/>
      <c r="AWR70" s="4"/>
      <c r="AWS70" s="4"/>
      <c r="AWT70" s="4"/>
      <c r="AWU70" s="4"/>
      <c r="AWV70" s="4"/>
      <c r="AWW70" s="4"/>
      <c r="AWX70" s="4"/>
      <c r="AWY70" s="4"/>
      <c r="AWZ70" s="4"/>
      <c r="AXA70" s="4"/>
      <c r="AXB70" s="4"/>
      <c r="AXC70" s="4"/>
      <c r="AXD70" s="4"/>
      <c r="AXE70" s="4"/>
      <c r="AXF70" s="4"/>
      <c r="AXG70" s="4"/>
      <c r="AXH70" s="4"/>
      <c r="AXI70" s="4"/>
      <c r="AXJ70" s="4"/>
      <c r="AXK70" s="4"/>
      <c r="AXL70" s="4"/>
      <c r="AXM70" s="4"/>
      <c r="AXN70" s="4"/>
      <c r="AXO70" s="4"/>
      <c r="AXP70" s="4"/>
      <c r="AXQ70" s="4"/>
      <c r="AXR70" s="4"/>
      <c r="AXS70" s="4"/>
      <c r="AXT70" s="4"/>
      <c r="AXU70" s="4"/>
      <c r="AXV70" s="4"/>
      <c r="AXW70" s="4"/>
      <c r="AXX70" s="4"/>
      <c r="AXY70" s="4"/>
      <c r="AXZ70" s="4"/>
      <c r="AYA70" s="4"/>
      <c r="AYB70" s="4"/>
      <c r="AYC70" s="4"/>
      <c r="AYD70" s="4"/>
      <c r="AYE70" s="4"/>
      <c r="AYF70" s="4"/>
      <c r="AYG70" s="4"/>
      <c r="AYH70" s="4"/>
      <c r="AYI70" s="4"/>
      <c r="AYJ70" s="4"/>
      <c r="AYK70" s="4"/>
      <c r="AYL70" s="4"/>
      <c r="AYM70" s="4"/>
      <c r="AYN70" s="4"/>
      <c r="AYO70" s="4"/>
      <c r="AYP70" s="4"/>
      <c r="AYQ70" s="4"/>
      <c r="AYR70" s="4"/>
      <c r="AYS70" s="4"/>
      <c r="AYT70" s="4"/>
      <c r="AYU70" s="4"/>
      <c r="AYV70" s="4"/>
      <c r="AYW70" s="4"/>
      <c r="AYX70" s="4"/>
      <c r="AYY70" s="4"/>
      <c r="AYZ70" s="4"/>
      <c r="AZA70" s="4"/>
      <c r="AZB70" s="4"/>
      <c r="AZC70" s="4"/>
      <c r="AZD70" s="4"/>
      <c r="AZE70" s="4"/>
      <c r="AZF70" s="4"/>
      <c r="AZG70" s="4"/>
      <c r="AZH70" s="4"/>
      <c r="AZI70" s="4"/>
      <c r="AZJ70" s="4"/>
      <c r="AZK70" s="4"/>
      <c r="AZL70" s="4"/>
      <c r="AZM70" s="4"/>
      <c r="AZN70" s="4"/>
      <c r="AZO70" s="4"/>
      <c r="AZP70" s="4"/>
      <c r="AZQ70" s="4"/>
      <c r="AZR70" s="4"/>
      <c r="AZS70" s="4"/>
      <c r="AZT70" s="4"/>
      <c r="AZU70" s="4"/>
      <c r="AZV70" s="4"/>
      <c r="AZW70" s="4"/>
      <c r="AZX70" s="4"/>
      <c r="AZY70" s="4"/>
      <c r="AZZ70" s="4"/>
      <c r="BAA70" s="4"/>
      <c r="BAB70" s="4"/>
      <c r="BAC70" s="4"/>
      <c r="BAD70" s="4"/>
      <c r="BAE70" s="4"/>
      <c r="BAF70" s="4"/>
      <c r="BAG70" s="4"/>
      <c r="BAH70" s="4"/>
      <c r="BAI70" s="4"/>
      <c r="BAJ70" s="4"/>
      <c r="BAK70" s="4"/>
      <c r="BAL70" s="4"/>
      <c r="BAM70" s="4"/>
      <c r="BAN70" s="4"/>
      <c r="BAO70" s="4"/>
      <c r="BAP70" s="4"/>
      <c r="BAQ70" s="4"/>
      <c r="BAR70" s="4"/>
      <c r="BAS70" s="4"/>
      <c r="BAT70" s="4"/>
      <c r="BAU70" s="4"/>
      <c r="BAV70" s="4"/>
      <c r="BAW70" s="4"/>
      <c r="BAX70" s="4"/>
      <c r="BAY70" s="4"/>
      <c r="BAZ70" s="4"/>
      <c r="BBA70" s="4"/>
      <c r="BBB70" s="4"/>
      <c r="BBC70" s="4"/>
      <c r="BBD70" s="4"/>
      <c r="BBE70" s="4"/>
      <c r="BBF70" s="4"/>
      <c r="BBG70" s="4"/>
      <c r="BBH70" s="4"/>
      <c r="BBI70" s="4"/>
      <c r="BBJ70" s="4"/>
      <c r="BBK70" s="4"/>
      <c r="BBL70" s="4"/>
      <c r="BBM70" s="4"/>
      <c r="BBN70" s="4"/>
      <c r="BBO70" s="4"/>
      <c r="BBP70" s="4"/>
      <c r="BBQ70" s="4"/>
      <c r="BBR70" s="4"/>
      <c r="BBS70" s="4"/>
      <c r="BBT70" s="4"/>
      <c r="BBU70" s="4"/>
      <c r="BBV70" s="4"/>
      <c r="BBW70" s="4"/>
      <c r="BBX70" s="4"/>
      <c r="BBY70" s="4"/>
      <c r="BBZ70" s="4"/>
      <c r="BCA70" s="4"/>
      <c r="BCB70" s="4"/>
      <c r="BCC70" s="4"/>
      <c r="BCD70" s="4"/>
      <c r="BCE70" s="4"/>
      <c r="BCF70" s="4"/>
      <c r="BCG70" s="4"/>
      <c r="BCH70" s="4"/>
      <c r="BCI70" s="4"/>
      <c r="BCJ70" s="4"/>
      <c r="BCK70" s="4"/>
      <c r="BCL70" s="4"/>
      <c r="BCM70" s="4"/>
      <c r="BCN70" s="4"/>
      <c r="BCO70" s="4"/>
      <c r="BCP70" s="4"/>
      <c r="BCQ70" s="4"/>
      <c r="BCR70" s="4"/>
      <c r="BCS70" s="4"/>
      <c r="BCT70" s="4"/>
      <c r="BCU70" s="4"/>
      <c r="BCV70" s="4"/>
      <c r="BCW70" s="4"/>
      <c r="BCX70" s="4"/>
      <c r="BCY70" s="4"/>
      <c r="BCZ70" s="4"/>
      <c r="BDA70" s="4"/>
      <c r="BDB70" s="4"/>
      <c r="BDC70" s="4"/>
      <c r="BDD70" s="4"/>
      <c r="BDE70" s="4"/>
      <c r="BDF70" s="4"/>
      <c r="BDG70" s="4"/>
      <c r="BDH70" s="4"/>
      <c r="BDI70" s="4"/>
      <c r="BDJ70" s="4"/>
      <c r="BDK70" s="4"/>
      <c r="BDL70" s="4"/>
      <c r="BDM70" s="4"/>
      <c r="BDN70" s="4"/>
      <c r="BDO70" s="4"/>
      <c r="BDP70" s="4"/>
      <c r="BDQ70" s="4"/>
      <c r="BDR70" s="4"/>
      <c r="BDS70" s="4"/>
      <c r="BDT70" s="4"/>
      <c r="BDU70" s="4"/>
      <c r="BDV70" s="4"/>
      <c r="BDW70" s="4"/>
      <c r="BDX70" s="4"/>
      <c r="BDY70" s="4"/>
      <c r="BDZ70" s="4"/>
      <c r="BEA70" s="4"/>
      <c r="BEB70" s="4"/>
      <c r="BEC70" s="4"/>
      <c r="BED70" s="4"/>
      <c r="BEE70" s="4"/>
      <c r="BEF70" s="4"/>
      <c r="BEG70" s="4"/>
      <c r="BEH70" s="4"/>
      <c r="BEI70" s="4"/>
      <c r="BEJ70" s="4"/>
      <c r="BEK70" s="4"/>
      <c r="BEL70" s="4"/>
      <c r="BEM70" s="4"/>
      <c r="BEN70" s="4"/>
      <c r="BEO70" s="4"/>
      <c r="BEP70" s="4"/>
      <c r="BEQ70" s="4"/>
      <c r="BER70" s="4"/>
      <c r="BES70" s="4"/>
      <c r="BET70" s="4"/>
      <c r="BEU70" s="4"/>
      <c r="BEV70" s="4"/>
      <c r="BEW70" s="4"/>
      <c r="BEX70" s="4"/>
      <c r="BEY70" s="4"/>
      <c r="BEZ70" s="4"/>
      <c r="BFA70" s="4"/>
      <c r="BFB70" s="4"/>
      <c r="BFC70" s="4"/>
      <c r="BFD70" s="4"/>
      <c r="BFE70" s="4"/>
      <c r="BFF70" s="4"/>
      <c r="BFG70" s="4"/>
      <c r="BFH70" s="4"/>
      <c r="BFI70" s="4"/>
      <c r="BFJ70" s="4"/>
      <c r="BFK70" s="4"/>
      <c r="BFL70" s="4"/>
      <c r="BFM70" s="4"/>
      <c r="BFN70" s="4"/>
      <c r="BFO70" s="4"/>
      <c r="BFP70" s="4"/>
      <c r="BFQ70" s="4"/>
      <c r="BFR70" s="4"/>
      <c r="BFS70" s="4"/>
      <c r="BFT70" s="4"/>
      <c r="BFU70" s="4"/>
      <c r="BFV70" s="4"/>
      <c r="BFW70" s="4"/>
      <c r="BFX70" s="4"/>
      <c r="BFY70" s="4"/>
      <c r="BFZ70" s="4"/>
      <c r="BGA70" s="4"/>
      <c r="BGB70" s="4"/>
      <c r="BGC70" s="4"/>
      <c r="BGD70" s="4"/>
      <c r="BGE70" s="4"/>
      <c r="BGF70" s="4"/>
      <c r="BGG70" s="4"/>
      <c r="BGH70" s="4"/>
      <c r="BGI70" s="4"/>
      <c r="BGJ70" s="4"/>
      <c r="BGK70" s="4"/>
      <c r="BGL70" s="4"/>
      <c r="BGM70" s="4"/>
      <c r="BGN70" s="4"/>
      <c r="BGO70" s="4"/>
      <c r="BGP70" s="4"/>
      <c r="BGQ70" s="4"/>
      <c r="BGR70" s="4"/>
      <c r="BGS70" s="4"/>
      <c r="BGT70" s="4"/>
      <c r="BGU70" s="4"/>
      <c r="BGV70" s="4"/>
      <c r="BGW70" s="4"/>
      <c r="BGX70" s="4"/>
      <c r="BGY70" s="4"/>
      <c r="BGZ70" s="4"/>
      <c r="BHA70" s="4"/>
      <c r="BHB70" s="4"/>
      <c r="BHC70" s="4"/>
      <c r="BHD70" s="4"/>
      <c r="BHE70" s="4"/>
      <c r="BHF70" s="4"/>
      <c r="BHG70" s="4"/>
      <c r="BHH70" s="4"/>
      <c r="BHI70" s="4"/>
      <c r="BHJ70" s="4"/>
      <c r="BHK70" s="4"/>
      <c r="BHL70" s="4"/>
      <c r="BHM70" s="4"/>
      <c r="BHN70" s="4"/>
      <c r="BHO70" s="4"/>
      <c r="BHP70" s="4"/>
      <c r="BHQ70" s="4"/>
      <c r="BHR70" s="4"/>
      <c r="BHS70" s="4"/>
      <c r="BHT70" s="4"/>
      <c r="BHU70" s="4"/>
      <c r="BHV70" s="4"/>
      <c r="BHW70" s="4"/>
      <c r="BHX70" s="4"/>
      <c r="BHY70" s="4"/>
      <c r="BHZ70" s="4"/>
      <c r="BIA70" s="4"/>
      <c r="BIB70" s="4"/>
      <c r="BIC70" s="4"/>
      <c r="BID70" s="4"/>
      <c r="BIE70" s="4"/>
      <c r="BIF70" s="4"/>
      <c r="BIG70" s="4"/>
      <c r="BIH70" s="4"/>
      <c r="BII70" s="4"/>
      <c r="BIJ70" s="4"/>
      <c r="BIK70" s="4"/>
      <c r="BIL70" s="4"/>
      <c r="BIM70" s="4"/>
      <c r="BIN70" s="4"/>
      <c r="BIO70" s="4"/>
      <c r="BIP70" s="4"/>
      <c r="BIQ70" s="4"/>
      <c r="BIR70" s="4"/>
      <c r="BIS70" s="4"/>
      <c r="BIT70" s="4"/>
      <c r="BIU70" s="4"/>
      <c r="BIV70" s="4"/>
      <c r="BIW70" s="4"/>
      <c r="BIX70" s="4"/>
      <c r="BIY70" s="4"/>
      <c r="BIZ70" s="4"/>
      <c r="BJA70" s="4"/>
      <c r="BJB70" s="4"/>
      <c r="BJC70" s="4"/>
      <c r="BJD70" s="4"/>
      <c r="BJE70" s="4"/>
      <c r="BJF70" s="4"/>
      <c r="BJG70" s="4"/>
      <c r="BJH70" s="4"/>
      <c r="BJI70" s="4"/>
      <c r="BJJ70" s="4"/>
      <c r="BJK70" s="4"/>
      <c r="BJL70" s="4"/>
      <c r="BJM70" s="4"/>
      <c r="BJN70" s="4"/>
      <c r="BJO70" s="4"/>
      <c r="BJP70" s="4"/>
      <c r="BJQ70" s="4"/>
      <c r="BJR70" s="4"/>
      <c r="BJS70" s="4"/>
      <c r="BJT70" s="4"/>
      <c r="BJU70" s="4"/>
      <c r="BJV70" s="4"/>
      <c r="BJW70" s="4"/>
      <c r="BJX70" s="4"/>
      <c r="BJY70" s="4"/>
      <c r="BJZ70" s="4"/>
      <c r="BKA70" s="4"/>
      <c r="BKB70" s="4"/>
      <c r="BKC70" s="4"/>
      <c r="BKD70" s="4"/>
      <c r="BKE70" s="4"/>
      <c r="BKF70" s="4"/>
      <c r="BKG70" s="4"/>
      <c r="BKH70" s="4"/>
      <c r="BKI70" s="4"/>
      <c r="BKJ70" s="4"/>
      <c r="BKK70" s="4"/>
      <c r="BKL70" s="4"/>
      <c r="BKM70" s="4"/>
      <c r="BKN70" s="4"/>
      <c r="BKO70" s="4"/>
      <c r="BKP70" s="4"/>
      <c r="BKQ70" s="4"/>
      <c r="BKR70" s="4"/>
      <c r="BKS70" s="4"/>
      <c r="BKT70" s="4"/>
      <c r="BKU70" s="4"/>
      <c r="BKV70" s="4"/>
      <c r="BKW70" s="4"/>
      <c r="BKX70" s="4"/>
      <c r="BKY70" s="4"/>
      <c r="BKZ70" s="4"/>
      <c r="BLA70" s="4"/>
      <c r="BLB70" s="4"/>
      <c r="BLC70" s="4"/>
      <c r="BLD70" s="4"/>
      <c r="BLE70" s="4"/>
      <c r="BLF70" s="4"/>
      <c r="BLG70" s="4"/>
      <c r="BLH70" s="4"/>
      <c r="BLI70" s="4"/>
      <c r="BLJ70" s="4"/>
      <c r="BLK70" s="4"/>
      <c r="BLL70" s="4"/>
      <c r="BLM70" s="4"/>
      <c r="BLN70" s="4"/>
      <c r="BLO70" s="4"/>
      <c r="BLP70" s="4"/>
      <c r="BLQ70" s="4"/>
      <c r="BLR70" s="4"/>
      <c r="BLS70" s="4"/>
      <c r="BLT70" s="4"/>
      <c r="BLU70" s="4"/>
      <c r="BLV70" s="4"/>
      <c r="BLW70" s="4"/>
      <c r="BLX70" s="4"/>
      <c r="BLY70" s="4"/>
      <c r="BLZ70" s="4"/>
      <c r="BMA70" s="4"/>
      <c r="BMB70" s="4"/>
      <c r="BMC70" s="4"/>
      <c r="BMD70" s="4"/>
      <c r="BME70" s="4"/>
      <c r="BMF70" s="4"/>
      <c r="BMG70" s="4"/>
      <c r="BMH70" s="4"/>
      <c r="BMI70" s="4"/>
      <c r="BMJ70" s="4"/>
      <c r="BMK70" s="4"/>
      <c r="BML70" s="4"/>
      <c r="BMM70" s="4"/>
      <c r="BMN70" s="4"/>
      <c r="BMO70" s="4"/>
      <c r="BMP70" s="4"/>
      <c r="BMQ70" s="4"/>
      <c r="BMR70" s="4"/>
      <c r="BMS70" s="4"/>
      <c r="BMT70" s="4"/>
      <c r="BMU70" s="4"/>
      <c r="BMV70" s="4"/>
      <c r="BMW70" s="4"/>
      <c r="BMX70" s="4"/>
      <c r="BMY70" s="4"/>
      <c r="BMZ70" s="4"/>
      <c r="BNA70" s="4"/>
      <c r="BNB70" s="4"/>
      <c r="BNC70" s="4"/>
      <c r="BND70" s="4"/>
      <c r="BNE70" s="4"/>
      <c r="BNF70" s="4"/>
      <c r="BNG70" s="4"/>
      <c r="BNH70" s="4"/>
      <c r="BNI70" s="4"/>
      <c r="BNJ70" s="4"/>
      <c r="BNK70" s="4"/>
      <c r="BNL70" s="4"/>
      <c r="BNM70" s="4"/>
      <c r="BNN70" s="4"/>
      <c r="BNO70" s="4"/>
      <c r="BNP70" s="4"/>
      <c r="BNQ70" s="4"/>
      <c r="BNR70" s="4"/>
      <c r="BNS70" s="4"/>
      <c r="BNT70" s="4"/>
      <c r="BNU70" s="4"/>
      <c r="BNV70" s="4"/>
      <c r="BNW70" s="4"/>
      <c r="BNX70" s="4"/>
      <c r="BNY70" s="4"/>
      <c r="BNZ70" s="4"/>
      <c r="BOA70" s="4"/>
      <c r="BOB70" s="4"/>
      <c r="BOC70" s="4"/>
      <c r="BOD70" s="4"/>
      <c r="BOE70" s="4"/>
      <c r="BOF70" s="4"/>
      <c r="BOG70" s="4"/>
      <c r="BOH70" s="4"/>
      <c r="BOI70" s="4"/>
      <c r="BOJ70" s="4"/>
      <c r="BOK70" s="4"/>
      <c r="BOL70" s="4"/>
      <c r="BOM70" s="4"/>
      <c r="BON70" s="4"/>
      <c r="BOO70" s="4"/>
      <c r="BOP70" s="4"/>
      <c r="BOQ70" s="4"/>
      <c r="BOR70" s="4"/>
      <c r="BOS70" s="4"/>
      <c r="BOT70" s="4"/>
      <c r="BOU70" s="4"/>
      <c r="BOV70" s="4"/>
      <c r="BOW70" s="4"/>
      <c r="BOX70" s="4"/>
      <c r="BOY70" s="4"/>
      <c r="BOZ70" s="4"/>
      <c r="BPA70" s="4"/>
      <c r="BPB70" s="4"/>
      <c r="BPC70" s="4"/>
      <c r="BPD70" s="4"/>
      <c r="BPE70" s="4"/>
      <c r="BPF70" s="4"/>
      <c r="BPG70" s="4"/>
      <c r="BPH70" s="4"/>
      <c r="BPI70" s="4"/>
      <c r="BPJ70" s="4"/>
      <c r="BPK70" s="4"/>
      <c r="BPL70" s="4"/>
      <c r="BPM70" s="4"/>
      <c r="BPN70" s="4"/>
      <c r="BPO70" s="4"/>
      <c r="BPP70" s="4"/>
      <c r="BPQ70" s="4"/>
      <c r="BPR70" s="4"/>
      <c r="BPS70" s="4"/>
      <c r="BPT70" s="4"/>
      <c r="BPU70" s="4"/>
      <c r="BPV70" s="4"/>
      <c r="BPW70" s="4"/>
      <c r="BPX70" s="4"/>
      <c r="BPY70" s="4"/>
      <c r="BPZ70" s="4"/>
      <c r="BQA70" s="4"/>
      <c r="BQB70" s="4"/>
      <c r="BQC70" s="4"/>
      <c r="BQD70" s="4"/>
      <c r="BQE70" s="4"/>
      <c r="BQF70" s="4"/>
      <c r="BQG70" s="4"/>
      <c r="BQH70" s="4"/>
      <c r="BQI70" s="4"/>
      <c r="BQJ70" s="4"/>
      <c r="BQK70" s="4"/>
      <c r="BQL70" s="4"/>
      <c r="BQM70" s="4"/>
      <c r="BQN70" s="4"/>
      <c r="BQO70" s="4"/>
      <c r="BQP70" s="4"/>
      <c r="BQQ70" s="4"/>
      <c r="BQR70" s="4"/>
      <c r="BQS70" s="4"/>
      <c r="BQT70" s="4"/>
      <c r="BQU70" s="4"/>
      <c r="BQV70" s="4"/>
      <c r="BQW70" s="4"/>
      <c r="BQX70" s="4"/>
      <c r="BQY70" s="4"/>
      <c r="BQZ70" s="4"/>
      <c r="BRA70" s="4"/>
      <c r="BRB70" s="4"/>
      <c r="BRC70" s="4"/>
      <c r="BRD70" s="4"/>
      <c r="BRE70" s="4"/>
      <c r="BRF70" s="4"/>
      <c r="BRG70" s="4"/>
      <c r="BRH70" s="4"/>
      <c r="BRI70" s="4"/>
      <c r="BRJ70" s="4"/>
      <c r="BRK70" s="4"/>
      <c r="BRL70" s="4"/>
      <c r="BRM70" s="4"/>
      <c r="BRN70" s="4"/>
      <c r="BRO70" s="4"/>
      <c r="BRP70" s="4"/>
      <c r="BRQ70" s="4"/>
      <c r="BRR70" s="4"/>
      <c r="BRS70" s="4"/>
      <c r="BRT70" s="4"/>
      <c r="BRU70" s="4"/>
      <c r="BRV70" s="4"/>
      <c r="BRW70" s="4"/>
      <c r="BRX70" s="4"/>
      <c r="BRY70" s="4"/>
      <c r="BRZ70" s="4"/>
      <c r="BSA70" s="4"/>
      <c r="BSB70" s="4"/>
      <c r="BSC70" s="4"/>
      <c r="BSD70" s="4"/>
      <c r="BSE70" s="4"/>
      <c r="BSF70" s="4"/>
      <c r="BSG70" s="4"/>
      <c r="BSH70" s="4"/>
      <c r="BSI70" s="4"/>
      <c r="BSJ70" s="4"/>
      <c r="BSK70" s="4"/>
      <c r="BSL70" s="4"/>
      <c r="BSM70" s="4"/>
      <c r="BSN70" s="4"/>
      <c r="BSO70" s="4"/>
      <c r="BSP70" s="4"/>
      <c r="BSQ70" s="4"/>
      <c r="BSR70" s="4"/>
      <c r="BSS70" s="4"/>
      <c r="BST70" s="4"/>
      <c r="BSU70" s="4"/>
      <c r="BSV70" s="4"/>
      <c r="BSW70" s="4"/>
      <c r="BSX70" s="4"/>
      <c r="BSY70" s="4"/>
      <c r="BSZ70" s="4"/>
      <c r="BTA70" s="4"/>
      <c r="BTB70" s="4"/>
      <c r="BTC70" s="4"/>
      <c r="BTD70" s="4"/>
      <c r="BTE70" s="4"/>
      <c r="BTF70" s="4"/>
      <c r="BTG70" s="4"/>
      <c r="BTH70" s="4"/>
      <c r="BTI70" s="4"/>
      <c r="BTJ70" s="4"/>
      <c r="BTK70" s="4"/>
      <c r="BTL70" s="4"/>
      <c r="BTM70" s="4"/>
      <c r="BTN70" s="4"/>
      <c r="BTO70" s="4"/>
      <c r="BTP70" s="4"/>
      <c r="BTQ70" s="4"/>
      <c r="BTR70" s="4"/>
      <c r="BTS70" s="4"/>
      <c r="BTT70" s="4"/>
      <c r="BTU70" s="4"/>
      <c r="BTV70" s="4"/>
      <c r="BTW70" s="4"/>
      <c r="BTX70" s="4"/>
      <c r="BTY70" s="4"/>
      <c r="BTZ70" s="4"/>
      <c r="BUA70" s="4"/>
      <c r="BUB70" s="4"/>
      <c r="BUC70" s="4"/>
      <c r="BUD70" s="4"/>
      <c r="BUE70" s="4"/>
      <c r="BUF70" s="4"/>
      <c r="BUG70" s="4"/>
      <c r="BUH70" s="4"/>
      <c r="BUI70" s="4"/>
      <c r="BUJ70" s="4"/>
      <c r="BUK70" s="4"/>
      <c r="BUL70" s="4"/>
      <c r="BUM70" s="4"/>
      <c r="BUN70" s="4"/>
      <c r="BUO70" s="4"/>
      <c r="BUP70" s="4"/>
      <c r="BUQ70" s="4"/>
      <c r="BUR70" s="4"/>
      <c r="BUS70" s="4"/>
      <c r="BUT70" s="4"/>
      <c r="BUU70" s="4"/>
      <c r="BUV70" s="4"/>
      <c r="BUW70" s="4"/>
      <c r="BUX70" s="4"/>
      <c r="BUY70" s="4"/>
      <c r="BUZ70" s="4"/>
      <c r="BVA70" s="4"/>
      <c r="BVB70" s="4"/>
      <c r="BVC70" s="4"/>
      <c r="BVD70" s="4"/>
      <c r="BVE70" s="4"/>
      <c r="BVF70" s="4"/>
      <c r="BVG70" s="4"/>
      <c r="BVH70" s="4"/>
      <c r="BVI70" s="4"/>
      <c r="BVJ70" s="4"/>
      <c r="BVK70" s="4"/>
      <c r="BVL70" s="4"/>
      <c r="BVM70" s="4"/>
      <c r="BVN70" s="4"/>
      <c r="BVO70" s="4"/>
      <c r="BVP70" s="4"/>
      <c r="BVQ70" s="4"/>
      <c r="BVR70" s="4"/>
      <c r="BVS70" s="4"/>
      <c r="BVT70" s="4"/>
      <c r="BVU70" s="4"/>
      <c r="BVV70" s="4"/>
      <c r="BVW70" s="4"/>
      <c r="BVX70" s="4"/>
      <c r="BVY70" s="4"/>
      <c r="BVZ70" s="4"/>
      <c r="BWA70" s="4"/>
      <c r="BWB70" s="4"/>
      <c r="BWC70" s="4"/>
      <c r="BWD70" s="4"/>
      <c r="BWE70" s="4"/>
      <c r="BWF70" s="4"/>
      <c r="BWG70" s="4"/>
      <c r="BWH70" s="4"/>
      <c r="BWI70" s="4"/>
      <c r="BWJ70" s="4"/>
      <c r="BWK70" s="4"/>
      <c r="BWL70" s="4"/>
      <c r="BWM70" s="4"/>
      <c r="BWN70" s="4"/>
      <c r="BWO70" s="4"/>
      <c r="BWP70" s="4"/>
      <c r="BWQ70" s="4"/>
      <c r="BWR70" s="4"/>
      <c r="BWS70" s="4"/>
      <c r="BWT70" s="4"/>
      <c r="BWU70" s="4"/>
      <c r="BWV70" s="4"/>
      <c r="BWW70" s="4"/>
      <c r="BWX70" s="4"/>
      <c r="BWY70" s="4"/>
      <c r="BWZ70" s="4"/>
      <c r="BXA70" s="4"/>
      <c r="BXB70" s="4"/>
      <c r="BXC70" s="4"/>
      <c r="BXD70" s="4"/>
      <c r="BXE70" s="4"/>
      <c r="BXF70" s="4"/>
      <c r="BXG70" s="4"/>
      <c r="BXH70" s="4"/>
      <c r="BXI70" s="4"/>
      <c r="BXJ70" s="4"/>
      <c r="BXK70" s="4"/>
      <c r="BXL70" s="4"/>
      <c r="BXM70" s="4"/>
      <c r="BXN70" s="4"/>
      <c r="BXO70" s="4"/>
      <c r="BXP70" s="4"/>
      <c r="BXQ70" s="4"/>
      <c r="BXR70" s="4"/>
      <c r="BXS70" s="4"/>
      <c r="BXT70" s="4"/>
      <c r="BXU70" s="4"/>
      <c r="BXV70" s="4"/>
      <c r="BXW70" s="4"/>
      <c r="BXX70" s="4"/>
      <c r="BXY70" s="4"/>
      <c r="BXZ70" s="4"/>
      <c r="BYA70" s="4"/>
      <c r="BYB70" s="4"/>
      <c r="BYC70" s="4"/>
      <c r="BYD70" s="4"/>
      <c r="BYE70" s="4"/>
      <c r="BYF70" s="4"/>
      <c r="BYG70" s="4"/>
      <c r="BYH70" s="4"/>
      <c r="BYI70" s="4"/>
      <c r="BYJ70" s="4"/>
      <c r="BYK70" s="4"/>
      <c r="BYL70" s="4"/>
      <c r="BYM70" s="4"/>
      <c r="BYN70" s="4"/>
      <c r="BYO70" s="4"/>
      <c r="BYP70" s="4"/>
      <c r="BYQ70" s="4"/>
      <c r="BYR70" s="4"/>
      <c r="BYS70" s="4"/>
      <c r="BYT70" s="4"/>
      <c r="BYU70" s="4"/>
      <c r="BYV70" s="4"/>
      <c r="BYW70" s="4"/>
      <c r="BYX70" s="4"/>
      <c r="BYY70" s="4"/>
      <c r="BYZ70" s="4"/>
      <c r="BZA70" s="4"/>
      <c r="BZB70" s="4"/>
      <c r="BZC70" s="4"/>
      <c r="BZD70" s="4"/>
      <c r="BZE70" s="4"/>
      <c r="BZF70" s="4"/>
      <c r="BZG70" s="4"/>
      <c r="BZH70" s="4"/>
      <c r="BZI70" s="4"/>
      <c r="BZJ70" s="4"/>
      <c r="BZK70" s="4"/>
      <c r="BZL70" s="4"/>
      <c r="BZM70" s="4"/>
      <c r="BZN70" s="4"/>
      <c r="BZO70" s="4"/>
      <c r="BZP70" s="4"/>
      <c r="BZQ70" s="4"/>
      <c r="BZR70" s="4"/>
      <c r="BZS70" s="4"/>
      <c r="BZT70" s="4"/>
      <c r="BZU70" s="4"/>
      <c r="BZV70" s="4"/>
      <c r="BZW70" s="4"/>
      <c r="BZX70" s="4"/>
      <c r="BZY70" s="4"/>
      <c r="BZZ70" s="4"/>
      <c r="CAA70" s="4"/>
      <c r="CAB70" s="4"/>
      <c r="CAC70" s="4"/>
      <c r="CAD70" s="4"/>
      <c r="CAE70" s="4"/>
      <c r="CAF70" s="4"/>
      <c r="CAG70" s="4"/>
      <c r="CAH70" s="4"/>
      <c r="CAI70" s="4"/>
      <c r="CAJ70" s="4"/>
      <c r="CAK70" s="4"/>
      <c r="CAL70" s="4"/>
      <c r="CAM70" s="4"/>
      <c r="CAN70" s="4"/>
      <c r="CAO70" s="4"/>
      <c r="CAP70" s="4"/>
      <c r="CAQ70" s="4"/>
      <c r="CAR70" s="4"/>
      <c r="CAS70" s="4"/>
      <c r="CAT70" s="4"/>
      <c r="CAU70" s="4"/>
      <c r="CAV70" s="4"/>
      <c r="CAW70" s="4"/>
      <c r="CAX70" s="4"/>
      <c r="CAY70" s="4"/>
      <c r="CAZ70" s="4"/>
      <c r="CBA70" s="4"/>
      <c r="CBB70" s="4"/>
      <c r="CBC70" s="4"/>
      <c r="CBD70" s="4"/>
      <c r="CBE70" s="4"/>
      <c r="CBF70" s="4"/>
      <c r="CBG70" s="4"/>
      <c r="CBH70" s="4"/>
      <c r="CBI70" s="4"/>
      <c r="CBJ70" s="4"/>
      <c r="CBK70" s="4"/>
      <c r="CBL70" s="4"/>
      <c r="CBM70" s="4"/>
      <c r="CBN70" s="4"/>
      <c r="CBO70" s="4"/>
      <c r="CBP70" s="4"/>
      <c r="CBQ70" s="4"/>
      <c r="CBR70" s="4"/>
      <c r="CBS70" s="4"/>
      <c r="CBT70" s="4"/>
      <c r="CBU70" s="4"/>
      <c r="CBV70" s="4"/>
      <c r="CBW70" s="4"/>
      <c r="CBX70" s="4"/>
      <c r="CBY70" s="4"/>
      <c r="CBZ70" s="4"/>
      <c r="CCA70" s="4"/>
      <c r="CCB70" s="4"/>
      <c r="CCC70" s="4"/>
      <c r="CCD70" s="4"/>
      <c r="CCE70" s="4"/>
      <c r="CCF70" s="4"/>
      <c r="CCG70" s="4"/>
      <c r="CCH70" s="4"/>
      <c r="CCI70" s="4"/>
      <c r="CCJ70" s="4"/>
      <c r="CCK70" s="4"/>
      <c r="CCL70" s="4"/>
      <c r="CCM70" s="4"/>
      <c r="CCN70" s="4"/>
      <c r="CCO70" s="4"/>
      <c r="CCP70" s="4"/>
      <c r="CCQ70" s="4"/>
      <c r="CCR70" s="4"/>
      <c r="CCS70" s="4"/>
      <c r="CCT70" s="4"/>
      <c r="CCU70" s="4"/>
      <c r="CCV70" s="4"/>
      <c r="CCW70" s="4"/>
      <c r="CCX70" s="4"/>
      <c r="CCY70" s="4"/>
      <c r="CCZ70" s="4"/>
      <c r="CDA70" s="4"/>
      <c r="CDB70" s="4"/>
      <c r="CDC70" s="4"/>
      <c r="CDD70" s="4"/>
      <c r="CDE70" s="4"/>
      <c r="CDF70" s="4"/>
      <c r="CDG70" s="4"/>
      <c r="CDH70" s="4"/>
      <c r="CDI70" s="4"/>
      <c r="CDJ70" s="4"/>
      <c r="CDK70" s="4"/>
      <c r="CDL70" s="4"/>
      <c r="CDM70" s="4"/>
      <c r="CDN70" s="4"/>
      <c r="CDO70" s="4"/>
      <c r="CDP70" s="4"/>
      <c r="CDQ70" s="4"/>
      <c r="CDR70" s="4"/>
      <c r="CDS70" s="4"/>
      <c r="CDT70" s="4"/>
      <c r="CDU70" s="4"/>
      <c r="CDV70" s="4"/>
      <c r="CDW70" s="4"/>
      <c r="CDX70" s="4"/>
      <c r="CDY70" s="4"/>
      <c r="CDZ70" s="4"/>
      <c r="CEA70" s="4"/>
      <c r="CEB70" s="4"/>
      <c r="CEC70" s="4"/>
      <c r="CED70" s="4"/>
      <c r="CEE70" s="4"/>
      <c r="CEF70" s="4"/>
      <c r="CEG70" s="4"/>
      <c r="CEH70" s="4"/>
      <c r="CEI70" s="4"/>
      <c r="CEJ70" s="4"/>
      <c r="CEK70" s="4"/>
      <c r="CEL70" s="4"/>
      <c r="CEM70" s="4"/>
      <c r="CEN70" s="4"/>
      <c r="CEO70" s="4"/>
      <c r="CEP70" s="4"/>
      <c r="CEQ70" s="4"/>
      <c r="CER70" s="4"/>
      <c r="CES70" s="4"/>
      <c r="CET70" s="4"/>
      <c r="CEU70" s="4"/>
      <c r="CEV70" s="4"/>
      <c r="CEW70" s="4"/>
      <c r="CEX70" s="4"/>
      <c r="CEY70" s="4"/>
      <c r="CEZ70" s="4"/>
      <c r="CFA70" s="4"/>
      <c r="CFB70" s="4"/>
      <c r="CFC70" s="4"/>
      <c r="CFD70" s="4"/>
      <c r="CFE70" s="4"/>
      <c r="CFF70" s="4"/>
      <c r="CFG70" s="4"/>
      <c r="CFH70" s="4"/>
      <c r="CFI70" s="4"/>
      <c r="CFJ70" s="4"/>
      <c r="CFK70" s="4"/>
      <c r="CFL70" s="4"/>
      <c r="CFM70" s="4"/>
      <c r="CFN70" s="4"/>
      <c r="CFO70" s="4"/>
      <c r="CFP70" s="4"/>
      <c r="CFQ70" s="4"/>
      <c r="CFR70" s="4"/>
      <c r="CFS70" s="4"/>
      <c r="CFT70" s="4"/>
      <c r="CFU70" s="4"/>
      <c r="CFV70" s="4"/>
      <c r="CFW70" s="4"/>
      <c r="CFX70" s="4"/>
      <c r="CFY70" s="4"/>
      <c r="CFZ70" s="4"/>
      <c r="CGA70" s="4"/>
      <c r="CGB70" s="4"/>
      <c r="CGC70" s="4"/>
      <c r="CGD70" s="4"/>
      <c r="CGE70" s="4"/>
      <c r="CGF70" s="4"/>
      <c r="CGG70" s="4"/>
      <c r="CGH70" s="4"/>
      <c r="CGI70" s="4"/>
      <c r="CGJ70" s="4"/>
      <c r="CGK70" s="4"/>
      <c r="CGL70" s="4"/>
      <c r="CGM70" s="4"/>
      <c r="CGN70" s="4"/>
      <c r="CGO70" s="4"/>
      <c r="CGP70" s="4"/>
      <c r="CGQ70" s="4"/>
      <c r="CGR70" s="4"/>
      <c r="CGS70" s="4"/>
      <c r="CGT70" s="4"/>
      <c r="CGU70" s="4"/>
      <c r="CGV70" s="4"/>
      <c r="CGW70" s="4"/>
      <c r="CGX70" s="4"/>
      <c r="CGY70" s="4"/>
      <c r="CGZ70" s="4"/>
      <c r="CHA70" s="4"/>
      <c r="CHB70" s="4"/>
      <c r="CHC70" s="4"/>
      <c r="CHD70" s="4"/>
      <c r="CHE70" s="4"/>
      <c r="CHF70" s="4"/>
      <c r="CHG70" s="4"/>
      <c r="CHH70" s="4"/>
      <c r="CHI70" s="4"/>
      <c r="CHJ70" s="4"/>
      <c r="CHK70" s="4"/>
      <c r="CHL70" s="4"/>
      <c r="CHM70" s="4"/>
      <c r="CHN70" s="4"/>
      <c r="CHO70" s="4"/>
      <c r="CHP70" s="4"/>
      <c r="CHQ70" s="4"/>
      <c r="CHR70" s="4"/>
      <c r="CHS70" s="4"/>
      <c r="CHT70" s="4"/>
      <c r="CHU70" s="4"/>
      <c r="CHV70" s="4"/>
      <c r="CHW70" s="4"/>
      <c r="CHX70" s="4"/>
      <c r="CHY70" s="4"/>
      <c r="CHZ70" s="4"/>
      <c r="CIA70" s="4"/>
      <c r="CIB70" s="4"/>
      <c r="CIC70" s="4"/>
      <c r="CID70" s="4"/>
      <c r="CIE70" s="4"/>
      <c r="CIF70" s="4"/>
      <c r="CIG70" s="4"/>
      <c r="CIH70" s="4"/>
      <c r="CII70" s="4"/>
      <c r="CIJ70" s="4"/>
      <c r="CIK70" s="4"/>
      <c r="CIL70" s="4"/>
      <c r="CIM70" s="4"/>
      <c r="CIN70" s="4"/>
      <c r="CIO70" s="4"/>
      <c r="CIP70" s="4"/>
      <c r="CIQ70" s="4"/>
      <c r="CIR70" s="4"/>
      <c r="CIS70" s="4"/>
      <c r="CIT70" s="4"/>
      <c r="CIU70" s="4"/>
      <c r="CIV70" s="4"/>
      <c r="CIW70" s="4"/>
      <c r="CIX70" s="4"/>
      <c r="CIY70" s="4"/>
      <c r="CIZ70" s="4"/>
      <c r="CJA70" s="4"/>
      <c r="CJB70" s="4"/>
      <c r="CJC70" s="4"/>
      <c r="CJD70" s="4"/>
      <c r="CJE70" s="4"/>
      <c r="CJF70" s="4"/>
      <c r="CJG70" s="4"/>
      <c r="CJH70" s="4"/>
      <c r="CJI70" s="4"/>
      <c r="CJJ70" s="4"/>
      <c r="CJK70" s="4"/>
      <c r="CJL70" s="4"/>
      <c r="CJM70" s="4"/>
      <c r="CJN70" s="4"/>
      <c r="CJO70" s="4"/>
      <c r="CJP70" s="4"/>
      <c r="CJQ70" s="4"/>
      <c r="CJR70" s="4"/>
      <c r="CJS70" s="4"/>
      <c r="CJT70" s="4"/>
      <c r="CJU70" s="4"/>
      <c r="CJV70" s="4"/>
      <c r="CJW70" s="4"/>
      <c r="CJX70" s="4"/>
      <c r="CJY70" s="4"/>
      <c r="CJZ70" s="4"/>
      <c r="CKA70" s="4"/>
      <c r="CKB70" s="4"/>
      <c r="CKC70" s="4"/>
      <c r="CKD70" s="4"/>
      <c r="CKE70" s="4"/>
      <c r="CKF70" s="4"/>
      <c r="CKG70" s="4"/>
      <c r="CKH70" s="4"/>
      <c r="CKI70" s="4"/>
      <c r="CKJ70" s="4"/>
      <c r="CKK70" s="4"/>
      <c r="CKL70" s="4"/>
      <c r="CKM70" s="4"/>
      <c r="CKN70" s="4"/>
      <c r="CKO70" s="4"/>
      <c r="CKP70" s="4"/>
      <c r="CKQ70" s="4"/>
      <c r="CKR70" s="4"/>
      <c r="CKS70" s="4"/>
      <c r="CKT70" s="4"/>
      <c r="CKU70" s="4"/>
      <c r="CKV70" s="4"/>
      <c r="CKW70" s="4"/>
      <c r="CKX70" s="4"/>
      <c r="CKY70" s="4"/>
      <c r="CKZ70" s="4"/>
      <c r="CLA70" s="4"/>
      <c r="CLB70" s="4"/>
      <c r="CLC70" s="4"/>
      <c r="CLD70" s="4"/>
      <c r="CLE70" s="4"/>
      <c r="CLF70" s="4"/>
      <c r="CLG70" s="4"/>
      <c r="CLH70" s="4"/>
      <c r="CLI70" s="4"/>
      <c r="CLJ70" s="4"/>
      <c r="CLK70" s="4"/>
      <c r="CLL70" s="4"/>
      <c r="CLM70" s="4"/>
      <c r="CLN70" s="4"/>
      <c r="CLO70" s="4"/>
      <c r="CLP70" s="4"/>
      <c r="CLQ70" s="4"/>
      <c r="CLR70" s="4"/>
      <c r="CLS70" s="4"/>
      <c r="CLT70" s="4"/>
      <c r="CLU70" s="4"/>
      <c r="CLV70" s="4"/>
      <c r="CLW70" s="4"/>
      <c r="CLX70" s="4"/>
      <c r="CLY70" s="4"/>
      <c r="CLZ70" s="4"/>
      <c r="CMA70" s="4"/>
      <c r="CMB70" s="4"/>
      <c r="CMC70" s="4"/>
      <c r="CMD70" s="4"/>
      <c r="CME70" s="4"/>
      <c r="CMF70" s="4"/>
      <c r="CMG70" s="4"/>
      <c r="CMH70" s="4"/>
      <c r="CMI70" s="4"/>
      <c r="CMJ70" s="4"/>
      <c r="CMK70" s="4"/>
      <c r="CML70" s="4"/>
      <c r="CMM70" s="4"/>
      <c r="CMN70" s="4"/>
      <c r="CMO70" s="4"/>
      <c r="CMP70" s="4"/>
      <c r="CMQ70" s="4"/>
      <c r="CMR70" s="4"/>
      <c r="CMS70" s="4"/>
      <c r="CMT70" s="4"/>
      <c r="CMU70" s="4"/>
      <c r="CMV70" s="4"/>
      <c r="CMW70" s="4"/>
      <c r="CMX70" s="4"/>
      <c r="CMY70" s="4"/>
      <c r="CMZ70" s="4"/>
      <c r="CNA70" s="4"/>
      <c r="CNB70" s="4"/>
      <c r="CNC70" s="4"/>
      <c r="CND70" s="4"/>
      <c r="CNE70" s="4"/>
      <c r="CNF70" s="4"/>
      <c r="CNG70" s="4"/>
      <c r="CNH70" s="4"/>
      <c r="CNI70" s="4"/>
      <c r="CNJ70" s="4"/>
      <c r="CNK70" s="4"/>
      <c r="CNL70" s="4"/>
      <c r="CNM70" s="4"/>
      <c r="CNN70" s="4"/>
      <c r="CNO70" s="4"/>
      <c r="CNP70" s="4"/>
      <c r="CNQ70" s="4"/>
      <c r="CNR70" s="4"/>
      <c r="CNS70" s="4"/>
      <c r="CNT70" s="4"/>
      <c r="CNU70" s="4"/>
      <c r="CNV70" s="4"/>
      <c r="CNW70" s="4"/>
      <c r="CNX70" s="4"/>
      <c r="CNY70" s="4"/>
      <c r="CNZ70" s="4"/>
      <c r="COA70" s="4"/>
      <c r="COB70" s="4"/>
      <c r="COC70" s="4"/>
      <c r="COD70" s="4"/>
      <c r="COE70" s="4"/>
      <c r="COF70" s="4"/>
      <c r="COG70" s="4"/>
      <c r="COH70" s="4"/>
      <c r="COI70" s="4"/>
      <c r="COJ70" s="4"/>
      <c r="COK70" s="4"/>
      <c r="COL70" s="4"/>
      <c r="COM70" s="4"/>
      <c r="CON70" s="4"/>
      <c r="COO70" s="4"/>
      <c r="COP70" s="4"/>
      <c r="COQ70" s="4"/>
      <c r="COR70" s="4"/>
      <c r="COS70" s="4"/>
      <c r="COT70" s="4"/>
      <c r="COU70" s="4"/>
      <c r="COV70" s="4"/>
      <c r="COW70" s="4"/>
      <c r="COX70" s="4"/>
      <c r="COY70" s="4"/>
      <c r="COZ70" s="4"/>
      <c r="CPA70" s="4"/>
      <c r="CPB70" s="4"/>
      <c r="CPC70" s="4"/>
      <c r="CPD70" s="4"/>
      <c r="CPE70" s="4"/>
      <c r="CPF70" s="4"/>
      <c r="CPG70" s="4"/>
      <c r="CPH70" s="4"/>
      <c r="CPI70" s="4"/>
      <c r="CPJ70" s="4"/>
      <c r="CPK70" s="4"/>
      <c r="CPL70" s="4"/>
      <c r="CPM70" s="4"/>
      <c r="CPN70" s="4"/>
      <c r="CPO70" s="4"/>
      <c r="CPP70" s="4"/>
      <c r="CPQ70" s="4"/>
      <c r="CPR70" s="4"/>
      <c r="CPS70" s="4"/>
      <c r="CPT70" s="4"/>
      <c r="CPU70" s="4"/>
      <c r="CPV70" s="4"/>
      <c r="CPW70" s="4"/>
      <c r="CPX70" s="4"/>
      <c r="CPY70" s="4"/>
      <c r="CPZ70" s="4"/>
      <c r="CQA70" s="4"/>
      <c r="CQB70" s="4"/>
      <c r="CQC70" s="4"/>
      <c r="CQD70" s="4"/>
      <c r="CQE70" s="4"/>
      <c r="CQF70" s="4"/>
      <c r="CQG70" s="4"/>
      <c r="CQH70" s="4"/>
      <c r="CQI70" s="4"/>
      <c r="CQJ70" s="4"/>
      <c r="CQK70" s="4"/>
      <c r="CQL70" s="4"/>
      <c r="CQM70" s="4"/>
      <c r="CQN70" s="4"/>
      <c r="CQO70" s="4"/>
      <c r="CQP70" s="4"/>
      <c r="CQQ70" s="4"/>
      <c r="CQR70" s="4"/>
      <c r="CQS70" s="4"/>
      <c r="CQT70" s="4"/>
      <c r="CQU70" s="4"/>
      <c r="CQV70" s="4"/>
      <c r="CQW70" s="4"/>
      <c r="CQX70" s="4"/>
      <c r="CQY70" s="4"/>
      <c r="CQZ70" s="4"/>
      <c r="CRA70" s="4"/>
      <c r="CRB70" s="4"/>
      <c r="CRC70" s="4"/>
      <c r="CRD70" s="4"/>
      <c r="CRE70" s="4"/>
      <c r="CRF70" s="4"/>
      <c r="CRG70" s="4"/>
      <c r="CRH70" s="4"/>
      <c r="CRI70" s="4"/>
      <c r="CRJ70" s="4"/>
      <c r="CRK70" s="4"/>
      <c r="CRL70" s="4"/>
      <c r="CRM70" s="4"/>
      <c r="CRN70" s="4"/>
      <c r="CRO70" s="4"/>
      <c r="CRP70" s="4"/>
      <c r="CRQ70" s="4"/>
      <c r="CRR70" s="4"/>
      <c r="CRS70" s="4"/>
      <c r="CRT70" s="4"/>
      <c r="CRU70" s="4"/>
      <c r="CRV70" s="4"/>
      <c r="CRW70" s="4"/>
      <c r="CRX70" s="4"/>
      <c r="CRY70" s="4"/>
      <c r="CRZ70" s="4"/>
      <c r="CSA70" s="4"/>
      <c r="CSB70" s="4"/>
      <c r="CSC70" s="4"/>
      <c r="CSD70" s="4"/>
      <c r="CSE70" s="4"/>
      <c r="CSF70" s="4"/>
      <c r="CSG70" s="4"/>
      <c r="CSH70" s="4"/>
      <c r="CSI70" s="4"/>
      <c r="CSJ70" s="4"/>
      <c r="CSK70" s="4"/>
      <c r="CSL70" s="4"/>
      <c r="CSM70" s="4"/>
      <c r="CSN70" s="4"/>
      <c r="CSO70" s="4"/>
      <c r="CSP70" s="4"/>
      <c r="CSQ70" s="4"/>
      <c r="CSR70" s="4"/>
      <c r="CSS70" s="4"/>
      <c r="CST70" s="4"/>
      <c r="CSU70" s="4"/>
      <c r="CSV70" s="4"/>
      <c r="CSW70" s="4"/>
      <c r="CSX70" s="4"/>
      <c r="CSY70" s="4"/>
      <c r="CSZ70" s="4"/>
      <c r="CTA70" s="4"/>
      <c r="CTB70" s="4"/>
      <c r="CTC70" s="4"/>
      <c r="CTD70" s="4"/>
      <c r="CTE70" s="4"/>
      <c r="CTF70" s="4"/>
      <c r="CTG70" s="4"/>
      <c r="CTH70" s="4"/>
      <c r="CTI70" s="4"/>
      <c r="CTJ70" s="4"/>
      <c r="CTK70" s="4"/>
      <c r="CTL70" s="4"/>
      <c r="CTM70" s="4"/>
      <c r="CTN70" s="4"/>
      <c r="CTO70" s="4"/>
      <c r="CTP70" s="4"/>
      <c r="CTQ70" s="4"/>
      <c r="CTR70" s="4"/>
      <c r="CTS70" s="4"/>
      <c r="CTT70" s="4"/>
      <c r="CTU70" s="4"/>
      <c r="CTV70" s="4"/>
      <c r="CTW70" s="4"/>
      <c r="CTX70" s="4"/>
      <c r="CTY70" s="4"/>
      <c r="CTZ70" s="4"/>
      <c r="CUA70" s="4"/>
      <c r="CUB70" s="4"/>
      <c r="CUC70" s="4"/>
      <c r="CUD70" s="4"/>
      <c r="CUE70" s="4"/>
      <c r="CUF70" s="4"/>
      <c r="CUG70" s="4"/>
      <c r="CUH70" s="4"/>
      <c r="CUI70" s="4"/>
      <c r="CUJ70" s="4"/>
      <c r="CUK70" s="4"/>
      <c r="CUL70" s="4"/>
      <c r="CUM70" s="4"/>
      <c r="CUN70" s="4"/>
      <c r="CUO70" s="4"/>
      <c r="CUP70" s="4"/>
      <c r="CUQ70" s="4"/>
      <c r="CUR70" s="4"/>
      <c r="CUS70" s="4"/>
      <c r="CUT70" s="4"/>
      <c r="CUU70" s="4"/>
      <c r="CUV70" s="4"/>
      <c r="CUW70" s="4"/>
      <c r="CUX70" s="4"/>
      <c r="CUY70" s="4"/>
      <c r="CUZ70" s="4"/>
      <c r="CVA70" s="4"/>
      <c r="CVB70" s="4"/>
      <c r="CVC70" s="4"/>
      <c r="CVD70" s="4"/>
      <c r="CVE70" s="4"/>
      <c r="CVF70" s="4"/>
      <c r="CVG70" s="4"/>
      <c r="CVH70" s="4"/>
      <c r="CVI70" s="4"/>
      <c r="CVJ70" s="4"/>
      <c r="CVK70" s="4"/>
      <c r="CVL70" s="4"/>
      <c r="CVM70" s="4"/>
      <c r="CVN70" s="4"/>
      <c r="CVO70" s="4"/>
      <c r="CVP70" s="4"/>
      <c r="CVQ70" s="4"/>
      <c r="CVR70" s="4"/>
      <c r="CVS70" s="4"/>
      <c r="CVT70" s="4"/>
      <c r="CVU70" s="4"/>
      <c r="CVV70" s="4"/>
      <c r="CVW70" s="4"/>
      <c r="CVX70" s="4"/>
      <c r="CVY70" s="4"/>
      <c r="CVZ70" s="4"/>
      <c r="CWA70" s="4"/>
      <c r="CWB70" s="4"/>
      <c r="CWC70" s="4"/>
      <c r="CWD70" s="4"/>
      <c r="CWE70" s="4"/>
      <c r="CWF70" s="4"/>
      <c r="CWG70" s="4"/>
      <c r="CWH70" s="4"/>
      <c r="CWI70" s="4"/>
      <c r="CWJ70" s="4"/>
      <c r="CWK70" s="4"/>
      <c r="CWL70" s="4"/>
      <c r="CWM70" s="4"/>
      <c r="CWN70" s="4"/>
      <c r="CWO70" s="4"/>
      <c r="CWP70" s="4"/>
      <c r="CWQ70" s="4"/>
      <c r="CWR70" s="4"/>
      <c r="CWS70" s="4"/>
      <c r="CWT70" s="4"/>
      <c r="CWU70" s="4"/>
      <c r="CWV70" s="4"/>
      <c r="CWW70" s="4"/>
      <c r="CWX70" s="4"/>
      <c r="CWY70" s="4"/>
      <c r="CWZ70" s="4"/>
      <c r="CXA70" s="4"/>
      <c r="CXB70" s="4"/>
      <c r="CXC70" s="4"/>
      <c r="CXD70" s="4"/>
      <c r="CXE70" s="4"/>
      <c r="CXF70" s="4"/>
      <c r="CXG70" s="4"/>
      <c r="CXH70" s="4"/>
      <c r="CXI70" s="4"/>
      <c r="CXJ70" s="4"/>
      <c r="CXK70" s="4"/>
      <c r="CXL70" s="4"/>
      <c r="CXM70" s="4"/>
      <c r="CXN70" s="4"/>
      <c r="CXO70" s="4"/>
      <c r="CXP70" s="4"/>
      <c r="CXQ70" s="4"/>
      <c r="CXR70" s="4"/>
      <c r="CXS70" s="4"/>
      <c r="CXT70" s="4"/>
      <c r="CXU70" s="4"/>
      <c r="CXV70" s="4"/>
      <c r="CXW70" s="4"/>
      <c r="CXX70" s="4"/>
      <c r="CXY70" s="4"/>
      <c r="CXZ70" s="4"/>
      <c r="CYA70" s="4"/>
      <c r="CYB70" s="4"/>
      <c r="CYC70" s="4"/>
      <c r="CYD70" s="4"/>
      <c r="CYE70" s="4"/>
      <c r="CYF70" s="4"/>
      <c r="CYG70" s="4"/>
      <c r="CYH70" s="4"/>
      <c r="CYI70" s="4"/>
      <c r="CYJ70" s="4"/>
      <c r="CYK70" s="4"/>
      <c r="CYL70" s="4"/>
      <c r="CYM70" s="4"/>
      <c r="CYN70" s="4"/>
      <c r="CYO70" s="4"/>
      <c r="CYP70" s="4"/>
      <c r="CYQ70" s="4"/>
      <c r="CYR70" s="4"/>
      <c r="CYS70" s="4"/>
      <c r="CYT70" s="4"/>
      <c r="CYU70" s="4"/>
      <c r="CYV70" s="4"/>
      <c r="CYW70" s="4"/>
      <c r="CYX70" s="4"/>
      <c r="CYY70" s="4"/>
      <c r="CYZ70" s="4"/>
      <c r="CZA70" s="4"/>
      <c r="CZB70" s="4"/>
      <c r="CZC70" s="4"/>
      <c r="CZD70" s="4"/>
      <c r="CZE70" s="4"/>
      <c r="CZF70" s="4"/>
      <c r="CZG70" s="4"/>
      <c r="CZH70" s="4"/>
      <c r="CZI70" s="4"/>
      <c r="CZJ70" s="4"/>
      <c r="CZK70" s="4"/>
      <c r="CZL70" s="4"/>
      <c r="CZM70" s="4"/>
      <c r="CZN70" s="4"/>
      <c r="CZO70" s="4"/>
      <c r="CZP70" s="4"/>
      <c r="CZQ70" s="4"/>
      <c r="CZR70" s="4"/>
      <c r="CZS70" s="4"/>
      <c r="CZT70" s="4"/>
      <c r="CZU70" s="4"/>
      <c r="CZV70" s="4"/>
      <c r="CZW70" s="4"/>
      <c r="CZX70" s="4"/>
      <c r="CZY70" s="4"/>
      <c r="CZZ70" s="4"/>
      <c r="DAA70" s="4"/>
      <c r="DAB70" s="4"/>
      <c r="DAC70" s="4"/>
      <c r="DAD70" s="4"/>
      <c r="DAE70" s="4"/>
      <c r="DAF70" s="4"/>
      <c r="DAG70" s="4"/>
      <c r="DAH70" s="4"/>
      <c r="DAI70" s="4"/>
      <c r="DAJ70" s="4"/>
      <c r="DAK70" s="4"/>
      <c r="DAL70" s="4"/>
      <c r="DAM70" s="4"/>
      <c r="DAN70" s="4"/>
      <c r="DAO70" s="4"/>
      <c r="DAP70" s="4"/>
      <c r="DAQ70" s="4"/>
      <c r="DAR70" s="4"/>
      <c r="DAS70" s="4"/>
      <c r="DAT70" s="4"/>
      <c r="DAU70" s="4"/>
      <c r="DAV70" s="4"/>
      <c r="DAW70" s="4"/>
      <c r="DAX70" s="4"/>
      <c r="DAY70" s="4"/>
      <c r="DAZ70" s="4"/>
      <c r="DBA70" s="4"/>
      <c r="DBB70" s="4"/>
      <c r="DBC70" s="4"/>
      <c r="DBD70" s="4"/>
      <c r="DBE70" s="4"/>
      <c r="DBF70" s="4"/>
      <c r="DBG70" s="4"/>
      <c r="DBH70" s="4"/>
      <c r="DBI70" s="4"/>
      <c r="DBJ70" s="4"/>
      <c r="DBK70" s="4"/>
      <c r="DBL70" s="4"/>
      <c r="DBM70" s="4"/>
      <c r="DBN70" s="4"/>
      <c r="DBO70" s="4"/>
      <c r="DBP70" s="4"/>
      <c r="DBQ70" s="4"/>
      <c r="DBR70" s="4"/>
      <c r="DBS70" s="4"/>
      <c r="DBT70" s="4"/>
      <c r="DBU70" s="4"/>
      <c r="DBV70" s="4"/>
      <c r="DBW70" s="4"/>
      <c r="DBX70" s="4"/>
      <c r="DBY70" s="4"/>
      <c r="DBZ70" s="4"/>
      <c r="DCA70" s="4"/>
      <c r="DCB70" s="4"/>
      <c r="DCC70" s="4"/>
      <c r="DCD70" s="4"/>
      <c r="DCE70" s="4"/>
      <c r="DCF70" s="4"/>
      <c r="DCG70" s="4"/>
      <c r="DCH70" s="4"/>
      <c r="DCI70" s="4"/>
      <c r="DCJ70" s="4"/>
      <c r="DCK70" s="4"/>
      <c r="DCL70" s="4"/>
      <c r="DCM70" s="4"/>
      <c r="DCN70" s="4"/>
      <c r="DCO70" s="4"/>
      <c r="DCP70" s="4"/>
      <c r="DCQ70" s="4"/>
      <c r="DCR70" s="4"/>
      <c r="DCS70" s="4"/>
      <c r="DCT70" s="4"/>
      <c r="DCU70" s="4"/>
      <c r="DCV70" s="4"/>
      <c r="DCW70" s="4"/>
      <c r="DCX70" s="4"/>
      <c r="DCY70" s="4"/>
      <c r="DCZ70" s="4"/>
      <c r="DDA70" s="4"/>
      <c r="DDB70" s="4"/>
      <c r="DDC70" s="4"/>
      <c r="DDD70" s="4"/>
      <c r="DDE70" s="4"/>
      <c r="DDF70" s="4"/>
      <c r="DDG70" s="4"/>
      <c r="DDH70" s="4"/>
      <c r="DDI70" s="4"/>
      <c r="DDJ70" s="4"/>
      <c r="DDK70" s="4"/>
      <c r="DDL70" s="4"/>
      <c r="DDM70" s="4"/>
      <c r="DDN70" s="4"/>
      <c r="DDO70" s="4"/>
      <c r="DDP70" s="4"/>
      <c r="DDQ70" s="4"/>
      <c r="DDR70" s="4"/>
      <c r="DDS70" s="4"/>
      <c r="DDT70" s="4"/>
      <c r="DDU70" s="4"/>
      <c r="DDV70" s="4"/>
      <c r="DDW70" s="4"/>
      <c r="DDX70" s="4"/>
      <c r="DDY70" s="4"/>
      <c r="DDZ70" s="4"/>
      <c r="DEA70" s="4"/>
      <c r="DEB70" s="4"/>
      <c r="DEC70" s="4"/>
      <c r="DED70" s="4"/>
      <c r="DEE70" s="4"/>
      <c r="DEF70" s="4"/>
      <c r="DEG70" s="4"/>
      <c r="DEH70" s="4"/>
      <c r="DEI70" s="4"/>
      <c r="DEJ70" s="4"/>
      <c r="DEK70" s="4"/>
      <c r="DEL70" s="4"/>
      <c r="DEM70" s="4"/>
      <c r="DEN70" s="4"/>
      <c r="DEO70" s="4"/>
      <c r="DEP70" s="4"/>
      <c r="DEQ70" s="4"/>
      <c r="DER70" s="4"/>
      <c r="DES70" s="4"/>
      <c r="DET70" s="4"/>
      <c r="DEU70" s="4"/>
      <c r="DEV70" s="4"/>
      <c r="DEW70" s="4"/>
      <c r="DEX70" s="4"/>
      <c r="DEY70" s="4"/>
      <c r="DEZ70" s="4"/>
      <c r="DFA70" s="4"/>
      <c r="DFB70" s="4"/>
      <c r="DFC70" s="4"/>
      <c r="DFD70" s="4"/>
      <c r="DFE70" s="4"/>
      <c r="DFF70" s="4"/>
      <c r="DFG70" s="4"/>
      <c r="DFH70" s="4"/>
      <c r="DFI70" s="4"/>
      <c r="DFJ70" s="4"/>
      <c r="DFK70" s="4"/>
      <c r="DFL70" s="4"/>
      <c r="DFM70" s="4"/>
      <c r="DFN70" s="4"/>
      <c r="DFO70" s="4"/>
      <c r="DFP70" s="4"/>
      <c r="DFQ70" s="4"/>
      <c r="DFR70" s="4"/>
      <c r="DFS70" s="4"/>
      <c r="DFT70" s="4"/>
      <c r="DFU70" s="4"/>
      <c r="DFV70" s="4"/>
      <c r="DFW70" s="4"/>
      <c r="DFX70" s="4"/>
      <c r="DFY70" s="4"/>
      <c r="DFZ70" s="4"/>
      <c r="DGA70" s="4"/>
      <c r="DGB70" s="4"/>
      <c r="DGC70" s="4"/>
      <c r="DGD70" s="4"/>
      <c r="DGE70" s="4"/>
      <c r="DGF70" s="4"/>
      <c r="DGG70" s="4"/>
      <c r="DGH70" s="4"/>
      <c r="DGI70" s="4"/>
      <c r="DGJ70" s="4"/>
      <c r="DGK70" s="4"/>
      <c r="DGL70" s="4"/>
      <c r="DGM70" s="4"/>
      <c r="DGN70" s="4"/>
      <c r="DGO70" s="4"/>
      <c r="DGP70" s="4"/>
      <c r="DGQ70" s="4"/>
      <c r="DGR70" s="4"/>
      <c r="DGS70" s="4"/>
      <c r="DGT70" s="4"/>
      <c r="DGU70" s="4"/>
      <c r="DGV70" s="4"/>
      <c r="DGW70" s="4"/>
      <c r="DGX70" s="4"/>
      <c r="DGY70" s="4"/>
      <c r="DGZ70" s="4"/>
      <c r="DHA70" s="4"/>
      <c r="DHB70" s="4"/>
      <c r="DHC70" s="4"/>
      <c r="DHD70" s="4"/>
      <c r="DHE70" s="4"/>
      <c r="DHF70" s="4"/>
      <c r="DHG70" s="4"/>
      <c r="DHH70" s="4"/>
      <c r="DHI70" s="4"/>
      <c r="DHJ70" s="4"/>
      <c r="DHK70" s="4"/>
      <c r="DHL70" s="4"/>
      <c r="DHM70" s="4"/>
      <c r="DHN70" s="4"/>
      <c r="DHO70" s="4"/>
      <c r="DHP70" s="4"/>
      <c r="DHQ70" s="4"/>
      <c r="DHR70" s="4"/>
      <c r="DHS70" s="4"/>
      <c r="DHT70" s="4"/>
      <c r="DHU70" s="4"/>
      <c r="DHV70" s="4"/>
      <c r="DHW70" s="4"/>
      <c r="DHX70" s="4"/>
      <c r="DHY70" s="4"/>
      <c r="DHZ70" s="4"/>
      <c r="DIA70" s="4"/>
      <c r="DIB70" s="4"/>
      <c r="DIC70" s="4"/>
      <c r="DID70" s="4"/>
      <c r="DIE70" s="4"/>
      <c r="DIF70" s="4"/>
      <c r="DIG70" s="4"/>
      <c r="DIH70" s="4"/>
      <c r="DII70" s="4"/>
      <c r="DIJ70" s="4"/>
      <c r="DIK70" s="4"/>
      <c r="DIL70" s="4"/>
      <c r="DIM70" s="4"/>
      <c r="DIN70" s="4"/>
      <c r="DIO70" s="4"/>
      <c r="DIP70" s="4"/>
      <c r="DIQ70" s="4"/>
      <c r="DIR70" s="4"/>
      <c r="DIS70" s="4"/>
      <c r="DIT70" s="4"/>
      <c r="DIU70" s="4"/>
      <c r="DIV70" s="4"/>
      <c r="DIW70" s="4"/>
      <c r="DIX70" s="4"/>
      <c r="DIY70" s="4"/>
      <c r="DIZ70" s="4"/>
      <c r="DJA70" s="4"/>
      <c r="DJB70" s="4"/>
      <c r="DJC70" s="4"/>
      <c r="DJD70" s="4"/>
      <c r="DJE70" s="4"/>
      <c r="DJF70" s="4"/>
      <c r="DJG70" s="4"/>
      <c r="DJH70" s="4"/>
      <c r="DJI70" s="4"/>
      <c r="DJJ70" s="4"/>
      <c r="DJK70" s="4"/>
      <c r="DJL70" s="4"/>
      <c r="DJM70" s="4"/>
      <c r="DJN70" s="4"/>
      <c r="DJO70" s="4"/>
      <c r="DJP70" s="4"/>
      <c r="DJQ70" s="4"/>
      <c r="DJR70" s="4"/>
      <c r="DJS70" s="4"/>
      <c r="DJT70" s="4"/>
      <c r="DJU70" s="4"/>
      <c r="DJV70" s="4"/>
      <c r="DJW70" s="4"/>
      <c r="DJX70" s="4"/>
      <c r="DJY70" s="4"/>
      <c r="DJZ70" s="4"/>
      <c r="DKA70" s="4"/>
      <c r="DKB70" s="4"/>
      <c r="DKC70" s="4"/>
      <c r="DKD70" s="4"/>
      <c r="DKE70" s="4"/>
      <c r="DKF70" s="4"/>
      <c r="DKG70" s="4"/>
      <c r="DKH70" s="4"/>
      <c r="DKI70" s="4"/>
      <c r="DKJ70" s="4"/>
      <c r="DKK70" s="4"/>
      <c r="DKL70" s="4"/>
      <c r="DKM70" s="4"/>
      <c r="DKN70" s="4"/>
      <c r="DKO70" s="4"/>
      <c r="DKP70" s="4"/>
      <c r="DKQ70" s="4"/>
      <c r="DKR70" s="4"/>
      <c r="DKS70" s="4"/>
      <c r="DKT70" s="4"/>
      <c r="DKU70" s="4"/>
      <c r="DKV70" s="4"/>
      <c r="DKW70" s="4"/>
      <c r="DKX70" s="4"/>
      <c r="DKY70" s="4"/>
      <c r="DKZ70" s="4"/>
      <c r="DLA70" s="4"/>
      <c r="DLB70" s="4"/>
      <c r="DLC70" s="4"/>
      <c r="DLD70" s="4"/>
      <c r="DLE70" s="4"/>
      <c r="DLF70" s="4"/>
      <c r="DLG70" s="4"/>
      <c r="DLH70" s="4"/>
      <c r="DLI70" s="4"/>
      <c r="DLJ70" s="4"/>
      <c r="DLK70" s="4"/>
      <c r="DLL70" s="4"/>
      <c r="DLM70" s="4"/>
      <c r="DLN70" s="4"/>
      <c r="DLO70" s="4"/>
      <c r="DLP70" s="4"/>
      <c r="DLQ70" s="4"/>
      <c r="DLR70" s="4"/>
      <c r="DLS70" s="4"/>
      <c r="DLT70" s="4"/>
      <c r="DLU70" s="4"/>
      <c r="DLV70" s="4"/>
      <c r="DLW70" s="4"/>
      <c r="DLX70" s="4"/>
      <c r="DLY70" s="4"/>
      <c r="DLZ70" s="4"/>
      <c r="DMA70" s="4"/>
      <c r="DMB70" s="4"/>
      <c r="DMC70" s="4"/>
      <c r="DMD70" s="4"/>
      <c r="DME70" s="4"/>
      <c r="DMF70" s="4"/>
      <c r="DMG70" s="4"/>
      <c r="DMH70" s="4"/>
      <c r="DMI70" s="4"/>
      <c r="DMJ70" s="4"/>
      <c r="DMK70" s="4"/>
      <c r="DML70" s="4"/>
      <c r="DMM70" s="4"/>
      <c r="DMN70" s="4"/>
      <c r="DMO70" s="4"/>
      <c r="DMP70" s="4"/>
      <c r="DMQ70" s="4"/>
      <c r="DMR70" s="4"/>
      <c r="DMS70" s="4"/>
      <c r="DMT70" s="4"/>
      <c r="DMU70" s="4"/>
      <c r="DMV70" s="4"/>
      <c r="DMW70" s="4"/>
      <c r="DMX70" s="4"/>
      <c r="DMY70" s="4"/>
      <c r="DMZ70" s="4"/>
      <c r="DNA70" s="4"/>
      <c r="DNB70" s="4"/>
      <c r="DNC70" s="4"/>
      <c r="DND70" s="4"/>
      <c r="DNE70" s="4"/>
      <c r="DNF70" s="4"/>
      <c r="DNG70" s="4"/>
      <c r="DNH70" s="4"/>
      <c r="DNI70" s="4"/>
      <c r="DNJ70" s="4"/>
      <c r="DNK70" s="4"/>
      <c r="DNL70" s="4"/>
      <c r="DNM70" s="4"/>
      <c r="DNN70" s="4"/>
      <c r="DNO70" s="4"/>
      <c r="DNP70" s="4"/>
      <c r="DNQ70" s="4"/>
      <c r="DNR70" s="4"/>
      <c r="DNS70" s="4"/>
      <c r="DNT70" s="4"/>
      <c r="DNU70" s="4"/>
      <c r="DNV70" s="4"/>
      <c r="DNW70" s="4"/>
      <c r="DNX70" s="4"/>
      <c r="DNY70" s="4"/>
      <c r="DNZ70" s="4"/>
      <c r="DOA70" s="4"/>
      <c r="DOB70" s="4"/>
      <c r="DOC70" s="4"/>
      <c r="DOD70" s="4"/>
      <c r="DOE70" s="4"/>
      <c r="DOF70" s="4"/>
      <c r="DOG70" s="4"/>
      <c r="DOH70" s="4"/>
      <c r="DOI70" s="4"/>
      <c r="DOJ70" s="4"/>
      <c r="DOK70" s="4"/>
      <c r="DOL70" s="4"/>
      <c r="DOM70" s="4"/>
      <c r="DON70" s="4"/>
      <c r="DOO70" s="4"/>
      <c r="DOP70" s="4"/>
      <c r="DOQ70" s="4"/>
      <c r="DOR70" s="4"/>
      <c r="DOS70" s="4"/>
      <c r="DOT70" s="4"/>
      <c r="DOU70" s="4"/>
      <c r="DOV70" s="4"/>
      <c r="DOW70" s="4"/>
      <c r="DOX70" s="4"/>
      <c r="DOY70" s="4"/>
      <c r="DOZ70" s="4"/>
      <c r="DPA70" s="4"/>
      <c r="DPB70" s="4"/>
      <c r="DPC70" s="4"/>
      <c r="DPD70" s="4"/>
      <c r="DPE70" s="4"/>
      <c r="DPF70" s="4"/>
      <c r="DPG70" s="4"/>
      <c r="DPH70" s="4"/>
      <c r="DPI70" s="4"/>
      <c r="DPJ70" s="4"/>
      <c r="DPK70" s="4"/>
      <c r="DPL70" s="4"/>
      <c r="DPM70" s="4"/>
      <c r="DPN70" s="4"/>
      <c r="DPO70" s="4"/>
      <c r="DPP70" s="4"/>
      <c r="DPQ70" s="4"/>
      <c r="DPR70" s="4"/>
      <c r="DPS70" s="4"/>
      <c r="DPT70" s="4"/>
      <c r="DPU70" s="4"/>
      <c r="DPV70" s="4"/>
      <c r="DPW70" s="4"/>
      <c r="DPX70" s="4"/>
      <c r="DPY70" s="4"/>
      <c r="DPZ70" s="4"/>
      <c r="DQA70" s="4"/>
      <c r="DQB70" s="4"/>
      <c r="DQC70" s="4"/>
      <c r="DQD70" s="4"/>
      <c r="DQE70" s="4"/>
      <c r="DQF70" s="4"/>
      <c r="DQG70" s="4"/>
      <c r="DQH70" s="4"/>
      <c r="DQI70" s="4"/>
      <c r="DQJ70" s="4"/>
      <c r="DQK70" s="4"/>
      <c r="DQL70" s="4"/>
      <c r="DQM70" s="4"/>
      <c r="DQN70" s="4"/>
      <c r="DQO70" s="4"/>
      <c r="DQP70" s="4"/>
      <c r="DQQ70" s="4"/>
      <c r="DQR70" s="4"/>
      <c r="DQS70" s="4"/>
      <c r="DQT70" s="4"/>
      <c r="DQU70" s="4"/>
      <c r="DQV70" s="4"/>
      <c r="DQW70" s="4"/>
      <c r="DQX70" s="4"/>
      <c r="DQY70" s="4"/>
      <c r="DQZ70" s="4"/>
      <c r="DRA70" s="4"/>
      <c r="DRB70" s="4"/>
      <c r="DRC70" s="4"/>
      <c r="DRD70" s="4"/>
      <c r="DRE70" s="4"/>
      <c r="DRF70" s="4"/>
      <c r="DRG70" s="4"/>
      <c r="DRH70" s="4"/>
      <c r="DRI70" s="4"/>
      <c r="DRJ70" s="4"/>
      <c r="DRK70" s="4"/>
      <c r="DRL70" s="4"/>
      <c r="DRM70" s="4"/>
      <c r="DRN70" s="4"/>
      <c r="DRO70" s="4"/>
      <c r="DRP70" s="4"/>
      <c r="DRQ70" s="4"/>
      <c r="DRR70" s="4"/>
      <c r="DRS70" s="4"/>
      <c r="DRT70" s="4"/>
      <c r="DRU70" s="4"/>
      <c r="DRV70" s="4"/>
      <c r="DRW70" s="4"/>
      <c r="DRX70" s="4"/>
      <c r="DRY70" s="4"/>
      <c r="DRZ70" s="4"/>
      <c r="DSA70" s="4"/>
      <c r="DSB70" s="4"/>
      <c r="DSC70" s="4"/>
      <c r="DSD70" s="4"/>
      <c r="DSE70" s="4"/>
      <c r="DSF70" s="4"/>
      <c r="DSG70" s="4"/>
      <c r="DSH70" s="4"/>
      <c r="DSI70" s="4"/>
      <c r="DSJ70" s="4"/>
      <c r="DSK70" s="4"/>
      <c r="DSL70" s="4"/>
      <c r="DSM70" s="4"/>
      <c r="DSN70" s="4"/>
      <c r="DSO70" s="4"/>
      <c r="DSP70" s="4"/>
      <c r="DSQ70" s="4"/>
      <c r="DSR70" s="4"/>
      <c r="DSS70" s="4"/>
      <c r="DST70" s="4"/>
      <c r="DSU70" s="4"/>
      <c r="DSV70" s="4"/>
      <c r="DSW70" s="4"/>
      <c r="DSX70" s="4"/>
      <c r="DSY70" s="4"/>
      <c r="DSZ70" s="4"/>
      <c r="DTA70" s="4"/>
      <c r="DTB70" s="4"/>
      <c r="DTC70" s="4"/>
      <c r="DTD70" s="4"/>
      <c r="DTE70" s="4"/>
      <c r="DTF70" s="4"/>
      <c r="DTG70" s="4"/>
      <c r="DTH70" s="4"/>
      <c r="DTI70" s="4"/>
      <c r="DTJ70" s="4"/>
      <c r="DTK70" s="4"/>
      <c r="DTL70" s="4"/>
      <c r="DTM70" s="4"/>
      <c r="DTN70" s="4"/>
      <c r="DTO70" s="4"/>
      <c r="DTP70" s="4"/>
      <c r="DTQ70" s="4"/>
      <c r="DTR70" s="4"/>
      <c r="DTS70" s="4"/>
      <c r="DTT70" s="4"/>
      <c r="DTU70" s="4"/>
      <c r="DTV70" s="4"/>
      <c r="DTW70" s="4"/>
      <c r="DTX70" s="4"/>
      <c r="DTY70" s="4"/>
      <c r="DTZ70" s="4"/>
      <c r="DUA70" s="4"/>
      <c r="DUB70" s="4"/>
      <c r="DUC70" s="4"/>
      <c r="DUD70" s="4"/>
      <c r="DUE70" s="4"/>
      <c r="DUF70" s="4"/>
      <c r="DUG70" s="4"/>
      <c r="DUH70" s="4"/>
      <c r="DUI70" s="4"/>
      <c r="DUJ70" s="4"/>
      <c r="DUK70" s="4"/>
      <c r="DUL70" s="4"/>
      <c r="DUM70" s="4"/>
      <c r="DUN70" s="4"/>
      <c r="DUO70" s="4"/>
      <c r="DUP70" s="4"/>
      <c r="DUQ70" s="4"/>
      <c r="DUR70" s="4"/>
      <c r="DUS70" s="4"/>
      <c r="DUT70" s="4"/>
      <c r="DUU70" s="4"/>
      <c r="DUV70" s="4"/>
      <c r="DUW70" s="4"/>
      <c r="DUX70" s="4"/>
      <c r="DUY70" s="4"/>
      <c r="DUZ70" s="4"/>
      <c r="DVA70" s="4"/>
      <c r="DVB70" s="4"/>
      <c r="DVC70" s="4"/>
      <c r="DVD70" s="4"/>
      <c r="DVE70" s="4"/>
      <c r="DVF70" s="4"/>
      <c r="DVG70" s="4"/>
      <c r="DVH70" s="4"/>
      <c r="DVI70" s="4"/>
      <c r="DVJ70" s="4"/>
      <c r="DVK70" s="4"/>
      <c r="DVL70" s="4"/>
      <c r="DVM70" s="4"/>
      <c r="DVN70" s="4"/>
      <c r="DVO70" s="4"/>
      <c r="DVP70" s="4"/>
      <c r="DVQ70" s="4"/>
      <c r="DVR70" s="4"/>
      <c r="DVS70" s="4"/>
      <c r="DVT70" s="4"/>
      <c r="DVU70" s="4"/>
      <c r="DVV70" s="4"/>
      <c r="DVW70" s="4"/>
      <c r="DVX70" s="4"/>
      <c r="DVY70" s="4"/>
      <c r="DVZ70" s="4"/>
      <c r="DWA70" s="4"/>
      <c r="DWB70" s="4"/>
      <c r="DWC70" s="4"/>
      <c r="DWD70" s="4"/>
      <c r="DWE70" s="4"/>
      <c r="DWF70" s="4"/>
      <c r="DWG70" s="4"/>
      <c r="DWH70" s="4"/>
      <c r="DWI70" s="4"/>
      <c r="DWJ70" s="4"/>
      <c r="DWK70" s="4"/>
      <c r="DWL70" s="4"/>
      <c r="DWM70" s="4"/>
      <c r="DWN70" s="4"/>
      <c r="DWO70" s="4"/>
      <c r="DWP70" s="4"/>
      <c r="DWQ70" s="4"/>
      <c r="DWR70" s="4"/>
      <c r="DWS70" s="4"/>
      <c r="DWT70" s="4"/>
      <c r="DWU70" s="4"/>
      <c r="DWV70" s="4"/>
      <c r="DWW70" s="4"/>
      <c r="DWX70" s="4"/>
      <c r="DWY70" s="4"/>
      <c r="DWZ70" s="4"/>
      <c r="DXA70" s="4"/>
      <c r="DXB70" s="4"/>
      <c r="DXC70" s="4"/>
      <c r="DXD70" s="4"/>
      <c r="DXE70" s="4"/>
      <c r="DXF70" s="4"/>
      <c r="DXG70" s="4"/>
      <c r="DXH70" s="4"/>
      <c r="DXI70" s="4"/>
      <c r="DXJ70" s="4"/>
      <c r="DXK70" s="4"/>
      <c r="DXL70" s="4"/>
      <c r="DXM70" s="4"/>
      <c r="DXN70" s="4"/>
      <c r="DXO70" s="4"/>
      <c r="DXP70" s="4"/>
      <c r="DXQ70" s="4"/>
      <c r="DXR70" s="4"/>
      <c r="DXS70" s="4"/>
      <c r="DXT70" s="4"/>
      <c r="DXU70" s="4"/>
      <c r="DXV70" s="4"/>
      <c r="DXW70" s="4"/>
      <c r="DXX70" s="4"/>
      <c r="DXY70" s="4"/>
      <c r="DXZ70" s="4"/>
      <c r="DYA70" s="4"/>
      <c r="DYB70" s="4"/>
      <c r="DYC70" s="4"/>
      <c r="DYD70" s="4"/>
      <c r="DYE70" s="4"/>
      <c r="DYF70" s="4"/>
      <c r="DYG70" s="4"/>
      <c r="DYH70" s="4"/>
      <c r="DYI70" s="4"/>
      <c r="DYJ70" s="4"/>
      <c r="DYK70" s="4"/>
      <c r="DYL70" s="4"/>
      <c r="DYM70" s="4"/>
      <c r="DYN70" s="4"/>
      <c r="DYO70" s="4"/>
      <c r="DYP70" s="4"/>
      <c r="DYQ70" s="4"/>
      <c r="DYR70" s="4"/>
      <c r="DYS70" s="4"/>
      <c r="DYT70" s="4"/>
      <c r="DYU70" s="4"/>
      <c r="DYV70" s="4"/>
      <c r="DYW70" s="4"/>
      <c r="DYX70" s="4"/>
      <c r="DYY70" s="4"/>
      <c r="DYZ70" s="4"/>
      <c r="DZA70" s="4"/>
      <c r="DZB70" s="4"/>
      <c r="DZC70" s="4"/>
      <c r="DZD70" s="4"/>
      <c r="DZE70" s="4"/>
      <c r="DZF70" s="4"/>
      <c r="DZG70" s="4"/>
      <c r="DZH70" s="4"/>
      <c r="DZI70" s="4"/>
      <c r="DZJ70" s="4"/>
      <c r="DZK70" s="4"/>
      <c r="DZL70" s="4"/>
      <c r="DZM70" s="4"/>
      <c r="DZN70" s="4"/>
      <c r="DZO70" s="4"/>
      <c r="DZP70" s="4"/>
      <c r="DZQ70" s="4"/>
      <c r="DZR70" s="4"/>
      <c r="DZS70" s="4"/>
      <c r="DZT70" s="4"/>
      <c r="DZU70" s="4"/>
      <c r="DZV70" s="4"/>
      <c r="DZW70" s="4"/>
      <c r="DZX70" s="4"/>
      <c r="DZY70" s="4"/>
      <c r="DZZ70" s="4"/>
      <c r="EAA70" s="4"/>
      <c r="EAB70" s="4"/>
      <c r="EAC70" s="4"/>
      <c r="EAD70" s="4"/>
      <c r="EAE70" s="4"/>
      <c r="EAF70" s="4"/>
      <c r="EAG70" s="4"/>
      <c r="EAH70" s="4"/>
      <c r="EAI70" s="4"/>
      <c r="EAJ70" s="4"/>
      <c r="EAK70" s="4"/>
      <c r="EAL70" s="4"/>
      <c r="EAM70" s="4"/>
      <c r="EAN70" s="4"/>
      <c r="EAO70" s="4"/>
      <c r="EAP70" s="4"/>
      <c r="EAQ70" s="4"/>
      <c r="EAR70" s="4"/>
      <c r="EAS70" s="4"/>
      <c r="EAT70" s="4"/>
      <c r="EAU70" s="4"/>
      <c r="EAV70" s="4"/>
      <c r="EAW70" s="4"/>
      <c r="EAX70" s="4"/>
      <c r="EAY70" s="4"/>
      <c r="EAZ70" s="4"/>
      <c r="EBA70" s="4"/>
      <c r="EBB70" s="4"/>
      <c r="EBC70" s="4"/>
      <c r="EBD70" s="4"/>
      <c r="EBE70" s="4"/>
      <c r="EBF70" s="4"/>
      <c r="EBG70" s="4"/>
      <c r="EBH70" s="4"/>
      <c r="EBI70" s="4"/>
      <c r="EBJ70" s="4"/>
      <c r="EBK70" s="4"/>
      <c r="EBL70" s="4"/>
      <c r="EBM70" s="4"/>
      <c r="EBN70" s="4"/>
      <c r="EBO70" s="4"/>
      <c r="EBP70" s="4"/>
      <c r="EBQ70" s="4"/>
      <c r="EBR70" s="4"/>
      <c r="EBS70" s="4"/>
      <c r="EBT70" s="4"/>
      <c r="EBU70" s="4"/>
      <c r="EBV70" s="4"/>
      <c r="EBW70" s="4"/>
      <c r="EBX70" s="4"/>
      <c r="EBY70" s="4"/>
      <c r="EBZ70" s="4"/>
      <c r="ECA70" s="4"/>
      <c r="ECB70" s="4"/>
      <c r="ECC70" s="4"/>
      <c r="ECD70" s="4"/>
      <c r="ECE70" s="4"/>
      <c r="ECF70" s="4"/>
      <c r="ECG70" s="4"/>
      <c r="ECH70" s="4"/>
      <c r="ECI70" s="4"/>
      <c r="ECJ70" s="4"/>
      <c r="ECK70" s="4"/>
      <c r="ECL70" s="4"/>
      <c r="ECM70" s="4"/>
      <c r="ECN70" s="4"/>
      <c r="ECO70" s="4"/>
      <c r="ECP70" s="4"/>
      <c r="ECQ70" s="4"/>
      <c r="ECR70" s="4"/>
      <c r="ECS70" s="4"/>
      <c r="ECT70" s="4"/>
      <c r="ECU70" s="4"/>
      <c r="ECV70" s="4"/>
      <c r="ECW70" s="4"/>
      <c r="ECX70" s="4"/>
      <c r="ECY70" s="4"/>
      <c r="ECZ70" s="4"/>
      <c r="EDA70" s="4"/>
      <c r="EDB70" s="4"/>
      <c r="EDC70" s="4"/>
      <c r="EDD70" s="4"/>
      <c r="EDE70" s="4"/>
      <c r="EDF70" s="4"/>
      <c r="EDG70" s="4"/>
      <c r="EDH70" s="4"/>
      <c r="EDI70" s="4"/>
      <c r="EDJ70" s="4"/>
      <c r="EDK70" s="4"/>
      <c r="EDL70" s="4"/>
      <c r="EDM70" s="4"/>
      <c r="EDN70" s="4"/>
      <c r="EDO70" s="4"/>
      <c r="EDP70" s="4"/>
      <c r="EDQ70" s="4"/>
      <c r="EDR70" s="4"/>
      <c r="EDS70" s="4"/>
      <c r="EDT70" s="4"/>
      <c r="EDU70" s="4"/>
      <c r="EDV70" s="4"/>
      <c r="EDW70" s="4"/>
      <c r="EDX70" s="4"/>
      <c r="EDY70" s="4"/>
      <c r="EDZ70" s="4"/>
      <c r="EEA70" s="4"/>
      <c r="EEB70" s="4"/>
      <c r="EEC70" s="4"/>
      <c r="EED70" s="4"/>
      <c r="EEE70" s="4"/>
      <c r="EEF70" s="4"/>
      <c r="EEG70" s="4"/>
      <c r="EEH70" s="4"/>
      <c r="EEI70" s="4"/>
      <c r="EEJ70" s="4"/>
      <c r="EEK70" s="4"/>
      <c r="EEL70" s="4"/>
      <c r="EEM70" s="4"/>
      <c r="EEN70" s="4"/>
      <c r="EEO70" s="4"/>
      <c r="EEP70" s="4"/>
      <c r="EEQ70" s="4"/>
      <c r="EER70" s="4"/>
      <c r="EES70" s="4"/>
      <c r="EET70" s="4"/>
      <c r="EEU70" s="4"/>
      <c r="EEV70" s="4"/>
      <c r="EEW70" s="4"/>
      <c r="EEX70" s="4"/>
      <c r="EEY70" s="4"/>
      <c r="EEZ70" s="4"/>
      <c r="EFA70" s="4"/>
      <c r="EFB70" s="4"/>
      <c r="EFC70" s="4"/>
      <c r="EFD70" s="4"/>
      <c r="EFE70" s="4"/>
      <c r="EFF70" s="4"/>
      <c r="EFG70" s="4"/>
      <c r="EFH70" s="4"/>
      <c r="EFI70" s="4"/>
      <c r="EFJ70" s="4"/>
      <c r="EFK70" s="4"/>
      <c r="EFL70" s="4"/>
      <c r="EFM70" s="4"/>
      <c r="EFN70" s="4"/>
      <c r="EFO70" s="4"/>
      <c r="EFP70" s="4"/>
      <c r="EFQ70" s="4"/>
      <c r="EFR70" s="4"/>
      <c r="EFS70" s="4"/>
      <c r="EFT70" s="4"/>
      <c r="EFU70" s="4"/>
      <c r="EFV70" s="4"/>
      <c r="EFW70" s="4"/>
      <c r="EFX70" s="4"/>
      <c r="EFY70" s="4"/>
      <c r="EFZ70" s="4"/>
      <c r="EGA70" s="4"/>
      <c r="EGB70" s="4"/>
      <c r="EGC70" s="4"/>
      <c r="EGD70" s="4"/>
      <c r="EGE70" s="4"/>
      <c r="EGF70" s="4"/>
      <c r="EGG70" s="4"/>
      <c r="EGH70" s="4"/>
      <c r="EGI70" s="4"/>
      <c r="EGJ70" s="4"/>
      <c r="EGK70" s="4"/>
      <c r="EGL70" s="4"/>
      <c r="EGM70" s="4"/>
      <c r="EGN70" s="4"/>
      <c r="EGO70" s="4"/>
      <c r="EGP70" s="4"/>
      <c r="EGQ70" s="4"/>
      <c r="EGR70" s="4"/>
      <c r="EGS70" s="4"/>
      <c r="EGT70" s="4"/>
      <c r="EGU70" s="4"/>
      <c r="EGV70" s="4"/>
      <c r="EGW70" s="4"/>
      <c r="EGX70" s="4"/>
      <c r="EGY70" s="4"/>
      <c r="EGZ70" s="4"/>
      <c r="EHA70" s="4"/>
      <c r="EHB70" s="4"/>
      <c r="EHC70" s="4"/>
      <c r="EHD70" s="4"/>
      <c r="EHE70" s="4"/>
      <c r="EHF70" s="4"/>
      <c r="EHG70" s="4"/>
      <c r="EHH70" s="4"/>
      <c r="EHI70" s="4"/>
      <c r="EHJ70" s="4"/>
      <c r="EHK70" s="4"/>
      <c r="EHL70" s="4"/>
      <c r="EHM70" s="4"/>
      <c r="EHN70" s="4"/>
      <c r="EHO70" s="4"/>
      <c r="EHP70" s="4"/>
      <c r="EHQ70" s="4"/>
      <c r="EHR70" s="4"/>
      <c r="EHS70" s="4"/>
      <c r="EHT70" s="4"/>
      <c r="EHU70" s="4"/>
      <c r="EHV70" s="4"/>
      <c r="EHW70" s="4"/>
      <c r="EHX70" s="4"/>
      <c r="EHY70" s="4"/>
      <c r="EHZ70" s="4"/>
      <c r="EIA70" s="4"/>
      <c r="EIB70" s="4"/>
      <c r="EIC70" s="4"/>
      <c r="EID70" s="4"/>
      <c r="EIE70" s="4"/>
      <c r="EIF70" s="4"/>
      <c r="EIG70" s="4"/>
      <c r="EIH70" s="4"/>
      <c r="EII70" s="4"/>
      <c r="EIJ70" s="4"/>
      <c r="EIK70" s="4"/>
      <c r="EIL70" s="4"/>
      <c r="EIM70" s="4"/>
      <c r="EIN70" s="4"/>
      <c r="EIO70" s="4"/>
      <c r="EIP70" s="4"/>
      <c r="EIQ70" s="4"/>
      <c r="EIR70" s="4"/>
      <c r="EIS70" s="4"/>
      <c r="EIT70" s="4"/>
      <c r="EIU70" s="4"/>
      <c r="EIV70" s="4"/>
      <c r="EIW70" s="4"/>
      <c r="EIX70" s="4"/>
      <c r="EIY70" s="4"/>
      <c r="EIZ70" s="4"/>
      <c r="EJA70" s="4"/>
      <c r="EJB70" s="4"/>
      <c r="EJC70" s="4"/>
      <c r="EJD70" s="4"/>
      <c r="EJE70" s="4"/>
      <c r="EJF70" s="4"/>
      <c r="EJG70" s="4"/>
      <c r="EJH70" s="4"/>
      <c r="EJI70" s="4"/>
      <c r="EJJ70" s="4"/>
      <c r="EJK70" s="4"/>
      <c r="EJL70" s="4"/>
      <c r="EJM70" s="4"/>
      <c r="EJN70" s="4"/>
      <c r="EJO70" s="4"/>
      <c r="EJP70" s="4"/>
      <c r="EJQ70" s="4"/>
      <c r="EJR70" s="4"/>
      <c r="EJS70" s="4"/>
      <c r="EJT70" s="4"/>
      <c r="EJU70" s="4"/>
      <c r="EJV70" s="4"/>
      <c r="EJW70" s="4"/>
      <c r="EJX70" s="4"/>
      <c r="EJY70" s="4"/>
      <c r="EJZ70" s="4"/>
      <c r="EKA70" s="4"/>
      <c r="EKB70" s="4"/>
      <c r="EKC70" s="4"/>
      <c r="EKD70" s="4"/>
      <c r="EKE70" s="4"/>
      <c r="EKF70" s="4"/>
      <c r="EKG70" s="4"/>
      <c r="EKH70" s="4"/>
      <c r="EKI70" s="4"/>
      <c r="EKJ70" s="4"/>
      <c r="EKK70" s="4"/>
      <c r="EKL70" s="4"/>
      <c r="EKM70" s="4"/>
      <c r="EKN70" s="4"/>
      <c r="EKO70" s="4"/>
      <c r="EKP70" s="4"/>
      <c r="EKQ70" s="4"/>
      <c r="EKR70" s="4"/>
      <c r="EKS70" s="4"/>
      <c r="EKT70" s="4"/>
      <c r="EKU70" s="4"/>
      <c r="EKV70" s="4"/>
      <c r="EKW70" s="4"/>
      <c r="EKX70" s="4"/>
      <c r="EKY70" s="4"/>
      <c r="EKZ70" s="4"/>
      <c r="ELA70" s="4"/>
      <c r="ELB70" s="4"/>
      <c r="ELC70" s="4"/>
      <c r="ELD70" s="4"/>
      <c r="ELE70" s="4"/>
      <c r="ELF70" s="4"/>
      <c r="ELG70" s="4"/>
      <c r="ELH70" s="4"/>
      <c r="ELI70" s="4"/>
      <c r="ELJ70" s="4"/>
      <c r="ELK70" s="4"/>
      <c r="ELL70" s="4"/>
      <c r="ELM70" s="4"/>
      <c r="ELN70" s="4"/>
      <c r="ELO70" s="4"/>
      <c r="ELP70" s="4"/>
      <c r="ELQ70" s="4"/>
      <c r="ELR70" s="4"/>
      <c r="ELS70" s="4"/>
      <c r="ELT70" s="4"/>
      <c r="ELU70" s="4"/>
      <c r="ELV70" s="4"/>
      <c r="ELW70" s="4"/>
      <c r="ELX70" s="4"/>
      <c r="ELY70" s="4"/>
      <c r="ELZ70" s="4"/>
      <c r="EMA70" s="4"/>
      <c r="EMB70" s="4"/>
      <c r="EMC70" s="4"/>
      <c r="EMD70" s="4"/>
      <c r="EME70" s="4"/>
      <c r="EMF70" s="4"/>
      <c r="EMG70" s="4"/>
      <c r="EMH70" s="4"/>
      <c r="EMI70" s="4"/>
      <c r="EMJ70" s="4"/>
      <c r="EMK70" s="4"/>
      <c r="EML70" s="4"/>
      <c r="EMM70" s="4"/>
      <c r="EMN70" s="4"/>
      <c r="EMO70" s="4"/>
      <c r="EMP70" s="4"/>
      <c r="EMQ70" s="4"/>
      <c r="EMR70" s="4"/>
      <c r="EMS70" s="4"/>
      <c r="EMT70" s="4"/>
      <c r="EMU70" s="4"/>
      <c r="EMV70" s="4"/>
      <c r="EMW70" s="4"/>
      <c r="EMX70" s="4"/>
      <c r="EMY70" s="4"/>
      <c r="EMZ70" s="4"/>
      <c r="ENA70" s="4"/>
      <c r="ENB70" s="4"/>
      <c r="ENC70" s="4"/>
      <c r="END70" s="4"/>
      <c r="ENE70" s="4"/>
      <c r="ENF70" s="4"/>
      <c r="ENG70" s="4"/>
      <c r="ENH70" s="4"/>
      <c r="ENI70" s="4"/>
      <c r="ENJ70" s="4"/>
      <c r="ENK70" s="4"/>
      <c r="ENL70" s="4"/>
      <c r="ENM70" s="4"/>
      <c r="ENN70" s="4"/>
      <c r="ENO70" s="4"/>
      <c r="ENP70" s="4"/>
      <c r="ENQ70" s="4"/>
      <c r="ENR70" s="4"/>
      <c r="ENS70" s="4"/>
      <c r="ENT70" s="4"/>
      <c r="ENU70" s="4"/>
      <c r="ENV70" s="4"/>
      <c r="ENW70" s="4"/>
      <c r="ENX70" s="4"/>
      <c r="ENY70" s="4"/>
      <c r="ENZ70" s="4"/>
      <c r="EOA70" s="4"/>
      <c r="EOB70" s="4"/>
      <c r="EOC70" s="4"/>
      <c r="EOD70" s="4"/>
      <c r="EOE70" s="4"/>
      <c r="EOF70" s="4"/>
      <c r="EOG70" s="4"/>
      <c r="EOH70" s="4"/>
      <c r="EOI70" s="4"/>
      <c r="EOJ70" s="4"/>
      <c r="EOK70" s="4"/>
      <c r="EOL70" s="4"/>
      <c r="EOM70" s="4"/>
      <c r="EON70" s="4"/>
      <c r="EOO70" s="4"/>
      <c r="EOP70" s="4"/>
      <c r="EOQ70" s="4"/>
      <c r="EOR70" s="4"/>
      <c r="EOS70" s="4"/>
      <c r="EOT70" s="4"/>
      <c r="EOU70" s="4"/>
      <c r="EOV70" s="4"/>
      <c r="EOW70" s="4"/>
      <c r="EOX70" s="4"/>
      <c r="EOY70" s="4"/>
      <c r="EOZ70" s="4"/>
      <c r="EPA70" s="4"/>
      <c r="EPB70" s="4"/>
      <c r="EPC70" s="4"/>
      <c r="EPD70" s="4"/>
      <c r="EPE70" s="4"/>
      <c r="EPF70" s="4"/>
      <c r="EPG70" s="4"/>
      <c r="EPH70" s="4"/>
      <c r="EPI70" s="4"/>
      <c r="EPJ70" s="4"/>
      <c r="EPK70" s="4"/>
      <c r="EPL70" s="4"/>
      <c r="EPM70" s="4"/>
      <c r="EPN70" s="4"/>
      <c r="EPO70" s="4"/>
      <c r="EPP70" s="4"/>
      <c r="EPQ70" s="4"/>
      <c r="EPR70" s="4"/>
      <c r="EPS70" s="4"/>
      <c r="EPT70" s="4"/>
      <c r="EPU70" s="4"/>
      <c r="EPV70" s="4"/>
      <c r="EPW70" s="4"/>
      <c r="EPX70" s="4"/>
      <c r="EPY70" s="4"/>
      <c r="EPZ70" s="4"/>
      <c r="EQA70" s="4"/>
      <c r="EQB70" s="4"/>
      <c r="EQC70" s="4"/>
      <c r="EQD70" s="4"/>
      <c r="EQE70" s="4"/>
      <c r="EQF70" s="4"/>
      <c r="EQG70" s="4"/>
      <c r="EQH70" s="4"/>
      <c r="EQI70" s="4"/>
      <c r="EQJ70" s="4"/>
      <c r="EQK70" s="4"/>
      <c r="EQL70" s="4"/>
      <c r="EQM70" s="4"/>
      <c r="EQN70" s="4"/>
      <c r="EQO70" s="4"/>
      <c r="EQP70" s="4"/>
      <c r="EQQ70" s="4"/>
      <c r="EQR70" s="4"/>
      <c r="EQS70" s="4"/>
      <c r="EQT70" s="4"/>
      <c r="EQU70" s="4"/>
      <c r="EQV70" s="4"/>
      <c r="EQW70" s="4"/>
      <c r="EQX70" s="4"/>
      <c r="EQY70" s="4"/>
      <c r="EQZ70" s="4"/>
      <c r="ERA70" s="4"/>
      <c r="ERB70" s="4"/>
      <c r="ERC70" s="4"/>
      <c r="ERD70" s="4"/>
      <c r="ERE70" s="4"/>
      <c r="ERF70" s="4"/>
      <c r="ERG70" s="4"/>
      <c r="ERH70" s="4"/>
      <c r="ERI70" s="4"/>
      <c r="ERJ70" s="4"/>
      <c r="ERK70" s="4"/>
      <c r="ERL70" s="4"/>
      <c r="ERM70" s="4"/>
      <c r="ERN70" s="4"/>
      <c r="ERO70" s="4"/>
      <c r="ERP70" s="4"/>
      <c r="ERQ70" s="4"/>
      <c r="ERR70" s="4"/>
      <c r="ERS70" s="4"/>
      <c r="ERT70" s="4"/>
      <c r="ERU70" s="4"/>
      <c r="ERV70" s="4"/>
      <c r="ERW70" s="4"/>
      <c r="ERX70" s="4"/>
      <c r="ERY70" s="4"/>
      <c r="ERZ70" s="4"/>
      <c r="ESA70" s="4"/>
      <c r="ESB70" s="4"/>
      <c r="ESC70" s="4"/>
      <c r="ESD70" s="4"/>
      <c r="ESE70" s="4"/>
      <c r="ESF70" s="4"/>
      <c r="ESG70" s="4"/>
      <c r="ESH70" s="4"/>
      <c r="ESI70" s="4"/>
      <c r="ESJ70" s="4"/>
      <c r="ESK70" s="4"/>
      <c r="ESL70" s="4"/>
      <c r="ESM70" s="4"/>
      <c r="ESN70" s="4"/>
      <c r="ESO70" s="4"/>
      <c r="ESP70" s="4"/>
      <c r="ESQ70" s="4"/>
      <c r="ESR70" s="4"/>
      <c r="ESS70" s="4"/>
      <c r="EST70" s="4"/>
      <c r="ESU70" s="4"/>
      <c r="ESV70" s="4"/>
      <c r="ESW70" s="4"/>
      <c r="ESX70" s="4"/>
      <c r="ESY70" s="4"/>
      <c r="ESZ70" s="4"/>
      <c r="ETA70" s="4"/>
      <c r="ETB70" s="4"/>
      <c r="ETC70" s="4"/>
      <c r="ETD70" s="4"/>
      <c r="ETE70" s="4"/>
      <c r="ETF70" s="4"/>
      <c r="ETG70" s="4"/>
      <c r="ETH70" s="4"/>
      <c r="ETI70" s="4"/>
      <c r="ETJ70" s="4"/>
      <c r="ETK70" s="4"/>
      <c r="ETL70" s="4"/>
      <c r="ETM70" s="4"/>
      <c r="ETN70" s="4"/>
      <c r="ETO70" s="4"/>
      <c r="ETP70" s="4"/>
      <c r="ETQ70" s="4"/>
      <c r="ETR70" s="4"/>
      <c r="ETS70" s="4"/>
      <c r="ETT70" s="4"/>
      <c r="ETU70" s="4"/>
      <c r="ETV70" s="4"/>
      <c r="ETW70" s="4"/>
      <c r="ETX70" s="4"/>
      <c r="ETY70" s="4"/>
      <c r="ETZ70" s="4"/>
      <c r="EUA70" s="4"/>
      <c r="EUB70" s="4"/>
      <c r="EUC70" s="4"/>
      <c r="EUD70" s="4"/>
      <c r="EUE70" s="4"/>
      <c r="EUF70" s="4"/>
      <c r="EUG70" s="4"/>
      <c r="EUH70" s="4"/>
      <c r="EUI70" s="4"/>
      <c r="EUJ70" s="4"/>
      <c r="EUK70" s="4"/>
      <c r="EUL70" s="4"/>
      <c r="EUM70" s="4"/>
      <c r="EUN70" s="4"/>
      <c r="EUO70" s="4"/>
      <c r="EUP70" s="4"/>
      <c r="EUQ70" s="4"/>
      <c r="EUR70" s="4"/>
      <c r="EUS70" s="4"/>
      <c r="EUT70" s="4"/>
      <c r="EUU70" s="4"/>
      <c r="EUV70" s="4"/>
      <c r="EUW70" s="4"/>
      <c r="EUX70" s="4"/>
      <c r="EUY70" s="4"/>
      <c r="EUZ70" s="4"/>
      <c r="EVA70" s="4"/>
      <c r="EVB70" s="4"/>
      <c r="EVC70" s="4"/>
      <c r="EVD70" s="4"/>
      <c r="EVE70" s="4"/>
      <c r="EVF70" s="4"/>
      <c r="EVG70" s="4"/>
      <c r="EVH70" s="4"/>
      <c r="EVI70" s="4"/>
      <c r="EVJ70" s="4"/>
      <c r="EVK70" s="4"/>
      <c r="EVL70" s="4"/>
      <c r="EVM70" s="4"/>
      <c r="EVN70" s="4"/>
      <c r="EVO70" s="4"/>
      <c r="EVP70" s="4"/>
      <c r="EVQ70" s="4"/>
      <c r="EVR70" s="4"/>
      <c r="EVS70" s="4"/>
      <c r="EVT70" s="4"/>
      <c r="EVU70" s="4"/>
      <c r="EVV70" s="4"/>
      <c r="EVW70" s="4"/>
      <c r="EVX70" s="4"/>
      <c r="EVY70" s="4"/>
      <c r="EVZ70" s="4"/>
      <c r="EWA70" s="4"/>
      <c r="EWB70" s="4"/>
      <c r="EWC70" s="4"/>
      <c r="EWD70" s="4"/>
      <c r="EWE70" s="4"/>
      <c r="EWF70" s="4"/>
      <c r="EWG70" s="4"/>
      <c r="EWH70" s="4"/>
      <c r="EWI70" s="4"/>
      <c r="EWJ70" s="4"/>
      <c r="EWK70" s="4"/>
      <c r="EWL70" s="4"/>
      <c r="EWM70" s="4"/>
      <c r="EWN70" s="4"/>
      <c r="EWO70" s="4"/>
      <c r="EWP70" s="4"/>
      <c r="EWQ70" s="4"/>
      <c r="EWR70" s="4"/>
      <c r="EWS70" s="4"/>
      <c r="EWT70" s="4"/>
      <c r="EWU70" s="4"/>
      <c r="EWV70" s="4"/>
      <c r="EWW70" s="4"/>
      <c r="EWX70" s="4"/>
      <c r="EWY70" s="4"/>
      <c r="EWZ70" s="4"/>
      <c r="EXA70" s="4"/>
      <c r="EXB70" s="4"/>
      <c r="EXC70" s="4"/>
      <c r="EXD70" s="4"/>
      <c r="EXE70" s="4"/>
      <c r="EXF70" s="4"/>
      <c r="EXG70" s="4"/>
      <c r="EXH70" s="4"/>
      <c r="EXI70" s="4"/>
      <c r="EXJ70" s="4"/>
      <c r="EXK70" s="4"/>
      <c r="EXL70" s="4"/>
      <c r="EXM70" s="4"/>
      <c r="EXN70" s="4"/>
      <c r="EXO70" s="4"/>
      <c r="EXP70" s="4"/>
      <c r="EXQ70" s="4"/>
      <c r="EXR70" s="4"/>
      <c r="EXS70" s="4"/>
      <c r="EXT70" s="4"/>
      <c r="EXU70" s="4"/>
      <c r="EXV70" s="4"/>
      <c r="EXW70" s="4"/>
      <c r="EXX70" s="4"/>
      <c r="EXY70" s="4"/>
      <c r="EXZ70" s="4"/>
      <c r="EYA70" s="4"/>
      <c r="EYB70" s="4"/>
      <c r="EYC70" s="4"/>
      <c r="EYD70" s="4"/>
      <c r="EYE70" s="4"/>
      <c r="EYF70" s="4"/>
      <c r="EYG70" s="4"/>
      <c r="EYH70" s="4"/>
      <c r="EYI70" s="4"/>
      <c r="EYJ70" s="4"/>
      <c r="EYK70" s="4"/>
      <c r="EYL70" s="4"/>
      <c r="EYM70" s="4"/>
      <c r="EYN70" s="4"/>
      <c r="EYO70" s="4"/>
      <c r="EYP70" s="4"/>
      <c r="EYQ70" s="4"/>
      <c r="EYR70" s="4"/>
      <c r="EYS70" s="4"/>
      <c r="EYT70" s="4"/>
      <c r="EYU70" s="4"/>
      <c r="EYV70" s="4"/>
      <c r="EYW70" s="4"/>
      <c r="EYX70" s="4"/>
      <c r="EYY70" s="4"/>
      <c r="EYZ70" s="4"/>
      <c r="EZA70" s="4"/>
      <c r="EZB70" s="4"/>
      <c r="EZC70" s="4"/>
      <c r="EZD70" s="4"/>
      <c r="EZE70" s="4"/>
      <c r="EZF70" s="4"/>
      <c r="EZG70" s="4"/>
      <c r="EZH70" s="4"/>
      <c r="EZI70" s="4"/>
      <c r="EZJ70" s="4"/>
      <c r="EZK70" s="4"/>
      <c r="EZL70" s="4"/>
      <c r="EZM70" s="4"/>
      <c r="EZN70" s="4"/>
      <c r="EZO70" s="4"/>
      <c r="EZP70" s="4"/>
      <c r="EZQ70" s="4"/>
      <c r="EZR70" s="4"/>
      <c r="EZS70" s="4"/>
      <c r="EZT70" s="4"/>
      <c r="EZU70" s="4"/>
      <c r="EZV70" s="4"/>
      <c r="EZW70" s="4"/>
      <c r="EZX70" s="4"/>
      <c r="EZY70" s="4"/>
      <c r="EZZ70" s="4"/>
      <c r="FAA70" s="4"/>
      <c r="FAB70" s="4"/>
      <c r="FAC70" s="4"/>
      <c r="FAD70" s="4"/>
      <c r="FAE70" s="4"/>
      <c r="FAF70" s="4"/>
      <c r="FAG70" s="4"/>
      <c r="FAH70" s="4"/>
      <c r="FAI70" s="4"/>
      <c r="FAJ70" s="4"/>
      <c r="FAK70" s="4"/>
      <c r="FAL70" s="4"/>
      <c r="FAM70" s="4"/>
      <c r="FAN70" s="4"/>
      <c r="FAO70" s="4"/>
      <c r="FAP70" s="4"/>
      <c r="FAQ70" s="4"/>
      <c r="FAR70" s="4"/>
      <c r="FAS70" s="4"/>
      <c r="FAT70" s="4"/>
      <c r="FAU70" s="4"/>
      <c r="FAV70" s="4"/>
      <c r="FAW70" s="4"/>
      <c r="FAX70" s="4"/>
      <c r="FAY70" s="4"/>
      <c r="FAZ70" s="4"/>
      <c r="FBA70" s="4"/>
      <c r="FBB70" s="4"/>
      <c r="FBC70" s="4"/>
      <c r="FBD70" s="4"/>
      <c r="FBE70" s="4"/>
      <c r="FBF70" s="4"/>
      <c r="FBG70" s="4"/>
      <c r="FBH70" s="4"/>
      <c r="FBI70" s="4"/>
      <c r="FBJ70" s="4"/>
      <c r="FBK70" s="4"/>
      <c r="FBL70" s="4"/>
      <c r="FBM70" s="4"/>
      <c r="FBN70" s="4"/>
      <c r="FBO70" s="4"/>
      <c r="FBP70" s="4"/>
      <c r="FBQ70" s="4"/>
      <c r="FBR70" s="4"/>
      <c r="FBS70" s="4"/>
      <c r="FBT70" s="4"/>
      <c r="FBU70" s="4"/>
      <c r="FBV70" s="4"/>
      <c r="FBW70" s="4"/>
      <c r="FBX70" s="4"/>
      <c r="FBY70" s="4"/>
      <c r="FBZ70" s="4"/>
      <c r="FCA70" s="4"/>
      <c r="FCB70" s="4"/>
      <c r="FCC70" s="4"/>
      <c r="FCD70" s="4"/>
      <c r="FCE70" s="4"/>
      <c r="FCF70" s="4"/>
      <c r="FCG70" s="4"/>
      <c r="FCH70" s="4"/>
      <c r="FCI70" s="4"/>
      <c r="FCJ70" s="4"/>
      <c r="FCK70" s="4"/>
      <c r="FCL70" s="4"/>
      <c r="FCM70" s="4"/>
      <c r="FCN70" s="4"/>
      <c r="FCO70" s="4"/>
      <c r="FCP70" s="4"/>
      <c r="FCQ70" s="4"/>
      <c r="FCR70" s="4"/>
      <c r="FCS70" s="4"/>
      <c r="FCT70" s="4"/>
      <c r="FCU70" s="4"/>
      <c r="FCV70" s="4"/>
      <c r="FCW70" s="4"/>
      <c r="FCX70" s="4"/>
      <c r="FCY70" s="4"/>
      <c r="FCZ70" s="4"/>
      <c r="FDA70" s="4"/>
      <c r="FDB70" s="4"/>
      <c r="FDC70" s="4"/>
      <c r="FDD70" s="4"/>
      <c r="FDE70" s="4"/>
      <c r="FDF70" s="4"/>
      <c r="FDG70" s="4"/>
      <c r="FDH70" s="4"/>
      <c r="FDI70" s="4"/>
      <c r="FDJ70" s="4"/>
      <c r="FDK70" s="4"/>
      <c r="FDL70" s="4"/>
      <c r="FDM70" s="4"/>
      <c r="FDN70" s="4"/>
      <c r="FDO70" s="4"/>
      <c r="FDP70" s="4"/>
      <c r="FDQ70" s="4"/>
      <c r="FDR70" s="4"/>
      <c r="FDS70" s="4"/>
      <c r="FDT70" s="4"/>
      <c r="FDU70" s="4"/>
      <c r="FDV70" s="4"/>
      <c r="FDW70" s="4"/>
      <c r="FDX70" s="4"/>
      <c r="FDY70" s="4"/>
      <c r="FDZ70" s="4"/>
      <c r="FEA70" s="4"/>
      <c r="FEB70" s="4"/>
      <c r="FEC70" s="4"/>
      <c r="FED70" s="4"/>
      <c r="FEE70" s="4"/>
      <c r="FEF70" s="4"/>
      <c r="FEG70" s="4"/>
      <c r="FEH70" s="4"/>
      <c r="FEI70" s="4"/>
      <c r="FEJ70" s="4"/>
      <c r="FEK70" s="4"/>
      <c r="FEL70" s="4"/>
      <c r="FEM70" s="4"/>
      <c r="FEN70" s="4"/>
      <c r="FEO70" s="4"/>
      <c r="FEP70" s="4"/>
      <c r="FEQ70" s="4"/>
      <c r="FER70" s="4"/>
      <c r="FES70" s="4"/>
      <c r="FET70" s="4"/>
      <c r="FEU70" s="4"/>
      <c r="FEV70" s="4"/>
      <c r="FEW70" s="4"/>
      <c r="FEX70" s="4"/>
      <c r="FEY70" s="4"/>
      <c r="FEZ70" s="4"/>
      <c r="FFA70" s="4"/>
      <c r="FFB70" s="4"/>
      <c r="FFC70" s="4"/>
      <c r="FFD70" s="4"/>
      <c r="FFE70" s="4"/>
      <c r="FFF70" s="4"/>
      <c r="FFG70" s="4"/>
      <c r="FFH70" s="4"/>
      <c r="FFI70" s="4"/>
      <c r="FFJ70" s="4"/>
      <c r="FFK70" s="4"/>
      <c r="FFL70" s="4"/>
      <c r="FFM70" s="4"/>
      <c r="FFN70" s="4"/>
      <c r="FFO70" s="4"/>
      <c r="FFP70" s="4"/>
      <c r="FFQ70" s="4"/>
      <c r="FFR70" s="4"/>
      <c r="FFS70" s="4"/>
      <c r="FFT70" s="4"/>
      <c r="FFU70" s="4"/>
      <c r="FFV70" s="4"/>
      <c r="FFW70" s="4"/>
      <c r="FFX70" s="4"/>
      <c r="FFY70" s="4"/>
      <c r="FFZ70" s="4"/>
      <c r="FGA70" s="4"/>
      <c r="FGB70" s="4"/>
      <c r="FGC70" s="4"/>
      <c r="FGD70" s="4"/>
      <c r="FGE70" s="4"/>
      <c r="FGF70" s="4"/>
      <c r="FGG70" s="4"/>
      <c r="FGH70" s="4"/>
      <c r="FGI70" s="4"/>
      <c r="FGJ70" s="4"/>
      <c r="FGK70" s="4"/>
      <c r="FGL70" s="4"/>
      <c r="FGM70" s="4"/>
      <c r="FGN70" s="4"/>
      <c r="FGO70" s="4"/>
      <c r="FGP70" s="4"/>
      <c r="FGQ70" s="4"/>
      <c r="FGR70" s="4"/>
      <c r="FGS70" s="4"/>
      <c r="FGT70" s="4"/>
      <c r="FGU70" s="4"/>
      <c r="FGV70" s="4"/>
      <c r="FGW70" s="4"/>
      <c r="FGX70" s="4"/>
      <c r="FGY70" s="4"/>
      <c r="FGZ70" s="4"/>
      <c r="FHA70" s="4"/>
      <c r="FHB70" s="4"/>
      <c r="FHC70" s="4"/>
      <c r="FHD70" s="4"/>
      <c r="FHE70" s="4"/>
      <c r="FHF70" s="4"/>
      <c r="FHG70" s="4"/>
      <c r="FHH70" s="4"/>
      <c r="FHI70" s="4"/>
      <c r="FHJ70" s="4"/>
      <c r="FHK70" s="4"/>
      <c r="FHL70" s="4"/>
      <c r="FHM70" s="4"/>
      <c r="FHN70" s="4"/>
      <c r="FHO70" s="4"/>
      <c r="FHP70" s="4"/>
      <c r="FHQ70" s="4"/>
      <c r="FHR70" s="4"/>
      <c r="FHS70" s="4"/>
      <c r="FHT70" s="4"/>
      <c r="FHU70" s="4"/>
      <c r="FHV70" s="4"/>
      <c r="FHW70" s="4"/>
      <c r="FHX70" s="4"/>
      <c r="FHY70" s="4"/>
      <c r="FHZ70" s="4"/>
      <c r="FIA70" s="4"/>
      <c r="FIB70" s="4"/>
      <c r="FIC70" s="4"/>
      <c r="FID70" s="4"/>
      <c r="FIE70" s="4"/>
      <c r="FIF70" s="4"/>
      <c r="FIG70" s="4"/>
      <c r="FIH70" s="4"/>
      <c r="FII70" s="4"/>
      <c r="FIJ70" s="4"/>
      <c r="FIK70" s="4"/>
      <c r="FIL70" s="4"/>
      <c r="FIM70" s="4"/>
      <c r="FIN70" s="4"/>
      <c r="FIO70" s="4"/>
      <c r="FIP70" s="4"/>
      <c r="FIQ70" s="4"/>
      <c r="FIR70" s="4"/>
      <c r="FIS70" s="4"/>
      <c r="FIT70" s="4"/>
      <c r="FIU70" s="4"/>
      <c r="FIV70" s="4"/>
      <c r="FIW70" s="4"/>
      <c r="FIX70" s="4"/>
      <c r="FIY70" s="4"/>
      <c r="FIZ70" s="4"/>
      <c r="FJA70" s="4"/>
      <c r="FJB70" s="4"/>
      <c r="FJC70" s="4"/>
      <c r="FJD70" s="4"/>
      <c r="FJE70" s="4"/>
      <c r="FJF70" s="4"/>
      <c r="FJG70" s="4"/>
      <c r="FJH70" s="4"/>
      <c r="FJI70" s="4"/>
      <c r="FJJ70" s="4"/>
      <c r="FJK70" s="4"/>
      <c r="FJL70" s="4"/>
      <c r="FJM70" s="4"/>
      <c r="FJN70" s="4"/>
      <c r="FJO70" s="4"/>
      <c r="FJP70" s="4"/>
      <c r="FJQ70" s="4"/>
      <c r="FJR70" s="4"/>
      <c r="FJS70" s="4"/>
      <c r="FJT70" s="4"/>
      <c r="FJU70" s="4"/>
      <c r="FJV70" s="4"/>
      <c r="FJW70" s="4"/>
      <c r="FJX70" s="4"/>
      <c r="FJY70" s="4"/>
      <c r="FJZ70" s="4"/>
      <c r="FKA70" s="4"/>
      <c r="FKB70" s="4"/>
      <c r="FKC70" s="4"/>
      <c r="FKD70" s="4"/>
      <c r="FKE70" s="4"/>
      <c r="FKF70" s="4"/>
      <c r="FKG70" s="4"/>
      <c r="FKH70" s="4"/>
      <c r="FKI70" s="4"/>
      <c r="FKJ70" s="4"/>
      <c r="FKK70" s="4"/>
      <c r="FKL70" s="4"/>
      <c r="FKM70" s="4"/>
      <c r="FKN70" s="4"/>
      <c r="FKO70" s="4"/>
      <c r="FKP70" s="4"/>
      <c r="FKQ70" s="4"/>
      <c r="FKR70" s="4"/>
      <c r="FKS70" s="4"/>
      <c r="FKT70" s="4"/>
      <c r="FKU70" s="4"/>
      <c r="FKV70" s="4"/>
      <c r="FKW70" s="4"/>
      <c r="FKX70" s="4"/>
      <c r="FKY70" s="4"/>
      <c r="FKZ70" s="4"/>
      <c r="FLA70" s="4"/>
      <c r="FLB70" s="4"/>
      <c r="FLC70" s="4"/>
      <c r="FLD70" s="4"/>
      <c r="FLE70" s="4"/>
      <c r="FLF70" s="4"/>
      <c r="FLG70" s="4"/>
      <c r="FLH70" s="4"/>
      <c r="FLI70" s="4"/>
      <c r="FLJ70" s="4"/>
      <c r="FLK70" s="4"/>
      <c r="FLL70" s="4"/>
      <c r="FLM70" s="4"/>
      <c r="FLN70" s="4"/>
      <c r="FLO70" s="4"/>
      <c r="FLP70" s="4"/>
      <c r="FLQ70" s="4"/>
      <c r="FLR70" s="4"/>
      <c r="FLS70" s="4"/>
      <c r="FLT70" s="4"/>
      <c r="FLU70" s="4"/>
      <c r="FLV70" s="4"/>
      <c r="FLW70" s="4"/>
      <c r="FLX70" s="4"/>
      <c r="FLY70" s="4"/>
      <c r="FLZ70" s="4"/>
      <c r="FMA70" s="4"/>
      <c r="FMB70" s="4"/>
      <c r="FMC70" s="4"/>
      <c r="FMD70" s="4"/>
      <c r="FME70" s="4"/>
      <c r="FMF70" s="4"/>
      <c r="FMG70" s="4"/>
      <c r="FMH70" s="4"/>
      <c r="FMI70" s="4"/>
      <c r="FMJ70" s="4"/>
      <c r="FMK70" s="4"/>
      <c r="FML70" s="4"/>
      <c r="FMM70" s="4"/>
      <c r="FMN70" s="4"/>
      <c r="FMO70" s="4"/>
      <c r="FMP70" s="4"/>
      <c r="FMQ70" s="4"/>
      <c r="FMR70" s="4"/>
      <c r="FMS70" s="4"/>
      <c r="FMT70" s="4"/>
      <c r="FMU70" s="4"/>
      <c r="FMV70" s="4"/>
      <c r="FMW70" s="4"/>
      <c r="FMX70" s="4"/>
      <c r="FMY70" s="4"/>
      <c r="FMZ70" s="4"/>
      <c r="FNA70" s="4"/>
      <c r="FNB70" s="4"/>
      <c r="FNC70" s="4"/>
      <c r="FND70" s="4"/>
      <c r="FNE70" s="4"/>
      <c r="FNF70" s="4"/>
      <c r="FNG70" s="4"/>
      <c r="FNH70" s="4"/>
      <c r="FNI70" s="4"/>
      <c r="FNJ70" s="4"/>
      <c r="FNK70" s="4"/>
      <c r="FNL70" s="4"/>
      <c r="FNM70" s="4"/>
      <c r="FNN70" s="4"/>
      <c r="FNO70" s="4"/>
      <c r="FNP70" s="4"/>
      <c r="FNQ70" s="4"/>
      <c r="FNR70" s="4"/>
      <c r="FNS70" s="4"/>
      <c r="FNT70" s="4"/>
      <c r="FNU70" s="4"/>
      <c r="FNV70" s="4"/>
      <c r="FNW70" s="4"/>
      <c r="FNX70" s="4"/>
      <c r="FNY70" s="4"/>
      <c r="FNZ70" s="4"/>
      <c r="FOA70" s="4"/>
      <c r="FOB70" s="4"/>
      <c r="FOC70" s="4"/>
      <c r="FOD70" s="4"/>
      <c r="FOE70" s="4"/>
      <c r="FOF70" s="4"/>
      <c r="FOG70" s="4"/>
      <c r="FOH70" s="4"/>
      <c r="FOI70" s="4"/>
      <c r="FOJ70" s="4"/>
      <c r="FOK70" s="4"/>
      <c r="FOL70" s="4"/>
      <c r="FOM70" s="4"/>
      <c r="FON70" s="4"/>
      <c r="FOO70" s="4"/>
      <c r="FOP70" s="4"/>
      <c r="FOQ70" s="4"/>
      <c r="FOR70" s="4"/>
      <c r="FOS70" s="4"/>
      <c r="FOT70" s="4"/>
      <c r="FOU70" s="4"/>
      <c r="FOV70" s="4"/>
      <c r="FOW70" s="4"/>
      <c r="FOX70" s="4"/>
      <c r="FOY70" s="4"/>
      <c r="FOZ70" s="4"/>
      <c r="FPA70" s="4"/>
      <c r="FPB70" s="4"/>
      <c r="FPC70" s="4"/>
      <c r="FPD70" s="4"/>
      <c r="FPE70" s="4"/>
      <c r="FPF70" s="4"/>
      <c r="FPG70" s="4"/>
      <c r="FPH70" s="4"/>
      <c r="FPI70" s="4"/>
      <c r="FPJ70" s="4"/>
      <c r="FPK70" s="4"/>
      <c r="FPL70" s="4"/>
      <c r="FPM70" s="4"/>
      <c r="FPN70" s="4"/>
      <c r="FPO70" s="4"/>
      <c r="FPP70" s="4"/>
      <c r="FPQ70" s="4"/>
      <c r="FPR70" s="4"/>
      <c r="FPS70" s="4"/>
      <c r="FPT70" s="4"/>
      <c r="FPU70" s="4"/>
      <c r="FPV70" s="4"/>
      <c r="FPW70" s="4"/>
      <c r="FPX70" s="4"/>
      <c r="FPY70" s="4"/>
      <c r="FPZ70" s="4"/>
      <c r="FQA70" s="4"/>
      <c r="FQB70" s="4"/>
      <c r="FQC70" s="4"/>
      <c r="FQD70" s="4"/>
      <c r="FQE70" s="4"/>
      <c r="FQF70" s="4"/>
      <c r="FQG70" s="4"/>
      <c r="FQH70" s="4"/>
      <c r="FQI70" s="4"/>
      <c r="FQJ70" s="4"/>
      <c r="FQK70" s="4"/>
      <c r="FQL70" s="4"/>
      <c r="FQM70" s="4"/>
      <c r="FQN70" s="4"/>
      <c r="FQO70" s="4"/>
      <c r="FQP70" s="4"/>
      <c r="FQQ70" s="4"/>
      <c r="FQR70" s="4"/>
      <c r="FQS70" s="4"/>
      <c r="FQT70" s="4"/>
      <c r="FQU70" s="4"/>
      <c r="FQV70" s="4"/>
      <c r="FQW70" s="4"/>
      <c r="FQX70" s="4"/>
      <c r="FQY70" s="4"/>
      <c r="FQZ70" s="4"/>
      <c r="FRA70" s="4"/>
      <c r="FRB70" s="4"/>
      <c r="FRC70" s="4"/>
      <c r="FRD70" s="4"/>
      <c r="FRE70" s="4"/>
      <c r="FRF70" s="4"/>
      <c r="FRG70" s="4"/>
      <c r="FRH70" s="4"/>
      <c r="FRI70" s="4"/>
      <c r="FRJ70" s="4"/>
      <c r="FRK70" s="4"/>
      <c r="FRL70" s="4"/>
      <c r="FRM70" s="4"/>
      <c r="FRN70" s="4"/>
      <c r="FRO70" s="4"/>
      <c r="FRP70" s="4"/>
      <c r="FRQ70" s="4"/>
      <c r="FRR70" s="4"/>
      <c r="FRS70" s="4"/>
      <c r="FRT70" s="4"/>
      <c r="FRU70" s="4"/>
      <c r="FRV70" s="4"/>
      <c r="FRW70" s="4"/>
      <c r="FRX70" s="4"/>
      <c r="FRY70" s="4"/>
      <c r="FRZ70" s="4"/>
      <c r="FSA70" s="4"/>
      <c r="FSB70" s="4"/>
      <c r="FSC70" s="4"/>
      <c r="FSD70" s="4"/>
      <c r="FSE70" s="4"/>
      <c r="FSF70" s="4"/>
      <c r="FSG70" s="4"/>
      <c r="FSH70" s="4"/>
      <c r="FSI70" s="4"/>
      <c r="FSJ70" s="4"/>
      <c r="FSK70" s="4"/>
      <c r="FSL70" s="4"/>
      <c r="FSM70" s="4"/>
      <c r="FSN70" s="4"/>
      <c r="FSO70" s="4"/>
      <c r="FSP70" s="4"/>
      <c r="FSQ70" s="4"/>
      <c r="FSR70" s="4"/>
      <c r="FSS70" s="4"/>
      <c r="FST70" s="4"/>
      <c r="FSU70" s="4"/>
      <c r="FSV70" s="4"/>
      <c r="FSW70" s="4"/>
      <c r="FSX70" s="4"/>
      <c r="FSY70" s="4"/>
      <c r="FSZ70" s="4"/>
      <c r="FTA70" s="4"/>
      <c r="FTB70" s="4"/>
      <c r="FTC70" s="4"/>
      <c r="FTD70" s="4"/>
      <c r="FTE70" s="4"/>
      <c r="FTF70" s="4"/>
      <c r="FTG70" s="4"/>
      <c r="FTH70" s="4"/>
      <c r="FTI70" s="4"/>
      <c r="FTJ70" s="4"/>
      <c r="FTK70" s="4"/>
      <c r="FTL70" s="4"/>
      <c r="FTM70" s="4"/>
      <c r="FTN70" s="4"/>
      <c r="FTO70" s="4"/>
      <c r="FTP70" s="4"/>
      <c r="FTQ70" s="4"/>
      <c r="FTR70" s="4"/>
      <c r="FTS70" s="4"/>
      <c r="FTT70" s="4"/>
      <c r="FTU70" s="4"/>
      <c r="FTV70" s="4"/>
      <c r="FTW70" s="4"/>
      <c r="FTX70" s="4"/>
      <c r="FTY70" s="4"/>
      <c r="FTZ70" s="4"/>
      <c r="FUA70" s="4"/>
      <c r="FUB70" s="4"/>
      <c r="FUC70" s="4"/>
      <c r="FUD70" s="4"/>
      <c r="FUE70" s="4"/>
      <c r="FUF70" s="4"/>
      <c r="FUG70" s="4"/>
      <c r="FUH70" s="4"/>
      <c r="FUI70" s="4"/>
      <c r="FUJ70" s="4"/>
      <c r="FUK70" s="4"/>
      <c r="FUL70" s="4"/>
      <c r="FUM70" s="4"/>
      <c r="FUN70" s="4"/>
      <c r="FUO70" s="4"/>
      <c r="FUP70" s="4"/>
      <c r="FUQ70" s="4"/>
      <c r="FUR70" s="4"/>
      <c r="FUS70" s="4"/>
      <c r="FUT70" s="4"/>
      <c r="FUU70" s="4"/>
      <c r="FUV70" s="4"/>
      <c r="FUW70" s="4"/>
      <c r="FUX70" s="4"/>
      <c r="FUY70" s="4"/>
      <c r="FUZ70" s="4"/>
      <c r="FVA70" s="4"/>
      <c r="FVB70" s="4"/>
      <c r="FVC70" s="4"/>
      <c r="FVD70" s="4"/>
      <c r="FVE70" s="4"/>
      <c r="FVF70" s="4"/>
      <c r="FVG70" s="4"/>
      <c r="FVH70" s="4"/>
      <c r="FVI70" s="4"/>
      <c r="FVJ70" s="4"/>
      <c r="FVK70" s="4"/>
      <c r="FVL70" s="4"/>
      <c r="FVM70" s="4"/>
      <c r="FVN70" s="4"/>
      <c r="FVO70" s="4"/>
      <c r="FVP70" s="4"/>
      <c r="FVQ70" s="4"/>
      <c r="FVR70" s="4"/>
      <c r="FVS70" s="4"/>
      <c r="FVT70" s="4"/>
      <c r="FVU70" s="4"/>
      <c r="FVV70" s="4"/>
      <c r="FVW70" s="4"/>
      <c r="FVX70" s="4"/>
      <c r="FVY70" s="4"/>
      <c r="FVZ70" s="4"/>
      <c r="FWA70" s="4"/>
      <c r="FWB70" s="4"/>
      <c r="FWC70" s="4"/>
      <c r="FWD70" s="4"/>
      <c r="FWE70" s="4"/>
      <c r="FWF70" s="4"/>
      <c r="FWG70" s="4"/>
      <c r="FWH70" s="4"/>
      <c r="FWI70" s="4"/>
      <c r="FWJ70" s="4"/>
      <c r="FWK70" s="4"/>
      <c r="FWL70" s="4"/>
      <c r="FWM70" s="4"/>
      <c r="FWN70" s="4"/>
      <c r="FWO70" s="4"/>
      <c r="FWP70" s="4"/>
      <c r="FWQ70" s="4"/>
      <c r="FWR70" s="4"/>
      <c r="FWS70" s="4"/>
      <c r="FWT70" s="4"/>
      <c r="FWU70" s="4"/>
      <c r="FWV70" s="4"/>
      <c r="FWW70" s="4"/>
      <c r="FWX70" s="4"/>
      <c r="FWY70" s="4"/>
      <c r="FWZ70" s="4"/>
      <c r="FXA70" s="4"/>
      <c r="FXB70" s="4"/>
      <c r="FXC70" s="4"/>
      <c r="FXD70" s="4"/>
      <c r="FXE70" s="4"/>
      <c r="FXF70" s="4"/>
      <c r="FXG70" s="4"/>
      <c r="FXH70" s="4"/>
      <c r="FXI70" s="4"/>
      <c r="FXJ70" s="4"/>
      <c r="FXK70" s="4"/>
      <c r="FXL70" s="4"/>
      <c r="FXM70" s="4"/>
      <c r="FXN70" s="4"/>
      <c r="FXO70" s="4"/>
      <c r="FXP70" s="4"/>
      <c r="FXQ70" s="4"/>
      <c r="FXR70" s="4"/>
      <c r="FXS70" s="4"/>
      <c r="FXT70" s="4"/>
      <c r="FXU70" s="4"/>
      <c r="FXV70" s="4"/>
      <c r="FXW70" s="4"/>
      <c r="FXX70" s="4"/>
      <c r="FXY70" s="4"/>
      <c r="FXZ70" s="4"/>
      <c r="FYA70" s="4"/>
      <c r="FYB70" s="4"/>
      <c r="FYC70" s="4"/>
      <c r="FYD70" s="4"/>
      <c r="FYE70" s="4"/>
      <c r="FYF70" s="4"/>
      <c r="FYG70" s="4"/>
      <c r="FYH70" s="4"/>
      <c r="FYI70" s="4"/>
      <c r="FYJ70" s="4"/>
      <c r="FYK70" s="4"/>
      <c r="FYL70" s="4"/>
      <c r="FYM70" s="4"/>
      <c r="FYN70" s="4"/>
      <c r="FYO70" s="4"/>
      <c r="FYP70" s="4"/>
      <c r="FYQ70" s="4"/>
      <c r="FYR70" s="4"/>
      <c r="FYS70" s="4"/>
      <c r="FYT70" s="4"/>
      <c r="FYU70" s="4"/>
      <c r="FYV70" s="4"/>
      <c r="FYW70" s="4"/>
      <c r="FYX70" s="4"/>
      <c r="FYY70" s="4"/>
      <c r="FYZ70" s="4"/>
      <c r="FZA70" s="4"/>
      <c r="FZB70" s="4"/>
      <c r="FZC70" s="4"/>
      <c r="FZD70" s="4"/>
      <c r="FZE70" s="4"/>
      <c r="FZF70" s="4"/>
      <c r="FZG70" s="4"/>
      <c r="FZH70" s="4"/>
      <c r="FZI70" s="4"/>
      <c r="FZJ70" s="4"/>
      <c r="FZK70" s="4"/>
      <c r="FZL70" s="4"/>
      <c r="FZM70" s="4"/>
      <c r="FZN70" s="4"/>
      <c r="FZO70" s="4"/>
      <c r="FZP70" s="4"/>
      <c r="FZQ70" s="4"/>
      <c r="FZR70" s="4"/>
      <c r="FZS70" s="4"/>
      <c r="FZT70" s="4"/>
      <c r="FZU70" s="4"/>
      <c r="FZV70" s="4"/>
      <c r="FZW70" s="4"/>
      <c r="FZX70" s="4"/>
      <c r="FZY70" s="4"/>
      <c r="FZZ70" s="4"/>
      <c r="GAA70" s="4"/>
      <c r="GAB70" s="4"/>
      <c r="GAC70" s="4"/>
      <c r="GAD70" s="4"/>
      <c r="GAE70" s="4"/>
      <c r="GAF70" s="4"/>
      <c r="GAG70" s="4"/>
      <c r="GAH70" s="4"/>
      <c r="GAI70" s="4"/>
      <c r="GAJ70" s="4"/>
      <c r="GAK70" s="4"/>
      <c r="GAL70" s="4"/>
      <c r="GAM70" s="4"/>
      <c r="GAN70" s="4"/>
      <c r="GAO70" s="4"/>
      <c r="GAP70" s="4"/>
      <c r="GAQ70" s="4"/>
      <c r="GAR70" s="4"/>
      <c r="GAS70" s="4"/>
      <c r="GAT70" s="4"/>
      <c r="GAU70" s="4"/>
      <c r="GAV70" s="4"/>
      <c r="GAW70" s="4"/>
      <c r="GAX70" s="4"/>
      <c r="GAY70" s="4"/>
      <c r="GAZ70" s="4"/>
      <c r="GBA70" s="4"/>
      <c r="GBB70" s="4"/>
      <c r="GBC70" s="4"/>
      <c r="GBD70" s="4"/>
      <c r="GBE70" s="4"/>
      <c r="GBF70" s="4"/>
      <c r="GBG70" s="4"/>
      <c r="GBH70" s="4"/>
      <c r="GBI70" s="4"/>
      <c r="GBJ70" s="4"/>
      <c r="GBK70" s="4"/>
      <c r="GBL70" s="4"/>
      <c r="GBM70" s="4"/>
      <c r="GBN70" s="4"/>
      <c r="GBO70" s="4"/>
      <c r="GBP70" s="4"/>
      <c r="GBQ70" s="4"/>
      <c r="GBR70" s="4"/>
      <c r="GBS70" s="4"/>
      <c r="GBT70" s="4"/>
      <c r="GBU70" s="4"/>
      <c r="GBV70" s="4"/>
      <c r="GBW70" s="4"/>
      <c r="GBX70" s="4"/>
      <c r="GBY70" s="4"/>
      <c r="GBZ70" s="4"/>
      <c r="GCA70" s="4"/>
      <c r="GCB70" s="4"/>
      <c r="GCC70" s="4"/>
      <c r="GCD70" s="4"/>
      <c r="GCE70" s="4"/>
      <c r="GCF70" s="4"/>
      <c r="GCG70" s="4"/>
      <c r="GCH70" s="4"/>
      <c r="GCI70" s="4"/>
      <c r="GCJ70" s="4"/>
      <c r="GCK70" s="4"/>
      <c r="GCL70" s="4"/>
      <c r="GCM70" s="4"/>
      <c r="GCN70" s="4"/>
      <c r="GCO70" s="4"/>
      <c r="GCP70" s="4"/>
      <c r="GCQ70" s="4"/>
      <c r="GCR70" s="4"/>
      <c r="GCS70" s="4"/>
      <c r="GCT70" s="4"/>
      <c r="GCU70" s="4"/>
      <c r="GCV70" s="4"/>
      <c r="GCW70" s="4"/>
      <c r="GCX70" s="4"/>
      <c r="GCY70" s="4"/>
      <c r="GCZ70" s="4"/>
      <c r="GDA70" s="4"/>
      <c r="GDB70" s="4"/>
      <c r="GDC70" s="4"/>
      <c r="GDD70" s="4"/>
      <c r="GDE70" s="4"/>
      <c r="GDF70" s="4"/>
      <c r="GDG70" s="4"/>
      <c r="GDH70" s="4"/>
      <c r="GDI70" s="4"/>
      <c r="GDJ70" s="4"/>
      <c r="GDK70" s="4"/>
      <c r="GDL70" s="4"/>
      <c r="GDM70" s="4"/>
      <c r="GDN70" s="4"/>
      <c r="GDO70" s="4"/>
      <c r="GDP70" s="4"/>
      <c r="GDQ70" s="4"/>
      <c r="GDR70" s="4"/>
      <c r="GDS70" s="4"/>
      <c r="GDT70" s="4"/>
      <c r="GDU70" s="4"/>
      <c r="GDV70" s="4"/>
      <c r="GDW70" s="4"/>
      <c r="GDX70" s="4"/>
      <c r="GDY70" s="4"/>
      <c r="GDZ70" s="4"/>
      <c r="GEA70" s="4"/>
      <c r="GEB70" s="4"/>
      <c r="GEC70" s="4"/>
      <c r="GED70" s="4"/>
      <c r="GEE70" s="4"/>
      <c r="GEF70" s="4"/>
      <c r="GEG70" s="4"/>
      <c r="GEH70" s="4"/>
      <c r="GEI70" s="4"/>
      <c r="GEJ70" s="4"/>
      <c r="GEK70" s="4"/>
      <c r="GEL70" s="4"/>
      <c r="GEM70" s="4"/>
      <c r="GEN70" s="4"/>
      <c r="GEO70" s="4"/>
      <c r="GEP70" s="4"/>
      <c r="GEQ70" s="4"/>
      <c r="GER70" s="4"/>
      <c r="GES70" s="4"/>
      <c r="GET70" s="4"/>
      <c r="GEU70" s="4"/>
      <c r="GEV70" s="4"/>
      <c r="GEW70" s="4"/>
      <c r="GEX70" s="4"/>
      <c r="GEY70" s="4"/>
      <c r="GEZ70" s="4"/>
      <c r="GFA70" s="4"/>
      <c r="GFB70" s="4"/>
      <c r="GFC70" s="4"/>
      <c r="GFD70" s="4"/>
      <c r="GFE70" s="4"/>
      <c r="GFF70" s="4"/>
      <c r="GFG70" s="4"/>
      <c r="GFH70" s="4"/>
      <c r="GFI70" s="4"/>
      <c r="GFJ70" s="4"/>
      <c r="GFK70" s="4"/>
      <c r="GFL70" s="4"/>
      <c r="GFM70" s="4"/>
      <c r="GFN70" s="4"/>
      <c r="GFO70" s="4"/>
      <c r="GFP70" s="4"/>
      <c r="GFQ70" s="4"/>
      <c r="GFR70" s="4"/>
      <c r="GFS70" s="4"/>
      <c r="GFT70" s="4"/>
      <c r="GFU70" s="4"/>
      <c r="GFV70" s="4"/>
      <c r="GFW70" s="4"/>
      <c r="GFX70" s="4"/>
      <c r="GFY70" s="4"/>
      <c r="GFZ70" s="4"/>
      <c r="GGA70" s="4"/>
      <c r="GGB70" s="4"/>
      <c r="GGC70" s="4"/>
      <c r="GGD70" s="4"/>
      <c r="GGE70" s="4"/>
      <c r="GGF70" s="4"/>
      <c r="GGG70" s="4"/>
      <c r="GGH70" s="4"/>
      <c r="GGI70" s="4"/>
      <c r="GGJ70" s="4"/>
      <c r="GGK70" s="4"/>
      <c r="GGL70" s="4"/>
      <c r="GGM70" s="4"/>
      <c r="GGN70" s="4"/>
      <c r="GGO70" s="4"/>
      <c r="GGP70" s="4"/>
      <c r="GGQ70" s="4"/>
      <c r="GGR70" s="4"/>
      <c r="GGS70" s="4"/>
      <c r="GGT70" s="4"/>
      <c r="GGU70" s="4"/>
      <c r="GGV70" s="4"/>
      <c r="GGW70" s="4"/>
      <c r="GGX70" s="4"/>
      <c r="GGY70" s="4"/>
      <c r="GGZ70" s="4"/>
      <c r="GHA70" s="4"/>
      <c r="GHB70" s="4"/>
      <c r="GHC70" s="4"/>
      <c r="GHD70" s="4"/>
      <c r="GHE70" s="4"/>
      <c r="GHF70" s="4"/>
      <c r="GHG70" s="4"/>
      <c r="GHH70" s="4"/>
      <c r="GHI70" s="4"/>
      <c r="GHJ70" s="4"/>
      <c r="GHK70" s="4"/>
      <c r="GHL70" s="4"/>
      <c r="GHM70" s="4"/>
      <c r="GHN70" s="4"/>
      <c r="GHO70" s="4"/>
      <c r="GHP70" s="4"/>
      <c r="GHQ70" s="4"/>
      <c r="GHR70" s="4"/>
      <c r="GHS70" s="4"/>
      <c r="GHT70" s="4"/>
      <c r="GHU70" s="4"/>
      <c r="GHV70" s="4"/>
      <c r="GHW70" s="4"/>
      <c r="GHX70" s="4"/>
      <c r="GHY70" s="4"/>
      <c r="GHZ70" s="4"/>
      <c r="GIA70" s="4"/>
      <c r="GIB70" s="4"/>
      <c r="GIC70" s="4"/>
      <c r="GID70" s="4"/>
      <c r="GIE70" s="4"/>
      <c r="GIF70" s="4"/>
      <c r="GIG70" s="4"/>
      <c r="GIH70" s="4"/>
      <c r="GII70" s="4"/>
      <c r="GIJ70" s="4"/>
      <c r="GIK70" s="4"/>
      <c r="GIL70" s="4"/>
      <c r="GIM70" s="4"/>
      <c r="GIN70" s="4"/>
      <c r="GIO70" s="4"/>
      <c r="GIP70" s="4"/>
      <c r="GIQ70" s="4"/>
      <c r="GIR70" s="4"/>
      <c r="GIS70" s="4"/>
      <c r="GIT70" s="4"/>
      <c r="GIU70" s="4"/>
      <c r="GIV70" s="4"/>
      <c r="GIW70" s="4"/>
      <c r="GIX70" s="4"/>
      <c r="GIY70" s="4"/>
      <c r="GIZ70" s="4"/>
      <c r="GJA70" s="4"/>
      <c r="GJB70" s="4"/>
      <c r="GJC70" s="4"/>
      <c r="GJD70" s="4"/>
      <c r="GJE70" s="4"/>
      <c r="GJF70" s="4"/>
      <c r="GJG70" s="4"/>
      <c r="GJH70" s="4"/>
      <c r="GJI70" s="4"/>
      <c r="GJJ70" s="4"/>
      <c r="GJK70" s="4"/>
      <c r="GJL70" s="4"/>
      <c r="GJM70" s="4"/>
      <c r="GJN70" s="4"/>
      <c r="GJO70" s="4"/>
      <c r="GJP70" s="4"/>
      <c r="GJQ70" s="4"/>
      <c r="GJR70" s="4"/>
      <c r="GJS70" s="4"/>
      <c r="GJT70" s="4"/>
      <c r="GJU70" s="4"/>
      <c r="GJV70" s="4"/>
      <c r="GJW70" s="4"/>
      <c r="GJX70" s="4"/>
      <c r="GJY70" s="4"/>
      <c r="GJZ70" s="4"/>
      <c r="GKA70" s="4"/>
      <c r="GKB70" s="4"/>
      <c r="GKC70" s="4"/>
      <c r="GKD70" s="4"/>
      <c r="GKE70" s="4"/>
      <c r="GKF70" s="4"/>
      <c r="GKG70" s="4"/>
      <c r="GKH70" s="4"/>
      <c r="GKI70" s="4"/>
      <c r="GKJ70" s="4"/>
      <c r="GKK70" s="4"/>
      <c r="GKL70" s="4"/>
      <c r="GKM70" s="4"/>
      <c r="GKN70" s="4"/>
      <c r="GKO70" s="4"/>
      <c r="GKP70" s="4"/>
      <c r="GKQ70" s="4"/>
      <c r="GKR70" s="4"/>
      <c r="GKS70" s="4"/>
      <c r="GKT70" s="4"/>
      <c r="GKU70" s="4"/>
      <c r="GKV70" s="4"/>
      <c r="GKW70" s="4"/>
      <c r="GKX70" s="4"/>
      <c r="GKY70" s="4"/>
      <c r="GKZ70" s="4"/>
      <c r="GLA70" s="4"/>
      <c r="GLB70" s="4"/>
      <c r="GLC70" s="4"/>
      <c r="GLD70" s="4"/>
      <c r="GLE70" s="4"/>
      <c r="GLF70" s="4"/>
      <c r="GLG70" s="4"/>
      <c r="GLH70" s="4"/>
      <c r="GLI70" s="4"/>
      <c r="GLJ70" s="4"/>
      <c r="GLK70" s="4"/>
      <c r="GLL70" s="4"/>
      <c r="GLM70" s="4"/>
      <c r="GLN70" s="4"/>
      <c r="GLO70" s="4"/>
      <c r="GLP70" s="4"/>
      <c r="GLQ70" s="4"/>
      <c r="GLR70" s="4"/>
      <c r="GLS70" s="4"/>
      <c r="GLT70" s="4"/>
      <c r="GLU70" s="4"/>
      <c r="GLV70" s="4"/>
      <c r="GLW70" s="4"/>
      <c r="GLX70" s="4"/>
      <c r="GLY70" s="4"/>
      <c r="GLZ70" s="4"/>
      <c r="GMA70" s="4"/>
      <c r="GMB70" s="4"/>
      <c r="GMC70" s="4"/>
      <c r="GMD70" s="4"/>
      <c r="GME70" s="4"/>
      <c r="GMF70" s="4"/>
      <c r="GMG70" s="4"/>
      <c r="GMH70" s="4"/>
      <c r="GMI70" s="4"/>
      <c r="GMJ70" s="4"/>
      <c r="GMK70" s="4"/>
      <c r="GML70" s="4"/>
      <c r="GMM70" s="4"/>
      <c r="GMN70" s="4"/>
      <c r="GMO70" s="4"/>
      <c r="GMP70" s="4"/>
      <c r="GMQ70" s="4"/>
      <c r="GMR70" s="4"/>
      <c r="GMS70" s="4"/>
      <c r="GMT70" s="4"/>
      <c r="GMU70" s="4"/>
      <c r="GMV70" s="4"/>
      <c r="GMW70" s="4"/>
      <c r="GMX70" s="4"/>
      <c r="GMY70" s="4"/>
      <c r="GMZ70" s="4"/>
      <c r="GNA70" s="4"/>
      <c r="GNB70" s="4"/>
      <c r="GNC70" s="4"/>
      <c r="GND70" s="4"/>
      <c r="GNE70" s="4"/>
      <c r="GNF70" s="4"/>
      <c r="GNG70" s="4"/>
      <c r="GNH70" s="4"/>
      <c r="GNI70" s="4"/>
      <c r="GNJ70" s="4"/>
      <c r="GNK70" s="4"/>
      <c r="GNL70" s="4"/>
      <c r="GNM70" s="4"/>
      <c r="GNN70" s="4"/>
      <c r="GNO70" s="4"/>
      <c r="GNP70" s="4"/>
      <c r="GNQ70" s="4"/>
      <c r="GNR70" s="4"/>
      <c r="GNS70" s="4"/>
      <c r="GNT70" s="4"/>
      <c r="GNU70" s="4"/>
      <c r="GNV70" s="4"/>
      <c r="GNW70" s="4"/>
      <c r="GNX70" s="4"/>
      <c r="GNY70" s="4"/>
      <c r="GNZ70" s="4"/>
      <c r="GOA70" s="4"/>
      <c r="GOB70" s="4"/>
      <c r="GOC70" s="4"/>
      <c r="GOD70" s="4"/>
      <c r="GOE70" s="4"/>
      <c r="GOF70" s="4"/>
      <c r="GOG70" s="4"/>
      <c r="GOH70" s="4"/>
      <c r="GOI70" s="4"/>
      <c r="GOJ70" s="4"/>
      <c r="GOK70" s="4"/>
      <c r="GOL70" s="4"/>
      <c r="GOM70" s="4"/>
      <c r="GON70" s="4"/>
      <c r="GOO70" s="4"/>
      <c r="GOP70" s="4"/>
      <c r="GOQ70" s="4"/>
      <c r="GOR70" s="4"/>
      <c r="GOS70" s="4"/>
      <c r="GOT70" s="4"/>
      <c r="GOU70" s="4"/>
      <c r="GOV70" s="4"/>
      <c r="GOW70" s="4"/>
      <c r="GOX70" s="4"/>
      <c r="GOY70" s="4"/>
      <c r="GOZ70" s="4"/>
      <c r="GPA70" s="4"/>
      <c r="GPB70" s="4"/>
      <c r="GPC70" s="4"/>
      <c r="GPD70" s="4"/>
      <c r="GPE70" s="4"/>
      <c r="GPF70" s="4"/>
      <c r="GPG70" s="4"/>
      <c r="GPH70" s="4"/>
      <c r="GPI70" s="4"/>
      <c r="GPJ70" s="4"/>
      <c r="GPK70" s="4"/>
      <c r="GPL70" s="4"/>
      <c r="GPM70" s="4"/>
      <c r="GPN70" s="4"/>
      <c r="GPO70" s="4"/>
      <c r="GPP70" s="4"/>
      <c r="GPQ70" s="4"/>
      <c r="GPR70" s="4"/>
      <c r="GPS70" s="4"/>
      <c r="GPT70" s="4"/>
      <c r="GPU70" s="4"/>
      <c r="GPV70" s="4"/>
      <c r="GPW70" s="4"/>
      <c r="GPX70" s="4"/>
      <c r="GPY70" s="4"/>
      <c r="GPZ70" s="4"/>
      <c r="GQA70" s="4"/>
      <c r="GQB70" s="4"/>
      <c r="GQC70" s="4"/>
      <c r="GQD70" s="4"/>
      <c r="GQE70" s="4"/>
      <c r="GQF70" s="4"/>
      <c r="GQG70" s="4"/>
      <c r="GQH70" s="4"/>
      <c r="GQI70" s="4"/>
      <c r="GQJ70" s="4"/>
      <c r="GQK70" s="4"/>
      <c r="GQL70" s="4"/>
      <c r="GQM70" s="4"/>
      <c r="GQN70" s="4"/>
      <c r="GQO70" s="4"/>
      <c r="GQP70" s="4"/>
      <c r="GQQ70" s="4"/>
      <c r="GQR70" s="4"/>
      <c r="GQS70" s="4"/>
      <c r="GQT70" s="4"/>
      <c r="GQU70" s="4"/>
      <c r="GQV70" s="4"/>
      <c r="GQW70" s="4"/>
      <c r="GQX70" s="4"/>
      <c r="GQY70" s="4"/>
      <c r="GQZ70" s="4"/>
      <c r="GRA70" s="4"/>
      <c r="GRB70" s="4"/>
      <c r="GRC70" s="4"/>
      <c r="GRD70" s="4"/>
      <c r="GRE70" s="4"/>
      <c r="GRF70" s="4"/>
      <c r="GRG70" s="4"/>
      <c r="GRH70" s="4"/>
      <c r="GRI70" s="4"/>
      <c r="GRJ70" s="4"/>
      <c r="GRK70" s="4"/>
      <c r="GRL70" s="4"/>
      <c r="GRM70" s="4"/>
      <c r="GRN70" s="4"/>
      <c r="GRO70" s="4"/>
      <c r="GRP70" s="4"/>
      <c r="GRQ70" s="4"/>
      <c r="GRR70" s="4"/>
      <c r="GRS70" s="4"/>
      <c r="GRT70" s="4"/>
      <c r="GRU70" s="4"/>
      <c r="GRV70" s="4"/>
      <c r="GRW70" s="4"/>
      <c r="GRX70" s="4"/>
      <c r="GRY70" s="4"/>
      <c r="GRZ70" s="4"/>
      <c r="GSA70" s="4"/>
      <c r="GSB70" s="4"/>
      <c r="GSC70" s="4"/>
      <c r="GSD70" s="4"/>
      <c r="GSE70" s="4"/>
      <c r="GSF70" s="4"/>
      <c r="GSG70" s="4"/>
      <c r="GSH70" s="4"/>
      <c r="GSI70" s="4"/>
      <c r="GSJ70" s="4"/>
      <c r="GSK70" s="4"/>
      <c r="GSL70" s="4"/>
      <c r="GSM70" s="4"/>
      <c r="GSN70" s="4"/>
      <c r="GSO70" s="4"/>
      <c r="GSP70" s="4"/>
      <c r="GSQ70" s="4"/>
      <c r="GSR70" s="4"/>
      <c r="GSS70" s="4"/>
      <c r="GST70" s="4"/>
      <c r="GSU70" s="4"/>
      <c r="GSV70" s="4"/>
      <c r="GSW70" s="4"/>
      <c r="GSX70" s="4"/>
      <c r="GSY70" s="4"/>
      <c r="GSZ70" s="4"/>
      <c r="GTA70" s="4"/>
      <c r="GTB70" s="4"/>
      <c r="GTC70" s="4"/>
      <c r="GTD70" s="4"/>
      <c r="GTE70" s="4"/>
      <c r="GTF70" s="4"/>
      <c r="GTG70" s="4"/>
      <c r="GTH70" s="4"/>
      <c r="GTI70" s="4"/>
      <c r="GTJ70" s="4"/>
      <c r="GTK70" s="4"/>
      <c r="GTL70" s="4"/>
      <c r="GTM70" s="4"/>
      <c r="GTN70" s="4"/>
      <c r="GTO70" s="4"/>
      <c r="GTP70" s="4"/>
      <c r="GTQ70" s="4"/>
      <c r="GTR70" s="4"/>
      <c r="GTS70" s="4"/>
      <c r="GTT70" s="4"/>
      <c r="GTU70" s="4"/>
      <c r="GTV70" s="4"/>
      <c r="GTW70" s="4"/>
      <c r="GTX70" s="4"/>
      <c r="GTY70" s="4"/>
      <c r="GTZ70" s="4"/>
      <c r="GUA70" s="4"/>
      <c r="GUB70" s="4"/>
      <c r="GUC70" s="4"/>
      <c r="GUD70" s="4"/>
      <c r="GUE70" s="4"/>
      <c r="GUF70" s="4"/>
      <c r="GUG70" s="4"/>
      <c r="GUH70" s="4"/>
      <c r="GUI70" s="4"/>
      <c r="GUJ70" s="4"/>
      <c r="GUK70" s="4"/>
      <c r="GUL70" s="4"/>
      <c r="GUM70" s="4"/>
      <c r="GUN70" s="4"/>
      <c r="GUO70" s="4"/>
      <c r="GUP70" s="4"/>
      <c r="GUQ70" s="4"/>
      <c r="GUR70" s="4"/>
      <c r="GUS70" s="4"/>
      <c r="GUT70" s="4"/>
      <c r="GUU70" s="4"/>
      <c r="GUV70" s="4"/>
      <c r="GUW70" s="4"/>
      <c r="GUX70" s="4"/>
      <c r="GUY70" s="4"/>
      <c r="GUZ70" s="4"/>
      <c r="GVA70" s="4"/>
      <c r="GVB70" s="4"/>
      <c r="GVC70" s="4"/>
      <c r="GVD70" s="4"/>
      <c r="GVE70" s="4"/>
      <c r="GVF70" s="4"/>
      <c r="GVG70" s="4"/>
      <c r="GVH70" s="4"/>
      <c r="GVI70" s="4"/>
      <c r="GVJ70" s="4"/>
      <c r="GVK70" s="4"/>
      <c r="GVL70" s="4"/>
      <c r="GVM70" s="4"/>
      <c r="GVN70" s="4"/>
      <c r="GVO70" s="4"/>
      <c r="GVP70" s="4"/>
      <c r="GVQ70" s="4"/>
      <c r="GVR70" s="4"/>
      <c r="GVS70" s="4"/>
      <c r="GVT70" s="4"/>
      <c r="GVU70" s="4"/>
      <c r="GVV70" s="4"/>
      <c r="GVW70" s="4"/>
      <c r="GVX70" s="4"/>
      <c r="GVY70" s="4"/>
      <c r="GVZ70" s="4"/>
      <c r="GWA70" s="4"/>
      <c r="GWB70" s="4"/>
      <c r="GWC70" s="4"/>
      <c r="GWD70" s="4"/>
      <c r="GWE70" s="4"/>
      <c r="GWF70" s="4"/>
      <c r="GWG70" s="4"/>
      <c r="GWH70" s="4"/>
      <c r="GWI70" s="4"/>
      <c r="GWJ70" s="4"/>
      <c r="GWK70" s="4"/>
      <c r="GWL70" s="4"/>
      <c r="GWM70" s="4"/>
      <c r="GWN70" s="4"/>
      <c r="GWO70" s="4"/>
      <c r="GWP70" s="4"/>
      <c r="GWQ70" s="4"/>
      <c r="GWR70" s="4"/>
      <c r="GWS70" s="4"/>
      <c r="GWT70" s="4"/>
      <c r="GWU70" s="4"/>
      <c r="GWV70" s="4"/>
      <c r="GWW70" s="4"/>
      <c r="GWX70" s="4"/>
      <c r="GWY70" s="4"/>
      <c r="GWZ70" s="4"/>
      <c r="GXA70" s="4"/>
      <c r="GXB70" s="4"/>
      <c r="GXC70" s="4"/>
      <c r="GXD70" s="4"/>
      <c r="GXE70" s="4"/>
      <c r="GXF70" s="4"/>
      <c r="GXG70" s="4"/>
      <c r="GXH70" s="4"/>
      <c r="GXI70" s="4"/>
      <c r="GXJ70" s="4"/>
      <c r="GXK70" s="4"/>
      <c r="GXL70" s="4"/>
      <c r="GXM70" s="4"/>
      <c r="GXN70" s="4"/>
      <c r="GXO70" s="4"/>
      <c r="GXP70" s="4"/>
      <c r="GXQ70" s="4"/>
      <c r="GXR70" s="4"/>
      <c r="GXS70" s="4"/>
      <c r="GXT70" s="4"/>
      <c r="GXU70" s="4"/>
      <c r="GXV70" s="4"/>
      <c r="GXW70" s="4"/>
      <c r="GXX70" s="4"/>
      <c r="GXY70" s="4"/>
      <c r="GXZ70" s="4"/>
      <c r="GYA70" s="4"/>
      <c r="GYB70" s="4"/>
      <c r="GYC70" s="4"/>
      <c r="GYD70" s="4"/>
      <c r="GYE70" s="4"/>
      <c r="GYF70" s="4"/>
      <c r="GYG70" s="4"/>
      <c r="GYH70" s="4"/>
      <c r="GYI70" s="4"/>
      <c r="GYJ70" s="4"/>
      <c r="GYK70" s="4"/>
      <c r="GYL70" s="4"/>
      <c r="GYM70" s="4"/>
      <c r="GYN70" s="4"/>
      <c r="GYO70" s="4"/>
      <c r="GYP70" s="4"/>
      <c r="GYQ70" s="4"/>
      <c r="GYR70" s="4"/>
      <c r="GYS70" s="4"/>
      <c r="GYT70" s="4"/>
      <c r="GYU70" s="4"/>
      <c r="GYV70" s="4"/>
      <c r="GYW70" s="4"/>
      <c r="GYX70" s="4"/>
      <c r="GYY70" s="4"/>
      <c r="GYZ70" s="4"/>
      <c r="GZA70" s="4"/>
      <c r="GZB70" s="4"/>
      <c r="GZC70" s="4"/>
      <c r="GZD70" s="4"/>
      <c r="GZE70" s="4"/>
      <c r="GZF70" s="4"/>
      <c r="GZG70" s="4"/>
      <c r="GZH70" s="4"/>
      <c r="GZI70" s="4"/>
      <c r="GZJ70" s="4"/>
      <c r="GZK70" s="4"/>
      <c r="GZL70" s="4"/>
      <c r="GZM70" s="4"/>
      <c r="GZN70" s="4"/>
      <c r="GZO70" s="4"/>
      <c r="GZP70" s="4"/>
      <c r="GZQ70" s="4"/>
      <c r="GZR70" s="4"/>
      <c r="GZS70" s="4"/>
      <c r="GZT70" s="4"/>
      <c r="GZU70" s="4"/>
      <c r="GZV70" s="4"/>
      <c r="GZW70" s="4"/>
      <c r="GZX70" s="4"/>
      <c r="GZY70" s="4"/>
      <c r="GZZ70" s="4"/>
      <c r="HAA70" s="4"/>
      <c r="HAB70" s="4"/>
      <c r="HAC70" s="4"/>
      <c r="HAD70" s="4"/>
      <c r="HAE70" s="4"/>
      <c r="HAF70" s="4"/>
      <c r="HAG70" s="4"/>
      <c r="HAH70" s="4"/>
      <c r="HAI70" s="4"/>
      <c r="HAJ70" s="4"/>
      <c r="HAK70" s="4"/>
      <c r="HAL70" s="4"/>
      <c r="HAM70" s="4"/>
      <c r="HAN70" s="4"/>
      <c r="HAO70" s="4"/>
      <c r="HAP70" s="4"/>
      <c r="HAQ70" s="4"/>
      <c r="HAR70" s="4"/>
      <c r="HAS70" s="4"/>
      <c r="HAT70" s="4"/>
      <c r="HAU70" s="4"/>
      <c r="HAV70" s="4"/>
      <c r="HAW70" s="4"/>
      <c r="HAX70" s="4"/>
      <c r="HAY70" s="4"/>
      <c r="HAZ70" s="4"/>
      <c r="HBA70" s="4"/>
      <c r="HBB70" s="4"/>
      <c r="HBC70" s="4"/>
      <c r="HBD70" s="4"/>
      <c r="HBE70" s="4"/>
      <c r="HBF70" s="4"/>
      <c r="HBG70" s="4"/>
      <c r="HBH70" s="4"/>
      <c r="HBI70" s="4"/>
      <c r="HBJ70" s="4"/>
      <c r="HBK70" s="4"/>
      <c r="HBL70" s="4"/>
      <c r="HBM70" s="4"/>
      <c r="HBN70" s="4"/>
      <c r="HBO70" s="4"/>
      <c r="HBP70" s="4"/>
      <c r="HBQ70" s="4"/>
      <c r="HBR70" s="4"/>
      <c r="HBS70" s="4"/>
      <c r="HBT70" s="4"/>
      <c r="HBU70" s="4"/>
      <c r="HBV70" s="4"/>
      <c r="HBW70" s="4"/>
      <c r="HBX70" s="4"/>
      <c r="HBY70" s="4"/>
      <c r="HBZ70" s="4"/>
      <c r="HCA70" s="4"/>
      <c r="HCB70" s="4"/>
      <c r="HCC70" s="4"/>
      <c r="HCD70" s="4"/>
      <c r="HCE70" s="4"/>
      <c r="HCF70" s="4"/>
      <c r="HCG70" s="4"/>
      <c r="HCH70" s="4"/>
      <c r="HCI70" s="4"/>
      <c r="HCJ70" s="4"/>
      <c r="HCK70" s="4"/>
      <c r="HCL70" s="4"/>
      <c r="HCM70" s="4"/>
      <c r="HCN70" s="4"/>
      <c r="HCO70" s="4"/>
      <c r="HCP70" s="4"/>
      <c r="HCQ70" s="4"/>
      <c r="HCR70" s="4"/>
      <c r="HCS70" s="4"/>
      <c r="HCT70" s="4"/>
      <c r="HCU70" s="4"/>
      <c r="HCV70" s="4"/>
      <c r="HCW70" s="4"/>
      <c r="HCX70" s="4"/>
      <c r="HCY70" s="4"/>
      <c r="HCZ70" s="4"/>
      <c r="HDA70" s="4"/>
      <c r="HDB70" s="4"/>
      <c r="HDC70" s="4"/>
      <c r="HDD70" s="4"/>
      <c r="HDE70" s="4"/>
      <c r="HDF70" s="4"/>
      <c r="HDG70" s="4"/>
      <c r="HDH70" s="4"/>
      <c r="HDI70" s="4"/>
      <c r="HDJ70" s="4"/>
      <c r="HDK70" s="4"/>
      <c r="HDL70" s="4"/>
      <c r="HDM70" s="4"/>
      <c r="HDN70" s="4"/>
      <c r="HDO70" s="4"/>
      <c r="HDP70" s="4"/>
      <c r="HDQ70" s="4"/>
      <c r="HDR70" s="4"/>
      <c r="HDS70" s="4"/>
      <c r="HDT70" s="4"/>
      <c r="HDU70" s="4"/>
      <c r="HDV70" s="4"/>
      <c r="HDW70" s="4"/>
      <c r="HDX70" s="4"/>
      <c r="HDY70" s="4"/>
      <c r="HDZ70" s="4"/>
      <c r="HEA70" s="4"/>
      <c r="HEB70" s="4"/>
      <c r="HEC70" s="4"/>
      <c r="HED70" s="4"/>
      <c r="HEE70" s="4"/>
      <c r="HEF70" s="4"/>
      <c r="HEG70" s="4"/>
      <c r="HEH70" s="4"/>
      <c r="HEI70" s="4"/>
      <c r="HEJ70" s="4"/>
      <c r="HEK70" s="4"/>
      <c r="HEL70" s="4"/>
      <c r="HEM70" s="4"/>
      <c r="HEN70" s="4"/>
      <c r="HEO70" s="4"/>
      <c r="HEP70" s="4"/>
      <c r="HEQ70" s="4"/>
      <c r="HER70" s="4"/>
      <c r="HES70" s="4"/>
      <c r="HET70" s="4"/>
      <c r="HEU70" s="4"/>
      <c r="HEV70" s="4"/>
      <c r="HEW70" s="4"/>
      <c r="HEX70" s="4"/>
      <c r="HEY70" s="4"/>
      <c r="HEZ70" s="4"/>
      <c r="HFA70" s="4"/>
      <c r="HFB70" s="4"/>
      <c r="HFC70" s="4"/>
      <c r="HFD70" s="4"/>
      <c r="HFE70" s="4"/>
      <c r="HFF70" s="4"/>
      <c r="HFG70" s="4"/>
      <c r="HFH70" s="4"/>
      <c r="HFI70" s="4"/>
      <c r="HFJ70" s="4"/>
      <c r="HFK70" s="4"/>
      <c r="HFL70" s="4"/>
      <c r="HFM70" s="4"/>
      <c r="HFN70" s="4"/>
      <c r="HFO70" s="4"/>
      <c r="HFP70" s="4"/>
      <c r="HFQ70" s="4"/>
      <c r="HFR70" s="4"/>
      <c r="HFS70" s="4"/>
      <c r="HFT70" s="4"/>
      <c r="HFU70" s="4"/>
      <c r="HFV70" s="4"/>
      <c r="HFW70" s="4"/>
      <c r="HFX70" s="4"/>
      <c r="HFY70" s="4"/>
      <c r="HFZ70" s="4"/>
      <c r="HGA70" s="4"/>
      <c r="HGB70" s="4"/>
      <c r="HGC70" s="4"/>
      <c r="HGD70" s="4"/>
      <c r="HGE70" s="4"/>
      <c r="HGF70" s="4"/>
      <c r="HGG70" s="4"/>
      <c r="HGH70" s="4"/>
      <c r="HGI70" s="4"/>
      <c r="HGJ70" s="4"/>
      <c r="HGK70" s="4"/>
      <c r="HGL70" s="4"/>
      <c r="HGM70" s="4"/>
      <c r="HGN70" s="4"/>
      <c r="HGO70" s="4"/>
      <c r="HGP70" s="4"/>
      <c r="HGQ70" s="4"/>
      <c r="HGR70" s="4"/>
      <c r="HGS70" s="4"/>
      <c r="HGT70" s="4"/>
      <c r="HGU70" s="4"/>
      <c r="HGV70" s="4"/>
      <c r="HGW70" s="4"/>
      <c r="HGX70" s="4"/>
      <c r="HGY70" s="4"/>
      <c r="HGZ70" s="4"/>
      <c r="HHA70" s="4"/>
      <c r="HHB70" s="4"/>
      <c r="HHC70" s="4"/>
      <c r="HHD70" s="4"/>
      <c r="HHE70" s="4"/>
      <c r="HHF70" s="4"/>
      <c r="HHG70" s="4"/>
      <c r="HHH70" s="4"/>
      <c r="HHI70" s="4"/>
      <c r="HHJ70" s="4"/>
      <c r="HHK70" s="4"/>
      <c r="HHL70" s="4"/>
      <c r="HHM70" s="4"/>
      <c r="HHN70" s="4"/>
      <c r="HHO70" s="4"/>
      <c r="HHP70" s="4"/>
      <c r="HHQ70" s="4"/>
      <c r="HHR70" s="4"/>
      <c r="HHS70" s="4"/>
      <c r="HHT70" s="4"/>
      <c r="HHU70" s="4"/>
      <c r="HHV70" s="4"/>
      <c r="HHW70" s="4"/>
      <c r="HHX70" s="4"/>
      <c r="HHY70" s="4"/>
      <c r="HHZ70" s="4"/>
      <c r="HIA70" s="4"/>
      <c r="HIB70" s="4"/>
      <c r="HIC70" s="4"/>
      <c r="HID70" s="4"/>
      <c r="HIE70" s="4"/>
      <c r="HIF70" s="4"/>
      <c r="HIG70" s="4"/>
      <c r="HIH70" s="4"/>
      <c r="HII70" s="4"/>
      <c r="HIJ70" s="4"/>
      <c r="HIK70" s="4"/>
      <c r="HIL70" s="4"/>
      <c r="HIM70" s="4"/>
      <c r="HIN70" s="4"/>
      <c r="HIO70" s="4"/>
      <c r="HIP70" s="4"/>
      <c r="HIQ70" s="4"/>
      <c r="HIR70" s="4"/>
      <c r="HIS70" s="4"/>
      <c r="HIT70" s="4"/>
      <c r="HIU70" s="4"/>
      <c r="HIV70" s="4"/>
      <c r="HIW70" s="4"/>
      <c r="HIX70" s="4"/>
      <c r="HIY70" s="4"/>
      <c r="HIZ70" s="4"/>
      <c r="HJA70" s="4"/>
      <c r="HJB70" s="4"/>
      <c r="HJC70" s="4"/>
      <c r="HJD70" s="4"/>
      <c r="HJE70" s="4"/>
      <c r="HJF70" s="4"/>
      <c r="HJG70" s="4"/>
      <c r="HJH70" s="4"/>
      <c r="HJI70" s="4"/>
      <c r="HJJ70" s="4"/>
      <c r="HJK70" s="4"/>
      <c r="HJL70" s="4"/>
      <c r="HJM70" s="4"/>
      <c r="HJN70" s="4"/>
      <c r="HJO70" s="4"/>
      <c r="HJP70" s="4"/>
      <c r="HJQ70" s="4"/>
      <c r="HJR70" s="4"/>
      <c r="HJS70" s="4"/>
      <c r="HJT70" s="4"/>
      <c r="HJU70" s="4"/>
      <c r="HJV70" s="4"/>
      <c r="HJW70" s="4"/>
      <c r="HJX70" s="4"/>
      <c r="HJY70" s="4"/>
      <c r="HJZ70" s="4"/>
      <c r="HKA70" s="4"/>
      <c r="HKB70" s="4"/>
      <c r="HKC70" s="4"/>
      <c r="HKD70" s="4"/>
      <c r="HKE70" s="4"/>
      <c r="HKF70" s="4"/>
      <c r="HKG70" s="4"/>
      <c r="HKH70" s="4"/>
      <c r="HKI70" s="4"/>
      <c r="HKJ70" s="4"/>
      <c r="HKK70" s="4"/>
      <c r="HKL70" s="4"/>
      <c r="HKM70" s="4"/>
      <c r="HKN70" s="4"/>
      <c r="HKO70" s="4"/>
      <c r="HKP70" s="4"/>
      <c r="HKQ70" s="4"/>
      <c r="HKR70" s="4"/>
      <c r="HKS70" s="4"/>
      <c r="HKT70" s="4"/>
      <c r="HKU70" s="4"/>
      <c r="HKV70" s="4"/>
      <c r="HKW70" s="4"/>
      <c r="HKX70" s="4"/>
      <c r="HKY70" s="4"/>
      <c r="HKZ70" s="4"/>
      <c r="HLA70" s="4"/>
      <c r="HLB70" s="4"/>
      <c r="HLC70" s="4"/>
      <c r="HLD70" s="4"/>
      <c r="HLE70" s="4"/>
      <c r="HLF70" s="4"/>
      <c r="HLG70" s="4"/>
      <c r="HLH70" s="4"/>
      <c r="HLI70" s="4"/>
      <c r="HLJ70" s="4"/>
      <c r="HLK70" s="4"/>
      <c r="HLL70" s="4"/>
      <c r="HLM70" s="4"/>
      <c r="HLN70" s="4"/>
      <c r="HLO70" s="4"/>
      <c r="HLP70" s="4"/>
      <c r="HLQ70" s="4"/>
      <c r="HLR70" s="4"/>
      <c r="HLS70" s="4"/>
      <c r="HLT70" s="4"/>
      <c r="HLU70" s="4"/>
      <c r="HLV70" s="4"/>
      <c r="HLW70" s="4"/>
      <c r="HLX70" s="4"/>
      <c r="HLY70" s="4"/>
      <c r="HLZ70" s="4"/>
      <c r="HMA70" s="4"/>
      <c r="HMB70" s="4"/>
      <c r="HMC70" s="4"/>
      <c r="HMD70" s="4"/>
      <c r="HME70" s="4"/>
      <c r="HMF70" s="4"/>
      <c r="HMG70" s="4"/>
      <c r="HMH70" s="4"/>
      <c r="HMI70" s="4"/>
      <c r="HMJ70" s="4"/>
      <c r="HMK70" s="4"/>
      <c r="HML70" s="4"/>
      <c r="HMM70" s="4"/>
      <c r="HMN70" s="4"/>
      <c r="HMO70" s="4"/>
      <c r="HMP70" s="4"/>
      <c r="HMQ70" s="4"/>
      <c r="HMR70" s="4"/>
      <c r="HMS70" s="4"/>
      <c r="HMT70" s="4"/>
      <c r="HMU70" s="4"/>
      <c r="HMV70" s="4"/>
      <c r="HMW70" s="4"/>
      <c r="HMX70" s="4"/>
      <c r="HMY70" s="4"/>
      <c r="HMZ70" s="4"/>
      <c r="HNA70" s="4"/>
      <c r="HNB70" s="4"/>
      <c r="HNC70" s="4"/>
      <c r="HND70" s="4"/>
      <c r="HNE70" s="4"/>
      <c r="HNF70" s="4"/>
      <c r="HNG70" s="4"/>
      <c r="HNH70" s="4"/>
      <c r="HNI70" s="4"/>
      <c r="HNJ70" s="4"/>
      <c r="HNK70" s="4"/>
      <c r="HNL70" s="4"/>
      <c r="HNM70" s="4"/>
      <c r="HNN70" s="4"/>
      <c r="HNO70" s="4"/>
      <c r="HNP70" s="4"/>
      <c r="HNQ70" s="4"/>
      <c r="HNR70" s="4"/>
      <c r="HNS70" s="4"/>
      <c r="HNT70" s="4"/>
      <c r="HNU70" s="4"/>
      <c r="HNV70" s="4"/>
      <c r="HNW70" s="4"/>
      <c r="HNX70" s="4"/>
      <c r="HNY70" s="4"/>
      <c r="HNZ70" s="4"/>
      <c r="HOA70" s="4"/>
      <c r="HOB70" s="4"/>
      <c r="HOC70" s="4"/>
      <c r="HOD70" s="4"/>
      <c r="HOE70" s="4"/>
      <c r="HOF70" s="4"/>
      <c r="HOG70" s="4"/>
      <c r="HOH70" s="4"/>
      <c r="HOI70" s="4"/>
      <c r="HOJ70" s="4"/>
      <c r="HOK70" s="4"/>
      <c r="HOL70" s="4"/>
      <c r="HOM70" s="4"/>
      <c r="HON70" s="4"/>
      <c r="HOO70" s="4"/>
      <c r="HOP70" s="4"/>
      <c r="HOQ70" s="4"/>
      <c r="HOR70" s="4"/>
      <c r="HOS70" s="4"/>
      <c r="HOT70" s="4"/>
      <c r="HOU70" s="4"/>
      <c r="HOV70" s="4"/>
      <c r="HOW70" s="4"/>
      <c r="HOX70" s="4"/>
      <c r="HOY70" s="4"/>
      <c r="HOZ70" s="4"/>
      <c r="HPA70" s="4"/>
      <c r="HPB70" s="4"/>
      <c r="HPC70" s="4"/>
      <c r="HPD70" s="4"/>
      <c r="HPE70" s="4"/>
      <c r="HPF70" s="4"/>
      <c r="HPG70" s="4"/>
      <c r="HPH70" s="4"/>
      <c r="HPI70" s="4"/>
      <c r="HPJ70" s="4"/>
      <c r="HPK70" s="4"/>
      <c r="HPL70" s="4"/>
      <c r="HPM70" s="4"/>
      <c r="HPN70" s="4"/>
      <c r="HPO70" s="4"/>
      <c r="HPP70" s="4"/>
      <c r="HPQ70" s="4"/>
      <c r="HPR70" s="4"/>
      <c r="HPS70" s="4"/>
      <c r="HPT70" s="4"/>
      <c r="HPU70" s="4"/>
      <c r="HPV70" s="4"/>
      <c r="HPW70" s="4"/>
      <c r="HPX70" s="4"/>
      <c r="HPY70" s="4"/>
      <c r="HPZ70" s="4"/>
      <c r="HQA70" s="4"/>
      <c r="HQB70" s="4"/>
      <c r="HQC70" s="4"/>
      <c r="HQD70" s="4"/>
      <c r="HQE70" s="4"/>
      <c r="HQF70" s="4"/>
      <c r="HQG70" s="4"/>
      <c r="HQH70" s="4"/>
      <c r="HQI70" s="4"/>
      <c r="HQJ70" s="4"/>
      <c r="HQK70" s="4"/>
      <c r="HQL70" s="4"/>
      <c r="HQM70" s="4"/>
      <c r="HQN70" s="4"/>
      <c r="HQO70" s="4"/>
      <c r="HQP70" s="4"/>
      <c r="HQQ70" s="4"/>
      <c r="HQR70" s="4"/>
      <c r="HQS70" s="4"/>
      <c r="HQT70" s="4"/>
      <c r="HQU70" s="4"/>
      <c r="HQV70" s="4"/>
      <c r="HQW70" s="4"/>
      <c r="HQX70" s="4"/>
      <c r="HQY70" s="4"/>
      <c r="HQZ70" s="4"/>
      <c r="HRA70" s="4"/>
      <c r="HRB70" s="4"/>
      <c r="HRC70" s="4"/>
      <c r="HRD70" s="4"/>
      <c r="HRE70" s="4"/>
      <c r="HRF70" s="4"/>
      <c r="HRG70" s="4"/>
      <c r="HRH70" s="4"/>
      <c r="HRI70" s="4"/>
      <c r="HRJ70" s="4"/>
      <c r="HRK70" s="4"/>
      <c r="HRL70" s="4"/>
      <c r="HRM70" s="4"/>
      <c r="HRN70" s="4"/>
      <c r="HRO70" s="4"/>
      <c r="HRP70" s="4"/>
      <c r="HRQ70" s="4"/>
      <c r="HRR70" s="4"/>
      <c r="HRS70" s="4"/>
      <c r="HRT70" s="4"/>
      <c r="HRU70" s="4"/>
      <c r="HRV70" s="4"/>
      <c r="HRW70" s="4"/>
      <c r="HRX70" s="4"/>
      <c r="HRY70" s="4"/>
      <c r="HRZ70" s="4"/>
      <c r="HSA70" s="4"/>
      <c r="HSB70" s="4"/>
      <c r="HSC70" s="4"/>
      <c r="HSD70" s="4"/>
      <c r="HSE70" s="4"/>
      <c r="HSF70" s="4"/>
      <c r="HSG70" s="4"/>
      <c r="HSH70" s="4"/>
      <c r="HSI70" s="4"/>
      <c r="HSJ70" s="4"/>
      <c r="HSK70" s="4"/>
      <c r="HSL70" s="4"/>
      <c r="HSM70" s="4"/>
      <c r="HSN70" s="4"/>
      <c r="HSO70" s="4"/>
      <c r="HSP70" s="4"/>
      <c r="HSQ70" s="4"/>
      <c r="HSR70" s="4"/>
      <c r="HSS70" s="4"/>
      <c r="HST70" s="4"/>
      <c r="HSU70" s="4"/>
      <c r="HSV70" s="4"/>
      <c r="HSW70" s="4"/>
      <c r="HSX70" s="4"/>
      <c r="HSY70" s="4"/>
      <c r="HSZ70" s="4"/>
      <c r="HTA70" s="4"/>
      <c r="HTB70" s="4"/>
      <c r="HTC70" s="4"/>
      <c r="HTD70" s="4"/>
      <c r="HTE70" s="4"/>
      <c r="HTF70" s="4"/>
      <c r="HTG70" s="4"/>
      <c r="HTH70" s="4"/>
      <c r="HTI70" s="4"/>
      <c r="HTJ70" s="4"/>
      <c r="HTK70" s="4"/>
      <c r="HTL70" s="4"/>
      <c r="HTM70" s="4"/>
      <c r="HTN70" s="4"/>
      <c r="HTO70" s="4"/>
      <c r="HTP70" s="4"/>
      <c r="HTQ70" s="4"/>
      <c r="HTR70" s="4"/>
      <c r="HTS70" s="4"/>
      <c r="HTT70" s="4"/>
      <c r="HTU70" s="4"/>
      <c r="HTV70" s="4"/>
      <c r="HTW70" s="4"/>
      <c r="HTX70" s="4"/>
      <c r="HTY70" s="4"/>
      <c r="HTZ70" s="4"/>
      <c r="HUA70" s="4"/>
      <c r="HUB70" s="4"/>
      <c r="HUC70" s="4"/>
      <c r="HUD70" s="4"/>
      <c r="HUE70" s="4"/>
      <c r="HUF70" s="4"/>
      <c r="HUG70" s="4"/>
      <c r="HUH70" s="4"/>
      <c r="HUI70" s="4"/>
      <c r="HUJ70" s="4"/>
      <c r="HUK70" s="4"/>
      <c r="HUL70" s="4"/>
      <c r="HUM70" s="4"/>
      <c r="HUN70" s="4"/>
      <c r="HUO70" s="4"/>
      <c r="HUP70" s="4"/>
      <c r="HUQ70" s="4"/>
      <c r="HUR70" s="4"/>
      <c r="HUS70" s="4"/>
      <c r="HUT70" s="4"/>
      <c r="HUU70" s="4"/>
      <c r="HUV70" s="4"/>
      <c r="HUW70" s="4"/>
      <c r="HUX70" s="4"/>
      <c r="HUY70" s="4"/>
      <c r="HUZ70" s="4"/>
      <c r="HVA70" s="4"/>
      <c r="HVB70" s="4"/>
      <c r="HVC70" s="4"/>
      <c r="HVD70" s="4"/>
      <c r="HVE70" s="4"/>
      <c r="HVF70" s="4"/>
      <c r="HVG70" s="4"/>
      <c r="HVH70" s="4"/>
      <c r="HVI70" s="4"/>
      <c r="HVJ70" s="4"/>
      <c r="HVK70" s="4"/>
      <c r="HVL70" s="4"/>
      <c r="HVM70" s="4"/>
      <c r="HVN70" s="4"/>
      <c r="HVO70" s="4"/>
      <c r="HVP70" s="4"/>
      <c r="HVQ70" s="4"/>
      <c r="HVR70" s="4"/>
      <c r="HVS70" s="4"/>
      <c r="HVT70" s="4"/>
      <c r="HVU70" s="4"/>
      <c r="HVV70" s="4"/>
      <c r="HVW70" s="4"/>
      <c r="HVX70" s="4"/>
      <c r="HVY70" s="4"/>
      <c r="HVZ70" s="4"/>
      <c r="HWA70" s="4"/>
      <c r="HWB70" s="4"/>
      <c r="HWC70" s="4"/>
      <c r="HWD70" s="4"/>
      <c r="HWE70" s="4"/>
      <c r="HWF70" s="4"/>
      <c r="HWG70" s="4"/>
      <c r="HWH70" s="4"/>
      <c r="HWI70" s="4"/>
      <c r="HWJ70" s="4"/>
      <c r="HWK70" s="4"/>
      <c r="HWL70" s="4"/>
      <c r="HWM70" s="4"/>
      <c r="HWN70" s="4"/>
      <c r="HWO70" s="4"/>
      <c r="HWP70" s="4"/>
      <c r="HWQ70" s="4"/>
      <c r="HWR70" s="4"/>
      <c r="HWS70" s="4"/>
      <c r="HWT70" s="4"/>
      <c r="HWU70" s="4"/>
      <c r="HWV70" s="4"/>
      <c r="HWW70" s="4"/>
      <c r="HWX70" s="4"/>
      <c r="HWY70" s="4"/>
      <c r="HWZ70" s="4"/>
      <c r="HXA70" s="4"/>
      <c r="HXB70" s="4"/>
      <c r="HXC70" s="4"/>
      <c r="HXD70" s="4"/>
      <c r="HXE70" s="4"/>
      <c r="HXF70" s="4"/>
      <c r="HXG70" s="4"/>
      <c r="HXH70" s="4"/>
      <c r="HXI70" s="4"/>
      <c r="HXJ70" s="4"/>
      <c r="HXK70" s="4"/>
      <c r="HXL70" s="4"/>
      <c r="HXM70" s="4"/>
      <c r="HXN70" s="4"/>
      <c r="HXO70" s="4"/>
      <c r="HXP70" s="4"/>
      <c r="HXQ70" s="4"/>
      <c r="HXR70" s="4"/>
      <c r="HXS70" s="4"/>
      <c r="HXT70" s="4"/>
      <c r="HXU70" s="4"/>
      <c r="HXV70" s="4"/>
      <c r="HXW70" s="4"/>
      <c r="HXX70" s="4"/>
      <c r="HXY70" s="4"/>
      <c r="HXZ70" s="4"/>
      <c r="HYA70" s="4"/>
      <c r="HYB70" s="4"/>
      <c r="HYC70" s="4"/>
      <c r="HYD70" s="4"/>
      <c r="HYE70" s="4"/>
      <c r="HYF70" s="4"/>
      <c r="HYG70" s="4"/>
      <c r="HYH70" s="4"/>
      <c r="HYI70" s="4"/>
      <c r="HYJ70" s="4"/>
      <c r="HYK70" s="4"/>
      <c r="HYL70" s="4"/>
      <c r="HYM70" s="4"/>
      <c r="HYN70" s="4"/>
      <c r="HYO70" s="4"/>
      <c r="HYP70" s="4"/>
      <c r="HYQ70" s="4"/>
      <c r="HYR70" s="4"/>
      <c r="HYS70" s="4"/>
      <c r="HYT70" s="4"/>
      <c r="HYU70" s="4"/>
      <c r="HYV70" s="4"/>
      <c r="HYW70" s="4"/>
      <c r="HYX70" s="4"/>
      <c r="HYY70" s="4"/>
      <c r="HYZ70" s="4"/>
      <c r="HZA70" s="4"/>
      <c r="HZB70" s="4"/>
      <c r="HZC70" s="4"/>
      <c r="HZD70" s="4"/>
      <c r="HZE70" s="4"/>
      <c r="HZF70" s="4"/>
      <c r="HZG70" s="4"/>
      <c r="HZH70" s="4"/>
      <c r="HZI70" s="4"/>
      <c r="HZJ70" s="4"/>
      <c r="HZK70" s="4"/>
      <c r="HZL70" s="4"/>
      <c r="HZM70" s="4"/>
      <c r="HZN70" s="4"/>
      <c r="HZO70" s="4"/>
      <c r="HZP70" s="4"/>
      <c r="HZQ70" s="4"/>
      <c r="HZR70" s="4"/>
      <c r="HZS70" s="4"/>
      <c r="HZT70" s="4"/>
      <c r="HZU70" s="4"/>
      <c r="HZV70" s="4"/>
      <c r="HZW70" s="4"/>
      <c r="HZX70" s="4"/>
      <c r="HZY70" s="4"/>
      <c r="HZZ70" s="4"/>
      <c r="IAA70" s="4"/>
      <c r="IAB70" s="4"/>
      <c r="IAC70" s="4"/>
      <c r="IAD70" s="4"/>
      <c r="IAE70" s="4"/>
      <c r="IAF70" s="4"/>
      <c r="IAG70" s="4"/>
      <c r="IAH70" s="4"/>
      <c r="IAI70" s="4"/>
      <c r="IAJ70" s="4"/>
      <c r="IAK70" s="4"/>
      <c r="IAL70" s="4"/>
      <c r="IAM70" s="4"/>
      <c r="IAN70" s="4"/>
      <c r="IAO70" s="4"/>
      <c r="IAP70" s="4"/>
      <c r="IAQ70" s="4"/>
      <c r="IAR70" s="4"/>
      <c r="IAS70" s="4"/>
      <c r="IAT70" s="4"/>
      <c r="IAU70" s="4"/>
      <c r="IAV70" s="4"/>
      <c r="IAW70" s="4"/>
      <c r="IAX70" s="4"/>
      <c r="IAY70" s="4"/>
      <c r="IAZ70" s="4"/>
      <c r="IBA70" s="4"/>
      <c r="IBB70" s="4"/>
      <c r="IBC70" s="4"/>
      <c r="IBD70" s="4"/>
      <c r="IBE70" s="4"/>
      <c r="IBF70" s="4"/>
      <c r="IBG70" s="4"/>
      <c r="IBH70" s="4"/>
      <c r="IBI70" s="4"/>
      <c r="IBJ70" s="4"/>
      <c r="IBK70" s="4"/>
      <c r="IBL70" s="4"/>
      <c r="IBM70" s="4"/>
      <c r="IBN70" s="4"/>
      <c r="IBO70" s="4"/>
      <c r="IBP70" s="4"/>
      <c r="IBQ70" s="4"/>
      <c r="IBR70" s="4"/>
      <c r="IBS70" s="4"/>
      <c r="IBT70" s="4"/>
      <c r="IBU70" s="4"/>
      <c r="IBV70" s="4"/>
      <c r="IBW70" s="4"/>
      <c r="IBX70" s="4"/>
      <c r="IBY70" s="4"/>
      <c r="IBZ70" s="4"/>
      <c r="ICA70" s="4"/>
      <c r="ICB70" s="4"/>
      <c r="ICC70" s="4"/>
      <c r="ICD70" s="4"/>
      <c r="ICE70" s="4"/>
      <c r="ICF70" s="4"/>
      <c r="ICG70" s="4"/>
      <c r="ICH70" s="4"/>
      <c r="ICI70" s="4"/>
      <c r="ICJ70" s="4"/>
      <c r="ICK70" s="4"/>
      <c r="ICL70" s="4"/>
      <c r="ICM70" s="4"/>
      <c r="ICN70" s="4"/>
      <c r="ICO70" s="4"/>
      <c r="ICP70" s="4"/>
      <c r="ICQ70" s="4"/>
      <c r="ICR70" s="4"/>
      <c r="ICS70" s="4"/>
      <c r="ICT70" s="4"/>
      <c r="ICU70" s="4"/>
      <c r="ICV70" s="4"/>
      <c r="ICW70" s="4"/>
      <c r="ICX70" s="4"/>
      <c r="ICY70" s="4"/>
      <c r="ICZ70" s="4"/>
      <c r="IDA70" s="4"/>
      <c r="IDB70" s="4"/>
      <c r="IDC70" s="4"/>
      <c r="IDD70" s="4"/>
      <c r="IDE70" s="4"/>
      <c r="IDF70" s="4"/>
      <c r="IDG70" s="4"/>
      <c r="IDH70" s="4"/>
      <c r="IDI70" s="4"/>
      <c r="IDJ70" s="4"/>
      <c r="IDK70" s="4"/>
      <c r="IDL70" s="4"/>
      <c r="IDM70" s="4"/>
      <c r="IDN70" s="4"/>
      <c r="IDO70" s="4"/>
      <c r="IDP70" s="4"/>
      <c r="IDQ70" s="4"/>
      <c r="IDR70" s="4"/>
      <c r="IDS70" s="4"/>
      <c r="IDT70" s="4"/>
      <c r="IDU70" s="4"/>
      <c r="IDV70" s="4"/>
      <c r="IDW70" s="4"/>
      <c r="IDX70" s="4"/>
      <c r="IDY70" s="4"/>
      <c r="IDZ70" s="4"/>
      <c r="IEA70" s="4"/>
      <c r="IEB70" s="4"/>
      <c r="IEC70" s="4"/>
      <c r="IED70" s="4"/>
      <c r="IEE70" s="4"/>
      <c r="IEF70" s="4"/>
      <c r="IEG70" s="4"/>
      <c r="IEH70" s="4"/>
      <c r="IEI70" s="4"/>
      <c r="IEJ70" s="4"/>
      <c r="IEK70" s="4"/>
      <c r="IEL70" s="4"/>
      <c r="IEM70" s="4"/>
      <c r="IEN70" s="4"/>
      <c r="IEO70" s="4"/>
      <c r="IEP70" s="4"/>
      <c r="IEQ70" s="4"/>
      <c r="IER70" s="4"/>
      <c r="IES70" s="4"/>
      <c r="IET70" s="4"/>
      <c r="IEU70" s="4"/>
      <c r="IEV70" s="4"/>
      <c r="IEW70" s="4"/>
      <c r="IEX70" s="4"/>
      <c r="IEY70" s="4"/>
      <c r="IEZ70" s="4"/>
      <c r="IFA70" s="4"/>
      <c r="IFB70" s="4"/>
      <c r="IFC70" s="4"/>
      <c r="IFD70" s="4"/>
      <c r="IFE70" s="4"/>
      <c r="IFF70" s="4"/>
      <c r="IFG70" s="4"/>
      <c r="IFH70" s="4"/>
      <c r="IFI70" s="4"/>
      <c r="IFJ70" s="4"/>
      <c r="IFK70" s="4"/>
      <c r="IFL70" s="4"/>
      <c r="IFM70" s="4"/>
      <c r="IFN70" s="4"/>
      <c r="IFO70" s="4"/>
      <c r="IFP70" s="4"/>
      <c r="IFQ70" s="4"/>
      <c r="IFR70" s="4"/>
      <c r="IFS70" s="4"/>
      <c r="IFT70" s="4"/>
      <c r="IFU70" s="4"/>
      <c r="IFV70" s="4"/>
      <c r="IFW70" s="4"/>
      <c r="IFX70" s="4"/>
      <c r="IFY70" s="4"/>
      <c r="IFZ70" s="4"/>
      <c r="IGA70" s="4"/>
      <c r="IGB70" s="4"/>
      <c r="IGC70" s="4"/>
      <c r="IGD70" s="4"/>
      <c r="IGE70" s="4"/>
      <c r="IGF70" s="4"/>
      <c r="IGG70" s="4"/>
      <c r="IGH70" s="4"/>
      <c r="IGI70" s="4"/>
      <c r="IGJ70" s="4"/>
      <c r="IGK70" s="4"/>
      <c r="IGL70" s="4"/>
      <c r="IGM70" s="4"/>
      <c r="IGN70" s="4"/>
      <c r="IGO70" s="4"/>
      <c r="IGP70" s="4"/>
      <c r="IGQ70" s="4"/>
      <c r="IGR70" s="4"/>
      <c r="IGS70" s="4"/>
      <c r="IGT70" s="4"/>
      <c r="IGU70" s="4"/>
      <c r="IGV70" s="4"/>
      <c r="IGW70" s="4"/>
      <c r="IGX70" s="4"/>
      <c r="IGY70" s="4"/>
      <c r="IGZ70" s="4"/>
      <c r="IHA70" s="4"/>
      <c r="IHB70" s="4"/>
      <c r="IHC70" s="4"/>
      <c r="IHD70" s="4"/>
      <c r="IHE70" s="4"/>
      <c r="IHF70" s="4"/>
      <c r="IHG70" s="4"/>
      <c r="IHH70" s="4"/>
      <c r="IHI70" s="4"/>
      <c r="IHJ70" s="4"/>
      <c r="IHK70" s="4"/>
      <c r="IHL70" s="4"/>
      <c r="IHM70" s="4"/>
      <c r="IHN70" s="4"/>
      <c r="IHO70" s="4"/>
      <c r="IHP70" s="4"/>
      <c r="IHQ70" s="4"/>
      <c r="IHR70" s="4"/>
      <c r="IHS70" s="4"/>
      <c r="IHT70" s="4"/>
      <c r="IHU70" s="4"/>
      <c r="IHV70" s="4"/>
      <c r="IHW70" s="4"/>
      <c r="IHX70" s="4"/>
      <c r="IHY70" s="4"/>
      <c r="IHZ70" s="4"/>
      <c r="IIA70" s="4"/>
      <c r="IIB70" s="4"/>
      <c r="IIC70" s="4"/>
      <c r="IID70" s="4"/>
      <c r="IIE70" s="4"/>
      <c r="IIF70" s="4"/>
      <c r="IIG70" s="4"/>
      <c r="IIH70" s="4"/>
      <c r="III70" s="4"/>
      <c r="IIJ70" s="4"/>
      <c r="IIK70" s="4"/>
      <c r="IIL70" s="4"/>
      <c r="IIM70" s="4"/>
      <c r="IIN70" s="4"/>
      <c r="IIO70" s="4"/>
      <c r="IIP70" s="4"/>
      <c r="IIQ70" s="4"/>
      <c r="IIR70" s="4"/>
      <c r="IIS70" s="4"/>
      <c r="IIT70" s="4"/>
      <c r="IIU70" s="4"/>
      <c r="IIV70" s="4"/>
      <c r="IIW70" s="4"/>
      <c r="IIX70" s="4"/>
      <c r="IIY70" s="4"/>
      <c r="IIZ70" s="4"/>
      <c r="IJA70" s="4"/>
      <c r="IJB70" s="4"/>
      <c r="IJC70" s="4"/>
      <c r="IJD70" s="4"/>
      <c r="IJE70" s="4"/>
      <c r="IJF70" s="4"/>
      <c r="IJG70" s="4"/>
      <c r="IJH70" s="4"/>
      <c r="IJI70" s="4"/>
      <c r="IJJ70" s="4"/>
      <c r="IJK70" s="4"/>
      <c r="IJL70" s="4"/>
      <c r="IJM70" s="4"/>
      <c r="IJN70" s="4"/>
      <c r="IJO70" s="4"/>
      <c r="IJP70" s="4"/>
      <c r="IJQ70" s="4"/>
      <c r="IJR70" s="4"/>
      <c r="IJS70" s="4"/>
      <c r="IJT70" s="4"/>
      <c r="IJU70" s="4"/>
      <c r="IJV70" s="4"/>
      <c r="IJW70" s="4"/>
      <c r="IJX70" s="4"/>
      <c r="IJY70" s="4"/>
      <c r="IJZ70" s="4"/>
      <c r="IKA70" s="4"/>
      <c r="IKB70" s="4"/>
      <c r="IKC70" s="4"/>
      <c r="IKD70" s="4"/>
      <c r="IKE70" s="4"/>
      <c r="IKF70" s="4"/>
      <c r="IKG70" s="4"/>
      <c r="IKH70" s="4"/>
      <c r="IKI70" s="4"/>
      <c r="IKJ70" s="4"/>
      <c r="IKK70" s="4"/>
      <c r="IKL70" s="4"/>
      <c r="IKM70" s="4"/>
      <c r="IKN70" s="4"/>
      <c r="IKO70" s="4"/>
      <c r="IKP70" s="4"/>
      <c r="IKQ70" s="4"/>
      <c r="IKR70" s="4"/>
      <c r="IKS70" s="4"/>
      <c r="IKT70" s="4"/>
      <c r="IKU70" s="4"/>
      <c r="IKV70" s="4"/>
      <c r="IKW70" s="4"/>
      <c r="IKX70" s="4"/>
      <c r="IKY70" s="4"/>
      <c r="IKZ70" s="4"/>
      <c r="ILA70" s="4"/>
      <c r="ILB70" s="4"/>
      <c r="ILC70" s="4"/>
      <c r="ILD70" s="4"/>
      <c r="ILE70" s="4"/>
      <c r="ILF70" s="4"/>
      <c r="ILG70" s="4"/>
      <c r="ILH70" s="4"/>
      <c r="ILI70" s="4"/>
      <c r="ILJ70" s="4"/>
      <c r="ILK70" s="4"/>
      <c r="ILL70" s="4"/>
      <c r="ILM70" s="4"/>
      <c r="ILN70" s="4"/>
      <c r="ILO70" s="4"/>
      <c r="ILP70" s="4"/>
      <c r="ILQ70" s="4"/>
      <c r="ILR70" s="4"/>
      <c r="ILS70" s="4"/>
      <c r="ILT70" s="4"/>
      <c r="ILU70" s="4"/>
      <c r="ILV70" s="4"/>
      <c r="ILW70" s="4"/>
      <c r="ILX70" s="4"/>
      <c r="ILY70" s="4"/>
      <c r="ILZ70" s="4"/>
      <c r="IMA70" s="4"/>
      <c r="IMB70" s="4"/>
      <c r="IMC70" s="4"/>
      <c r="IMD70" s="4"/>
      <c r="IME70" s="4"/>
      <c r="IMF70" s="4"/>
      <c r="IMG70" s="4"/>
      <c r="IMH70" s="4"/>
      <c r="IMI70" s="4"/>
      <c r="IMJ70" s="4"/>
      <c r="IMK70" s="4"/>
      <c r="IML70" s="4"/>
      <c r="IMM70" s="4"/>
      <c r="IMN70" s="4"/>
      <c r="IMO70" s="4"/>
      <c r="IMP70" s="4"/>
      <c r="IMQ70" s="4"/>
      <c r="IMR70" s="4"/>
      <c r="IMS70" s="4"/>
      <c r="IMT70" s="4"/>
      <c r="IMU70" s="4"/>
      <c r="IMV70" s="4"/>
      <c r="IMW70" s="4"/>
      <c r="IMX70" s="4"/>
      <c r="IMY70" s="4"/>
      <c r="IMZ70" s="4"/>
      <c r="INA70" s="4"/>
      <c r="INB70" s="4"/>
      <c r="INC70" s="4"/>
      <c r="IND70" s="4"/>
      <c r="INE70" s="4"/>
      <c r="INF70" s="4"/>
      <c r="ING70" s="4"/>
      <c r="INH70" s="4"/>
      <c r="INI70" s="4"/>
      <c r="INJ70" s="4"/>
      <c r="INK70" s="4"/>
      <c r="INL70" s="4"/>
      <c r="INM70" s="4"/>
      <c r="INN70" s="4"/>
      <c r="INO70" s="4"/>
      <c r="INP70" s="4"/>
      <c r="INQ70" s="4"/>
      <c r="INR70" s="4"/>
      <c r="INS70" s="4"/>
      <c r="INT70" s="4"/>
      <c r="INU70" s="4"/>
      <c r="INV70" s="4"/>
      <c r="INW70" s="4"/>
      <c r="INX70" s="4"/>
      <c r="INY70" s="4"/>
      <c r="INZ70" s="4"/>
      <c r="IOA70" s="4"/>
      <c r="IOB70" s="4"/>
      <c r="IOC70" s="4"/>
      <c r="IOD70" s="4"/>
      <c r="IOE70" s="4"/>
      <c r="IOF70" s="4"/>
      <c r="IOG70" s="4"/>
      <c r="IOH70" s="4"/>
      <c r="IOI70" s="4"/>
      <c r="IOJ70" s="4"/>
      <c r="IOK70" s="4"/>
      <c r="IOL70" s="4"/>
      <c r="IOM70" s="4"/>
      <c r="ION70" s="4"/>
      <c r="IOO70" s="4"/>
      <c r="IOP70" s="4"/>
      <c r="IOQ70" s="4"/>
      <c r="IOR70" s="4"/>
      <c r="IOS70" s="4"/>
      <c r="IOT70" s="4"/>
      <c r="IOU70" s="4"/>
      <c r="IOV70" s="4"/>
      <c r="IOW70" s="4"/>
      <c r="IOX70" s="4"/>
      <c r="IOY70" s="4"/>
      <c r="IOZ70" s="4"/>
      <c r="IPA70" s="4"/>
      <c r="IPB70" s="4"/>
      <c r="IPC70" s="4"/>
      <c r="IPD70" s="4"/>
      <c r="IPE70" s="4"/>
      <c r="IPF70" s="4"/>
      <c r="IPG70" s="4"/>
      <c r="IPH70" s="4"/>
      <c r="IPI70" s="4"/>
      <c r="IPJ70" s="4"/>
      <c r="IPK70" s="4"/>
      <c r="IPL70" s="4"/>
      <c r="IPM70" s="4"/>
      <c r="IPN70" s="4"/>
      <c r="IPO70" s="4"/>
      <c r="IPP70" s="4"/>
      <c r="IPQ70" s="4"/>
      <c r="IPR70" s="4"/>
      <c r="IPS70" s="4"/>
      <c r="IPT70" s="4"/>
      <c r="IPU70" s="4"/>
      <c r="IPV70" s="4"/>
      <c r="IPW70" s="4"/>
      <c r="IPX70" s="4"/>
      <c r="IPY70" s="4"/>
      <c r="IPZ70" s="4"/>
      <c r="IQA70" s="4"/>
      <c r="IQB70" s="4"/>
      <c r="IQC70" s="4"/>
      <c r="IQD70" s="4"/>
      <c r="IQE70" s="4"/>
      <c r="IQF70" s="4"/>
      <c r="IQG70" s="4"/>
      <c r="IQH70" s="4"/>
      <c r="IQI70" s="4"/>
      <c r="IQJ70" s="4"/>
      <c r="IQK70" s="4"/>
      <c r="IQL70" s="4"/>
      <c r="IQM70" s="4"/>
      <c r="IQN70" s="4"/>
      <c r="IQO70" s="4"/>
      <c r="IQP70" s="4"/>
      <c r="IQQ70" s="4"/>
      <c r="IQR70" s="4"/>
      <c r="IQS70" s="4"/>
      <c r="IQT70" s="4"/>
      <c r="IQU70" s="4"/>
      <c r="IQV70" s="4"/>
      <c r="IQW70" s="4"/>
      <c r="IQX70" s="4"/>
      <c r="IQY70" s="4"/>
      <c r="IQZ70" s="4"/>
      <c r="IRA70" s="4"/>
      <c r="IRB70" s="4"/>
      <c r="IRC70" s="4"/>
      <c r="IRD70" s="4"/>
      <c r="IRE70" s="4"/>
      <c r="IRF70" s="4"/>
      <c r="IRG70" s="4"/>
      <c r="IRH70" s="4"/>
      <c r="IRI70" s="4"/>
      <c r="IRJ70" s="4"/>
      <c r="IRK70" s="4"/>
      <c r="IRL70" s="4"/>
      <c r="IRM70" s="4"/>
      <c r="IRN70" s="4"/>
      <c r="IRO70" s="4"/>
      <c r="IRP70" s="4"/>
      <c r="IRQ70" s="4"/>
      <c r="IRR70" s="4"/>
      <c r="IRS70" s="4"/>
      <c r="IRT70" s="4"/>
      <c r="IRU70" s="4"/>
      <c r="IRV70" s="4"/>
      <c r="IRW70" s="4"/>
      <c r="IRX70" s="4"/>
      <c r="IRY70" s="4"/>
      <c r="IRZ70" s="4"/>
      <c r="ISA70" s="4"/>
      <c r="ISB70" s="4"/>
      <c r="ISC70" s="4"/>
      <c r="ISD70" s="4"/>
      <c r="ISE70" s="4"/>
      <c r="ISF70" s="4"/>
      <c r="ISG70" s="4"/>
      <c r="ISH70" s="4"/>
      <c r="ISI70" s="4"/>
      <c r="ISJ70" s="4"/>
      <c r="ISK70" s="4"/>
      <c r="ISL70" s="4"/>
      <c r="ISM70" s="4"/>
      <c r="ISN70" s="4"/>
      <c r="ISO70" s="4"/>
      <c r="ISP70" s="4"/>
      <c r="ISQ70" s="4"/>
      <c r="ISR70" s="4"/>
      <c r="ISS70" s="4"/>
      <c r="IST70" s="4"/>
      <c r="ISU70" s="4"/>
      <c r="ISV70" s="4"/>
      <c r="ISW70" s="4"/>
      <c r="ISX70" s="4"/>
      <c r="ISY70" s="4"/>
      <c r="ISZ70" s="4"/>
      <c r="ITA70" s="4"/>
      <c r="ITB70" s="4"/>
      <c r="ITC70" s="4"/>
      <c r="ITD70" s="4"/>
      <c r="ITE70" s="4"/>
      <c r="ITF70" s="4"/>
      <c r="ITG70" s="4"/>
      <c r="ITH70" s="4"/>
      <c r="ITI70" s="4"/>
      <c r="ITJ70" s="4"/>
      <c r="ITK70" s="4"/>
      <c r="ITL70" s="4"/>
      <c r="ITM70" s="4"/>
      <c r="ITN70" s="4"/>
      <c r="ITO70" s="4"/>
      <c r="ITP70" s="4"/>
      <c r="ITQ70" s="4"/>
      <c r="ITR70" s="4"/>
      <c r="ITS70" s="4"/>
      <c r="ITT70" s="4"/>
      <c r="ITU70" s="4"/>
      <c r="ITV70" s="4"/>
      <c r="ITW70" s="4"/>
      <c r="ITX70" s="4"/>
      <c r="ITY70" s="4"/>
      <c r="ITZ70" s="4"/>
      <c r="IUA70" s="4"/>
      <c r="IUB70" s="4"/>
      <c r="IUC70" s="4"/>
      <c r="IUD70" s="4"/>
      <c r="IUE70" s="4"/>
      <c r="IUF70" s="4"/>
      <c r="IUG70" s="4"/>
      <c r="IUH70" s="4"/>
      <c r="IUI70" s="4"/>
      <c r="IUJ70" s="4"/>
      <c r="IUK70" s="4"/>
      <c r="IUL70" s="4"/>
      <c r="IUM70" s="4"/>
      <c r="IUN70" s="4"/>
      <c r="IUO70" s="4"/>
      <c r="IUP70" s="4"/>
      <c r="IUQ70" s="4"/>
      <c r="IUR70" s="4"/>
      <c r="IUS70" s="4"/>
      <c r="IUT70" s="4"/>
      <c r="IUU70" s="4"/>
      <c r="IUV70" s="4"/>
      <c r="IUW70" s="4"/>
      <c r="IUX70" s="4"/>
      <c r="IUY70" s="4"/>
      <c r="IUZ70" s="4"/>
      <c r="IVA70" s="4"/>
      <c r="IVB70" s="4"/>
      <c r="IVC70" s="4"/>
      <c r="IVD70" s="4"/>
      <c r="IVE70" s="4"/>
      <c r="IVF70" s="4"/>
      <c r="IVG70" s="4"/>
      <c r="IVH70" s="4"/>
      <c r="IVI70" s="4"/>
      <c r="IVJ70" s="4"/>
      <c r="IVK70" s="4"/>
      <c r="IVL70" s="4"/>
      <c r="IVM70" s="4"/>
      <c r="IVN70" s="4"/>
      <c r="IVO70" s="4"/>
      <c r="IVP70" s="4"/>
      <c r="IVQ70" s="4"/>
      <c r="IVR70" s="4"/>
      <c r="IVS70" s="4"/>
      <c r="IVT70" s="4"/>
      <c r="IVU70" s="4"/>
      <c r="IVV70" s="4"/>
      <c r="IVW70" s="4"/>
      <c r="IVX70" s="4"/>
      <c r="IVY70" s="4"/>
      <c r="IVZ70" s="4"/>
      <c r="IWA70" s="4"/>
      <c r="IWB70" s="4"/>
      <c r="IWC70" s="4"/>
      <c r="IWD70" s="4"/>
      <c r="IWE70" s="4"/>
      <c r="IWF70" s="4"/>
      <c r="IWG70" s="4"/>
      <c r="IWH70" s="4"/>
      <c r="IWI70" s="4"/>
      <c r="IWJ70" s="4"/>
      <c r="IWK70" s="4"/>
      <c r="IWL70" s="4"/>
      <c r="IWM70" s="4"/>
      <c r="IWN70" s="4"/>
      <c r="IWO70" s="4"/>
      <c r="IWP70" s="4"/>
      <c r="IWQ70" s="4"/>
      <c r="IWR70" s="4"/>
      <c r="IWS70" s="4"/>
      <c r="IWT70" s="4"/>
      <c r="IWU70" s="4"/>
      <c r="IWV70" s="4"/>
      <c r="IWW70" s="4"/>
      <c r="IWX70" s="4"/>
      <c r="IWY70" s="4"/>
      <c r="IWZ70" s="4"/>
      <c r="IXA70" s="4"/>
      <c r="IXB70" s="4"/>
      <c r="IXC70" s="4"/>
      <c r="IXD70" s="4"/>
      <c r="IXE70" s="4"/>
      <c r="IXF70" s="4"/>
      <c r="IXG70" s="4"/>
      <c r="IXH70" s="4"/>
      <c r="IXI70" s="4"/>
      <c r="IXJ70" s="4"/>
      <c r="IXK70" s="4"/>
      <c r="IXL70" s="4"/>
      <c r="IXM70" s="4"/>
      <c r="IXN70" s="4"/>
      <c r="IXO70" s="4"/>
      <c r="IXP70" s="4"/>
      <c r="IXQ70" s="4"/>
      <c r="IXR70" s="4"/>
      <c r="IXS70" s="4"/>
      <c r="IXT70" s="4"/>
      <c r="IXU70" s="4"/>
      <c r="IXV70" s="4"/>
      <c r="IXW70" s="4"/>
      <c r="IXX70" s="4"/>
      <c r="IXY70" s="4"/>
      <c r="IXZ70" s="4"/>
      <c r="IYA70" s="4"/>
      <c r="IYB70" s="4"/>
      <c r="IYC70" s="4"/>
      <c r="IYD70" s="4"/>
      <c r="IYE70" s="4"/>
      <c r="IYF70" s="4"/>
      <c r="IYG70" s="4"/>
      <c r="IYH70" s="4"/>
      <c r="IYI70" s="4"/>
      <c r="IYJ70" s="4"/>
      <c r="IYK70" s="4"/>
      <c r="IYL70" s="4"/>
      <c r="IYM70" s="4"/>
      <c r="IYN70" s="4"/>
      <c r="IYO70" s="4"/>
      <c r="IYP70" s="4"/>
      <c r="IYQ70" s="4"/>
      <c r="IYR70" s="4"/>
      <c r="IYS70" s="4"/>
      <c r="IYT70" s="4"/>
      <c r="IYU70" s="4"/>
      <c r="IYV70" s="4"/>
      <c r="IYW70" s="4"/>
      <c r="IYX70" s="4"/>
      <c r="IYY70" s="4"/>
      <c r="IYZ70" s="4"/>
      <c r="IZA70" s="4"/>
      <c r="IZB70" s="4"/>
      <c r="IZC70" s="4"/>
      <c r="IZD70" s="4"/>
      <c r="IZE70" s="4"/>
      <c r="IZF70" s="4"/>
      <c r="IZG70" s="4"/>
      <c r="IZH70" s="4"/>
      <c r="IZI70" s="4"/>
      <c r="IZJ70" s="4"/>
      <c r="IZK70" s="4"/>
      <c r="IZL70" s="4"/>
      <c r="IZM70" s="4"/>
      <c r="IZN70" s="4"/>
      <c r="IZO70" s="4"/>
      <c r="IZP70" s="4"/>
      <c r="IZQ70" s="4"/>
      <c r="IZR70" s="4"/>
      <c r="IZS70" s="4"/>
      <c r="IZT70" s="4"/>
      <c r="IZU70" s="4"/>
      <c r="IZV70" s="4"/>
      <c r="IZW70" s="4"/>
      <c r="IZX70" s="4"/>
      <c r="IZY70" s="4"/>
      <c r="IZZ70" s="4"/>
      <c r="JAA70" s="4"/>
      <c r="JAB70" s="4"/>
      <c r="JAC70" s="4"/>
      <c r="JAD70" s="4"/>
      <c r="JAE70" s="4"/>
      <c r="JAF70" s="4"/>
      <c r="JAG70" s="4"/>
      <c r="JAH70" s="4"/>
      <c r="JAI70" s="4"/>
      <c r="JAJ70" s="4"/>
      <c r="JAK70" s="4"/>
      <c r="JAL70" s="4"/>
      <c r="JAM70" s="4"/>
      <c r="JAN70" s="4"/>
      <c r="JAO70" s="4"/>
      <c r="JAP70" s="4"/>
      <c r="JAQ70" s="4"/>
      <c r="JAR70" s="4"/>
      <c r="JAS70" s="4"/>
      <c r="JAT70" s="4"/>
      <c r="JAU70" s="4"/>
      <c r="JAV70" s="4"/>
      <c r="JAW70" s="4"/>
      <c r="JAX70" s="4"/>
      <c r="JAY70" s="4"/>
      <c r="JAZ70" s="4"/>
      <c r="JBA70" s="4"/>
      <c r="JBB70" s="4"/>
      <c r="JBC70" s="4"/>
      <c r="JBD70" s="4"/>
      <c r="JBE70" s="4"/>
      <c r="JBF70" s="4"/>
      <c r="JBG70" s="4"/>
      <c r="JBH70" s="4"/>
      <c r="JBI70" s="4"/>
      <c r="JBJ70" s="4"/>
      <c r="JBK70" s="4"/>
      <c r="JBL70" s="4"/>
      <c r="JBM70" s="4"/>
      <c r="JBN70" s="4"/>
      <c r="JBO70" s="4"/>
      <c r="JBP70" s="4"/>
      <c r="JBQ70" s="4"/>
      <c r="JBR70" s="4"/>
      <c r="JBS70" s="4"/>
      <c r="JBT70" s="4"/>
      <c r="JBU70" s="4"/>
      <c r="JBV70" s="4"/>
      <c r="JBW70" s="4"/>
      <c r="JBX70" s="4"/>
      <c r="JBY70" s="4"/>
      <c r="JBZ70" s="4"/>
      <c r="JCA70" s="4"/>
      <c r="JCB70" s="4"/>
      <c r="JCC70" s="4"/>
      <c r="JCD70" s="4"/>
      <c r="JCE70" s="4"/>
      <c r="JCF70" s="4"/>
      <c r="JCG70" s="4"/>
      <c r="JCH70" s="4"/>
      <c r="JCI70" s="4"/>
      <c r="JCJ70" s="4"/>
      <c r="JCK70" s="4"/>
      <c r="JCL70" s="4"/>
      <c r="JCM70" s="4"/>
      <c r="JCN70" s="4"/>
      <c r="JCO70" s="4"/>
      <c r="JCP70" s="4"/>
      <c r="JCQ70" s="4"/>
      <c r="JCR70" s="4"/>
      <c r="JCS70" s="4"/>
      <c r="JCT70" s="4"/>
      <c r="JCU70" s="4"/>
      <c r="JCV70" s="4"/>
      <c r="JCW70" s="4"/>
      <c r="JCX70" s="4"/>
      <c r="JCY70" s="4"/>
      <c r="JCZ70" s="4"/>
      <c r="JDA70" s="4"/>
      <c r="JDB70" s="4"/>
      <c r="JDC70" s="4"/>
      <c r="JDD70" s="4"/>
      <c r="JDE70" s="4"/>
      <c r="JDF70" s="4"/>
      <c r="JDG70" s="4"/>
      <c r="JDH70" s="4"/>
      <c r="JDI70" s="4"/>
      <c r="JDJ70" s="4"/>
      <c r="JDK70" s="4"/>
      <c r="JDL70" s="4"/>
      <c r="JDM70" s="4"/>
      <c r="JDN70" s="4"/>
      <c r="JDO70" s="4"/>
      <c r="JDP70" s="4"/>
      <c r="JDQ70" s="4"/>
      <c r="JDR70" s="4"/>
      <c r="JDS70" s="4"/>
      <c r="JDT70" s="4"/>
      <c r="JDU70" s="4"/>
      <c r="JDV70" s="4"/>
      <c r="JDW70" s="4"/>
      <c r="JDX70" s="4"/>
      <c r="JDY70" s="4"/>
      <c r="JDZ70" s="4"/>
      <c r="JEA70" s="4"/>
      <c r="JEB70" s="4"/>
      <c r="JEC70" s="4"/>
      <c r="JED70" s="4"/>
      <c r="JEE70" s="4"/>
      <c r="JEF70" s="4"/>
      <c r="JEG70" s="4"/>
      <c r="JEH70" s="4"/>
      <c r="JEI70" s="4"/>
      <c r="JEJ70" s="4"/>
      <c r="JEK70" s="4"/>
      <c r="JEL70" s="4"/>
      <c r="JEM70" s="4"/>
      <c r="JEN70" s="4"/>
      <c r="JEO70" s="4"/>
      <c r="JEP70" s="4"/>
      <c r="JEQ70" s="4"/>
      <c r="JER70" s="4"/>
      <c r="JES70" s="4"/>
      <c r="JET70" s="4"/>
      <c r="JEU70" s="4"/>
      <c r="JEV70" s="4"/>
      <c r="JEW70" s="4"/>
      <c r="JEX70" s="4"/>
      <c r="JEY70" s="4"/>
      <c r="JEZ70" s="4"/>
      <c r="JFA70" s="4"/>
      <c r="JFB70" s="4"/>
      <c r="JFC70" s="4"/>
      <c r="JFD70" s="4"/>
      <c r="JFE70" s="4"/>
      <c r="JFF70" s="4"/>
      <c r="JFG70" s="4"/>
      <c r="JFH70" s="4"/>
      <c r="JFI70" s="4"/>
      <c r="JFJ70" s="4"/>
      <c r="JFK70" s="4"/>
      <c r="JFL70" s="4"/>
      <c r="JFM70" s="4"/>
      <c r="JFN70" s="4"/>
      <c r="JFO70" s="4"/>
      <c r="JFP70" s="4"/>
      <c r="JFQ70" s="4"/>
      <c r="JFR70" s="4"/>
      <c r="JFS70" s="4"/>
      <c r="JFT70" s="4"/>
      <c r="JFU70" s="4"/>
      <c r="JFV70" s="4"/>
      <c r="JFW70" s="4"/>
      <c r="JFX70" s="4"/>
      <c r="JFY70" s="4"/>
      <c r="JFZ70" s="4"/>
      <c r="JGA70" s="4"/>
      <c r="JGB70" s="4"/>
      <c r="JGC70" s="4"/>
      <c r="JGD70" s="4"/>
      <c r="JGE70" s="4"/>
      <c r="JGF70" s="4"/>
      <c r="JGG70" s="4"/>
      <c r="JGH70" s="4"/>
      <c r="JGI70" s="4"/>
      <c r="JGJ70" s="4"/>
      <c r="JGK70" s="4"/>
      <c r="JGL70" s="4"/>
      <c r="JGM70" s="4"/>
      <c r="JGN70" s="4"/>
      <c r="JGO70" s="4"/>
      <c r="JGP70" s="4"/>
      <c r="JGQ70" s="4"/>
      <c r="JGR70" s="4"/>
      <c r="JGS70" s="4"/>
      <c r="JGT70" s="4"/>
      <c r="JGU70" s="4"/>
      <c r="JGV70" s="4"/>
      <c r="JGW70" s="4"/>
      <c r="JGX70" s="4"/>
      <c r="JGY70" s="4"/>
      <c r="JGZ70" s="4"/>
      <c r="JHA70" s="4"/>
      <c r="JHB70" s="4"/>
      <c r="JHC70" s="4"/>
      <c r="JHD70" s="4"/>
      <c r="JHE70" s="4"/>
      <c r="JHF70" s="4"/>
      <c r="JHG70" s="4"/>
      <c r="JHH70" s="4"/>
      <c r="JHI70" s="4"/>
      <c r="JHJ70" s="4"/>
      <c r="JHK70" s="4"/>
      <c r="JHL70" s="4"/>
      <c r="JHM70" s="4"/>
      <c r="JHN70" s="4"/>
      <c r="JHO70" s="4"/>
      <c r="JHP70" s="4"/>
      <c r="JHQ70" s="4"/>
      <c r="JHR70" s="4"/>
      <c r="JHS70" s="4"/>
      <c r="JHT70" s="4"/>
      <c r="JHU70" s="4"/>
      <c r="JHV70" s="4"/>
      <c r="JHW70" s="4"/>
      <c r="JHX70" s="4"/>
      <c r="JHY70" s="4"/>
      <c r="JHZ70" s="4"/>
      <c r="JIA70" s="4"/>
      <c r="JIB70" s="4"/>
      <c r="JIC70" s="4"/>
      <c r="JID70" s="4"/>
      <c r="JIE70" s="4"/>
      <c r="JIF70" s="4"/>
      <c r="JIG70" s="4"/>
      <c r="JIH70" s="4"/>
      <c r="JII70" s="4"/>
      <c r="JIJ70" s="4"/>
      <c r="JIK70" s="4"/>
      <c r="JIL70" s="4"/>
      <c r="JIM70" s="4"/>
      <c r="JIN70" s="4"/>
      <c r="JIO70" s="4"/>
      <c r="JIP70" s="4"/>
      <c r="JIQ70" s="4"/>
      <c r="JIR70" s="4"/>
      <c r="JIS70" s="4"/>
      <c r="JIT70" s="4"/>
      <c r="JIU70" s="4"/>
      <c r="JIV70" s="4"/>
      <c r="JIW70" s="4"/>
      <c r="JIX70" s="4"/>
      <c r="JIY70" s="4"/>
      <c r="JIZ70" s="4"/>
      <c r="JJA70" s="4"/>
      <c r="JJB70" s="4"/>
      <c r="JJC70" s="4"/>
      <c r="JJD70" s="4"/>
      <c r="JJE70" s="4"/>
      <c r="JJF70" s="4"/>
      <c r="JJG70" s="4"/>
      <c r="JJH70" s="4"/>
      <c r="JJI70" s="4"/>
      <c r="JJJ70" s="4"/>
      <c r="JJK70" s="4"/>
      <c r="JJL70" s="4"/>
      <c r="JJM70" s="4"/>
      <c r="JJN70" s="4"/>
      <c r="JJO70" s="4"/>
      <c r="JJP70" s="4"/>
      <c r="JJQ70" s="4"/>
      <c r="JJR70" s="4"/>
      <c r="JJS70" s="4"/>
      <c r="JJT70" s="4"/>
      <c r="JJU70" s="4"/>
      <c r="JJV70" s="4"/>
      <c r="JJW70" s="4"/>
      <c r="JJX70" s="4"/>
      <c r="JJY70" s="4"/>
      <c r="JJZ70" s="4"/>
      <c r="JKA70" s="4"/>
      <c r="JKB70" s="4"/>
      <c r="JKC70" s="4"/>
      <c r="JKD70" s="4"/>
      <c r="JKE70" s="4"/>
      <c r="JKF70" s="4"/>
      <c r="JKG70" s="4"/>
      <c r="JKH70" s="4"/>
      <c r="JKI70" s="4"/>
      <c r="JKJ70" s="4"/>
      <c r="JKK70" s="4"/>
      <c r="JKL70" s="4"/>
      <c r="JKM70" s="4"/>
      <c r="JKN70" s="4"/>
      <c r="JKO70" s="4"/>
      <c r="JKP70" s="4"/>
      <c r="JKQ70" s="4"/>
      <c r="JKR70" s="4"/>
      <c r="JKS70" s="4"/>
      <c r="JKT70" s="4"/>
      <c r="JKU70" s="4"/>
      <c r="JKV70" s="4"/>
      <c r="JKW70" s="4"/>
      <c r="JKX70" s="4"/>
      <c r="JKY70" s="4"/>
      <c r="JKZ70" s="4"/>
      <c r="JLA70" s="4"/>
      <c r="JLB70" s="4"/>
      <c r="JLC70" s="4"/>
      <c r="JLD70" s="4"/>
      <c r="JLE70" s="4"/>
      <c r="JLF70" s="4"/>
      <c r="JLG70" s="4"/>
      <c r="JLH70" s="4"/>
      <c r="JLI70" s="4"/>
      <c r="JLJ70" s="4"/>
      <c r="JLK70" s="4"/>
      <c r="JLL70" s="4"/>
      <c r="JLM70" s="4"/>
      <c r="JLN70" s="4"/>
      <c r="JLO70" s="4"/>
      <c r="JLP70" s="4"/>
      <c r="JLQ70" s="4"/>
      <c r="JLR70" s="4"/>
      <c r="JLS70" s="4"/>
      <c r="JLT70" s="4"/>
      <c r="JLU70" s="4"/>
      <c r="JLV70" s="4"/>
      <c r="JLW70" s="4"/>
      <c r="JLX70" s="4"/>
      <c r="JLY70" s="4"/>
      <c r="JLZ70" s="4"/>
      <c r="JMA70" s="4"/>
      <c r="JMB70" s="4"/>
      <c r="JMC70" s="4"/>
      <c r="JMD70" s="4"/>
      <c r="JME70" s="4"/>
      <c r="JMF70" s="4"/>
      <c r="JMG70" s="4"/>
      <c r="JMH70" s="4"/>
      <c r="JMI70" s="4"/>
      <c r="JMJ70" s="4"/>
      <c r="JMK70" s="4"/>
      <c r="JML70" s="4"/>
      <c r="JMM70" s="4"/>
      <c r="JMN70" s="4"/>
      <c r="JMO70" s="4"/>
      <c r="JMP70" s="4"/>
      <c r="JMQ70" s="4"/>
      <c r="JMR70" s="4"/>
      <c r="JMS70" s="4"/>
      <c r="JMT70" s="4"/>
      <c r="JMU70" s="4"/>
      <c r="JMV70" s="4"/>
      <c r="JMW70" s="4"/>
      <c r="JMX70" s="4"/>
      <c r="JMY70" s="4"/>
      <c r="JMZ70" s="4"/>
      <c r="JNA70" s="4"/>
      <c r="JNB70" s="4"/>
      <c r="JNC70" s="4"/>
      <c r="JND70" s="4"/>
      <c r="JNE70" s="4"/>
      <c r="JNF70" s="4"/>
      <c r="JNG70" s="4"/>
      <c r="JNH70" s="4"/>
      <c r="JNI70" s="4"/>
      <c r="JNJ70" s="4"/>
      <c r="JNK70" s="4"/>
      <c r="JNL70" s="4"/>
      <c r="JNM70" s="4"/>
      <c r="JNN70" s="4"/>
      <c r="JNO70" s="4"/>
      <c r="JNP70" s="4"/>
      <c r="JNQ70" s="4"/>
      <c r="JNR70" s="4"/>
      <c r="JNS70" s="4"/>
      <c r="JNT70" s="4"/>
      <c r="JNU70" s="4"/>
      <c r="JNV70" s="4"/>
      <c r="JNW70" s="4"/>
      <c r="JNX70" s="4"/>
      <c r="JNY70" s="4"/>
      <c r="JNZ70" s="4"/>
      <c r="JOA70" s="4"/>
      <c r="JOB70" s="4"/>
      <c r="JOC70" s="4"/>
      <c r="JOD70" s="4"/>
      <c r="JOE70" s="4"/>
      <c r="JOF70" s="4"/>
      <c r="JOG70" s="4"/>
      <c r="JOH70" s="4"/>
      <c r="JOI70" s="4"/>
      <c r="JOJ70" s="4"/>
      <c r="JOK70" s="4"/>
      <c r="JOL70" s="4"/>
      <c r="JOM70" s="4"/>
      <c r="JON70" s="4"/>
      <c r="JOO70" s="4"/>
      <c r="JOP70" s="4"/>
      <c r="JOQ70" s="4"/>
      <c r="JOR70" s="4"/>
      <c r="JOS70" s="4"/>
      <c r="JOT70" s="4"/>
      <c r="JOU70" s="4"/>
      <c r="JOV70" s="4"/>
      <c r="JOW70" s="4"/>
      <c r="JOX70" s="4"/>
      <c r="JOY70" s="4"/>
      <c r="JOZ70" s="4"/>
      <c r="JPA70" s="4"/>
      <c r="JPB70" s="4"/>
      <c r="JPC70" s="4"/>
      <c r="JPD70" s="4"/>
      <c r="JPE70" s="4"/>
      <c r="JPF70" s="4"/>
      <c r="JPG70" s="4"/>
      <c r="JPH70" s="4"/>
      <c r="JPI70" s="4"/>
      <c r="JPJ70" s="4"/>
      <c r="JPK70" s="4"/>
      <c r="JPL70" s="4"/>
      <c r="JPM70" s="4"/>
      <c r="JPN70" s="4"/>
      <c r="JPO70" s="4"/>
      <c r="JPP70" s="4"/>
      <c r="JPQ70" s="4"/>
      <c r="JPR70" s="4"/>
      <c r="JPS70" s="4"/>
      <c r="JPT70" s="4"/>
      <c r="JPU70" s="4"/>
      <c r="JPV70" s="4"/>
      <c r="JPW70" s="4"/>
      <c r="JPX70" s="4"/>
      <c r="JPY70" s="4"/>
      <c r="JPZ70" s="4"/>
      <c r="JQA70" s="4"/>
      <c r="JQB70" s="4"/>
      <c r="JQC70" s="4"/>
      <c r="JQD70" s="4"/>
      <c r="JQE70" s="4"/>
      <c r="JQF70" s="4"/>
      <c r="JQG70" s="4"/>
      <c r="JQH70" s="4"/>
      <c r="JQI70" s="4"/>
      <c r="JQJ70" s="4"/>
      <c r="JQK70" s="4"/>
      <c r="JQL70" s="4"/>
      <c r="JQM70" s="4"/>
      <c r="JQN70" s="4"/>
      <c r="JQO70" s="4"/>
      <c r="JQP70" s="4"/>
      <c r="JQQ70" s="4"/>
      <c r="JQR70" s="4"/>
      <c r="JQS70" s="4"/>
      <c r="JQT70" s="4"/>
      <c r="JQU70" s="4"/>
      <c r="JQV70" s="4"/>
      <c r="JQW70" s="4"/>
      <c r="JQX70" s="4"/>
      <c r="JQY70" s="4"/>
      <c r="JQZ70" s="4"/>
      <c r="JRA70" s="4"/>
      <c r="JRB70" s="4"/>
      <c r="JRC70" s="4"/>
      <c r="JRD70" s="4"/>
      <c r="JRE70" s="4"/>
      <c r="JRF70" s="4"/>
      <c r="JRG70" s="4"/>
      <c r="JRH70" s="4"/>
      <c r="JRI70" s="4"/>
      <c r="JRJ70" s="4"/>
      <c r="JRK70" s="4"/>
      <c r="JRL70" s="4"/>
      <c r="JRM70" s="4"/>
      <c r="JRN70" s="4"/>
      <c r="JRO70" s="4"/>
      <c r="JRP70" s="4"/>
      <c r="JRQ70" s="4"/>
      <c r="JRR70" s="4"/>
      <c r="JRS70" s="4"/>
      <c r="JRT70" s="4"/>
      <c r="JRU70" s="4"/>
      <c r="JRV70" s="4"/>
      <c r="JRW70" s="4"/>
      <c r="JRX70" s="4"/>
      <c r="JRY70" s="4"/>
      <c r="JRZ70" s="4"/>
      <c r="JSA70" s="4"/>
      <c r="JSB70" s="4"/>
      <c r="JSC70" s="4"/>
      <c r="JSD70" s="4"/>
      <c r="JSE70" s="4"/>
      <c r="JSF70" s="4"/>
      <c r="JSG70" s="4"/>
      <c r="JSH70" s="4"/>
      <c r="JSI70" s="4"/>
      <c r="JSJ70" s="4"/>
      <c r="JSK70" s="4"/>
      <c r="JSL70" s="4"/>
      <c r="JSM70" s="4"/>
      <c r="JSN70" s="4"/>
      <c r="JSO70" s="4"/>
      <c r="JSP70" s="4"/>
      <c r="JSQ70" s="4"/>
      <c r="JSR70" s="4"/>
      <c r="JSS70" s="4"/>
      <c r="JST70" s="4"/>
      <c r="JSU70" s="4"/>
      <c r="JSV70" s="4"/>
      <c r="JSW70" s="4"/>
      <c r="JSX70" s="4"/>
      <c r="JSY70" s="4"/>
      <c r="JSZ70" s="4"/>
      <c r="JTA70" s="4"/>
      <c r="JTB70" s="4"/>
      <c r="JTC70" s="4"/>
      <c r="JTD70" s="4"/>
      <c r="JTE70" s="4"/>
      <c r="JTF70" s="4"/>
      <c r="JTG70" s="4"/>
      <c r="JTH70" s="4"/>
      <c r="JTI70" s="4"/>
      <c r="JTJ70" s="4"/>
      <c r="JTK70" s="4"/>
      <c r="JTL70" s="4"/>
      <c r="JTM70" s="4"/>
      <c r="JTN70" s="4"/>
      <c r="JTO70" s="4"/>
      <c r="JTP70" s="4"/>
      <c r="JTQ70" s="4"/>
      <c r="JTR70" s="4"/>
      <c r="JTS70" s="4"/>
      <c r="JTT70" s="4"/>
      <c r="JTU70" s="4"/>
      <c r="JTV70" s="4"/>
      <c r="JTW70" s="4"/>
      <c r="JTX70" s="4"/>
      <c r="JTY70" s="4"/>
      <c r="JTZ70" s="4"/>
      <c r="JUA70" s="4"/>
      <c r="JUB70" s="4"/>
      <c r="JUC70" s="4"/>
      <c r="JUD70" s="4"/>
      <c r="JUE70" s="4"/>
      <c r="JUF70" s="4"/>
      <c r="JUG70" s="4"/>
      <c r="JUH70" s="4"/>
      <c r="JUI70" s="4"/>
      <c r="JUJ70" s="4"/>
      <c r="JUK70" s="4"/>
      <c r="JUL70" s="4"/>
      <c r="JUM70" s="4"/>
      <c r="JUN70" s="4"/>
      <c r="JUO70" s="4"/>
      <c r="JUP70" s="4"/>
      <c r="JUQ70" s="4"/>
      <c r="JUR70" s="4"/>
      <c r="JUS70" s="4"/>
      <c r="JUT70" s="4"/>
      <c r="JUU70" s="4"/>
      <c r="JUV70" s="4"/>
      <c r="JUW70" s="4"/>
      <c r="JUX70" s="4"/>
      <c r="JUY70" s="4"/>
      <c r="JUZ70" s="4"/>
      <c r="JVA70" s="4"/>
      <c r="JVB70" s="4"/>
      <c r="JVC70" s="4"/>
      <c r="JVD70" s="4"/>
      <c r="JVE70" s="4"/>
      <c r="JVF70" s="4"/>
      <c r="JVG70" s="4"/>
      <c r="JVH70" s="4"/>
      <c r="JVI70" s="4"/>
      <c r="JVJ70" s="4"/>
      <c r="JVK70" s="4"/>
      <c r="JVL70" s="4"/>
      <c r="JVM70" s="4"/>
      <c r="JVN70" s="4"/>
      <c r="JVO70" s="4"/>
      <c r="JVP70" s="4"/>
      <c r="JVQ70" s="4"/>
      <c r="JVR70" s="4"/>
      <c r="JVS70" s="4"/>
      <c r="JVT70" s="4"/>
      <c r="JVU70" s="4"/>
      <c r="JVV70" s="4"/>
      <c r="JVW70" s="4"/>
      <c r="JVX70" s="4"/>
      <c r="JVY70" s="4"/>
      <c r="JVZ70" s="4"/>
      <c r="JWA70" s="4"/>
      <c r="JWB70" s="4"/>
      <c r="JWC70" s="4"/>
      <c r="JWD70" s="4"/>
      <c r="JWE70" s="4"/>
      <c r="JWF70" s="4"/>
      <c r="JWG70" s="4"/>
      <c r="JWH70" s="4"/>
      <c r="JWI70" s="4"/>
      <c r="JWJ70" s="4"/>
      <c r="JWK70" s="4"/>
      <c r="JWL70" s="4"/>
      <c r="JWM70" s="4"/>
      <c r="JWN70" s="4"/>
      <c r="JWO70" s="4"/>
      <c r="JWP70" s="4"/>
      <c r="JWQ70" s="4"/>
      <c r="JWR70" s="4"/>
      <c r="JWS70" s="4"/>
      <c r="JWT70" s="4"/>
      <c r="JWU70" s="4"/>
      <c r="JWV70" s="4"/>
      <c r="JWW70" s="4"/>
      <c r="JWX70" s="4"/>
      <c r="JWY70" s="4"/>
      <c r="JWZ70" s="4"/>
      <c r="JXA70" s="4"/>
      <c r="JXB70" s="4"/>
      <c r="JXC70" s="4"/>
      <c r="JXD70" s="4"/>
      <c r="JXE70" s="4"/>
      <c r="JXF70" s="4"/>
      <c r="JXG70" s="4"/>
      <c r="JXH70" s="4"/>
      <c r="JXI70" s="4"/>
      <c r="JXJ70" s="4"/>
      <c r="JXK70" s="4"/>
      <c r="JXL70" s="4"/>
      <c r="JXM70" s="4"/>
      <c r="JXN70" s="4"/>
      <c r="JXO70" s="4"/>
      <c r="JXP70" s="4"/>
      <c r="JXQ70" s="4"/>
      <c r="JXR70" s="4"/>
      <c r="JXS70" s="4"/>
      <c r="JXT70" s="4"/>
      <c r="JXU70" s="4"/>
      <c r="JXV70" s="4"/>
      <c r="JXW70" s="4"/>
      <c r="JXX70" s="4"/>
      <c r="JXY70" s="4"/>
      <c r="JXZ70" s="4"/>
      <c r="JYA70" s="4"/>
      <c r="JYB70" s="4"/>
      <c r="JYC70" s="4"/>
      <c r="JYD70" s="4"/>
      <c r="JYE70" s="4"/>
      <c r="JYF70" s="4"/>
      <c r="JYG70" s="4"/>
      <c r="JYH70" s="4"/>
      <c r="JYI70" s="4"/>
      <c r="JYJ70" s="4"/>
      <c r="JYK70" s="4"/>
      <c r="JYL70" s="4"/>
      <c r="JYM70" s="4"/>
      <c r="JYN70" s="4"/>
      <c r="JYO70" s="4"/>
      <c r="JYP70" s="4"/>
      <c r="JYQ70" s="4"/>
      <c r="JYR70" s="4"/>
      <c r="JYS70" s="4"/>
      <c r="JYT70" s="4"/>
      <c r="JYU70" s="4"/>
      <c r="JYV70" s="4"/>
      <c r="JYW70" s="4"/>
      <c r="JYX70" s="4"/>
      <c r="JYY70" s="4"/>
      <c r="JYZ70" s="4"/>
      <c r="JZA70" s="4"/>
      <c r="JZB70" s="4"/>
      <c r="JZC70" s="4"/>
      <c r="JZD70" s="4"/>
      <c r="JZE70" s="4"/>
      <c r="JZF70" s="4"/>
      <c r="JZG70" s="4"/>
      <c r="JZH70" s="4"/>
      <c r="JZI70" s="4"/>
      <c r="JZJ70" s="4"/>
      <c r="JZK70" s="4"/>
      <c r="JZL70" s="4"/>
      <c r="JZM70" s="4"/>
      <c r="JZN70" s="4"/>
      <c r="JZO70" s="4"/>
      <c r="JZP70" s="4"/>
      <c r="JZQ70" s="4"/>
      <c r="JZR70" s="4"/>
      <c r="JZS70" s="4"/>
      <c r="JZT70" s="4"/>
      <c r="JZU70" s="4"/>
      <c r="JZV70" s="4"/>
      <c r="JZW70" s="4"/>
      <c r="JZX70" s="4"/>
      <c r="JZY70" s="4"/>
      <c r="JZZ70" s="4"/>
      <c r="KAA70" s="4"/>
      <c r="KAB70" s="4"/>
      <c r="KAC70" s="4"/>
      <c r="KAD70" s="4"/>
      <c r="KAE70" s="4"/>
      <c r="KAF70" s="4"/>
      <c r="KAG70" s="4"/>
      <c r="KAH70" s="4"/>
      <c r="KAI70" s="4"/>
      <c r="KAJ70" s="4"/>
      <c r="KAK70" s="4"/>
      <c r="KAL70" s="4"/>
      <c r="KAM70" s="4"/>
      <c r="KAN70" s="4"/>
      <c r="KAO70" s="4"/>
      <c r="KAP70" s="4"/>
      <c r="KAQ70" s="4"/>
      <c r="KAR70" s="4"/>
      <c r="KAS70" s="4"/>
      <c r="KAT70" s="4"/>
      <c r="KAU70" s="4"/>
      <c r="KAV70" s="4"/>
      <c r="KAW70" s="4"/>
      <c r="KAX70" s="4"/>
      <c r="KAY70" s="4"/>
      <c r="KAZ70" s="4"/>
      <c r="KBA70" s="4"/>
      <c r="KBB70" s="4"/>
      <c r="KBC70" s="4"/>
      <c r="KBD70" s="4"/>
      <c r="KBE70" s="4"/>
      <c r="KBF70" s="4"/>
      <c r="KBG70" s="4"/>
      <c r="KBH70" s="4"/>
      <c r="KBI70" s="4"/>
      <c r="KBJ70" s="4"/>
      <c r="KBK70" s="4"/>
      <c r="KBL70" s="4"/>
      <c r="KBM70" s="4"/>
      <c r="KBN70" s="4"/>
      <c r="KBO70" s="4"/>
      <c r="KBP70" s="4"/>
      <c r="KBQ70" s="4"/>
      <c r="KBR70" s="4"/>
      <c r="KBS70" s="4"/>
      <c r="KBT70" s="4"/>
      <c r="KBU70" s="4"/>
      <c r="KBV70" s="4"/>
      <c r="KBW70" s="4"/>
      <c r="KBX70" s="4"/>
      <c r="KBY70" s="4"/>
      <c r="KBZ70" s="4"/>
      <c r="KCA70" s="4"/>
      <c r="KCB70" s="4"/>
      <c r="KCC70" s="4"/>
      <c r="KCD70" s="4"/>
      <c r="KCE70" s="4"/>
      <c r="KCF70" s="4"/>
      <c r="KCG70" s="4"/>
      <c r="KCH70" s="4"/>
      <c r="KCI70" s="4"/>
      <c r="KCJ70" s="4"/>
      <c r="KCK70" s="4"/>
      <c r="KCL70" s="4"/>
      <c r="KCM70" s="4"/>
      <c r="KCN70" s="4"/>
      <c r="KCO70" s="4"/>
      <c r="KCP70" s="4"/>
      <c r="KCQ70" s="4"/>
      <c r="KCR70" s="4"/>
      <c r="KCS70" s="4"/>
      <c r="KCT70" s="4"/>
      <c r="KCU70" s="4"/>
      <c r="KCV70" s="4"/>
      <c r="KCW70" s="4"/>
      <c r="KCX70" s="4"/>
      <c r="KCY70" s="4"/>
      <c r="KCZ70" s="4"/>
      <c r="KDA70" s="4"/>
      <c r="KDB70" s="4"/>
      <c r="KDC70" s="4"/>
      <c r="KDD70" s="4"/>
      <c r="KDE70" s="4"/>
      <c r="KDF70" s="4"/>
      <c r="KDG70" s="4"/>
      <c r="KDH70" s="4"/>
      <c r="KDI70" s="4"/>
      <c r="KDJ70" s="4"/>
      <c r="KDK70" s="4"/>
      <c r="KDL70" s="4"/>
      <c r="KDM70" s="4"/>
      <c r="KDN70" s="4"/>
      <c r="KDO70" s="4"/>
      <c r="KDP70" s="4"/>
      <c r="KDQ70" s="4"/>
      <c r="KDR70" s="4"/>
      <c r="KDS70" s="4"/>
      <c r="KDT70" s="4"/>
      <c r="KDU70" s="4"/>
      <c r="KDV70" s="4"/>
      <c r="KDW70" s="4"/>
      <c r="KDX70" s="4"/>
      <c r="KDY70" s="4"/>
      <c r="KDZ70" s="4"/>
      <c r="KEA70" s="4"/>
      <c r="KEB70" s="4"/>
      <c r="KEC70" s="4"/>
      <c r="KED70" s="4"/>
      <c r="KEE70" s="4"/>
      <c r="KEF70" s="4"/>
      <c r="KEG70" s="4"/>
      <c r="KEH70" s="4"/>
      <c r="KEI70" s="4"/>
      <c r="KEJ70" s="4"/>
      <c r="KEK70" s="4"/>
      <c r="KEL70" s="4"/>
      <c r="KEM70" s="4"/>
      <c r="KEN70" s="4"/>
      <c r="KEO70" s="4"/>
      <c r="KEP70" s="4"/>
      <c r="KEQ70" s="4"/>
      <c r="KER70" s="4"/>
      <c r="KES70" s="4"/>
      <c r="KET70" s="4"/>
      <c r="KEU70" s="4"/>
      <c r="KEV70" s="4"/>
      <c r="KEW70" s="4"/>
      <c r="KEX70" s="4"/>
      <c r="KEY70" s="4"/>
      <c r="KEZ70" s="4"/>
      <c r="KFA70" s="4"/>
      <c r="KFB70" s="4"/>
      <c r="KFC70" s="4"/>
      <c r="KFD70" s="4"/>
      <c r="KFE70" s="4"/>
      <c r="KFF70" s="4"/>
      <c r="KFG70" s="4"/>
      <c r="KFH70" s="4"/>
      <c r="KFI70" s="4"/>
      <c r="KFJ70" s="4"/>
      <c r="KFK70" s="4"/>
      <c r="KFL70" s="4"/>
      <c r="KFM70" s="4"/>
      <c r="KFN70" s="4"/>
      <c r="KFO70" s="4"/>
      <c r="KFP70" s="4"/>
      <c r="KFQ70" s="4"/>
      <c r="KFR70" s="4"/>
      <c r="KFS70" s="4"/>
      <c r="KFT70" s="4"/>
      <c r="KFU70" s="4"/>
      <c r="KFV70" s="4"/>
      <c r="KFW70" s="4"/>
      <c r="KFX70" s="4"/>
      <c r="KFY70" s="4"/>
      <c r="KFZ70" s="4"/>
      <c r="KGA70" s="4"/>
      <c r="KGB70" s="4"/>
      <c r="KGC70" s="4"/>
      <c r="KGD70" s="4"/>
      <c r="KGE70" s="4"/>
      <c r="KGF70" s="4"/>
      <c r="KGG70" s="4"/>
      <c r="KGH70" s="4"/>
      <c r="KGI70" s="4"/>
      <c r="KGJ70" s="4"/>
      <c r="KGK70" s="4"/>
      <c r="KGL70" s="4"/>
      <c r="KGM70" s="4"/>
      <c r="KGN70" s="4"/>
      <c r="KGO70" s="4"/>
      <c r="KGP70" s="4"/>
      <c r="KGQ70" s="4"/>
      <c r="KGR70" s="4"/>
      <c r="KGS70" s="4"/>
      <c r="KGT70" s="4"/>
      <c r="KGU70" s="4"/>
      <c r="KGV70" s="4"/>
      <c r="KGW70" s="4"/>
      <c r="KGX70" s="4"/>
      <c r="KGY70" s="4"/>
      <c r="KGZ70" s="4"/>
      <c r="KHA70" s="4"/>
      <c r="KHB70" s="4"/>
      <c r="KHC70" s="4"/>
      <c r="KHD70" s="4"/>
      <c r="KHE70" s="4"/>
      <c r="KHF70" s="4"/>
      <c r="KHG70" s="4"/>
      <c r="KHH70" s="4"/>
      <c r="KHI70" s="4"/>
      <c r="KHJ70" s="4"/>
      <c r="KHK70" s="4"/>
      <c r="KHL70" s="4"/>
      <c r="KHM70" s="4"/>
      <c r="KHN70" s="4"/>
      <c r="KHO70" s="4"/>
      <c r="KHP70" s="4"/>
      <c r="KHQ70" s="4"/>
      <c r="KHR70" s="4"/>
      <c r="KHS70" s="4"/>
      <c r="KHT70" s="4"/>
      <c r="KHU70" s="4"/>
      <c r="KHV70" s="4"/>
      <c r="KHW70" s="4"/>
      <c r="KHX70" s="4"/>
      <c r="KHY70" s="4"/>
      <c r="KHZ70" s="4"/>
      <c r="KIA70" s="4"/>
      <c r="KIB70" s="4"/>
      <c r="KIC70" s="4"/>
      <c r="KID70" s="4"/>
      <c r="KIE70" s="4"/>
      <c r="KIF70" s="4"/>
      <c r="KIG70" s="4"/>
      <c r="KIH70" s="4"/>
      <c r="KII70" s="4"/>
      <c r="KIJ70" s="4"/>
      <c r="KIK70" s="4"/>
      <c r="KIL70" s="4"/>
      <c r="KIM70" s="4"/>
      <c r="KIN70" s="4"/>
      <c r="KIO70" s="4"/>
      <c r="KIP70" s="4"/>
      <c r="KIQ70" s="4"/>
      <c r="KIR70" s="4"/>
      <c r="KIS70" s="4"/>
      <c r="KIT70" s="4"/>
      <c r="KIU70" s="4"/>
      <c r="KIV70" s="4"/>
      <c r="KIW70" s="4"/>
      <c r="KIX70" s="4"/>
      <c r="KIY70" s="4"/>
      <c r="KIZ70" s="4"/>
      <c r="KJA70" s="4"/>
      <c r="KJB70" s="4"/>
      <c r="KJC70" s="4"/>
      <c r="KJD70" s="4"/>
      <c r="KJE70" s="4"/>
      <c r="KJF70" s="4"/>
      <c r="KJG70" s="4"/>
      <c r="KJH70" s="4"/>
      <c r="KJI70" s="4"/>
      <c r="KJJ70" s="4"/>
      <c r="KJK70" s="4"/>
      <c r="KJL70" s="4"/>
      <c r="KJM70" s="4"/>
      <c r="KJN70" s="4"/>
      <c r="KJO70" s="4"/>
      <c r="KJP70" s="4"/>
      <c r="KJQ70" s="4"/>
      <c r="KJR70" s="4"/>
      <c r="KJS70" s="4"/>
      <c r="KJT70" s="4"/>
      <c r="KJU70" s="4"/>
      <c r="KJV70" s="4"/>
      <c r="KJW70" s="4"/>
      <c r="KJX70" s="4"/>
      <c r="KJY70" s="4"/>
      <c r="KJZ70" s="4"/>
      <c r="KKA70" s="4"/>
      <c r="KKB70" s="4"/>
      <c r="KKC70" s="4"/>
      <c r="KKD70" s="4"/>
      <c r="KKE70" s="4"/>
      <c r="KKF70" s="4"/>
      <c r="KKG70" s="4"/>
      <c r="KKH70" s="4"/>
      <c r="KKI70" s="4"/>
      <c r="KKJ70" s="4"/>
      <c r="KKK70" s="4"/>
      <c r="KKL70" s="4"/>
      <c r="KKM70" s="4"/>
      <c r="KKN70" s="4"/>
      <c r="KKO70" s="4"/>
      <c r="KKP70" s="4"/>
      <c r="KKQ70" s="4"/>
      <c r="KKR70" s="4"/>
      <c r="KKS70" s="4"/>
      <c r="KKT70" s="4"/>
      <c r="KKU70" s="4"/>
      <c r="KKV70" s="4"/>
      <c r="KKW70" s="4"/>
      <c r="KKX70" s="4"/>
      <c r="KKY70" s="4"/>
      <c r="KKZ70" s="4"/>
      <c r="KLA70" s="4"/>
      <c r="KLB70" s="4"/>
      <c r="KLC70" s="4"/>
      <c r="KLD70" s="4"/>
      <c r="KLE70" s="4"/>
      <c r="KLF70" s="4"/>
      <c r="KLG70" s="4"/>
      <c r="KLH70" s="4"/>
      <c r="KLI70" s="4"/>
      <c r="KLJ70" s="4"/>
      <c r="KLK70" s="4"/>
      <c r="KLL70" s="4"/>
      <c r="KLM70" s="4"/>
      <c r="KLN70" s="4"/>
      <c r="KLO70" s="4"/>
      <c r="KLP70" s="4"/>
      <c r="KLQ70" s="4"/>
      <c r="KLR70" s="4"/>
      <c r="KLS70" s="4"/>
      <c r="KLT70" s="4"/>
      <c r="KLU70" s="4"/>
      <c r="KLV70" s="4"/>
      <c r="KLW70" s="4"/>
      <c r="KLX70" s="4"/>
      <c r="KLY70" s="4"/>
      <c r="KLZ70" s="4"/>
      <c r="KMA70" s="4"/>
      <c r="KMB70" s="4"/>
      <c r="KMC70" s="4"/>
      <c r="KMD70" s="4"/>
      <c r="KME70" s="4"/>
      <c r="KMF70" s="4"/>
      <c r="KMG70" s="4"/>
      <c r="KMH70" s="4"/>
      <c r="KMI70" s="4"/>
      <c r="KMJ70" s="4"/>
      <c r="KMK70" s="4"/>
      <c r="KML70" s="4"/>
      <c r="KMM70" s="4"/>
      <c r="KMN70" s="4"/>
      <c r="KMO70" s="4"/>
      <c r="KMP70" s="4"/>
      <c r="KMQ70" s="4"/>
      <c r="KMR70" s="4"/>
      <c r="KMS70" s="4"/>
      <c r="KMT70" s="4"/>
      <c r="KMU70" s="4"/>
      <c r="KMV70" s="4"/>
      <c r="KMW70" s="4"/>
      <c r="KMX70" s="4"/>
      <c r="KMY70" s="4"/>
      <c r="KMZ70" s="4"/>
      <c r="KNA70" s="4"/>
      <c r="KNB70" s="4"/>
      <c r="KNC70" s="4"/>
      <c r="KND70" s="4"/>
      <c r="KNE70" s="4"/>
      <c r="KNF70" s="4"/>
      <c r="KNG70" s="4"/>
      <c r="KNH70" s="4"/>
      <c r="KNI70" s="4"/>
      <c r="KNJ70" s="4"/>
      <c r="KNK70" s="4"/>
      <c r="KNL70" s="4"/>
      <c r="KNM70" s="4"/>
      <c r="KNN70" s="4"/>
      <c r="KNO70" s="4"/>
      <c r="KNP70" s="4"/>
      <c r="KNQ70" s="4"/>
      <c r="KNR70" s="4"/>
      <c r="KNS70" s="4"/>
      <c r="KNT70" s="4"/>
      <c r="KNU70" s="4"/>
      <c r="KNV70" s="4"/>
      <c r="KNW70" s="4"/>
      <c r="KNX70" s="4"/>
      <c r="KNY70" s="4"/>
      <c r="KNZ70" s="4"/>
      <c r="KOA70" s="4"/>
      <c r="KOB70" s="4"/>
      <c r="KOC70" s="4"/>
      <c r="KOD70" s="4"/>
      <c r="KOE70" s="4"/>
      <c r="KOF70" s="4"/>
      <c r="KOG70" s="4"/>
      <c r="KOH70" s="4"/>
      <c r="KOI70" s="4"/>
      <c r="KOJ70" s="4"/>
      <c r="KOK70" s="4"/>
      <c r="KOL70" s="4"/>
      <c r="KOM70" s="4"/>
      <c r="KON70" s="4"/>
      <c r="KOO70" s="4"/>
      <c r="KOP70" s="4"/>
      <c r="KOQ70" s="4"/>
      <c r="KOR70" s="4"/>
      <c r="KOS70" s="4"/>
      <c r="KOT70" s="4"/>
      <c r="KOU70" s="4"/>
      <c r="KOV70" s="4"/>
      <c r="KOW70" s="4"/>
      <c r="KOX70" s="4"/>
      <c r="KOY70" s="4"/>
      <c r="KOZ70" s="4"/>
      <c r="KPA70" s="4"/>
      <c r="KPB70" s="4"/>
      <c r="KPC70" s="4"/>
      <c r="KPD70" s="4"/>
      <c r="KPE70" s="4"/>
      <c r="KPF70" s="4"/>
      <c r="KPG70" s="4"/>
      <c r="KPH70" s="4"/>
      <c r="KPI70" s="4"/>
      <c r="KPJ70" s="4"/>
      <c r="KPK70" s="4"/>
      <c r="KPL70" s="4"/>
      <c r="KPM70" s="4"/>
      <c r="KPN70" s="4"/>
      <c r="KPO70" s="4"/>
      <c r="KPP70" s="4"/>
      <c r="KPQ70" s="4"/>
      <c r="KPR70" s="4"/>
      <c r="KPS70" s="4"/>
      <c r="KPT70" s="4"/>
      <c r="KPU70" s="4"/>
      <c r="KPV70" s="4"/>
      <c r="KPW70" s="4"/>
      <c r="KPX70" s="4"/>
      <c r="KPY70" s="4"/>
      <c r="KPZ70" s="4"/>
      <c r="KQA70" s="4"/>
      <c r="KQB70" s="4"/>
      <c r="KQC70" s="4"/>
      <c r="KQD70" s="4"/>
      <c r="KQE70" s="4"/>
      <c r="KQF70" s="4"/>
      <c r="KQG70" s="4"/>
      <c r="KQH70" s="4"/>
      <c r="KQI70" s="4"/>
      <c r="KQJ70" s="4"/>
      <c r="KQK70" s="4"/>
      <c r="KQL70" s="4"/>
      <c r="KQM70" s="4"/>
      <c r="KQN70" s="4"/>
      <c r="KQO70" s="4"/>
      <c r="KQP70" s="4"/>
      <c r="KQQ70" s="4"/>
      <c r="KQR70" s="4"/>
      <c r="KQS70" s="4"/>
      <c r="KQT70" s="4"/>
      <c r="KQU70" s="4"/>
      <c r="KQV70" s="4"/>
      <c r="KQW70" s="4"/>
      <c r="KQX70" s="4"/>
      <c r="KQY70" s="4"/>
      <c r="KQZ70" s="4"/>
      <c r="KRA70" s="4"/>
      <c r="KRB70" s="4"/>
      <c r="KRC70" s="4"/>
      <c r="KRD70" s="4"/>
      <c r="KRE70" s="4"/>
      <c r="KRF70" s="4"/>
      <c r="KRG70" s="4"/>
      <c r="KRH70" s="4"/>
      <c r="KRI70" s="4"/>
      <c r="KRJ70" s="4"/>
      <c r="KRK70" s="4"/>
      <c r="KRL70" s="4"/>
      <c r="KRM70" s="4"/>
      <c r="KRN70" s="4"/>
      <c r="KRO70" s="4"/>
      <c r="KRP70" s="4"/>
      <c r="KRQ70" s="4"/>
      <c r="KRR70" s="4"/>
      <c r="KRS70" s="4"/>
      <c r="KRT70" s="4"/>
      <c r="KRU70" s="4"/>
      <c r="KRV70" s="4"/>
      <c r="KRW70" s="4"/>
      <c r="KRX70" s="4"/>
      <c r="KRY70" s="4"/>
      <c r="KRZ70" s="4"/>
      <c r="KSA70" s="4"/>
      <c r="KSB70" s="4"/>
      <c r="KSC70" s="4"/>
      <c r="KSD70" s="4"/>
      <c r="KSE70" s="4"/>
      <c r="KSF70" s="4"/>
      <c r="KSG70" s="4"/>
      <c r="KSH70" s="4"/>
      <c r="KSI70" s="4"/>
      <c r="KSJ70" s="4"/>
      <c r="KSK70" s="4"/>
      <c r="KSL70" s="4"/>
      <c r="KSM70" s="4"/>
      <c r="KSN70" s="4"/>
      <c r="KSO70" s="4"/>
      <c r="KSP70" s="4"/>
      <c r="KSQ70" s="4"/>
      <c r="KSR70" s="4"/>
      <c r="KSS70" s="4"/>
      <c r="KST70" s="4"/>
      <c r="KSU70" s="4"/>
      <c r="KSV70" s="4"/>
      <c r="KSW70" s="4"/>
      <c r="KSX70" s="4"/>
      <c r="KSY70" s="4"/>
      <c r="KSZ70" s="4"/>
      <c r="KTA70" s="4"/>
      <c r="KTB70" s="4"/>
      <c r="KTC70" s="4"/>
      <c r="KTD70" s="4"/>
      <c r="KTE70" s="4"/>
      <c r="KTF70" s="4"/>
      <c r="KTG70" s="4"/>
      <c r="KTH70" s="4"/>
      <c r="KTI70" s="4"/>
      <c r="KTJ70" s="4"/>
      <c r="KTK70" s="4"/>
      <c r="KTL70" s="4"/>
      <c r="KTM70" s="4"/>
      <c r="KTN70" s="4"/>
      <c r="KTO70" s="4"/>
      <c r="KTP70" s="4"/>
      <c r="KTQ70" s="4"/>
      <c r="KTR70" s="4"/>
      <c r="KTS70" s="4"/>
      <c r="KTT70" s="4"/>
      <c r="KTU70" s="4"/>
      <c r="KTV70" s="4"/>
      <c r="KTW70" s="4"/>
      <c r="KTX70" s="4"/>
      <c r="KTY70" s="4"/>
      <c r="KTZ70" s="4"/>
      <c r="KUA70" s="4"/>
      <c r="KUB70" s="4"/>
      <c r="KUC70" s="4"/>
      <c r="KUD70" s="4"/>
      <c r="KUE70" s="4"/>
      <c r="KUF70" s="4"/>
      <c r="KUG70" s="4"/>
      <c r="KUH70" s="4"/>
      <c r="KUI70" s="4"/>
      <c r="KUJ70" s="4"/>
      <c r="KUK70" s="4"/>
      <c r="KUL70" s="4"/>
      <c r="KUM70" s="4"/>
      <c r="KUN70" s="4"/>
      <c r="KUO70" s="4"/>
      <c r="KUP70" s="4"/>
      <c r="KUQ70" s="4"/>
      <c r="KUR70" s="4"/>
      <c r="KUS70" s="4"/>
      <c r="KUT70" s="4"/>
      <c r="KUU70" s="4"/>
      <c r="KUV70" s="4"/>
      <c r="KUW70" s="4"/>
      <c r="KUX70" s="4"/>
      <c r="KUY70" s="4"/>
      <c r="KUZ70" s="4"/>
      <c r="KVA70" s="4"/>
      <c r="KVB70" s="4"/>
      <c r="KVC70" s="4"/>
      <c r="KVD70" s="4"/>
      <c r="KVE70" s="4"/>
      <c r="KVF70" s="4"/>
      <c r="KVG70" s="4"/>
      <c r="KVH70" s="4"/>
      <c r="KVI70" s="4"/>
      <c r="KVJ70" s="4"/>
      <c r="KVK70" s="4"/>
      <c r="KVL70" s="4"/>
      <c r="KVM70" s="4"/>
      <c r="KVN70" s="4"/>
      <c r="KVO70" s="4"/>
      <c r="KVP70" s="4"/>
      <c r="KVQ70" s="4"/>
      <c r="KVR70" s="4"/>
      <c r="KVS70" s="4"/>
      <c r="KVT70" s="4"/>
      <c r="KVU70" s="4"/>
      <c r="KVV70" s="4"/>
      <c r="KVW70" s="4"/>
      <c r="KVX70" s="4"/>
      <c r="KVY70" s="4"/>
      <c r="KVZ70" s="4"/>
      <c r="KWA70" s="4"/>
      <c r="KWB70" s="4"/>
      <c r="KWC70" s="4"/>
      <c r="KWD70" s="4"/>
      <c r="KWE70" s="4"/>
      <c r="KWF70" s="4"/>
      <c r="KWG70" s="4"/>
      <c r="KWH70" s="4"/>
      <c r="KWI70" s="4"/>
      <c r="KWJ70" s="4"/>
      <c r="KWK70" s="4"/>
      <c r="KWL70" s="4"/>
      <c r="KWM70" s="4"/>
      <c r="KWN70" s="4"/>
      <c r="KWO70" s="4"/>
      <c r="KWP70" s="4"/>
      <c r="KWQ70" s="4"/>
      <c r="KWR70" s="4"/>
      <c r="KWS70" s="4"/>
      <c r="KWT70" s="4"/>
      <c r="KWU70" s="4"/>
      <c r="KWV70" s="4"/>
      <c r="KWW70" s="4"/>
      <c r="KWX70" s="4"/>
      <c r="KWY70" s="4"/>
      <c r="KWZ70" s="4"/>
      <c r="KXA70" s="4"/>
      <c r="KXB70" s="4"/>
      <c r="KXC70" s="4"/>
      <c r="KXD70" s="4"/>
      <c r="KXE70" s="4"/>
      <c r="KXF70" s="4"/>
      <c r="KXG70" s="4"/>
      <c r="KXH70" s="4"/>
      <c r="KXI70" s="4"/>
      <c r="KXJ70" s="4"/>
      <c r="KXK70" s="4"/>
      <c r="KXL70" s="4"/>
      <c r="KXM70" s="4"/>
      <c r="KXN70" s="4"/>
      <c r="KXO70" s="4"/>
      <c r="KXP70" s="4"/>
      <c r="KXQ70" s="4"/>
      <c r="KXR70" s="4"/>
      <c r="KXS70" s="4"/>
      <c r="KXT70" s="4"/>
      <c r="KXU70" s="4"/>
      <c r="KXV70" s="4"/>
      <c r="KXW70" s="4"/>
      <c r="KXX70" s="4"/>
      <c r="KXY70" s="4"/>
      <c r="KXZ70" s="4"/>
      <c r="KYA70" s="4"/>
      <c r="KYB70" s="4"/>
      <c r="KYC70" s="4"/>
      <c r="KYD70" s="4"/>
      <c r="KYE70" s="4"/>
      <c r="KYF70" s="4"/>
      <c r="KYG70" s="4"/>
      <c r="KYH70" s="4"/>
      <c r="KYI70" s="4"/>
      <c r="KYJ70" s="4"/>
      <c r="KYK70" s="4"/>
      <c r="KYL70" s="4"/>
      <c r="KYM70" s="4"/>
      <c r="KYN70" s="4"/>
      <c r="KYO70" s="4"/>
      <c r="KYP70" s="4"/>
      <c r="KYQ70" s="4"/>
      <c r="KYR70" s="4"/>
      <c r="KYS70" s="4"/>
      <c r="KYT70" s="4"/>
      <c r="KYU70" s="4"/>
      <c r="KYV70" s="4"/>
      <c r="KYW70" s="4"/>
      <c r="KYX70" s="4"/>
      <c r="KYY70" s="4"/>
      <c r="KYZ70" s="4"/>
      <c r="KZA70" s="4"/>
      <c r="KZB70" s="4"/>
      <c r="KZC70" s="4"/>
      <c r="KZD70" s="4"/>
      <c r="KZE70" s="4"/>
      <c r="KZF70" s="4"/>
      <c r="KZG70" s="4"/>
      <c r="KZH70" s="4"/>
      <c r="KZI70" s="4"/>
      <c r="KZJ70" s="4"/>
      <c r="KZK70" s="4"/>
      <c r="KZL70" s="4"/>
      <c r="KZM70" s="4"/>
      <c r="KZN70" s="4"/>
      <c r="KZO70" s="4"/>
      <c r="KZP70" s="4"/>
      <c r="KZQ70" s="4"/>
      <c r="KZR70" s="4"/>
      <c r="KZS70" s="4"/>
      <c r="KZT70" s="4"/>
      <c r="KZU70" s="4"/>
      <c r="KZV70" s="4"/>
      <c r="KZW70" s="4"/>
      <c r="KZX70" s="4"/>
      <c r="KZY70" s="4"/>
      <c r="KZZ70" s="4"/>
      <c r="LAA70" s="4"/>
      <c r="LAB70" s="4"/>
      <c r="LAC70" s="4"/>
      <c r="LAD70" s="4"/>
      <c r="LAE70" s="4"/>
      <c r="LAF70" s="4"/>
      <c r="LAG70" s="4"/>
      <c r="LAH70" s="4"/>
      <c r="LAI70" s="4"/>
      <c r="LAJ70" s="4"/>
      <c r="LAK70" s="4"/>
      <c r="LAL70" s="4"/>
      <c r="LAM70" s="4"/>
      <c r="LAN70" s="4"/>
      <c r="LAO70" s="4"/>
      <c r="LAP70" s="4"/>
      <c r="LAQ70" s="4"/>
      <c r="LAR70" s="4"/>
      <c r="LAS70" s="4"/>
      <c r="LAT70" s="4"/>
      <c r="LAU70" s="4"/>
      <c r="LAV70" s="4"/>
      <c r="LAW70" s="4"/>
      <c r="LAX70" s="4"/>
      <c r="LAY70" s="4"/>
      <c r="LAZ70" s="4"/>
      <c r="LBA70" s="4"/>
      <c r="LBB70" s="4"/>
      <c r="LBC70" s="4"/>
      <c r="LBD70" s="4"/>
      <c r="LBE70" s="4"/>
      <c r="LBF70" s="4"/>
      <c r="LBG70" s="4"/>
      <c r="LBH70" s="4"/>
      <c r="LBI70" s="4"/>
      <c r="LBJ70" s="4"/>
      <c r="LBK70" s="4"/>
      <c r="LBL70" s="4"/>
      <c r="LBM70" s="4"/>
      <c r="LBN70" s="4"/>
      <c r="LBO70" s="4"/>
      <c r="LBP70" s="4"/>
      <c r="LBQ70" s="4"/>
      <c r="LBR70" s="4"/>
      <c r="LBS70" s="4"/>
      <c r="LBT70" s="4"/>
      <c r="LBU70" s="4"/>
      <c r="LBV70" s="4"/>
      <c r="LBW70" s="4"/>
      <c r="LBX70" s="4"/>
      <c r="LBY70" s="4"/>
      <c r="LBZ70" s="4"/>
      <c r="LCA70" s="4"/>
      <c r="LCB70" s="4"/>
      <c r="LCC70" s="4"/>
      <c r="LCD70" s="4"/>
      <c r="LCE70" s="4"/>
      <c r="LCF70" s="4"/>
      <c r="LCG70" s="4"/>
      <c r="LCH70" s="4"/>
      <c r="LCI70" s="4"/>
      <c r="LCJ70" s="4"/>
      <c r="LCK70" s="4"/>
      <c r="LCL70" s="4"/>
      <c r="LCM70" s="4"/>
      <c r="LCN70" s="4"/>
      <c r="LCO70" s="4"/>
      <c r="LCP70" s="4"/>
      <c r="LCQ70" s="4"/>
      <c r="LCR70" s="4"/>
      <c r="LCS70" s="4"/>
      <c r="LCT70" s="4"/>
      <c r="LCU70" s="4"/>
      <c r="LCV70" s="4"/>
      <c r="LCW70" s="4"/>
      <c r="LCX70" s="4"/>
      <c r="LCY70" s="4"/>
      <c r="LCZ70" s="4"/>
      <c r="LDA70" s="4"/>
      <c r="LDB70" s="4"/>
      <c r="LDC70" s="4"/>
      <c r="LDD70" s="4"/>
      <c r="LDE70" s="4"/>
      <c r="LDF70" s="4"/>
      <c r="LDG70" s="4"/>
      <c r="LDH70" s="4"/>
      <c r="LDI70" s="4"/>
      <c r="LDJ70" s="4"/>
      <c r="LDK70" s="4"/>
      <c r="LDL70" s="4"/>
      <c r="LDM70" s="4"/>
      <c r="LDN70" s="4"/>
      <c r="LDO70" s="4"/>
      <c r="LDP70" s="4"/>
      <c r="LDQ70" s="4"/>
      <c r="LDR70" s="4"/>
      <c r="LDS70" s="4"/>
      <c r="LDT70" s="4"/>
      <c r="LDU70" s="4"/>
      <c r="LDV70" s="4"/>
      <c r="LDW70" s="4"/>
      <c r="LDX70" s="4"/>
      <c r="LDY70" s="4"/>
      <c r="LDZ70" s="4"/>
      <c r="LEA70" s="4"/>
      <c r="LEB70" s="4"/>
      <c r="LEC70" s="4"/>
      <c r="LED70" s="4"/>
      <c r="LEE70" s="4"/>
      <c r="LEF70" s="4"/>
      <c r="LEG70" s="4"/>
      <c r="LEH70" s="4"/>
      <c r="LEI70" s="4"/>
      <c r="LEJ70" s="4"/>
      <c r="LEK70" s="4"/>
      <c r="LEL70" s="4"/>
      <c r="LEM70" s="4"/>
      <c r="LEN70" s="4"/>
      <c r="LEO70" s="4"/>
      <c r="LEP70" s="4"/>
      <c r="LEQ70" s="4"/>
      <c r="LER70" s="4"/>
      <c r="LES70" s="4"/>
      <c r="LET70" s="4"/>
      <c r="LEU70" s="4"/>
      <c r="LEV70" s="4"/>
      <c r="LEW70" s="4"/>
      <c r="LEX70" s="4"/>
      <c r="LEY70" s="4"/>
      <c r="LEZ70" s="4"/>
      <c r="LFA70" s="4"/>
      <c r="LFB70" s="4"/>
      <c r="LFC70" s="4"/>
      <c r="LFD70" s="4"/>
      <c r="LFE70" s="4"/>
      <c r="LFF70" s="4"/>
      <c r="LFG70" s="4"/>
      <c r="LFH70" s="4"/>
      <c r="LFI70" s="4"/>
      <c r="LFJ70" s="4"/>
      <c r="LFK70" s="4"/>
      <c r="LFL70" s="4"/>
      <c r="LFM70" s="4"/>
      <c r="LFN70" s="4"/>
      <c r="LFO70" s="4"/>
      <c r="LFP70" s="4"/>
      <c r="LFQ70" s="4"/>
      <c r="LFR70" s="4"/>
      <c r="LFS70" s="4"/>
      <c r="LFT70" s="4"/>
      <c r="LFU70" s="4"/>
      <c r="LFV70" s="4"/>
      <c r="LFW70" s="4"/>
      <c r="LFX70" s="4"/>
      <c r="LFY70" s="4"/>
      <c r="LFZ70" s="4"/>
      <c r="LGA70" s="4"/>
      <c r="LGB70" s="4"/>
      <c r="LGC70" s="4"/>
      <c r="LGD70" s="4"/>
      <c r="LGE70" s="4"/>
      <c r="LGF70" s="4"/>
      <c r="LGG70" s="4"/>
      <c r="LGH70" s="4"/>
      <c r="LGI70" s="4"/>
      <c r="LGJ70" s="4"/>
      <c r="LGK70" s="4"/>
      <c r="LGL70" s="4"/>
      <c r="LGM70" s="4"/>
      <c r="LGN70" s="4"/>
      <c r="LGO70" s="4"/>
      <c r="LGP70" s="4"/>
      <c r="LGQ70" s="4"/>
      <c r="LGR70" s="4"/>
      <c r="LGS70" s="4"/>
      <c r="LGT70" s="4"/>
      <c r="LGU70" s="4"/>
      <c r="LGV70" s="4"/>
      <c r="LGW70" s="4"/>
      <c r="LGX70" s="4"/>
      <c r="LGY70" s="4"/>
      <c r="LGZ70" s="4"/>
      <c r="LHA70" s="4"/>
      <c r="LHB70" s="4"/>
      <c r="LHC70" s="4"/>
      <c r="LHD70" s="4"/>
      <c r="LHE70" s="4"/>
      <c r="LHF70" s="4"/>
      <c r="LHG70" s="4"/>
      <c r="LHH70" s="4"/>
      <c r="LHI70" s="4"/>
      <c r="LHJ70" s="4"/>
      <c r="LHK70" s="4"/>
      <c r="LHL70" s="4"/>
      <c r="LHM70" s="4"/>
      <c r="LHN70" s="4"/>
      <c r="LHO70" s="4"/>
      <c r="LHP70" s="4"/>
      <c r="LHQ70" s="4"/>
      <c r="LHR70" s="4"/>
      <c r="LHS70" s="4"/>
      <c r="LHT70" s="4"/>
      <c r="LHU70" s="4"/>
      <c r="LHV70" s="4"/>
      <c r="LHW70" s="4"/>
      <c r="LHX70" s="4"/>
      <c r="LHY70" s="4"/>
      <c r="LHZ70" s="4"/>
      <c r="LIA70" s="4"/>
      <c r="LIB70" s="4"/>
      <c r="LIC70" s="4"/>
      <c r="LID70" s="4"/>
      <c r="LIE70" s="4"/>
      <c r="LIF70" s="4"/>
      <c r="LIG70" s="4"/>
      <c r="LIH70" s="4"/>
      <c r="LII70" s="4"/>
      <c r="LIJ70" s="4"/>
      <c r="LIK70" s="4"/>
      <c r="LIL70" s="4"/>
      <c r="LIM70" s="4"/>
      <c r="LIN70" s="4"/>
      <c r="LIO70" s="4"/>
      <c r="LIP70" s="4"/>
      <c r="LIQ70" s="4"/>
      <c r="LIR70" s="4"/>
      <c r="LIS70" s="4"/>
      <c r="LIT70" s="4"/>
      <c r="LIU70" s="4"/>
      <c r="LIV70" s="4"/>
      <c r="LIW70" s="4"/>
      <c r="LIX70" s="4"/>
      <c r="LIY70" s="4"/>
      <c r="LIZ70" s="4"/>
      <c r="LJA70" s="4"/>
      <c r="LJB70" s="4"/>
      <c r="LJC70" s="4"/>
      <c r="LJD70" s="4"/>
      <c r="LJE70" s="4"/>
      <c r="LJF70" s="4"/>
      <c r="LJG70" s="4"/>
      <c r="LJH70" s="4"/>
      <c r="LJI70" s="4"/>
      <c r="LJJ70" s="4"/>
      <c r="LJK70" s="4"/>
      <c r="LJL70" s="4"/>
      <c r="LJM70" s="4"/>
      <c r="LJN70" s="4"/>
      <c r="LJO70" s="4"/>
      <c r="LJP70" s="4"/>
      <c r="LJQ70" s="4"/>
      <c r="LJR70" s="4"/>
      <c r="LJS70" s="4"/>
      <c r="LJT70" s="4"/>
      <c r="LJU70" s="4"/>
      <c r="LJV70" s="4"/>
      <c r="LJW70" s="4"/>
      <c r="LJX70" s="4"/>
      <c r="LJY70" s="4"/>
      <c r="LJZ70" s="4"/>
      <c r="LKA70" s="4"/>
      <c r="LKB70" s="4"/>
      <c r="LKC70" s="4"/>
      <c r="LKD70" s="4"/>
      <c r="LKE70" s="4"/>
      <c r="LKF70" s="4"/>
      <c r="LKG70" s="4"/>
      <c r="LKH70" s="4"/>
      <c r="LKI70" s="4"/>
      <c r="LKJ70" s="4"/>
      <c r="LKK70" s="4"/>
      <c r="LKL70" s="4"/>
      <c r="LKM70" s="4"/>
      <c r="LKN70" s="4"/>
      <c r="LKO70" s="4"/>
      <c r="LKP70" s="4"/>
      <c r="LKQ70" s="4"/>
      <c r="LKR70" s="4"/>
      <c r="LKS70" s="4"/>
      <c r="LKT70" s="4"/>
      <c r="LKU70" s="4"/>
      <c r="LKV70" s="4"/>
      <c r="LKW70" s="4"/>
      <c r="LKX70" s="4"/>
      <c r="LKY70" s="4"/>
      <c r="LKZ70" s="4"/>
      <c r="LLA70" s="4"/>
      <c r="LLB70" s="4"/>
      <c r="LLC70" s="4"/>
      <c r="LLD70" s="4"/>
      <c r="LLE70" s="4"/>
      <c r="LLF70" s="4"/>
      <c r="LLG70" s="4"/>
      <c r="LLH70" s="4"/>
      <c r="LLI70" s="4"/>
      <c r="LLJ70" s="4"/>
      <c r="LLK70" s="4"/>
      <c r="LLL70" s="4"/>
      <c r="LLM70" s="4"/>
      <c r="LLN70" s="4"/>
      <c r="LLO70" s="4"/>
      <c r="LLP70" s="4"/>
      <c r="LLQ70" s="4"/>
      <c r="LLR70" s="4"/>
      <c r="LLS70" s="4"/>
      <c r="LLT70" s="4"/>
      <c r="LLU70" s="4"/>
      <c r="LLV70" s="4"/>
      <c r="LLW70" s="4"/>
      <c r="LLX70" s="4"/>
      <c r="LLY70" s="4"/>
      <c r="LLZ70" s="4"/>
      <c r="LMA70" s="4"/>
      <c r="LMB70" s="4"/>
      <c r="LMC70" s="4"/>
      <c r="LMD70" s="4"/>
      <c r="LME70" s="4"/>
      <c r="LMF70" s="4"/>
      <c r="LMG70" s="4"/>
      <c r="LMH70" s="4"/>
      <c r="LMI70" s="4"/>
      <c r="LMJ70" s="4"/>
      <c r="LMK70" s="4"/>
      <c r="LML70" s="4"/>
      <c r="LMM70" s="4"/>
      <c r="LMN70" s="4"/>
      <c r="LMO70" s="4"/>
      <c r="LMP70" s="4"/>
      <c r="LMQ70" s="4"/>
      <c r="LMR70" s="4"/>
      <c r="LMS70" s="4"/>
      <c r="LMT70" s="4"/>
      <c r="LMU70" s="4"/>
      <c r="LMV70" s="4"/>
      <c r="LMW70" s="4"/>
      <c r="LMX70" s="4"/>
      <c r="LMY70" s="4"/>
      <c r="LMZ70" s="4"/>
      <c r="LNA70" s="4"/>
      <c r="LNB70" s="4"/>
      <c r="LNC70" s="4"/>
      <c r="LND70" s="4"/>
      <c r="LNE70" s="4"/>
      <c r="LNF70" s="4"/>
      <c r="LNG70" s="4"/>
      <c r="LNH70" s="4"/>
      <c r="LNI70" s="4"/>
      <c r="LNJ70" s="4"/>
      <c r="LNK70" s="4"/>
      <c r="LNL70" s="4"/>
      <c r="LNM70" s="4"/>
      <c r="LNN70" s="4"/>
      <c r="LNO70" s="4"/>
      <c r="LNP70" s="4"/>
      <c r="LNQ70" s="4"/>
      <c r="LNR70" s="4"/>
      <c r="LNS70" s="4"/>
      <c r="LNT70" s="4"/>
      <c r="LNU70" s="4"/>
      <c r="LNV70" s="4"/>
      <c r="LNW70" s="4"/>
      <c r="LNX70" s="4"/>
      <c r="LNY70" s="4"/>
      <c r="LNZ70" s="4"/>
      <c r="LOA70" s="4"/>
      <c r="LOB70" s="4"/>
      <c r="LOC70" s="4"/>
      <c r="LOD70" s="4"/>
      <c r="LOE70" s="4"/>
      <c r="LOF70" s="4"/>
      <c r="LOG70" s="4"/>
      <c r="LOH70" s="4"/>
      <c r="LOI70" s="4"/>
      <c r="LOJ70" s="4"/>
      <c r="LOK70" s="4"/>
      <c r="LOL70" s="4"/>
      <c r="LOM70" s="4"/>
      <c r="LON70" s="4"/>
      <c r="LOO70" s="4"/>
      <c r="LOP70" s="4"/>
      <c r="LOQ70" s="4"/>
      <c r="LOR70" s="4"/>
      <c r="LOS70" s="4"/>
      <c r="LOT70" s="4"/>
      <c r="LOU70" s="4"/>
      <c r="LOV70" s="4"/>
      <c r="LOW70" s="4"/>
      <c r="LOX70" s="4"/>
      <c r="LOY70" s="4"/>
      <c r="LOZ70" s="4"/>
      <c r="LPA70" s="4"/>
      <c r="LPB70" s="4"/>
      <c r="LPC70" s="4"/>
      <c r="LPD70" s="4"/>
      <c r="LPE70" s="4"/>
      <c r="LPF70" s="4"/>
      <c r="LPG70" s="4"/>
      <c r="LPH70" s="4"/>
      <c r="LPI70" s="4"/>
      <c r="LPJ70" s="4"/>
      <c r="LPK70" s="4"/>
      <c r="LPL70" s="4"/>
      <c r="LPM70" s="4"/>
      <c r="LPN70" s="4"/>
      <c r="LPO70" s="4"/>
      <c r="LPP70" s="4"/>
      <c r="LPQ70" s="4"/>
      <c r="LPR70" s="4"/>
      <c r="LPS70" s="4"/>
      <c r="LPT70" s="4"/>
      <c r="LPU70" s="4"/>
      <c r="LPV70" s="4"/>
      <c r="LPW70" s="4"/>
      <c r="LPX70" s="4"/>
      <c r="LPY70" s="4"/>
      <c r="LPZ70" s="4"/>
      <c r="LQA70" s="4"/>
      <c r="LQB70" s="4"/>
      <c r="LQC70" s="4"/>
      <c r="LQD70" s="4"/>
      <c r="LQE70" s="4"/>
      <c r="LQF70" s="4"/>
      <c r="LQG70" s="4"/>
      <c r="LQH70" s="4"/>
      <c r="LQI70" s="4"/>
      <c r="LQJ70" s="4"/>
      <c r="LQK70" s="4"/>
      <c r="LQL70" s="4"/>
      <c r="LQM70" s="4"/>
      <c r="LQN70" s="4"/>
      <c r="LQO70" s="4"/>
      <c r="LQP70" s="4"/>
      <c r="LQQ70" s="4"/>
      <c r="LQR70" s="4"/>
      <c r="LQS70" s="4"/>
      <c r="LQT70" s="4"/>
      <c r="LQU70" s="4"/>
      <c r="LQV70" s="4"/>
      <c r="LQW70" s="4"/>
      <c r="LQX70" s="4"/>
      <c r="LQY70" s="4"/>
      <c r="LQZ70" s="4"/>
      <c r="LRA70" s="4"/>
      <c r="LRB70" s="4"/>
      <c r="LRC70" s="4"/>
      <c r="LRD70" s="4"/>
      <c r="LRE70" s="4"/>
      <c r="LRF70" s="4"/>
      <c r="LRG70" s="4"/>
      <c r="LRH70" s="4"/>
      <c r="LRI70" s="4"/>
      <c r="LRJ70" s="4"/>
      <c r="LRK70" s="4"/>
      <c r="LRL70" s="4"/>
      <c r="LRM70" s="4"/>
      <c r="LRN70" s="4"/>
      <c r="LRO70" s="4"/>
      <c r="LRP70" s="4"/>
      <c r="LRQ70" s="4"/>
      <c r="LRR70" s="4"/>
      <c r="LRS70" s="4"/>
      <c r="LRT70" s="4"/>
      <c r="LRU70" s="4"/>
      <c r="LRV70" s="4"/>
      <c r="LRW70" s="4"/>
      <c r="LRX70" s="4"/>
      <c r="LRY70" s="4"/>
      <c r="LRZ70" s="4"/>
      <c r="LSA70" s="4"/>
      <c r="LSB70" s="4"/>
      <c r="LSC70" s="4"/>
      <c r="LSD70" s="4"/>
      <c r="LSE70" s="4"/>
      <c r="LSF70" s="4"/>
      <c r="LSG70" s="4"/>
      <c r="LSH70" s="4"/>
      <c r="LSI70" s="4"/>
      <c r="LSJ70" s="4"/>
      <c r="LSK70" s="4"/>
      <c r="LSL70" s="4"/>
      <c r="LSM70" s="4"/>
      <c r="LSN70" s="4"/>
      <c r="LSO70" s="4"/>
      <c r="LSP70" s="4"/>
      <c r="LSQ70" s="4"/>
      <c r="LSR70" s="4"/>
      <c r="LSS70" s="4"/>
      <c r="LST70" s="4"/>
      <c r="LSU70" s="4"/>
      <c r="LSV70" s="4"/>
      <c r="LSW70" s="4"/>
      <c r="LSX70" s="4"/>
      <c r="LSY70" s="4"/>
      <c r="LSZ70" s="4"/>
      <c r="LTA70" s="4"/>
      <c r="LTB70" s="4"/>
      <c r="LTC70" s="4"/>
      <c r="LTD70" s="4"/>
      <c r="LTE70" s="4"/>
      <c r="LTF70" s="4"/>
      <c r="LTG70" s="4"/>
      <c r="LTH70" s="4"/>
      <c r="LTI70" s="4"/>
      <c r="LTJ70" s="4"/>
      <c r="LTK70" s="4"/>
      <c r="LTL70" s="4"/>
      <c r="LTM70" s="4"/>
      <c r="LTN70" s="4"/>
      <c r="LTO70" s="4"/>
      <c r="LTP70" s="4"/>
      <c r="LTQ70" s="4"/>
      <c r="LTR70" s="4"/>
      <c r="LTS70" s="4"/>
      <c r="LTT70" s="4"/>
      <c r="LTU70" s="4"/>
      <c r="LTV70" s="4"/>
      <c r="LTW70" s="4"/>
      <c r="LTX70" s="4"/>
      <c r="LTY70" s="4"/>
      <c r="LTZ70" s="4"/>
      <c r="LUA70" s="4"/>
      <c r="LUB70" s="4"/>
      <c r="LUC70" s="4"/>
      <c r="LUD70" s="4"/>
      <c r="LUE70" s="4"/>
      <c r="LUF70" s="4"/>
      <c r="LUG70" s="4"/>
      <c r="LUH70" s="4"/>
      <c r="LUI70" s="4"/>
      <c r="LUJ70" s="4"/>
      <c r="LUK70" s="4"/>
      <c r="LUL70" s="4"/>
      <c r="LUM70" s="4"/>
      <c r="LUN70" s="4"/>
      <c r="LUO70" s="4"/>
      <c r="LUP70" s="4"/>
      <c r="LUQ70" s="4"/>
      <c r="LUR70" s="4"/>
      <c r="LUS70" s="4"/>
      <c r="LUT70" s="4"/>
      <c r="LUU70" s="4"/>
      <c r="LUV70" s="4"/>
      <c r="LUW70" s="4"/>
      <c r="LUX70" s="4"/>
      <c r="LUY70" s="4"/>
      <c r="LUZ70" s="4"/>
      <c r="LVA70" s="4"/>
      <c r="LVB70" s="4"/>
      <c r="LVC70" s="4"/>
      <c r="LVD70" s="4"/>
      <c r="LVE70" s="4"/>
      <c r="LVF70" s="4"/>
      <c r="LVG70" s="4"/>
      <c r="LVH70" s="4"/>
      <c r="LVI70" s="4"/>
      <c r="LVJ70" s="4"/>
      <c r="LVK70" s="4"/>
      <c r="LVL70" s="4"/>
      <c r="LVM70" s="4"/>
      <c r="LVN70" s="4"/>
      <c r="LVO70" s="4"/>
      <c r="LVP70" s="4"/>
      <c r="LVQ70" s="4"/>
      <c r="LVR70" s="4"/>
      <c r="LVS70" s="4"/>
      <c r="LVT70" s="4"/>
      <c r="LVU70" s="4"/>
      <c r="LVV70" s="4"/>
      <c r="LVW70" s="4"/>
      <c r="LVX70" s="4"/>
      <c r="LVY70" s="4"/>
      <c r="LVZ70" s="4"/>
      <c r="LWA70" s="4"/>
      <c r="LWB70" s="4"/>
      <c r="LWC70" s="4"/>
      <c r="LWD70" s="4"/>
      <c r="LWE70" s="4"/>
      <c r="LWF70" s="4"/>
      <c r="LWG70" s="4"/>
      <c r="LWH70" s="4"/>
      <c r="LWI70" s="4"/>
      <c r="LWJ70" s="4"/>
      <c r="LWK70" s="4"/>
      <c r="LWL70" s="4"/>
      <c r="LWM70" s="4"/>
      <c r="LWN70" s="4"/>
      <c r="LWO70" s="4"/>
      <c r="LWP70" s="4"/>
      <c r="LWQ70" s="4"/>
      <c r="LWR70" s="4"/>
      <c r="LWS70" s="4"/>
      <c r="LWT70" s="4"/>
      <c r="LWU70" s="4"/>
      <c r="LWV70" s="4"/>
      <c r="LWW70" s="4"/>
      <c r="LWX70" s="4"/>
      <c r="LWY70" s="4"/>
      <c r="LWZ70" s="4"/>
      <c r="LXA70" s="4"/>
      <c r="LXB70" s="4"/>
      <c r="LXC70" s="4"/>
      <c r="LXD70" s="4"/>
      <c r="LXE70" s="4"/>
      <c r="LXF70" s="4"/>
      <c r="LXG70" s="4"/>
      <c r="LXH70" s="4"/>
      <c r="LXI70" s="4"/>
      <c r="LXJ70" s="4"/>
      <c r="LXK70" s="4"/>
      <c r="LXL70" s="4"/>
      <c r="LXM70" s="4"/>
      <c r="LXN70" s="4"/>
      <c r="LXO70" s="4"/>
      <c r="LXP70" s="4"/>
      <c r="LXQ70" s="4"/>
      <c r="LXR70" s="4"/>
      <c r="LXS70" s="4"/>
      <c r="LXT70" s="4"/>
      <c r="LXU70" s="4"/>
      <c r="LXV70" s="4"/>
      <c r="LXW70" s="4"/>
      <c r="LXX70" s="4"/>
      <c r="LXY70" s="4"/>
      <c r="LXZ70" s="4"/>
      <c r="LYA70" s="4"/>
      <c r="LYB70" s="4"/>
      <c r="LYC70" s="4"/>
      <c r="LYD70" s="4"/>
      <c r="LYE70" s="4"/>
      <c r="LYF70" s="4"/>
      <c r="LYG70" s="4"/>
      <c r="LYH70" s="4"/>
      <c r="LYI70" s="4"/>
      <c r="LYJ70" s="4"/>
      <c r="LYK70" s="4"/>
      <c r="LYL70" s="4"/>
      <c r="LYM70" s="4"/>
      <c r="LYN70" s="4"/>
      <c r="LYO70" s="4"/>
      <c r="LYP70" s="4"/>
      <c r="LYQ70" s="4"/>
      <c r="LYR70" s="4"/>
      <c r="LYS70" s="4"/>
      <c r="LYT70" s="4"/>
      <c r="LYU70" s="4"/>
      <c r="LYV70" s="4"/>
      <c r="LYW70" s="4"/>
      <c r="LYX70" s="4"/>
      <c r="LYY70" s="4"/>
      <c r="LYZ70" s="4"/>
      <c r="LZA70" s="4"/>
      <c r="LZB70" s="4"/>
      <c r="LZC70" s="4"/>
      <c r="LZD70" s="4"/>
      <c r="LZE70" s="4"/>
      <c r="LZF70" s="4"/>
      <c r="LZG70" s="4"/>
      <c r="LZH70" s="4"/>
      <c r="LZI70" s="4"/>
      <c r="LZJ70" s="4"/>
      <c r="LZK70" s="4"/>
      <c r="LZL70" s="4"/>
      <c r="LZM70" s="4"/>
      <c r="LZN70" s="4"/>
      <c r="LZO70" s="4"/>
      <c r="LZP70" s="4"/>
      <c r="LZQ70" s="4"/>
      <c r="LZR70" s="4"/>
      <c r="LZS70" s="4"/>
      <c r="LZT70" s="4"/>
      <c r="LZU70" s="4"/>
      <c r="LZV70" s="4"/>
      <c r="LZW70" s="4"/>
      <c r="LZX70" s="4"/>
      <c r="LZY70" s="4"/>
      <c r="LZZ70" s="4"/>
      <c r="MAA70" s="4"/>
      <c r="MAB70" s="4"/>
      <c r="MAC70" s="4"/>
      <c r="MAD70" s="4"/>
      <c r="MAE70" s="4"/>
      <c r="MAF70" s="4"/>
      <c r="MAG70" s="4"/>
      <c r="MAH70" s="4"/>
      <c r="MAI70" s="4"/>
      <c r="MAJ70" s="4"/>
      <c r="MAK70" s="4"/>
      <c r="MAL70" s="4"/>
      <c r="MAM70" s="4"/>
      <c r="MAN70" s="4"/>
      <c r="MAO70" s="4"/>
      <c r="MAP70" s="4"/>
      <c r="MAQ70" s="4"/>
      <c r="MAR70" s="4"/>
      <c r="MAS70" s="4"/>
      <c r="MAT70" s="4"/>
      <c r="MAU70" s="4"/>
      <c r="MAV70" s="4"/>
      <c r="MAW70" s="4"/>
      <c r="MAX70" s="4"/>
      <c r="MAY70" s="4"/>
      <c r="MAZ70" s="4"/>
      <c r="MBA70" s="4"/>
      <c r="MBB70" s="4"/>
      <c r="MBC70" s="4"/>
      <c r="MBD70" s="4"/>
      <c r="MBE70" s="4"/>
      <c r="MBF70" s="4"/>
      <c r="MBG70" s="4"/>
      <c r="MBH70" s="4"/>
      <c r="MBI70" s="4"/>
      <c r="MBJ70" s="4"/>
      <c r="MBK70" s="4"/>
      <c r="MBL70" s="4"/>
      <c r="MBM70" s="4"/>
      <c r="MBN70" s="4"/>
      <c r="MBO70" s="4"/>
      <c r="MBP70" s="4"/>
      <c r="MBQ70" s="4"/>
      <c r="MBR70" s="4"/>
      <c r="MBS70" s="4"/>
      <c r="MBT70" s="4"/>
      <c r="MBU70" s="4"/>
      <c r="MBV70" s="4"/>
      <c r="MBW70" s="4"/>
      <c r="MBX70" s="4"/>
      <c r="MBY70" s="4"/>
      <c r="MBZ70" s="4"/>
      <c r="MCA70" s="4"/>
      <c r="MCB70" s="4"/>
      <c r="MCC70" s="4"/>
      <c r="MCD70" s="4"/>
      <c r="MCE70" s="4"/>
      <c r="MCF70" s="4"/>
      <c r="MCG70" s="4"/>
      <c r="MCH70" s="4"/>
      <c r="MCI70" s="4"/>
      <c r="MCJ70" s="4"/>
      <c r="MCK70" s="4"/>
      <c r="MCL70" s="4"/>
      <c r="MCM70" s="4"/>
      <c r="MCN70" s="4"/>
      <c r="MCO70" s="4"/>
      <c r="MCP70" s="4"/>
      <c r="MCQ70" s="4"/>
      <c r="MCR70" s="4"/>
      <c r="MCS70" s="4"/>
      <c r="MCT70" s="4"/>
      <c r="MCU70" s="4"/>
      <c r="MCV70" s="4"/>
      <c r="MCW70" s="4"/>
      <c r="MCX70" s="4"/>
      <c r="MCY70" s="4"/>
      <c r="MCZ70" s="4"/>
      <c r="MDA70" s="4"/>
      <c r="MDB70" s="4"/>
      <c r="MDC70" s="4"/>
      <c r="MDD70" s="4"/>
      <c r="MDE70" s="4"/>
      <c r="MDF70" s="4"/>
      <c r="MDG70" s="4"/>
      <c r="MDH70" s="4"/>
      <c r="MDI70" s="4"/>
      <c r="MDJ70" s="4"/>
      <c r="MDK70" s="4"/>
      <c r="MDL70" s="4"/>
      <c r="MDM70" s="4"/>
      <c r="MDN70" s="4"/>
      <c r="MDO70" s="4"/>
      <c r="MDP70" s="4"/>
      <c r="MDQ70" s="4"/>
      <c r="MDR70" s="4"/>
      <c r="MDS70" s="4"/>
      <c r="MDT70" s="4"/>
      <c r="MDU70" s="4"/>
      <c r="MDV70" s="4"/>
      <c r="MDW70" s="4"/>
      <c r="MDX70" s="4"/>
      <c r="MDY70" s="4"/>
      <c r="MDZ70" s="4"/>
      <c r="MEA70" s="4"/>
      <c r="MEB70" s="4"/>
      <c r="MEC70" s="4"/>
      <c r="MED70" s="4"/>
      <c r="MEE70" s="4"/>
      <c r="MEF70" s="4"/>
      <c r="MEG70" s="4"/>
      <c r="MEH70" s="4"/>
      <c r="MEI70" s="4"/>
      <c r="MEJ70" s="4"/>
      <c r="MEK70" s="4"/>
      <c r="MEL70" s="4"/>
      <c r="MEM70" s="4"/>
      <c r="MEN70" s="4"/>
      <c r="MEO70" s="4"/>
      <c r="MEP70" s="4"/>
      <c r="MEQ70" s="4"/>
      <c r="MER70" s="4"/>
      <c r="MES70" s="4"/>
      <c r="MET70" s="4"/>
      <c r="MEU70" s="4"/>
      <c r="MEV70" s="4"/>
      <c r="MEW70" s="4"/>
      <c r="MEX70" s="4"/>
      <c r="MEY70" s="4"/>
      <c r="MEZ70" s="4"/>
      <c r="MFA70" s="4"/>
      <c r="MFB70" s="4"/>
      <c r="MFC70" s="4"/>
      <c r="MFD70" s="4"/>
      <c r="MFE70" s="4"/>
      <c r="MFF70" s="4"/>
      <c r="MFG70" s="4"/>
      <c r="MFH70" s="4"/>
      <c r="MFI70" s="4"/>
      <c r="MFJ70" s="4"/>
      <c r="MFK70" s="4"/>
      <c r="MFL70" s="4"/>
      <c r="MFM70" s="4"/>
      <c r="MFN70" s="4"/>
      <c r="MFO70" s="4"/>
      <c r="MFP70" s="4"/>
      <c r="MFQ70" s="4"/>
      <c r="MFR70" s="4"/>
      <c r="MFS70" s="4"/>
      <c r="MFT70" s="4"/>
      <c r="MFU70" s="4"/>
      <c r="MFV70" s="4"/>
      <c r="MFW70" s="4"/>
      <c r="MFX70" s="4"/>
      <c r="MFY70" s="4"/>
      <c r="MFZ70" s="4"/>
      <c r="MGA70" s="4"/>
      <c r="MGB70" s="4"/>
      <c r="MGC70" s="4"/>
      <c r="MGD70" s="4"/>
      <c r="MGE70" s="4"/>
      <c r="MGF70" s="4"/>
      <c r="MGG70" s="4"/>
      <c r="MGH70" s="4"/>
      <c r="MGI70" s="4"/>
      <c r="MGJ70" s="4"/>
      <c r="MGK70" s="4"/>
      <c r="MGL70" s="4"/>
      <c r="MGM70" s="4"/>
      <c r="MGN70" s="4"/>
      <c r="MGO70" s="4"/>
      <c r="MGP70" s="4"/>
      <c r="MGQ70" s="4"/>
      <c r="MGR70" s="4"/>
      <c r="MGS70" s="4"/>
      <c r="MGT70" s="4"/>
      <c r="MGU70" s="4"/>
      <c r="MGV70" s="4"/>
      <c r="MGW70" s="4"/>
      <c r="MGX70" s="4"/>
      <c r="MGY70" s="4"/>
      <c r="MGZ70" s="4"/>
      <c r="MHA70" s="4"/>
      <c r="MHB70" s="4"/>
      <c r="MHC70" s="4"/>
      <c r="MHD70" s="4"/>
      <c r="MHE70" s="4"/>
      <c r="MHF70" s="4"/>
      <c r="MHG70" s="4"/>
      <c r="MHH70" s="4"/>
      <c r="MHI70" s="4"/>
      <c r="MHJ70" s="4"/>
      <c r="MHK70" s="4"/>
      <c r="MHL70" s="4"/>
      <c r="MHM70" s="4"/>
      <c r="MHN70" s="4"/>
      <c r="MHO70" s="4"/>
      <c r="MHP70" s="4"/>
      <c r="MHQ70" s="4"/>
      <c r="MHR70" s="4"/>
      <c r="MHS70" s="4"/>
      <c r="MHT70" s="4"/>
      <c r="MHU70" s="4"/>
      <c r="MHV70" s="4"/>
      <c r="MHW70" s="4"/>
      <c r="MHX70" s="4"/>
      <c r="MHY70" s="4"/>
      <c r="MHZ70" s="4"/>
      <c r="MIA70" s="4"/>
      <c r="MIB70" s="4"/>
      <c r="MIC70" s="4"/>
      <c r="MID70" s="4"/>
      <c r="MIE70" s="4"/>
      <c r="MIF70" s="4"/>
      <c r="MIG70" s="4"/>
      <c r="MIH70" s="4"/>
      <c r="MII70" s="4"/>
      <c r="MIJ70" s="4"/>
      <c r="MIK70" s="4"/>
      <c r="MIL70" s="4"/>
      <c r="MIM70" s="4"/>
      <c r="MIN70" s="4"/>
      <c r="MIO70" s="4"/>
      <c r="MIP70" s="4"/>
      <c r="MIQ70" s="4"/>
      <c r="MIR70" s="4"/>
      <c r="MIS70" s="4"/>
      <c r="MIT70" s="4"/>
      <c r="MIU70" s="4"/>
      <c r="MIV70" s="4"/>
      <c r="MIW70" s="4"/>
      <c r="MIX70" s="4"/>
      <c r="MIY70" s="4"/>
      <c r="MIZ70" s="4"/>
      <c r="MJA70" s="4"/>
      <c r="MJB70" s="4"/>
      <c r="MJC70" s="4"/>
      <c r="MJD70" s="4"/>
      <c r="MJE70" s="4"/>
      <c r="MJF70" s="4"/>
      <c r="MJG70" s="4"/>
      <c r="MJH70" s="4"/>
      <c r="MJI70" s="4"/>
      <c r="MJJ70" s="4"/>
      <c r="MJK70" s="4"/>
      <c r="MJL70" s="4"/>
      <c r="MJM70" s="4"/>
      <c r="MJN70" s="4"/>
      <c r="MJO70" s="4"/>
      <c r="MJP70" s="4"/>
      <c r="MJQ70" s="4"/>
      <c r="MJR70" s="4"/>
      <c r="MJS70" s="4"/>
      <c r="MJT70" s="4"/>
      <c r="MJU70" s="4"/>
      <c r="MJV70" s="4"/>
      <c r="MJW70" s="4"/>
      <c r="MJX70" s="4"/>
      <c r="MJY70" s="4"/>
      <c r="MJZ70" s="4"/>
      <c r="MKA70" s="4"/>
      <c r="MKB70" s="4"/>
      <c r="MKC70" s="4"/>
      <c r="MKD70" s="4"/>
      <c r="MKE70" s="4"/>
      <c r="MKF70" s="4"/>
      <c r="MKG70" s="4"/>
      <c r="MKH70" s="4"/>
      <c r="MKI70" s="4"/>
      <c r="MKJ70" s="4"/>
      <c r="MKK70" s="4"/>
      <c r="MKL70" s="4"/>
      <c r="MKM70" s="4"/>
      <c r="MKN70" s="4"/>
      <c r="MKO70" s="4"/>
      <c r="MKP70" s="4"/>
      <c r="MKQ70" s="4"/>
      <c r="MKR70" s="4"/>
      <c r="MKS70" s="4"/>
      <c r="MKT70" s="4"/>
      <c r="MKU70" s="4"/>
      <c r="MKV70" s="4"/>
      <c r="MKW70" s="4"/>
      <c r="MKX70" s="4"/>
      <c r="MKY70" s="4"/>
      <c r="MKZ70" s="4"/>
      <c r="MLA70" s="4"/>
      <c r="MLB70" s="4"/>
      <c r="MLC70" s="4"/>
      <c r="MLD70" s="4"/>
      <c r="MLE70" s="4"/>
      <c r="MLF70" s="4"/>
      <c r="MLG70" s="4"/>
      <c r="MLH70" s="4"/>
      <c r="MLI70" s="4"/>
      <c r="MLJ70" s="4"/>
      <c r="MLK70" s="4"/>
      <c r="MLL70" s="4"/>
      <c r="MLM70" s="4"/>
      <c r="MLN70" s="4"/>
      <c r="MLO70" s="4"/>
      <c r="MLP70" s="4"/>
      <c r="MLQ70" s="4"/>
      <c r="MLR70" s="4"/>
      <c r="MLS70" s="4"/>
      <c r="MLT70" s="4"/>
      <c r="MLU70" s="4"/>
      <c r="MLV70" s="4"/>
      <c r="MLW70" s="4"/>
      <c r="MLX70" s="4"/>
      <c r="MLY70" s="4"/>
      <c r="MLZ70" s="4"/>
      <c r="MMA70" s="4"/>
      <c r="MMB70" s="4"/>
      <c r="MMC70" s="4"/>
      <c r="MMD70" s="4"/>
      <c r="MME70" s="4"/>
      <c r="MMF70" s="4"/>
      <c r="MMG70" s="4"/>
      <c r="MMH70" s="4"/>
      <c r="MMI70" s="4"/>
      <c r="MMJ70" s="4"/>
      <c r="MMK70" s="4"/>
      <c r="MML70" s="4"/>
      <c r="MMM70" s="4"/>
      <c r="MMN70" s="4"/>
      <c r="MMO70" s="4"/>
      <c r="MMP70" s="4"/>
      <c r="MMQ70" s="4"/>
      <c r="MMR70" s="4"/>
      <c r="MMS70" s="4"/>
      <c r="MMT70" s="4"/>
      <c r="MMU70" s="4"/>
      <c r="MMV70" s="4"/>
      <c r="MMW70" s="4"/>
      <c r="MMX70" s="4"/>
      <c r="MMY70" s="4"/>
      <c r="MMZ70" s="4"/>
      <c r="MNA70" s="4"/>
      <c r="MNB70" s="4"/>
      <c r="MNC70" s="4"/>
      <c r="MND70" s="4"/>
      <c r="MNE70" s="4"/>
      <c r="MNF70" s="4"/>
      <c r="MNG70" s="4"/>
      <c r="MNH70" s="4"/>
      <c r="MNI70" s="4"/>
      <c r="MNJ70" s="4"/>
      <c r="MNK70" s="4"/>
      <c r="MNL70" s="4"/>
      <c r="MNM70" s="4"/>
      <c r="MNN70" s="4"/>
      <c r="MNO70" s="4"/>
      <c r="MNP70" s="4"/>
      <c r="MNQ70" s="4"/>
      <c r="MNR70" s="4"/>
      <c r="MNS70" s="4"/>
      <c r="MNT70" s="4"/>
      <c r="MNU70" s="4"/>
      <c r="MNV70" s="4"/>
      <c r="MNW70" s="4"/>
      <c r="MNX70" s="4"/>
      <c r="MNY70" s="4"/>
      <c r="MNZ70" s="4"/>
      <c r="MOA70" s="4"/>
      <c r="MOB70" s="4"/>
      <c r="MOC70" s="4"/>
      <c r="MOD70" s="4"/>
      <c r="MOE70" s="4"/>
      <c r="MOF70" s="4"/>
      <c r="MOG70" s="4"/>
      <c r="MOH70" s="4"/>
      <c r="MOI70" s="4"/>
      <c r="MOJ70" s="4"/>
      <c r="MOK70" s="4"/>
      <c r="MOL70" s="4"/>
      <c r="MOM70" s="4"/>
      <c r="MON70" s="4"/>
      <c r="MOO70" s="4"/>
      <c r="MOP70" s="4"/>
      <c r="MOQ70" s="4"/>
      <c r="MOR70" s="4"/>
      <c r="MOS70" s="4"/>
      <c r="MOT70" s="4"/>
      <c r="MOU70" s="4"/>
      <c r="MOV70" s="4"/>
      <c r="MOW70" s="4"/>
      <c r="MOX70" s="4"/>
      <c r="MOY70" s="4"/>
      <c r="MOZ70" s="4"/>
      <c r="MPA70" s="4"/>
      <c r="MPB70" s="4"/>
      <c r="MPC70" s="4"/>
      <c r="MPD70" s="4"/>
      <c r="MPE70" s="4"/>
      <c r="MPF70" s="4"/>
      <c r="MPG70" s="4"/>
      <c r="MPH70" s="4"/>
      <c r="MPI70" s="4"/>
      <c r="MPJ70" s="4"/>
      <c r="MPK70" s="4"/>
      <c r="MPL70" s="4"/>
      <c r="MPM70" s="4"/>
      <c r="MPN70" s="4"/>
      <c r="MPO70" s="4"/>
      <c r="MPP70" s="4"/>
      <c r="MPQ70" s="4"/>
      <c r="MPR70" s="4"/>
      <c r="MPS70" s="4"/>
      <c r="MPT70" s="4"/>
      <c r="MPU70" s="4"/>
      <c r="MPV70" s="4"/>
      <c r="MPW70" s="4"/>
      <c r="MPX70" s="4"/>
      <c r="MPY70" s="4"/>
      <c r="MPZ70" s="4"/>
      <c r="MQA70" s="4"/>
      <c r="MQB70" s="4"/>
      <c r="MQC70" s="4"/>
      <c r="MQD70" s="4"/>
      <c r="MQE70" s="4"/>
      <c r="MQF70" s="4"/>
      <c r="MQG70" s="4"/>
      <c r="MQH70" s="4"/>
      <c r="MQI70" s="4"/>
      <c r="MQJ70" s="4"/>
      <c r="MQK70" s="4"/>
      <c r="MQL70" s="4"/>
      <c r="MQM70" s="4"/>
      <c r="MQN70" s="4"/>
      <c r="MQO70" s="4"/>
      <c r="MQP70" s="4"/>
      <c r="MQQ70" s="4"/>
      <c r="MQR70" s="4"/>
      <c r="MQS70" s="4"/>
      <c r="MQT70" s="4"/>
      <c r="MQU70" s="4"/>
      <c r="MQV70" s="4"/>
      <c r="MQW70" s="4"/>
      <c r="MQX70" s="4"/>
      <c r="MQY70" s="4"/>
      <c r="MQZ70" s="4"/>
      <c r="MRA70" s="4"/>
      <c r="MRB70" s="4"/>
      <c r="MRC70" s="4"/>
      <c r="MRD70" s="4"/>
      <c r="MRE70" s="4"/>
      <c r="MRF70" s="4"/>
      <c r="MRG70" s="4"/>
      <c r="MRH70" s="4"/>
      <c r="MRI70" s="4"/>
      <c r="MRJ70" s="4"/>
      <c r="MRK70" s="4"/>
      <c r="MRL70" s="4"/>
      <c r="MRM70" s="4"/>
      <c r="MRN70" s="4"/>
      <c r="MRO70" s="4"/>
      <c r="MRP70" s="4"/>
      <c r="MRQ70" s="4"/>
      <c r="MRR70" s="4"/>
      <c r="MRS70" s="4"/>
      <c r="MRT70" s="4"/>
      <c r="MRU70" s="4"/>
      <c r="MRV70" s="4"/>
      <c r="MRW70" s="4"/>
      <c r="MRX70" s="4"/>
      <c r="MRY70" s="4"/>
      <c r="MRZ70" s="4"/>
      <c r="MSA70" s="4"/>
      <c r="MSB70" s="4"/>
      <c r="MSC70" s="4"/>
      <c r="MSD70" s="4"/>
      <c r="MSE70" s="4"/>
      <c r="MSF70" s="4"/>
      <c r="MSG70" s="4"/>
      <c r="MSH70" s="4"/>
      <c r="MSI70" s="4"/>
      <c r="MSJ70" s="4"/>
      <c r="MSK70" s="4"/>
      <c r="MSL70" s="4"/>
      <c r="MSM70" s="4"/>
      <c r="MSN70" s="4"/>
      <c r="MSO70" s="4"/>
      <c r="MSP70" s="4"/>
      <c r="MSQ70" s="4"/>
      <c r="MSR70" s="4"/>
      <c r="MSS70" s="4"/>
      <c r="MST70" s="4"/>
      <c r="MSU70" s="4"/>
      <c r="MSV70" s="4"/>
      <c r="MSW70" s="4"/>
      <c r="MSX70" s="4"/>
      <c r="MSY70" s="4"/>
      <c r="MSZ70" s="4"/>
      <c r="MTA70" s="4"/>
      <c r="MTB70" s="4"/>
      <c r="MTC70" s="4"/>
      <c r="MTD70" s="4"/>
      <c r="MTE70" s="4"/>
      <c r="MTF70" s="4"/>
      <c r="MTG70" s="4"/>
      <c r="MTH70" s="4"/>
      <c r="MTI70" s="4"/>
      <c r="MTJ70" s="4"/>
      <c r="MTK70" s="4"/>
      <c r="MTL70" s="4"/>
      <c r="MTM70" s="4"/>
      <c r="MTN70" s="4"/>
      <c r="MTO70" s="4"/>
      <c r="MTP70" s="4"/>
      <c r="MTQ70" s="4"/>
      <c r="MTR70" s="4"/>
      <c r="MTS70" s="4"/>
      <c r="MTT70" s="4"/>
      <c r="MTU70" s="4"/>
      <c r="MTV70" s="4"/>
      <c r="MTW70" s="4"/>
      <c r="MTX70" s="4"/>
      <c r="MTY70" s="4"/>
      <c r="MTZ70" s="4"/>
      <c r="MUA70" s="4"/>
      <c r="MUB70" s="4"/>
      <c r="MUC70" s="4"/>
      <c r="MUD70" s="4"/>
      <c r="MUE70" s="4"/>
      <c r="MUF70" s="4"/>
      <c r="MUG70" s="4"/>
      <c r="MUH70" s="4"/>
      <c r="MUI70" s="4"/>
      <c r="MUJ70" s="4"/>
      <c r="MUK70" s="4"/>
      <c r="MUL70" s="4"/>
      <c r="MUM70" s="4"/>
      <c r="MUN70" s="4"/>
      <c r="MUO70" s="4"/>
      <c r="MUP70" s="4"/>
      <c r="MUQ70" s="4"/>
      <c r="MUR70" s="4"/>
      <c r="MUS70" s="4"/>
      <c r="MUT70" s="4"/>
      <c r="MUU70" s="4"/>
      <c r="MUV70" s="4"/>
      <c r="MUW70" s="4"/>
      <c r="MUX70" s="4"/>
      <c r="MUY70" s="4"/>
      <c r="MUZ70" s="4"/>
      <c r="MVA70" s="4"/>
      <c r="MVB70" s="4"/>
      <c r="MVC70" s="4"/>
      <c r="MVD70" s="4"/>
      <c r="MVE70" s="4"/>
      <c r="MVF70" s="4"/>
      <c r="MVG70" s="4"/>
      <c r="MVH70" s="4"/>
      <c r="MVI70" s="4"/>
      <c r="MVJ70" s="4"/>
      <c r="MVK70" s="4"/>
      <c r="MVL70" s="4"/>
      <c r="MVM70" s="4"/>
      <c r="MVN70" s="4"/>
      <c r="MVO70" s="4"/>
      <c r="MVP70" s="4"/>
      <c r="MVQ70" s="4"/>
      <c r="MVR70" s="4"/>
      <c r="MVS70" s="4"/>
      <c r="MVT70" s="4"/>
      <c r="MVU70" s="4"/>
      <c r="MVV70" s="4"/>
      <c r="MVW70" s="4"/>
      <c r="MVX70" s="4"/>
      <c r="MVY70" s="4"/>
      <c r="MVZ70" s="4"/>
      <c r="MWA70" s="4"/>
      <c r="MWB70" s="4"/>
      <c r="MWC70" s="4"/>
      <c r="MWD70" s="4"/>
      <c r="MWE70" s="4"/>
      <c r="MWF70" s="4"/>
      <c r="MWG70" s="4"/>
      <c r="MWH70" s="4"/>
      <c r="MWI70" s="4"/>
      <c r="MWJ70" s="4"/>
      <c r="MWK70" s="4"/>
      <c r="MWL70" s="4"/>
      <c r="MWM70" s="4"/>
      <c r="MWN70" s="4"/>
      <c r="MWO70" s="4"/>
      <c r="MWP70" s="4"/>
      <c r="MWQ70" s="4"/>
      <c r="MWR70" s="4"/>
      <c r="MWS70" s="4"/>
      <c r="MWT70" s="4"/>
      <c r="MWU70" s="4"/>
      <c r="MWV70" s="4"/>
      <c r="MWW70" s="4"/>
      <c r="MWX70" s="4"/>
      <c r="MWY70" s="4"/>
      <c r="MWZ70" s="4"/>
      <c r="MXA70" s="4"/>
      <c r="MXB70" s="4"/>
      <c r="MXC70" s="4"/>
      <c r="MXD70" s="4"/>
      <c r="MXE70" s="4"/>
      <c r="MXF70" s="4"/>
      <c r="MXG70" s="4"/>
      <c r="MXH70" s="4"/>
      <c r="MXI70" s="4"/>
      <c r="MXJ70" s="4"/>
      <c r="MXK70" s="4"/>
      <c r="MXL70" s="4"/>
      <c r="MXM70" s="4"/>
      <c r="MXN70" s="4"/>
      <c r="MXO70" s="4"/>
      <c r="MXP70" s="4"/>
      <c r="MXQ70" s="4"/>
      <c r="MXR70" s="4"/>
      <c r="MXS70" s="4"/>
      <c r="MXT70" s="4"/>
      <c r="MXU70" s="4"/>
      <c r="MXV70" s="4"/>
      <c r="MXW70" s="4"/>
      <c r="MXX70" s="4"/>
      <c r="MXY70" s="4"/>
      <c r="MXZ70" s="4"/>
      <c r="MYA70" s="4"/>
      <c r="MYB70" s="4"/>
      <c r="MYC70" s="4"/>
      <c r="MYD70" s="4"/>
      <c r="MYE70" s="4"/>
      <c r="MYF70" s="4"/>
      <c r="MYG70" s="4"/>
      <c r="MYH70" s="4"/>
      <c r="MYI70" s="4"/>
      <c r="MYJ70" s="4"/>
      <c r="MYK70" s="4"/>
      <c r="MYL70" s="4"/>
      <c r="MYM70" s="4"/>
      <c r="MYN70" s="4"/>
      <c r="MYO70" s="4"/>
      <c r="MYP70" s="4"/>
      <c r="MYQ70" s="4"/>
      <c r="MYR70" s="4"/>
      <c r="MYS70" s="4"/>
      <c r="MYT70" s="4"/>
      <c r="MYU70" s="4"/>
      <c r="MYV70" s="4"/>
      <c r="MYW70" s="4"/>
      <c r="MYX70" s="4"/>
      <c r="MYY70" s="4"/>
      <c r="MYZ70" s="4"/>
      <c r="MZA70" s="4"/>
      <c r="MZB70" s="4"/>
      <c r="MZC70" s="4"/>
      <c r="MZD70" s="4"/>
      <c r="MZE70" s="4"/>
      <c r="MZF70" s="4"/>
      <c r="MZG70" s="4"/>
      <c r="MZH70" s="4"/>
      <c r="MZI70" s="4"/>
      <c r="MZJ70" s="4"/>
      <c r="MZK70" s="4"/>
      <c r="MZL70" s="4"/>
      <c r="MZM70" s="4"/>
      <c r="MZN70" s="4"/>
      <c r="MZO70" s="4"/>
      <c r="MZP70" s="4"/>
      <c r="MZQ70" s="4"/>
      <c r="MZR70" s="4"/>
      <c r="MZS70" s="4"/>
      <c r="MZT70" s="4"/>
      <c r="MZU70" s="4"/>
      <c r="MZV70" s="4"/>
      <c r="MZW70" s="4"/>
      <c r="MZX70" s="4"/>
      <c r="MZY70" s="4"/>
      <c r="MZZ70" s="4"/>
      <c r="NAA70" s="4"/>
      <c r="NAB70" s="4"/>
      <c r="NAC70" s="4"/>
      <c r="NAD70" s="4"/>
      <c r="NAE70" s="4"/>
      <c r="NAF70" s="4"/>
      <c r="NAG70" s="4"/>
      <c r="NAH70" s="4"/>
      <c r="NAI70" s="4"/>
      <c r="NAJ70" s="4"/>
      <c r="NAK70" s="4"/>
      <c r="NAL70" s="4"/>
      <c r="NAM70" s="4"/>
      <c r="NAN70" s="4"/>
      <c r="NAO70" s="4"/>
      <c r="NAP70" s="4"/>
      <c r="NAQ70" s="4"/>
      <c r="NAR70" s="4"/>
      <c r="NAS70" s="4"/>
      <c r="NAT70" s="4"/>
      <c r="NAU70" s="4"/>
      <c r="NAV70" s="4"/>
      <c r="NAW70" s="4"/>
      <c r="NAX70" s="4"/>
      <c r="NAY70" s="4"/>
      <c r="NAZ70" s="4"/>
      <c r="NBA70" s="4"/>
      <c r="NBB70" s="4"/>
      <c r="NBC70" s="4"/>
      <c r="NBD70" s="4"/>
      <c r="NBE70" s="4"/>
      <c r="NBF70" s="4"/>
      <c r="NBG70" s="4"/>
      <c r="NBH70" s="4"/>
      <c r="NBI70" s="4"/>
      <c r="NBJ70" s="4"/>
      <c r="NBK70" s="4"/>
      <c r="NBL70" s="4"/>
      <c r="NBM70" s="4"/>
      <c r="NBN70" s="4"/>
      <c r="NBO70" s="4"/>
      <c r="NBP70" s="4"/>
      <c r="NBQ70" s="4"/>
      <c r="NBR70" s="4"/>
      <c r="NBS70" s="4"/>
      <c r="NBT70" s="4"/>
      <c r="NBU70" s="4"/>
      <c r="NBV70" s="4"/>
      <c r="NBW70" s="4"/>
      <c r="NBX70" s="4"/>
      <c r="NBY70" s="4"/>
      <c r="NBZ70" s="4"/>
      <c r="NCA70" s="4"/>
      <c r="NCB70" s="4"/>
      <c r="NCC70" s="4"/>
      <c r="NCD70" s="4"/>
      <c r="NCE70" s="4"/>
      <c r="NCF70" s="4"/>
      <c r="NCG70" s="4"/>
      <c r="NCH70" s="4"/>
      <c r="NCI70" s="4"/>
      <c r="NCJ70" s="4"/>
      <c r="NCK70" s="4"/>
      <c r="NCL70" s="4"/>
      <c r="NCM70" s="4"/>
      <c r="NCN70" s="4"/>
      <c r="NCO70" s="4"/>
      <c r="NCP70" s="4"/>
      <c r="NCQ70" s="4"/>
      <c r="NCR70" s="4"/>
      <c r="NCS70" s="4"/>
      <c r="NCT70" s="4"/>
      <c r="NCU70" s="4"/>
      <c r="NCV70" s="4"/>
      <c r="NCW70" s="4"/>
      <c r="NCX70" s="4"/>
      <c r="NCY70" s="4"/>
      <c r="NCZ70" s="4"/>
      <c r="NDA70" s="4"/>
      <c r="NDB70" s="4"/>
      <c r="NDC70" s="4"/>
      <c r="NDD70" s="4"/>
      <c r="NDE70" s="4"/>
      <c r="NDF70" s="4"/>
      <c r="NDG70" s="4"/>
      <c r="NDH70" s="4"/>
      <c r="NDI70" s="4"/>
      <c r="NDJ70" s="4"/>
      <c r="NDK70" s="4"/>
      <c r="NDL70" s="4"/>
      <c r="NDM70" s="4"/>
      <c r="NDN70" s="4"/>
      <c r="NDO70" s="4"/>
      <c r="NDP70" s="4"/>
      <c r="NDQ70" s="4"/>
      <c r="NDR70" s="4"/>
      <c r="NDS70" s="4"/>
      <c r="NDT70" s="4"/>
      <c r="NDU70" s="4"/>
      <c r="NDV70" s="4"/>
      <c r="NDW70" s="4"/>
      <c r="NDX70" s="4"/>
      <c r="NDY70" s="4"/>
      <c r="NDZ70" s="4"/>
      <c r="NEA70" s="4"/>
      <c r="NEB70" s="4"/>
      <c r="NEC70" s="4"/>
      <c r="NED70" s="4"/>
      <c r="NEE70" s="4"/>
      <c r="NEF70" s="4"/>
      <c r="NEG70" s="4"/>
      <c r="NEH70" s="4"/>
      <c r="NEI70" s="4"/>
      <c r="NEJ70" s="4"/>
      <c r="NEK70" s="4"/>
      <c r="NEL70" s="4"/>
      <c r="NEM70" s="4"/>
      <c r="NEN70" s="4"/>
      <c r="NEO70" s="4"/>
      <c r="NEP70" s="4"/>
      <c r="NEQ70" s="4"/>
      <c r="NER70" s="4"/>
      <c r="NES70" s="4"/>
      <c r="NET70" s="4"/>
      <c r="NEU70" s="4"/>
      <c r="NEV70" s="4"/>
      <c r="NEW70" s="4"/>
      <c r="NEX70" s="4"/>
      <c r="NEY70" s="4"/>
      <c r="NEZ70" s="4"/>
      <c r="NFA70" s="4"/>
      <c r="NFB70" s="4"/>
      <c r="NFC70" s="4"/>
      <c r="NFD70" s="4"/>
      <c r="NFE70" s="4"/>
      <c r="NFF70" s="4"/>
      <c r="NFG70" s="4"/>
      <c r="NFH70" s="4"/>
      <c r="NFI70" s="4"/>
      <c r="NFJ70" s="4"/>
      <c r="NFK70" s="4"/>
      <c r="NFL70" s="4"/>
      <c r="NFM70" s="4"/>
      <c r="NFN70" s="4"/>
      <c r="NFO70" s="4"/>
      <c r="NFP70" s="4"/>
      <c r="NFQ70" s="4"/>
      <c r="NFR70" s="4"/>
      <c r="NFS70" s="4"/>
      <c r="NFT70" s="4"/>
      <c r="NFU70" s="4"/>
      <c r="NFV70" s="4"/>
      <c r="NFW70" s="4"/>
      <c r="NFX70" s="4"/>
      <c r="NFY70" s="4"/>
      <c r="NFZ70" s="4"/>
      <c r="NGA70" s="4"/>
      <c r="NGB70" s="4"/>
      <c r="NGC70" s="4"/>
      <c r="NGD70" s="4"/>
      <c r="NGE70" s="4"/>
      <c r="NGF70" s="4"/>
      <c r="NGG70" s="4"/>
      <c r="NGH70" s="4"/>
      <c r="NGI70" s="4"/>
      <c r="NGJ70" s="4"/>
      <c r="NGK70" s="4"/>
      <c r="NGL70" s="4"/>
      <c r="NGM70" s="4"/>
      <c r="NGN70" s="4"/>
      <c r="NGO70" s="4"/>
      <c r="NGP70" s="4"/>
      <c r="NGQ70" s="4"/>
      <c r="NGR70" s="4"/>
      <c r="NGS70" s="4"/>
      <c r="NGT70" s="4"/>
      <c r="NGU70" s="4"/>
      <c r="NGV70" s="4"/>
      <c r="NGW70" s="4"/>
      <c r="NGX70" s="4"/>
      <c r="NGY70" s="4"/>
      <c r="NGZ70" s="4"/>
      <c r="NHA70" s="4"/>
      <c r="NHB70" s="4"/>
      <c r="NHC70" s="4"/>
      <c r="NHD70" s="4"/>
      <c r="NHE70" s="4"/>
      <c r="NHF70" s="4"/>
      <c r="NHG70" s="4"/>
      <c r="NHH70" s="4"/>
      <c r="NHI70" s="4"/>
      <c r="NHJ70" s="4"/>
      <c r="NHK70" s="4"/>
      <c r="NHL70" s="4"/>
      <c r="NHM70" s="4"/>
      <c r="NHN70" s="4"/>
      <c r="NHO70" s="4"/>
      <c r="NHP70" s="4"/>
      <c r="NHQ70" s="4"/>
      <c r="NHR70" s="4"/>
      <c r="NHS70" s="4"/>
      <c r="NHT70" s="4"/>
      <c r="NHU70" s="4"/>
      <c r="NHV70" s="4"/>
      <c r="NHW70" s="4"/>
      <c r="NHX70" s="4"/>
      <c r="NHY70" s="4"/>
      <c r="NHZ70" s="4"/>
      <c r="NIA70" s="4"/>
      <c r="NIB70" s="4"/>
      <c r="NIC70" s="4"/>
      <c r="NID70" s="4"/>
      <c r="NIE70" s="4"/>
      <c r="NIF70" s="4"/>
      <c r="NIG70" s="4"/>
      <c r="NIH70" s="4"/>
      <c r="NII70" s="4"/>
      <c r="NIJ70" s="4"/>
      <c r="NIK70" s="4"/>
      <c r="NIL70" s="4"/>
      <c r="NIM70" s="4"/>
      <c r="NIN70" s="4"/>
      <c r="NIO70" s="4"/>
      <c r="NIP70" s="4"/>
      <c r="NIQ70" s="4"/>
      <c r="NIR70" s="4"/>
      <c r="NIS70" s="4"/>
      <c r="NIT70" s="4"/>
      <c r="NIU70" s="4"/>
      <c r="NIV70" s="4"/>
      <c r="NIW70" s="4"/>
      <c r="NIX70" s="4"/>
      <c r="NIY70" s="4"/>
      <c r="NIZ70" s="4"/>
      <c r="NJA70" s="4"/>
      <c r="NJB70" s="4"/>
      <c r="NJC70" s="4"/>
      <c r="NJD70" s="4"/>
      <c r="NJE70" s="4"/>
      <c r="NJF70" s="4"/>
      <c r="NJG70" s="4"/>
      <c r="NJH70" s="4"/>
      <c r="NJI70" s="4"/>
      <c r="NJJ70" s="4"/>
      <c r="NJK70" s="4"/>
      <c r="NJL70" s="4"/>
      <c r="NJM70" s="4"/>
      <c r="NJN70" s="4"/>
      <c r="NJO70" s="4"/>
      <c r="NJP70" s="4"/>
      <c r="NJQ70" s="4"/>
      <c r="NJR70" s="4"/>
      <c r="NJS70" s="4"/>
      <c r="NJT70" s="4"/>
      <c r="NJU70" s="4"/>
      <c r="NJV70" s="4"/>
      <c r="NJW70" s="4"/>
      <c r="NJX70" s="4"/>
      <c r="NJY70" s="4"/>
      <c r="NJZ70" s="4"/>
      <c r="NKA70" s="4"/>
      <c r="NKB70" s="4"/>
      <c r="NKC70" s="4"/>
      <c r="NKD70" s="4"/>
      <c r="NKE70" s="4"/>
      <c r="NKF70" s="4"/>
      <c r="NKG70" s="4"/>
      <c r="NKH70" s="4"/>
      <c r="NKI70" s="4"/>
      <c r="NKJ70" s="4"/>
      <c r="NKK70" s="4"/>
      <c r="NKL70" s="4"/>
      <c r="NKM70" s="4"/>
      <c r="NKN70" s="4"/>
      <c r="NKO70" s="4"/>
      <c r="NKP70" s="4"/>
      <c r="NKQ70" s="4"/>
      <c r="NKR70" s="4"/>
      <c r="NKS70" s="4"/>
      <c r="NKT70" s="4"/>
      <c r="NKU70" s="4"/>
      <c r="NKV70" s="4"/>
      <c r="NKW70" s="4"/>
      <c r="NKX70" s="4"/>
      <c r="NKY70" s="4"/>
      <c r="NKZ70" s="4"/>
      <c r="NLA70" s="4"/>
      <c r="NLB70" s="4"/>
      <c r="NLC70" s="4"/>
      <c r="NLD70" s="4"/>
      <c r="NLE70" s="4"/>
      <c r="NLF70" s="4"/>
      <c r="NLG70" s="4"/>
      <c r="NLH70" s="4"/>
      <c r="NLI70" s="4"/>
      <c r="NLJ70" s="4"/>
      <c r="NLK70" s="4"/>
      <c r="NLL70" s="4"/>
      <c r="NLM70" s="4"/>
      <c r="NLN70" s="4"/>
      <c r="NLO70" s="4"/>
      <c r="NLP70" s="4"/>
      <c r="NLQ70" s="4"/>
      <c r="NLR70" s="4"/>
      <c r="NLS70" s="4"/>
      <c r="NLT70" s="4"/>
      <c r="NLU70" s="4"/>
      <c r="NLV70" s="4"/>
      <c r="NLW70" s="4"/>
      <c r="NLX70" s="4"/>
      <c r="NLY70" s="4"/>
      <c r="NLZ70" s="4"/>
      <c r="NMA70" s="4"/>
      <c r="NMB70" s="4"/>
      <c r="NMC70" s="4"/>
      <c r="NMD70" s="4"/>
      <c r="NME70" s="4"/>
      <c r="NMF70" s="4"/>
      <c r="NMG70" s="4"/>
      <c r="NMH70" s="4"/>
      <c r="NMI70" s="4"/>
      <c r="NMJ70" s="4"/>
      <c r="NMK70" s="4"/>
      <c r="NML70" s="4"/>
      <c r="NMM70" s="4"/>
      <c r="NMN70" s="4"/>
      <c r="NMO70" s="4"/>
      <c r="NMP70" s="4"/>
      <c r="NMQ70" s="4"/>
      <c r="NMR70" s="4"/>
      <c r="NMS70" s="4"/>
      <c r="NMT70" s="4"/>
      <c r="NMU70" s="4"/>
      <c r="NMV70" s="4"/>
      <c r="NMW70" s="4"/>
      <c r="NMX70" s="4"/>
      <c r="NMY70" s="4"/>
      <c r="NMZ70" s="4"/>
      <c r="NNA70" s="4"/>
      <c r="NNB70" s="4"/>
      <c r="NNC70" s="4"/>
      <c r="NND70" s="4"/>
      <c r="NNE70" s="4"/>
      <c r="NNF70" s="4"/>
      <c r="NNG70" s="4"/>
      <c r="NNH70" s="4"/>
      <c r="NNI70" s="4"/>
      <c r="NNJ70" s="4"/>
      <c r="NNK70" s="4"/>
      <c r="NNL70" s="4"/>
      <c r="NNM70" s="4"/>
      <c r="NNN70" s="4"/>
      <c r="NNO70" s="4"/>
      <c r="NNP70" s="4"/>
      <c r="NNQ70" s="4"/>
      <c r="NNR70" s="4"/>
      <c r="NNS70" s="4"/>
      <c r="NNT70" s="4"/>
      <c r="NNU70" s="4"/>
      <c r="NNV70" s="4"/>
      <c r="NNW70" s="4"/>
      <c r="NNX70" s="4"/>
      <c r="NNY70" s="4"/>
      <c r="NNZ70" s="4"/>
      <c r="NOA70" s="4"/>
      <c r="NOB70" s="4"/>
      <c r="NOC70" s="4"/>
      <c r="NOD70" s="4"/>
      <c r="NOE70" s="4"/>
      <c r="NOF70" s="4"/>
      <c r="NOG70" s="4"/>
      <c r="NOH70" s="4"/>
      <c r="NOI70" s="4"/>
      <c r="NOJ70" s="4"/>
      <c r="NOK70" s="4"/>
      <c r="NOL70" s="4"/>
      <c r="NOM70" s="4"/>
      <c r="NON70" s="4"/>
      <c r="NOO70" s="4"/>
      <c r="NOP70" s="4"/>
      <c r="NOQ70" s="4"/>
      <c r="NOR70" s="4"/>
      <c r="NOS70" s="4"/>
      <c r="NOT70" s="4"/>
      <c r="NOU70" s="4"/>
      <c r="NOV70" s="4"/>
      <c r="NOW70" s="4"/>
      <c r="NOX70" s="4"/>
      <c r="NOY70" s="4"/>
      <c r="NOZ70" s="4"/>
      <c r="NPA70" s="4"/>
      <c r="NPB70" s="4"/>
      <c r="NPC70" s="4"/>
      <c r="NPD70" s="4"/>
      <c r="NPE70" s="4"/>
      <c r="NPF70" s="4"/>
      <c r="NPG70" s="4"/>
      <c r="NPH70" s="4"/>
      <c r="NPI70" s="4"/>
      <c r="NPJ70" s="4"/>
      <c r="NPK70" s="4"/>
      <c r="NPL70" s="4"/>
      <c r="NPM70" s="4"/>
      <c r="NPN70" s="4"/>
      <c r="NPO70" s="4"/>
      <c r="NPP70" s="4"/>
      <c r="NPQ70" s="4"/>
      <c r="NPR70" s="4"/>
      <c r="NPS70" s="4"/>
      <c r="NPT70" s="4"/>
      <c r="NPU70" s="4"/>
      <c r="NPV70" s="4"/>
      <c r="NPW70" s="4"/>
      <c r="NPX70" s="4"/>
      <c r="NPY70" s="4"/>
      <c r="NPZ70" s="4"/>
      <c r="NQA70" s="4"/>
      <c r="NQB70" s="4"/>
      <c r="NQC70" s="4"/>
      <c r="NQD70" s="4"/>
      <c r="NQE70" s="4"/>
      <c r="NQF70" s="4"/>
      <c r="NQG70" s="4"/>
      <c r="NQH70" s="4"/>
      <c r="NQI70" s="4"/>
      <c r="NQJ70" s="4"/>
      <c r="NQK70" s="4"/>
      <c r="NQL70" s="4"/>
      <c r="NQM70" s="4"/>
      <c r="NQN70" s="4"/>
      <c r="NQO70" s="4"/>
      <c r="NQP70" s="4"/>
      <c r="NQQ70" s="4"/>
      <c r="NQR70" s="4"/>
      <c r="NQS70" s="4"/>
      <c r="NQT70" s="4"/>
      <c r="NQU70" s="4"/>
      <c r="NQV70" s="4"/>
      <c r="NQW70" s="4"/>
      <c r="NQX70" s="4"/>
      <c r="NQY70" s="4"/>
      <c r="NQZ70" s="4"/>
      <c r="NRA70" s="4"/>
      <c r="NRB70" s="4"/>
      <c r="NRC70" s="4"/>
      <c r="NRD70" s="4"/>
      <c r="NRE70" s="4"/>
      <c r="NRF70" s="4"/>
      <c r="NRG70" s="4"/>
      <c r="NRH70" s="4"/>
      <c r="NRI70" s="4"/>
      <c r="NRJ70" s="4"/>
      <c r="NRK70" s="4"/>
      <c r="NRL70" s="4"/>
      <c r="NRM70" s="4"/>
      <c r="NRN70" s="4"/>
      <c r="NRO70" s="4"/>
      <c r="NRP70" s="4"/>
      <c r="NRQ70" s="4"/>
      <c r="NRR70" s="4"/>
      <c r="NRS70" s="4"/>
      <c r="NRT70" s="4"/>
      <c r="NRU70" s="4"/>
      <c r="NRV70" s="4"/>
      <c r="NRW70" s="4"/>
      <c r="NRX70" s="4"/>
      <c r="NRY70" s="4"/>
      <c r="NRZ70" s="4"/>
      <c r="NSA70" s="4"/>
      <c r="NSB70" s="4"/>
      <c r="NSC70" s="4"/>
      <c r="NSD70" s="4"/>
      <c r="NSE70" s="4"/>
      <c r="NSF70" s="4"/>
      <c r="NSG70" s="4"/>
      <c r="NSH70" s="4"/>
      <c r="NSI70" s="4"/>
      <c r="NSJ70" s="4"/>
      <c r="NSK70" s="4"/>
      <c r="NSL70" s="4"/>
      <c r="NSM70" s="4"/>
      <c r="NSN70" s="4"/>
      <c r="NSO70" s="4"/>
      <c r="NSP70" s="4"/>
      <c r="NSQ70" s="4"/>
      <c r="NSR70" s="4"/>
      <c r="NSS70" s="4"/>
      <c r="NST70" s="4"/>
      <c r="NSU70" s="4"/>
      <c r="NSV70" s="4"/>
      <c r="NSW70" s="4"/>
      <c r="NSX70" s="4"/>
      <c r="NSY70" s="4"/>
      <c r="NSZ70" s="4"/>
      <c r="NTA70" s="4"/>
      <c r="NTB70" s="4"/>
      <c r="NTC70" s="4"/>
      <c r="NTD70" s="4"/>
      <c r="NTE70" s="4"/>
      <c r="NTF70" s="4"/>
      <c r="NTG70" s="4"/>
      <c r="NTH70" s="4"/>
      <c r="NTI70" s="4"/>
      <c r="NTJ70" s="4"/>
      <c r="NTK70" s="4"/>
      <c r="NTL70" s="4"/>
      <c r="NTM70" s="4"/>
      <c r="NTN70" s="4"/>
      <c r="NTO70" s="4"/>
      <c r="NTP70" s="4"/>
      <c r="NTQ70" s="4"/>
      <c r="NTR70" s="4"/>
      <c r="NTS70" s="4"/>
      <c r="NTT70" s="4"/>
      <c r="NTU70" s="4"/>
      <c r="NTV70" s="4"/>
      <c r="NTW70" s="4"/>
      <c r="NTX70" s="4"/>
      <c r="NTY70" s="4"/>
      <c r="NTZ70" s="4"/>
      <c r="NUA70" s="4"/>
      <c r="NUB70" s="4"/>
      <c r="NUC70" s="4"/>
      <c r="NUD70" s="4"/>
      <c r="NUE70" s="4"/>
      <c r="NUF70" s="4"/>
      <c r="NUG70" s="4"/>
      <c r="NUH70" s="4"/>
      <c r="NUI70" s="4"/>
      <c r="NUJ70" s="4"/>
      <c r="NUK70" s="4"/>
      <c r="NUL70" s="4"/>
      <c r="NUM70" s="4"/>
      <c r="NUN70" s="4"/>
      <c r="NUO70" s="4"/>
      <c r="NUP70" s="4"/>
      <c r="NUQ70" s="4"/>
      <c r="NUR70" s="4"/>
      <c r="NUS70" s="4"/>
      <c r="NUT70" s="4"/>
      <c r="NUU70" s="4"/>
      <c r="NUV70" s="4"/>
      <c r="NUW70" s="4"/>
      <c r="NUX70" s="4"/>
      <c r="NUY70" s="4"/>
      <c r="NUZ70" s="4"/>
      <c r="NVA70" s="4"/>
      <c r="NVB70" s="4"/>
      <c r="NVC70" s="4"/>
      <c r="NVD70" s="4"/>
      <c r="NVE70" s="4"/>
      <c r="NVF70" s="4"/>
      <c r="NVG70" s="4"/>
      <c r="NVH70" s="4"/>
      <c r="NVI70" s="4"/>
      <c r="NVJ70" s="4"/>
      <c r="NVK70" s="4"/>
      <c r="NVL70" s="4"/>
      <c r="NVM70" s="4"/>
      <c r="NVN70" s="4"/>
      <c r="NVO70" s="4"/>
      <c r="NVP70" s="4"/>
      <c r="NVQ70" s="4"/>
      <c r="NVR70" s="4"/>
      <c r="NVS70" s="4"/>
      <c r="NVT70" s="4"/>
      <c r="NVU70" s="4"/>
      <c r="NVV70" s="4"/>
      <c r="NVW70" s="4"/>
      <c r="NVX70" s="4"/>
      <c r="NVY70" s="4"/>
      <c r="NVZ70" s="4"/>
      <c r="NWA70" s="4"/>
      <c r="NWB70" s="4"/>
      <c r="NWC70" s="4"/>
      <c r="NWD70" s="4"/>
      <c r="NWE70" s="4"/>
      <c r="NWF70" s="4"/>
      <c r="NWG70" s="4"/>
      <c r="NWH70" s="4"/>
      <c r="NWI70" s="4"/>
      <c r="NWJ70" s="4"/>
      <c r="NWK70" s="4"/>
      <c r="NWL70" s="4"/>
      <c r="NWM70" s="4"/>
      <c r="NWN70" s="4"/>
      <c r="NWO70" s="4"/>
      <c r="NWP70" s="4"/>
      <c r="NWQ70" s="4"/>
      <c r="NWR70" s="4"/>
      <c r="NWS70" s="4"/>
      <c r="NWT70" s="4"/>
      <c r="NWU70" s="4"/>
      <c r="NWV70" s="4"/>
      <c r="NWW70" s="4"/>
      <c r="NWX70" s="4"/>
      <c r="NWY70" s="4"/>
      <c r="NWZ70" s="4"/>
      <c r="NXA70" s="4"/>
      <c r="NXB70" s="4"/>
      <c r="NXC70" s="4"/>
      <c r="NXD70" s="4"/>
      <c r="NXE70" s="4"/>
      <c r="NXF70" s="4"/>
      <c r="NXG70" s="4"/>
      <c r="NXH70" s="4"/>
      <c r="NXI70" s="4"/>
      <c r="NXJ70" s="4"/>
      <c r="NXK70" s="4"/>
      <c r="NXL70" s="4"/>
      <c r="NXM70" s="4"/>
      <c r="NXN70" s="4"/>
      <c r="NXO70" s="4"/>
      <c r="NXP70" s="4"/>
      <c r="NXQ70" s="4"/>
      <c r="NXR70" s="4"/>
      <c r="NXS70" s="4"/>
      <c r="NXT70" s="4"/>
      <c r="NXU70" s="4"/>
      <c r="NXV70" s="4"/>
      <c r="NXW70" s="4"/>
      <c r="NXX70" s="4"/>
      <c r="NXY70" s="4"/>
      <c r="NXZ70" s="4"/>
      <c r="NYA70" s="4"/>
      <c r="NYB70" s="4"/>
      <c r="NYC70" s="4"/>
      <c r="NYD70" s="4"/>
      <c r="NYE70" s="4"/>
      <c r="NYF70" s="4"/>
      <c r="NYG70" s="4"/>
      <c r="NYH70" s="4"/>
      <c r="NYI70" s="4"/>
      <c r="NYJ70" s="4"/>
      <c r="NYK70" s="4"/>
      <c r="NYL70" s="4"/>
      <c r="NYM70" s="4"/>
      <c r="NYN70" s="4"/>
      <c r="NYO70" s="4"/>
      <c r="NYP70" s="4"/>
      <c r="NYQ70" s="4"/>
      <c r="NYR70" s="4"/>
      <c r="NYS70" s="4"/>
      <c r="NYT70" s="4"/>
      <c r="NYU70" s="4"/>
      <c r="NYV70" s="4"/>
      <c r="NYW70" s="4"/>
      <c r="NYX70" s="4"/>
      <c r="NYY70" s="4"/>
      <c r="NYZ70" s="4"/>
      <c r="NZA70" s="4"/>
      <c r="NZB70" s="4"/>
      <c r="NZC70" s="4"/>
      <c r="NZD70" s="4"/>
      <c r="NZE70" s="4"/>
      <c r="NZF70" s="4"/>
      <c r="NZG70" s="4"/>
      <c r="NZH70" s="4"/>
      <c r="NZI70" s="4"/>
      <c r="NZJ70" s="4"/>
      <c r="NZK70" s="4"/>
      <c r="NZL70" s="4"/>
      <c r="NZM70" s="4"/>
      <c r="NZN70" s="4"/>
      <c r="NZO70" s="4"/>
      <c r="NZP70" s="4"/>
      <c r="NZQ70" s="4"/>
      <c r="NZR70" s="4"/>
      <c r="NZS70" s="4"/>
      <c r="NZT70" s="4"/>
      <c r="NZU70" s="4"/>
      <c r="NZV70" s="4"/>
      <c r="NZW70" s="4"/>
      <c r="NZX70" s="4"/>
      <c r="NZY70" s="4"/>
      <c r="NZZ70" s="4"/>
      <c r="OAA70" s="4"/>
      <c r="OAB70" s="4"/>
      <c r="OAC70" s="4"/>
      <c r="OAD70" s="4"/>
      <c r="OAE70" s="4"/>
      <c r="OAF70" s="4"/>
      <c r="OAG70" s="4"/>
      <c r="OAH70" s="4"/>
      <c r="OAI70" s="4"/>
      <c r="OAJ70" s="4"/>
      <c r="OAK70" s="4"/>
      <c r="OAL70" s="4"/>
      <c r="OAM70" s="4"/>
      <c r="OAN70" s="4"/>
      <c r="OAO70" s="4"/>
      <c r="OAP70" s="4"/>
      <c r="OAQ70" s="4"/>
      <c r="OAR70" s="4"/>
      <c r="OAS70" s="4"/>
      <c r="OAT70" s="4"/>
      <c r="OAU70" s="4"/>
      <c r="OAV70" s="4"/>
      <c r="OAW70" s="4"/>
      <c r="OAX70" s="4"/>
      <c r="OAY70" s="4"/>
      <c r="OAZ70" s="4"/>
      <c r="OBA70" s="4"/>
      <c r="OBB70" s="4"/>
      <c r="OBC70" s="4"/>
      <c r="OBD70" s="4"/>
      <c r="OBE70" s="4"/>
      <c r="OBF70" s="4"/>
      <c r="OBG70" s="4"/>
      <c r="OBH70" s="4"/>
      <c r="OBI70" s="4"/>
      <c r="OBJ70" s="4"/>
      <c r="OBK70" s="4"/>
      <c r="OBL70" s="4"/>
      <c r="OBM70" s="4"/>
      <c r="OBN70" s="4"/>
      <c r="OBO70" s="4"/>
      <c r="OBP70" s="4"/>
      <c r="OBQ70" s="4"/>
      <c r="OBR70" s="4"/>
      <c r="OBS70" s="4"/>
      <c r="OBT70" s="4"/>
      <c r="OBU70" s="4"/>
      <c r="OBV70" s="4"/>
      <c r="OBW70" s="4"/>
      <c r="OBX70" s="4"/>
      <c r="OBY70" s="4"/>
      <c r="OBZ70" s="4"/>
      <c r="OCA70" s="4"/>
      <c r="OCB70" s="4"/>
      <c r="OCC70" s="4"/>
      <c r="OCD70" s="4"/>
      <c r="OCE70" s="4"/>
      <c r="OCF70" s="4"/>
      <c r="OCG70" s="4"/>
      <c r="OCH70" s="4"/>
      <c r="OCI70" s="4"/>
      <c r="OCJ70" s="4"/>
      <c r="OCK70" s="4"/>
      <c r="OCL70" s="4"/>
      <c r="OCM70" s="4"/>
      <c r="OCN70" s="4"/>
      <c r="OCO70" s="4"/>
      <c r="OCP70" s="4"/>
      <c r="OCQ70" s="4"/>
      <c r="OCR70" s="4"/>
      <c r="OCS70" s="4"/>
      <c r="OCT70" s="4"/>
      <c r="OCU70" s="4"/>
      <c r="OCV70" s="4"/>
      <c r="OCW70" s="4"/>
      <c r="OCX70" s="4"/>
      <c r="OCY70" s="4"/>
      <c r="OCZ70" s="4"/>
      <c r="ODA70" s="4"/>
      <c r="ODB70" s="4"/>
      <c r="ODC70" s="4"/>
      <c r="ODD70" s="4"/>
      <c r="ODE70" s="4"/>
      <c r="ODF70" s="4"/>
      <c r="ODG70" s="4"/>
      <c r="ODH70" s="4"/>
      <c r="ODI70" s="4"/>
      <c r="ODJ70" s="4"/>
      <c r="ODK70" s="4"/>
      <c r="ODL70" s="4"/>
      <c r="ODM70" s="4"/>
      <c r="ODN70" s="4"/>
      <c r="ODO70" s="4"/>
      <c r="ODP70" s="4"/>
      <c r="ODQ70" s="4"/>
      <c r="ODR70" s="4"/>
      <c r="ODS70" s="4"/>
      <c r="ODT70" s="4"/>
      <c r="ODU70" s="4"/>
      <c r="ODV70" s="4"/>
      <c r="ODW70" s="4"/>
      <c r="ODX70" s="4"/>
      <c r="ODY70" s="4"/>
      <c r="ODZ70" s="4"/>
      <c r="OEA70" s="4"/>
      <c r="OEB70" s="4"/>
      <c r="OEC70" s="4"/>
      <c r="OED70" s="4"/>
      <c r="OEE70" s="4"/>
      <c r="OEF70" s="4"/>
      <c r="OEG70" s="4"/>
      <c r="OEH70" s="4"/>
      <c r="OEI70" s="4"/>
      <c r="OEJ70" s="4"/>
      <c r="OEK70" s="4"/>
      <c r="OEL70" s="4"/>
      <c r="OEM70" s="4"/>
      <c r="OEN70" s="4"/>
      <c r="OEO70" s="4"/>
      <c r="OEP70" s="4"/>
      <c r="OEQ70" s="4"/>
      <c r="OER70" s="4"/>
      <c r="OES70" s="4"/>
      <c r="OET70" s="4"/>
      <c r="OEU70" s="4"/>
      <c r="OEV70" s="4"/>
      <c r="OEW70" s="4"/>
      <c r="OEX70" s="4"/>
      <c r="OEY70" s="4"/>
      <c r="OEZ70" s="4"/>
      <c r="OFA70" s="4"/>
      <c r="OFB70" s="4"/>
      <c r="OFC70" s="4"/>
      <c r="OFD70" s="4"/>
      <c r="OFE70" s="4"/>
      <c r="OFF70" s="4"/>
      <c r="OFG70" s="4"/>
      <c r="OFH70" s="4"/>
      <c r="OFI70" s="4"/>
      <c r="OFJ70" s="4"/>
      <c r="OFK70" s="4"/>
      <c r="OFL70" s="4"/>
      <c r="OFM70" s="4"/>
      <c r="OFN70" s="4"/>
      <c r="OFO70" s="4"/>
      <c r="OFP70" s="4"/>
      <c r="OFQ70" s="4"/>
      <c r="OFR70" s="4"/>
      <c r="OFS70" s="4"/>
      <c r="OFT70" s="4"/>
      <c r="OFU70" s="4"/>
      <c r="OFV70" s="4"/>
      <c r="OFW70" s="4"/>
      <c r="OFX70" s="4"/>
      <c r="OFY70" s="4"/>
      <c r="OFZ70" s="4"/>
      <c r="OGA70" s="4"/>
      <c r="OGB70" s="4"/>
      <c r="OGC70" s="4"/>
      <c r="OGD70" s="4"/>
      <c r="OGE70" s="4"/>
      <c r="OGF70" s="4"/>
      <c r="OGG70" s="4"/>
      <c r="OGH70" s="4"/>
      <c r="OGI70" s="4"/>
      <c r="OGJ70" s="4"/>
      <c r="OGK70" s="4"/>
      <c r="OGL70" s="4"/>
      <c r="OGM70" s="4"/>
      <c r="OGN70" s="4"/>
      <c r="OGO70" s="4"/>
      <c r="OGP70" s="4"/>
      <c r="OGQ70" s="4"/>
      <c r="OGR70" s="4"/>
      <c r="OGS70" s="4"/>
      <c r="OGT70" s="4"/>
      <c r="OGU70" s="4"/>
      <c r="OGV70" s="4"/>
      <c r="OGW70" s="4"/>
      <c r="OGX70" s="4"/>
      <c r="OGY70" s="4"/>
      <c r="OGZ70" s="4"/>
      <c r="OHA70" s="4"/>
      <c r="OHB70" s="4"/>
      <c r="OHC70" s="4"/>
      <c r="OHD70" s="4"/>
      <c r="OHE70" s="4"/>
      <c r="OHF70" s="4"/>
      <c r="OHG70" s="4"/>
      <c r="OHH70" s="4"/>
      <c r="OHI70" s="4"/>
      <c r="OHJ70" s="4"/>
      <c r="OHK70" s="4"/>
      <c r="OHL70" s="4"/>
      <c r="OHM70" s="4"/>
      <c r="OHN70" s="4"/>
      <c r="OHO70" s="4"/>
      <c r="OHP70" s="4"/>
      <c r="OHQ70" s="4"/>
      <c r="OHR70" s="4"/>
      <c r="OHS70" s="4"/>
      <c r="OHT70" s="4"/>
      <c r="OHU70" s="4"/>
      <c r="OHV70" s="4"/>
      <c r="OHW70" s="4"/>
      <c r="OHX70" s="4"/>
      <c r="OHY70" s="4"/>
      <c r="OHZ70" s="4"/>
      <c r="OIA70" s="4"/>
      <c r="OIB70" s="4"/>
      <c r="OIC70" s="4"/>
      <c r="OID70" s="4"/>
      <c r="OIE70" s="4"/>
      <c r="OIF70" s="4"/>
      <c r="OIG70" s="4"/>
      <c r="OIH70" s="4"/>
      <c r="OII70" s="4"/>
      <c r="OIJ70" s="4"/>
      <c r="OIK70" s="4"/>
      <c r="OIL70" s="4"/>
      <c r="OIM70" s="4"/>
      <c r="OIN70" s="4"/>
      <c r="OIO70" s="4"/>
      <c r="OIP70" s="4"/>
      <c r="OIQ70" s="4"/>
      <c r="OIR70" s="4"/>
      <c r="OIS70" s="4"/>
      <c r="OIT70" s="4"/>
      <c r="OIU70" s="4"/>
      <c r="OIV70" s="4"/>
      <c r="OIW70" s="4"/>
      <c r="OIX70" s="4"/>
      <c r="OIY70" s="4"/>
      <c r="OIZ70" s="4"/>
      <c r="OJA70" s="4"/>
      <c r="OJB70" s="4"/>
      <c r="OJC70" s="4"/>
      <c r="OJD70" s="4"/>
      <c r="OJE70" s="4"/>
      <c r="OJF70" s="4"/>
      <c r="OJG70" s="4"/>
      <c r="OJH70" s="4"/>
      <c r="OJI70" s="4"/>
      <c r="OJJ70" s="4"/>
      <c r="OJK70" s="4"/>
      <c r="OJL70" s="4"/>
      <c r="OJM70" s="4"/>
      <c r="OJN70" s="4"/>
      <c r="OJO70" s="4"/>
      <c r="OJP70" s="4"/>
      <c r="OJQ70" s="4"/>
      <c r="OJR70" s="4"/>
      <c r="OJS70" s="4"/>
      <c r="OJT70" s="4"/>
      <c r="OJU70" s="4"/>
      <c r="OJV70" s="4"/>
      <c r="OJW70" s="4"/>
      <c r="OJX70" s="4"/>
      <c r="OJY70" s="4"/>
      <c r="OJZ70" s="4"/>
      <c r="OKA70" s="4"/>
      <c r="OKB70" s="4"/>
      <c r="OKC70" s="4"/>
      <c r="OKD70" s="4"/>
      <c r="OKE70" s="4"/>
      <c r="OKF70" s="4"/>
      <c r="OKG70" s="4"/>
      <c r="OKH70" s="4"/>
      <c r="OKI70" s="4"/>
      <c r="OKJ70" s="4"/>
      <c r="OKK70" s="4"/>
      <c r="OKL70" s="4"/>
      <c r="OKM70" s="4"/>
      <c r="OKN70" s="4"/>
      <c r="OKO70" s="4"/>
      <c r="OKP70" s="4"/>
      <c r="OKQ70" s="4"/>
      <c r="OKR70" s="4"/>
      <c r="OKS70" s="4"/>
      <c r="OKT70" s="4"/>
      <c r="OKU70" s="4"/>
      <c r="OKV70" s="4"/>
      <c r="OKW70" s="4"/>
      <c r="OKX70" s="4"/>
      <c r="OKY70" s="4"/>
      <c r="OKZ70" s="4"/>
      <c r="OLA70" s="4"/>
      <c r="OLB70" s="4"/>
      <c r="OLC70" s="4"/>
      <c r="OLD70" s="4"/>
      <c r="OLE70" s="4"/>
      <c r="OLF70" s="4"/>
      <c r="OLG70" s="4"/>
      <c r="OLH70" s="4"/>
      <c r="OLI70" s="4"/>
      <c r="OLJ70" s="4"/>
      <c r="OLK70" s="4"/>
      <c r="OLL70" s="4"/>
      <c r="OLM70" s="4"/>
      <c r="OLN70" s="4"/>
      <c r="OLO70" s="4"/>
      <c r="OLP70" s="4"/>
      <c r="OLQ70" s="4"/>
      <c r="OLR70" s="4"/>
      <c r="OLS70" s="4"/>
      <c r="OLT70" s="4"/>
      <c r="OLU70" s="4"/>
      <c r="OLV70" s="4"/>
      <c r="OLW70" s="4"/>
      <c r="OLX70" s="4"/>
      <c r="OLY70" s="4"/>
      <c r="OLZ70" s="4"/>
      <c r="OMA70" s="4"/>
      <c r="OMB70" s="4"/>
      <c r="OMC70" s="4"/>
      <c r="OMD70" s="4"/>
      <c r="OME70" s="4"/>
      <c r="OMF70" s="4"/>
      <c r="OMG70" s="4"/>
      <c r="OMH70" s="4"/>
      <c r="OMI70" s="4"/>
      <c r="OMJ70" s="4"/>
      <c r="OMK70" s="4"/>
      <c r="OML70" s="4"/>
      <c r="OMM70" s="4"/>
      <c r="OMN70" s="4"/>
      <c r="OMO70" s="4"/>
      <c r="OMP70" s="4"/>
      <c r="OMQ70" s="4"/>
      <c r="OMR70" s="4"/>
      <c r="OMS70" s="4"/>
      <c r="OMT70" s="4"/>
      <c r="OMU70" s="4"/>
      <c r="OMV70" s="4"/>
      <c r="OMW70" s="4"/>
      <c r="OMX70" s="4"/>
      <c r="OMY70" s="4"/>
      <c r="OMZ70" s="4"/>
      <c r="ONA70" s="4"/>
      <c r="ONB70" s="4"/>
      <c r="ONC70" s="4"/>
      <c r="OND70" s="4"/>
      <c r="ONE70" s="4"/>
      <c r="ONF70" s="4"/>
      <c r="ONG70" s="4"/>
      <c r="ONH70" s="4"/>
      <c r="ONI70" s="4"/>
      <c r="ONJ70" s="4"/>
      <c r="ONK70" s="4"/>
      <c r="ONL70" s="4"/>
      <c r="ONM70" s="4"/>
      <c r="ONN70" s="4"/>
      <c r="ONO70" s="4"/>
      <c r="ONP70" s="4"/>
      <c r="ONQ70" s="4"/>
      <c r="ONR70" s="4"/>
      <c r="ONS70" s="4"/>
      <c r="ONT70" s="4"/>
      <c r="ONU70" s="4"/>
      <c r="ONV70" s="4"/>
      <c r="ONW70" s="4"/>
      <c r="ONX70" s="4"/>
      <c r="ONY70" s="4"/>
      <c r="ONZ70" s="4"/>
      <c r="OOA70" s="4"/>
      <c r="OOB70" s="4"/>
      <c r="OOC70" s="4"/>
      <c r="OOD70" s="4"/>
      <c r="OOE70" s="4"/>
      <c r="OOF70" s="4"/>
      <c r="OOG70" s="4"/>
      <c r="OOH70" s="4"/>
      <c r="OOI70" s="4"/>
      <c r="OOJ70" s="4"/>
      <c r="OOK70" s="4"/>
      <c r="OOL70" s="4"/>
      <c r="OOM70" s="4"/>
      <c r="OON70" s="4"/>
      <c r="OOO70" s="4"/>
      <c r="OOP70" s="4"/>
      <c r="OOQ70" s="4"/>
      <c r="OOR70" s="4"/>
      <c r="OOS70" s="4"/>
      <c r="OOT70" s="4"/>
      <c r="OOU70" s="4"/>
      <c r="OOV70" s="4"/>
      <c r="OOW70" s="4"/>
      <c r="OOX70" s="4"/>
      <c r="OOY70" s="4"/>
      <c r="OOZ70" s="4"/>
      <c r="OPA70" s="4"/>
      <c r="OPB70" s="4"/>
      <c r="OPC70" s="4"/>
      <c r="OPD70" s="4"/>
      <c r="OPE70" s="4"/>
      <c r="OPF70" s="4"/>
      <c r="OPG70" s="4"/>
      <c r="OPH70" s="4"/>
      <c r="OPI70" s="4"/>
      <c r="OPJ70" s="4"/>
      <c r="OPK70" s="4"/>
      <c r="OPL70" s="4"/>
      <c r="OPM70" s="4"/>
      <c r="OPN70" s="4"/>
      <c r="OPO70" s="4"/>
      <c r="OPP70" s="4"/>
      <c r="OPQ70" s="4"/>
      <c r="OPR70" s="4"/>
      <c r="OPS70" s="4"/>
      <c r="OPT70" s="4"/>
      <c r="OPU70" s="4"/>
      <c r="OPV70" s="4"/>
      <c r="OPW70" s="4"/>
      <c r="OPX70" s="4"/>
      <c r="OPY70" s="4"/>
      <c r="OPZ70" s="4"/>
      <c r="OQA70" s="4"/>
      <c r="OQB70" s="4"/>
      <c r="OQC70" s="4"/>
      <c r="OQD70" s="4"/>
      <c r="OQE70" s="4"/>
      <c r="OQF70" s="4"/>
      <c r="OQG70" s="4"/>
      <c r="OQH70" s="4"/>
      <c r="OQI70" s="4"/>
      <c r="OQJ70" s="4"/>
      <c r="OQK70" s="4"/>
      <c r="OQL70" s="4"/>
      <c r="OQM70" s="4"/>
      <c r="OQN70" s="4"/>
      <c r="OQO70" s="4"/>
      <c r="OQP70" s="4"/>
      <c r="OQQ70" s="4"/>
      <c r="OQR70" s="4"/>
      <c r="OQS70" s="4"/>
      <c r="OQT70" s="4"/>
      <c r="OQU70" s="4"/>
      <c r="OQV70" s="4"/>
      <c r="OQW70" s="4"/>
      <c r="OQX70" s="4"/>
      <c r="OQY70" s="4"/>
      <c r="OQZ70" s="4"/>
      <c r="ORA70" s="4"/>
      <c r="ORB70" s="4"/>
      <c r="ORC70" s="4"/>
      <c r="ORD70" s="4"/>
      <c r="ORE70" s="4"/>
      <c r="ORF70" s="4"/>
      <c r="ORG70" s="4"/>
      <c r="ORH70" s="4"/>
      <c r="ORI70" s="4"/>
      <c r="ORJ70" s="4"/>
      <c r="ORK70" s="4"/>
      <c r="ORL70" s="4"/>
      <c r="ORM70" s="4"/>
      <c r="ORN70" s="4"/>
      <c r="ORO70" s="4"/>
      <c r="ORP70" s="4"/>
      <c r="ORQ70" s="4"/>
      <c r="ORR70" s="4"/>
      <c r="ORS70" s="4"/>
      <c r="ORT70" s="4"/>
      <c r="ORU70" s="4"/>
      <c r="ORV70" s="4"/>
      <c r="ORW70" s="4"/>
      <c r="ORX70" s="4"/>
      <c r="ORY70" s="4"/>
      <c r="ORZ70" s="4"/>
      <c r="OSA70" s="4"/>
      <c r="OSB70" s="4"/>
      <c r="OSC70" s="4"/>
      <c r="OSD70" s="4"/>
      <c r="OSE70" s="4"/>
      <c r="OSF70" s="4"/>
      <c r="OSG70" s="4"/>
      <c r="OSH70" s="4"/>
      <c r="OSI70" s="4"/>
      <c r="OSJ70" s="4"/>
      <c r="OSK70" s="4"/>
      <c r="OSL70" s="4"/>
      <c r="OSM70" s="4"/>
      <c r="OSN70" s="4"/>
      <c r="OSO70" s="4"/>
      <c r="OSP70" s="4"/>
      <c r="OSQ70" s="4"/>
      <c r="OSR70" s="4"/>
      <c r="OSS70" s="4"/>
      <c r="OST70" s="4"/>
      <c r="OSU70" s="4"/>
      <c r="OSV70" s="4"/>
      <c r="OSW70" s="4"/>
      <c r="OSX70" s="4"/>
      <c r="OSY70" s="4"/>
      <c r="OSZ70" s="4"/>
      <c r="OTA70" s="4"/>
      <c r="OTB70" s="4"/>
      <c r="OTC70" s="4"/>
      <c r="OTD70" s="4"/>
      <c r="OTE70" s="4"/>
      <c r="OTF70" s="4"/>
      <c r="OTG70" s="4"/>
      <c r="OTH70" s="4"/>
      <c r="OTI70" s="4"/>
      <c r="OTJ70" s="4"/>
      <c r="OTK70" s="4"/>
      <c r="OTL70" s="4"/>
      <c r="OTM70" s="4"/>
      <c r="OTN70" s="4"/>
      <c r="OTO70" s="4"/>
      <c r="OTP70" s="4"/>
      <c r="OTQ70" s="4"/>
      <c r="OTR70" s="4"/>
      <c r="OTS70" s="4"/>
      <c r="OTT70" s="4"/>
      <c r="OTU70" s="4"/>
      <c r="OTV70" s="4"/>
      <c r="OTW70" s="4"/>
      <c r="OTX70" s="4"/>
      <c r="OTY70" s="4"/>
      <c r="OTZ70" s="4"/>
      <c r="OUA70" s="4"/>
      <c r="OUB70" s="4"/>
      <c r="OUC70" s="4"/>
      <c r="OUD70" s="4"/>
      <c r="OUE70" s="4"/>
      <c r="OUF70" s="4"/>
      <c r="OUG70" s="4"/>
      <c r="OUH70" s="4"/>
      <c r="OUI70" s="4"/>
      <c r="OUJ70" s="4"/>
      <c r="OUK70" s="4"/>
      <c r="OUL70" s="4"/>
      <c r="OUM70" s="4"/>
      <c r="OUN70" s="4"/>
      <c r="OUO70" s="4"/>
      <c r="OUP70" s="4"/>
      <c r="OUQ70" s="4"/>
      <c r="OUR70" s="4"/>
      <c r="OUS70" s="4"/>
      <c r="OUT70" s="4"/>
      <c r="OUU70" s="4"/>
      <c r="OUV70" s="4"/>
      <c r="OUW70" s="4"/>
      <c r="OUX70" s="4"/>
      <c r="OUY70" s="4"/>
      <c r="OUZ70" s="4"/>
      <c r="OVA70" s="4"/>
      <c r="OVB70" s="4"/>
      <c r="OVC70" s="4"/>
      <c r="OVD70" s="4"/>
      <c r="OVE70" s="4"/>
      <c r="OVF70" s="4"/>
      <c r="OVG70" s="4"/>
      <c r="OVH70" s="4"/>
      <c r="OVI70" s="4"/>
      <c r="OVJ70" s="4"/>
      <c r="OVK70" s="4"/>
      <c r="OVL70" s="4"/>
      <c r="OVM70" s="4"/>
      <c r="OVN70" s="4"/>
      <c r="OVO70" s="4"/>
      <c r="OVP70" s="4"/>
      <c r="OVQ70" s="4"/>
      <c r="OVR70" s="4"/>
      <c r="OVS70" s="4"/>
      <c r="OVT70" s="4"/>
      <c r="OVU70" s="4"/>
      <c r="OVV70" s="4"/>
      <c r="OVW70" s="4"/>
      <c r="OVX70" s="4"/>
      <c r="OVY70" s="4"/>
      <c r="OVZ70" s="4"/>
      <c r="OWA70" s="4"/>
      <c r="OWB70" s="4"/>
      <c r="OWC70" s="4"/>
      <c r="OWD70" s="4"/>
      <c r="OWE70" s="4"/>
      <c r="OWF70" s="4"/>
      <c r="OWG70" s="4"/>
      <c r="OWH70" s="4"/>
      <c r="OWI70" s="4"/>
      <c r="OWJ70" s="4"/>
      <c r="OWK70" s="4"/>
      <c r="OWL70" s="4"/>
      <c r="OWM70" s="4"/>
      <c r="OWN70" s="4"/>
      <c r="OWO70" s="4"/>
      <c r="OWP70" s="4"/>
      <c r="OWQ70" s="4"/>
      <c r="OWR70" s="4"/>
      <c r="OWS70" s="4"/>
      <c r="OWT70" s="4"/>
      <c r="OWU70" s="4"/>
      <c r="OWV70" s="4"/>
      <c r="OWW70" s="4"/>
      <c r="OWX70" s="4"/>
      <c r="OWY70" s="4"/>
      <c r="OWZ70" s="4"/>
      <c r="OXA70" s="4"/>
      <c r="OXB70" s="4"/>
      <c r="OXC70" s="4"/>
      <c r="OXD70" s="4"/>
      <c r="OXE70" s="4"/>
      <c r="OXF70" s="4"/>
      <c r="OXG70" s="4"/>
      <c r="OXH70" s="4"/>
      <c r="OXI70" s="4"/>
      <c r="OXJ70" s="4"/>
      <c r="OXK70" s="4"/>
      <c r="OXL70" s="4"/>
      <c r="OXM70" s="4"/>
      <c r="OXN70" s="4"/>
      <c r="OXO70" s="4"/>
      <c r="OXP70" s="4"/>
      <c r="OXQ70" s="4"/>
      <c r="OXR70" s="4"/>
      <c r="OXS70" s="4"/>
      <c r="OXT70" s="4"/>
      <c r="OXU70" s="4"/>
      <c r="OXV70" s="4"/>
      <c r="OXW70" s="4"/>
      <c r="OXX70" s="4"/>
      <c r="OXY70" s="4"/>
      <c r="OXZ70" s="4"/>
      <c r="OYA70" s="4"/>
      <c r="OYB70" s="4"/>
      <c r="OYC70" s="4"/>
      <c r="OYD70" s="4"/>
      <c r="OYE70" s="4"/>
      <c r="OYF70" s="4"/>
      <c r="OYG70" s="4"/>
      <c r="OYH70" s="4"/>
      <c r="OYI70" s="4"/>
      <c r="OYJ70" s="4"/>
      <c r="OYK70" s="4"/>
      <c r="OYL70" s="4"/>
      <c r="OYM70" s="4"/>
      <c r="OYN70" s="4"/>
      <c r="OYO70" s="4"/>
      <c r="OYP70" s="4"/>
      <c r="OYQ70" s="4"/>
      <c r="OYR70" s="4"/>
      <c r="OYS70" s="4"/>
      <c r="OYT70" s="4"/>
      <c r="OYU70" s="4"/>
      <c r="OYV70" s="4"/>
      <c r="OYW70" s="4"/>
      <c r="OYX70" s="4"/>
      <c r="OYY70" s="4"/>
      <c r="OYZ70" s="4"/>
      <c r="OZA70" s="4"/>
      <c r="OZB70" s="4"/>
      <c r="OZC70" s="4"/>
      <c r="OZD70" s="4"/>
      <c r="OZE70" s="4"/>
      <c r="OZF70" s="4"/>
      <c r="OZG70" s="4"/>
      <c r="OZH70" s="4"/>
      <c r="OZI70" s="4"/>
      <c r="OZJ70" s="4"/>
      <c r="OZK70" s="4"/>
      <c r="OZL70" s="4"/>
      <c r="OZM70" s="4"/>
      <c r="OZN70" s="4"/>
      <c r="OZO70" s="4"/>
      <c r="OZP70" s="4"/>
      <c r="OZQ70" s="4"/>
      <c r="OZR70" s="4"/>
      <c r="OZS70" s="4"/>
      <c r="OZT70" s="4"/>
      <c r="OZU70" s="4"/>
      <c r="OZV70" s="4"/>
      <c r="OZW70" s="4"/>
      <c r="OZX70" s="4"/>
      <c r="OZY70" s="4"/>
      <c r="OZZ70" s="4"/>
      <c r="PAA70" s="4"/>
      <c r="PAB70" s="4"/>
      <c r="PAC70" s="4"/>
      <c r="PAD70" s="4"/>
      <c r="PAE70" s="4"/>
      <c r="PAF70" s="4"/>
      <c r="PAG70" s="4"/>
      <c r="PAH70" s="4"/>
      <c r="PAI70" s="4"/>
      <c r="PAJ70" s="4"/>
      <c r="PAK70" s="4"/>
      <c r="PAL70" s="4"/>
      <c r="PAM70" s="4"/>
      <c r="PAN70" s="4"/>
      <c r="PAO70" s="4"/>
      <c r="PAP70" s="4"/>
      <c r="PAQ70" s="4"/>
      <c r="PAR70" s="4"/>
      <c r="PAS70" s="4"/>
      <c r="PAT70" s="4"/>
      <c r="PAU70" s="4"/>
      <c r="PAV70" s="4"/>
      <c r="PAW70" s="4"/>
      <c r="PAX70" s="4"/>
      <c r="PAY70" s="4"/>
      <c r="PAZ70" s="4"/>
      <c r="PBA70" s="4"/>
      <c r="PBB70" s="4"/>
      <c r="PBC70" s="4"/>
      <c r="PBD70" s="4"/>
      <c r="PBE70" s="4"/>
      <c r="PBF70" s="4"/>
      <c r="PBG70" s="4"/>
      <c r="PBH70" s="4"/>
      <c r="PBI70" s="4"/>
      <c r="PBJ70" s="4"/>
      <c r="PBK70" s="4"/>
      <c r="PBL70" s="4"/>
      <c r="PBM70" s="4"/>
      <c r="PBN70" s="4"/>
      <c r="PBO70" s="4"/>
      <c r="PBP70" s="4"/>
      <c r="PBQ70" s="4"/>
      <c r="PBR70" s="4"/>
      <c r="PBS70" s="4"/>
      <c r="PBT70" s="4"/>
      <c r="PBU70" s="4"/>
      <c r="PBV70" s="4"/>
      <c r="PBW70" s="4"/>
      <c r="PBX70" s="4"/>
      <c r="PBY70" s="4"/>
      <c r="PBZ70" s="4"/>
      <c r="PCA70" s="4"/>
      <c r="PCB70" s="4"/>
      <c r="PCC70" s="4"/>
      <c r="PCD70" s="4"/>
      <c r="PCE70" s="4"/>
      <c r="PCF70" s="4"/>
      <c r="PCG70" s="4"/>
      <c r="PCH70" s="4"/>
      <c r="PCI70" s="4"/>
      <c r="PCJ70" s="4"/>
      <c r="PCK70" s="4"/>
      <c r="PCL70" s="4"/>
      <c r="PCM70" s="4"/>
      <c r="PCN70" s="4"/>
      <c r="PCO70" s="4"/>
      <c r="PCP70" s="4"/>
      <c r="PCQ70" s="4"/>
      <c r="PCR70" s="4"/>
      <c r="PCS70" s="4"/>
      <c r="PCT70" s="4"/>
      <c r="PCU70" s="4"/>
      <c r="PCV70" s="4"/>
      <c r="PCW70" s="4"/>
      <c r="PCX70" s="4"/>
      <c r="PCY70" s="4"/>
      <c r="PCZ70" s="4"/>
      <c r="PDA70" s="4"/>
      <c r="PDB70" s="4"/>
      <c r="PDC70" s="4"/>
      <c r="PDD70" s="4"/>
      <c r="PDE70" s="4"/>
      <c r="PDF70" s="4"/>
      <c r="PDG70" s="4"/>
      <c r="PDH70" s="4"/>
      <c r="PDI70" s="4"/>
      <c r="PDJ70" s="4"/>
      <c r="PDK70" s="4"/>
      <c r="PDL70" s="4"/>
      <c r="PDM70" s="4"/>
      <c r="PDN70" s="4"/>
      <c r="PDO70" s="4"/>
      <c r="PDP70" s="4"/>
      <c r="PDQ70" s="4"/>
      <c r="PDR70" s="4"/>
      <c r="PDS70" s="4"/>
      <c r="PDT70" s="4"/>
      <c r="PDU70" s="4"/>
      <c r="PDV70" s="4"/>
      <c r="PDW70" s="4"/>
      <c r="PDX70" s="4"/>
      <c r="PDY70" s="4"/>
      <c r="PDZ70" s="4"/>
      <c r="PEA70" s="4"/>
      <c r="PEB70" s="4"/>
      <c r="PEC70" s="4"/>
      <c r="PED70" s="4"/>
      <c r="PEE70" s="4"/>
      <c r="PEF70" s="4"/>
      <c r="PEG70" s="4"/>
      <c r="PEH70" s="4"/>
      <c r="PEI70" s="4"/>
      <c r="PEJ70" s="4"/>
      <c r="PEK70" s="4"/>
      <c r="PEL70" s="4"/>
      <c r="PEM70" s="4"/>
      <c r="PEN70" s="4"/>
      <c r="PEO70" s="4"/>
      <c r="PEP70" s="4"/>
      <c r="PEQ70" s="4"/>
      <c r="PER70" s="4"/>
      <c r="PES70" s="4"/>
      <c r="PET70" s="4"/>
      <c r="PEU70" s="4"/>
      <c r="PEV70" s="4"/>
      <c r="PEW70" s="4"/>
      <c r="PEX70" s="4"/>
      <c r="PEY70" s="4"/>
      <c r="PEZ70" s="4"/>
      <c r="PFA70" s="4"/>
      <c r="PFB70" s="4"/>
      <c r="PFC70" s="4"/>
      <c r="PFD70" s="4"/>
      <c r="PFE70" s="4"/>
      <c r="PFF70" s="4"/>
      <c r="PFG70" s="4"/>
      <c r="PFH70" s="4"/>
      <c r="PFI70" s="4"/>
      <c r="PFJ70" s="4"/>
      <c r="PFK70" s="4"/>
      <c r="PFL70" s="4"/>
      <c r="PFM70" s="4"/>
      <c r="PFN70" s="4"/>
      <c r="PFO70" s="4"/>
      <c r="PFP70" s="4"/>
      <c r="PFQ70" s="4"/>
      <c r="PFR70" s="4"/>
      <c r="PFS70" s="4"/>
      <c r="PFT70" s="4"/>
      <c r="PFU70" s="4"/>
      <c r="PFV70" s="4"/>
      <c r="PFW70" s="4"/>
      <c r="PFX70" s="4"/>
      <c r="PFY70" s="4"/>
      <c r="PFZ70" s="4"/>
      <c r="PGA70" s="4"/>
      <c r="PGB70" s="4"/>
      <c r="PGC70" s="4"/>
      <c r="PGD70" s="4"/>
      <c r="PGE70" s="4"/>
      <c r="PGF70" s="4"/>
      <c r="PGG70" s="4"/>
      <c r="PGH70" s="4"/>
      <c r="PGI70" s="4"/>
      <c r="PGJ70" s="4"/>
      <c r="PGK70" s="4"/>
      <c r="PGL70" s="4"/>
      <c r="PGM70" s="4"/>
      <c r="PGN70" s="4"/>
      <c r="PGO70" s="4"/>
      <c r="PGP70" s="4"/>
      <c r="PGQ70" s="4"/>
      <c r="PGR70" s="4"/>
      <c r="PGS70" s="4"/>
      <c r="PGT70" s="4"/>
      <c r="PGU70" s="4"/>
      <c r="PGV70" s="4"/>
      <c r="PGW70" s="4"/>
      <c r="PGX70" s="4"/>
      <c r="PGY70" s="4"/>
      <c r="PGZ70" s="4"/>
      <c r="PHA70" s="4"/>
      <c r="PHB70" s="4"/>
      <c r="PHC70" s="4"/>
      <c r="PHD70" s="4"/>
      <c r="PHE70" s="4"/>
      <c r="PHF70" s="4"/>
      <c r="PHG70" s="4"/>
      <c r="PHH70" s="4"/>
      <c r="PHI70" s="4"/>
      <c r="PHJ70" s="4"/>
      <c r="PHK70" s="4"/>
      <c r="PHL70" s="4"/>
      <c r="PHM70" s="4"/>
      <c r="PHN70" s="4"/>
      <c r="PHO70" s="4"/>
      <c r="PHP70" s="4"/>
      <c r="PHQ70" s="4"/>
      <c r="PHR70" s="4"/>
      <c r="PHS70" s="4"/>
      <c r="PHT70" s="4"/>
      <c r="PHU70" s="4"/>
      <c r="PHV70" s="4"/>
      <c r="PHW70" s="4"/>
      <c r="PHX70" s="4"/>
      <c r="PHY70" s="4"/>
      <c r="PHZ70" s="4"/>
      <c r="PIA70" s="4"/>
      <c r="PIB70" s="4"/>
      <c r="PIC70" s="4"/>
      <c r="PID70" s="4"/>
      <c r="PIE70" s="4"/>
      <c r="PIF70" s="4"/>
      <c r="PIG70" s="4"/>
      <c r="PIH70" s="4"/>
      <c r="PII70" s="4"/>
      <c r="PIJ70" s="4"/>
      <c r="PIK70" s="4"/>
      <c r="PIL70" s="4"/>
      <c r="PIM70" s="4"/>
      <c r="PIN70" s="4"/>
      <c r="PIO70" s="4"/>
      <c r="PIP70" s="4"/>
      <c r="PIQ70" s="4"/>
      <c r="PIR70" s="4"/>
      <c r="PIS70" s="4"/>
      <c r="PIT70" s="4"/>
      <c r="PIU70" s="4"/>
      <c r="PIV70" s="4"/>
      <c r="PIW70" s="4"/>
      <c r="PIX70" s="4"/>
      <c r="PIY70" s="4"/>
      <c r="PIZ70" s="4"/>
      <c r="PJA70" s="4"/>
      <c r="PJB70" s="4"/>
      <c r="PJC70" s="4"/>
      <c r="PJD70" s="4"/>
      <c r="PJE70" s="4"/>
      <c r="PJF70" s="4"/>
      <c r="PJG70" s="4"/>
      <c r="PJH70" s="4"/>
      <c r="PJI70" s="4"/>
      <c r="PJJ70" s="4"/>
      <c r="PJK70" s="4"/>
      <c r="PJL70" s="4"/>
      <c r="PJM70" s="4"/>
      <c r="PJN70" s="4"/>
      <c r="PJO70" s="4"/>
      <c r="PJP70" s="4"/>
      <c r="PJQ70" s="4"/>
      <c r="PJR70" s="4"/>
      <c r="PJS70" s="4"/>
      <c r="PJT70" s="4"/>
      <c r="PJU70" s="4"/>
      <c r="PJV70" s="4"/>
      <c r="PJW70" s="4"/>
      <c r="PJX70" s="4"/>
      <c r="PJY70" s="4"/>
      <c r="PJZ70" s="4"/>
      <c r="PKA70" s="4"/>
      <c r="PKB70" s="4"/>
      <c r="PKC70" s="4"/>
      <c r="PKD70" s="4"/>
      <c r="PKE70" s="4"/>
      <c r="PKF70" s="4"/>
      <c r="PKG70" s="4"/>
      <c r="PKH70" s="4"/>
      <c r="PKI70" s="4"/>
      <c r="PKJ70" s="4"/>
      <c r="PKK70" s="4"/>
      <c r="PKL70" s="4"/>
      <c r="PKM70" s="4"/>
      <c r="PKN70" s="4"/>
      <c r="PKO70" s="4"/>
      <c r="PKP70" s="4"/>
      <c r="PKQ70" s="4"/>
      <c r="PKR70" s="4"/>
      <c r="PKS70" s="4"/>
      <c r="PKT70" s="4"/>
      <c r="PKU70" s="4"/>
      <c r="PKV70" s="4"/>
      <c r="PKW70" s="4"/>
      <c r="PKX70" s="4"/>
      <c r="PKY70" s="4"/>
      <c r="PKZ70" s="4"/>
      <c r="PLA70" s="4"/>
      <c r="PLB70" s="4"/>
      <c r="PLC70" s="4"/>
      <c r="PLD70" s="4"/>
      <c r="PLE70" s="4"/>
      <c r="PLF70" s="4"/>
      <c r="PLG70" s="4"/>
      <c r="PLH70" s="4"/>
      <c r="PLI70" s="4"/>
      <c r="PLJ70" s="4"/>
      <c r="PLK70" s="4"/>
      <c r="PLL70" s="4"/>
      <c r="PLM70" s="4"/>
      <c r="PLN70" s="4"/>
      <c r="PLO70" s="4"/>
      <c r="PLP70" s="4"/>
      <c r="PLQ70" s="4"/>
      <c r="PLR70" s="4"/>
      <c r="PLS70" s="4"/>
      <c r="PLT70" s="4"/>
      <c r="PLU70" s="4"/>
      <c r="PLV70" s="4"/>
      <c r="PLW70" s="4"/>
      <c r="PLX70" s="4"/>
      <c r="PLY70" s="4"/>
      <c r="PLZ70" s="4"/>
      <c r="PMA70" s="4"/>
      <c r="PMB70" s="4"/>
      <c r="PMC70" s="4"/>
      <c r="PMD70" s="4"/>
      <c r="PME70" s="4"/>
      <c r="PMF70" s="4"/>
      <c r="PMG70" s="4"/>
      <c r="PMH70" s="4"/>
      <c r="PMI70" s="4"/>
      <c r="PMJ70" s="4"/>
      <c r="PMK70" s="4"/>
      <c r="PML70" s="4"/>
      <c r="PMM70" s="4"/>
      <c r="PMN70" s="4"/>
      <c r="PMO70" s="4"/>
      <c r="PMP70" s="4"/>
      <c r="PMQ70" s="4"/>
      <c r="PMR70" s="4"/>
      <c r="PMS70" s="4"/>
      <c r="PMT70" s="4"/>
      <c r="PMU70" s="4"/>
      <c r="PMV70" s="4"/>
      <c r="PMW70" s="4"/>
      <c r="PMX70" s="4"/>
      <c r="PMY70" s="4"/>
      <c r="PMZ70" s="4"/>
      <c r="PNA70" s="4"/>
      <c r="PNB70" s="4"/>
      <c r="PNC70" s="4"/>
      <c r="PND70" s="4"/>
      <c r="PNE70" s="4"/>
      <c r="PNF70" s="4"/>
      <c r="PNG70" s="4"/>
      <c r="PNH70" s="4"/>
      <c r="PNI70" s="4"/>
      <c r="PNJ70" s="4"/>
      <c r="PNK70" s="4"/>
      <c r="PNL70" s="4"/>
      <c r="PNM70" s="4"/>
      <c r="PNN70" s="4"/>
      <c r="PNO70" s="4"/>
      <c r="PNP70" s="4"/>
      <c r="PNQ70" s="4"/>
      <c r="PNR70" s="4"/>
      <c r="PNS70" s="4"/>
      <c r="PNT70" s="4"/>
      <c r="PNU70" s="4"/>
      <c r="PNV70" s="4"/>
      <c r="PNW70" s="4"/>
      <c r="PNX70" s="4"/>
      <c r="PNY70" s="4"/>
      <c r="PNZ70" s="4"/>
      <c r="POA70" s="4"/>
      <c r="POB70" s="4"/>
      <c r="POC70" s="4"/>
      <c r="POD70" s="4"/>
      <c r="POE70" s="4"/>
      <c r="POF70" s="4"/>
      <c r="POG70" s="4"/>
      <c r="POH70" s="4"/>
      <c r="POI70" s="4"/>
      <c r="POJ70" s="4"/>
      <c r="POK70" s="4"/>
      <c r="POL70" s="4"/>
      <c r="POM70" s="4"/>
      <c r="PON70" s="4"/>
      <c r="POO70" s="4"/>
      <c r="POP70" s="4"/>
      <c r="POQ70" s="4"/>
      <c r="POR70" s="4"/>
      <c r="POS70" s="4"/>
      <c r="POT70" s="4"/>
      <c r="POU70" s="4"/>
      <c r="POV70" s="4"/>
      <c r="POW70" s="4"/>
      <c r="POX70" s="4"/>
      <c r="POY70" s="4"/>
      <c r="POZ70" s="4"/>
      <c r="PPA70" s="4"/>
      <c r="PPB70" s="4"/>
      <c r="PPC70" s="4"/>
      <c r="PPD70" s="4"/>
      <c r="PPE70" s="4"/>
      <c r="PPF70" s="4"/>
      <c r="PPG70" s="4"/>
      <c r="PPH70" s="4"/>
      <c r="PPI70" s="4"/>
      <c r="PPJ70" s="4"/>
      <c r="PPK70" s="4"/>
      <c r="PPL70" s="4"/>
      <c r="PPM70" s="4"/>
      <c r="PPN70" s="4"/>
      <c r="PPO70" s="4"/>
      <c r="PPP70" s="4"/>
      <c r="PPQ70" s="4"/>
      <c r="PPR70" s="4"/>
      <c r="PPS70" s="4"/>
      <c r="PPT70" s="4"/>
      <c r="PPU70" s="4"/>
      <c r="PPV70" s="4"/>
      <c r="PPW70" s="4"/>
      <c r="PPX70" s="4"/>
      <c r="PPY70" s="4"/>
      <c r="PPZ70" s="4"/>
      <c r="PQA70" s="4"/>
      <c r="PQB70" s="4"/>
      <c r="PQC70" s="4"/>
      <c r="PQD70" s="4"/>
      <c r="PQE70" s="4"/>
      <c r="PQF70" s="4"/>
      <c r="PQG70" s="4"/>
      <c r="PQH70" s="4"/>
      <c r="PQI70" s="4"/>
      <c r="PQJ70" s="4"/>
      <c r="PQK70" s="4"/>
      <c r="PQL70" s="4"/>
      <c r="PQM70" s="4"/>
      <c r="PQN70" s="4"/>
      <c r="PQO70" s="4"/>
      <c r="PQP70" s="4"/>
      <c r="PQQ70" s="4"/>
      <c r="PQR70" s="4"/>
      <c r="PQS70" s="4"/>
      <c r="PQT70" s="4"/>
      <c r="PQU70" s="4"/>
      <c r="PQV70" s="4"/>
      <c r="PQW70" s="4"/>
      <c r="PQX70" s="4"/>
      <c r="PQY70" s="4"/>
      <c r="PQZ70" s="4"/>
      <c r="PRA70" s="4"/>
      <c r="PRB70" s="4"/>
      <c r="PRC70" s="4"/>
      <c r="PRD70" s="4"/>
      <c r="PRE70" s="4"/>
      <c r="PRF70" s="4"/>
      <c r="PRG70" s="4"/>
      <c r="PRH70" s="4"/>
      <c r="PRI70" s="4"/>
      <c r="PRJ70" s="4"/>
      <c r="PRK70" s="4"/>
      <c r="PRL70" s="4"/>
      <c r="PRM70" s="4"/>
      <c r="PRN70" s="4"/>
      <c r="PRO70" s="4"/>
      <c r="PRP70" s="4"/>
      <c r="PRQ70" s="4"/>
      <c r="PRR70" s="4"/>
      <c r="PRS70" s="4"/>
      <c r="PRT70" s="4"/>
      <c r="PRU70" s="4"/>
      <c r="PRV70" s="4"/>
      <c r="PRW70" s="4"/>
      <c r="PRX70" s="4"/>
      <c r="PRY70" s="4"/>
      <c r="PRZ70" s="4"/>
      <c r="PSA70" s="4"/>
      <c r="PSB70" s="4"/>
      <c r="PSC70" s="4"/>
      <c r="PSD70" s="4"/>
      <c r="PSE70" s="4"/>
      <c r="PSF70" s="4"/>
      <c r="PSG70" s="4"/>
      <c r="PSH70" s="4"/>
      <c r="PSI70" s="4"/>
      <c r="PSJ70" s="4"/>
      <c r="PSK70" s="4"/>
      <c r="PSL70" s="4"/>
      <c r="PSM70" s="4"/>
      <c r="PSN70" s="4"/>
      <c r="PSO70" s="4"/>
      <c r="PSP70" s="4"/>
      <c r="PSQ70" s="4"/>
      <c r="PSR70" s="4"/>
      <c r="PSS70" s="4"/>
      <c r="PST70" s="4"/>
      <c r="PSU70" s="4"/>
      <c r="PSV70" s="4"/>
      <c r="PSW70" s="4"/>
      <c r="PSX70" s="4"/>
      <c r="PSY70" s="4"/>
      <c r="PSZ70" s="4"/>
      <c r="PTA70" s="4"/>
      <c r="PTB70" s="4"/>
      <c r="PTC70" s="4"/>
      <c r="PTD70" s="4"/>
      <c r="PTE70" s="4"/>
      <c r="PTF70" s="4"/>
      <c r="PTG70" s="4"/>
      <c r="PTH70" s="4"/>
      <c r="PTI70" s="4"/>
      <c r="PTJ70" s="4"/>
      <c r="PTK70" s="4"/>
      <c r="PTL70" s="4"/>
      <c r="PTM70" s="4"/>
      <c r="PTN70" s="4"/>
      <c r="PTO70" s="4"/>
      <c r="PTP70" s="4"/>
      <c r="PTQ70" s="4"/>
      <c r="PTR70" s="4"/>
      <c r="PTS70" s="4"/>
      <c r="PTT70" s="4"/>
      <c r="PTU70" s="4"/>
      <c r="PTV70" s="4"/>
      <c r="PTW70" s="4"/>
      <c r="PTX70" s="4"/>
      <c r="PTY70" s="4"/>
      <c r="PTZ70" s="4"/>
      <c r="PUA70" s="4"/>
      <c r="PUB70" s="4"/>
      <c r="PUC70" s="4"/>
      <c r="PUD70" s="4"/>
      <c r="PUE70" s="4"/>
      <c r="PUF70" s="4"/>
      <c r="PUG70" s="4"/>
      <c r="PUH70" s="4"/>
      <c r="PUI70" s="4"/>
      <c r="PUJ70" s="4"/>
      <c r="PUK70" s="4"/>
      <c r="PUL70" s="4"/>
      <c r="PUM70" s="4"/>
      <c r="PUN70" s="4"/>
      <c r="PUO70" s="4"/>
      <c r="PUP70" s="4"/>
      <c r="PUQ70" s="4"/>
      <c r="PUR70" s="4"/>
      <c r="PUS70" s="4"/>
      <c r="PUT70" s="4"/>
      <c r="PUU70" s="4"/>
      <c r="PUV70" s="4"/>
      <c r="PUW70" s="4"/>
      <c r="PUX70" s="4"/>
      <c r="PUY70" s="4"/>
      <c r="PUZ70" s="4"/>
      <c r="PVA70" s="4"/>
      <c r="PVB70" s="4"/>
      <c r="PVC70" s="4"/>
      <c r="PVD70" s="4"/>
      <c r="PVE70" s="4"/>
      <c r="PVF70" s="4"/>
      <c r="PVG70" s="4"/>
      <c r="PVH70" s="4"/>
      <c r="PVI70" s="4"/>
      <c r="PVJ70" s="4"/>
      <c r="PVK70" s="4"/>
      <c r="PVL70" s="4"/>
      <c r="PVM70" s="4"/>
      <c r="PVN70" s="4"/>
      <c r="PVO70" s="4"/>
      <c r="PVP70" s="4"/>
      <c r="PVQ70" s="4"/>
      <c r="PVR70" s="4"/>
      <c r="PVS70" s="4"/>
      <c r="PVT70" s="4"/>
      <c r="PVU70" s="4"/>
      <c r="PVV70" s="4"/>
      <c r="PVW70" s="4"/>
      <c r="PVX70" s="4"/>
      <c r="PVY70" s="4"/>
      <c r="PVZ70" s="4"/>
      <c r="PWA70" s="4"/>
      <c r="PWB70" s="4"/>
      <c r="PWC70" s="4"/>
      <c r="PWD70" s="4"/>
      <c r="PWE70" s="4"/>
      <c r="PWF70" s="4"/>
      <c r="PWG70" s="4"/>
      <c r="PWH70" s="4"/>
      <c r="PWI70" s="4"/>
      <c r="PWJ70" s="4"/>
      <c r="PWK70" s="4"/>
      <c r="PWL70" s="4"/>
      <c r="PWM70" s="4"/>
      <c r="PWN70" s="4"/>
      <c r="PWO70" s="4"/>
      <c r="PWP70" s="4"/>
      <c r="PWQ70" s="4"/>
      <c r="PWR70" s="4"/>
      <c r="PWS70" s="4"/>
      <c r="PWT70" s="4"/>
      <c r="PWU70" s="4"/>
      <c r="PWV70" s="4"/>
      <c r="PWW70" s="4"/>
      <c r="PWX70" s="4"/>
      <c r="PWY70" s="4"/>
      <c r="PWZ70" s="4"/>
      <c r="PXA70" s="4"/>
      <c r="PXB70" s="4"/>
      <c r="PXC70" s="4"/>
      <c r="PXD70" s="4"/>
      <c r="PXE70" s="4"/>
      <c r="PXF70" s="4"/>
      <c r="PXG70" s="4"/>
      <c r="PXH70" s="4"/>
      <c r="PXI70" s="4"/>
      <c r="PXJ70" s="4"/>
      <c r="PXK70" s="4"/>
      <c r="PXL70" s="4"/>
      <c r="PXM70" s="4"/>
      <c r="PXN70" s="4"/>
      <c r="PXO70" s="4"/>
      <c r="PXP70" s="4"/>
      <c r="PXQ70" s="4"/>
      <c r="PXR70" s="4"/>
      <c r="PXS70" s="4"/>
      <c r="PXT70" s="4"/>
      <c r="PXU70" s="4"/>
      <c r="PXV70" s="4"/>
      <c r="PXW70" s="4"/>
      <c r="PXX70" s="4"/>
      <c r="PXY70" s="4"/>
      <c r="PXZ70" s="4"/>
      <c r="PYA70" s="4"/>
      <c r="PYB70" s="4"/>
      <c r="PYC70" s="4"/>
      <c r="PYD70" s="4"/>
      <c r="PYE70" s="4"/>
      <c r="PYF70" s="4"/>
      <c r="PYG70" s="4"/>
      <c r="PYH70" s="4"/>
      <c r="PYI70" s="4"/>
      <c r="PYJ70" s="4"/>
      <c r="PYK70" s="4"/>
      <c r="PYL70" s="4"/>
      <c r="PYM70" s="4"/>
      <c r="PYN70" s="4"/>
      <c r="PYO70" s="4"/>
      <c r="PYP70" s="4"/>
      <c r="PYQ70" s="4"/>
      <c r="PYR70" s="4"/>
      <c r="PYS70" s="4"/>
      <c r="PYT70" s="4"/>
      <c r="PYU70" s="4"/>
      <c r="PYV70" s="4"/>
      <c r="PYW70" s="4"/>
      <c r="PYX70" s="4"/>
      <c r="PYY70" s="4"/>
      <c r="PYZ70" s="4"/>
      <c r="PZA70" s="4"/>
      <c r="PZB70" s="4"/>
      <c r="PZC70" s="4"/>
      <c r="PZD70" s="4"/>
      <c r="PZE70" s="4"/>
      <c r="PZF70" s="4"/>
      <c r="PZG70" s="4"/>
      <c r="PZH70" s="4"/>
      <c r="PZI70" s="4"/>
      <c r="PZJ70" s="4"/>
      <c r="PZK70" s="4"/>
      <c r="PZL70" s="4"/>
      <c r="PZM70" s="4"/>
      <c r="PZN70" s="4"/>
      <c r="PZO70" s="4"/>
      <c r="PZP70" s="4"/>
      <c r="PZQ70" s="4"/>
      <c r="PZR70" s="4"/>
      <c r="PZS70" s="4"/>
      <c r="PZT70" s="4"/>
      <c r="PZU70" s="4"/>
      <c r="PZV70" s="4"/>
      <c r="PZW70" s="4"/>
      <c r="PZX70" s="4"/>
      <c r="PZY70" s="4"/>
      <c r="PZZ70" s="4"/>
      <c r="QAA70" s="4"/>
      <c r="QAB70" s="4"/>
      <c r="QAC70" s="4"/>
      <c r="QAD70" s="4"/>
      <c r="QAE70" s="4"/>
      <c r="QAF70" s="4"/>
      <c r="QAG70" s="4"/>
      <c r="QAH70" s="4"/>
      <c r="QAI70" s="4"/>
      <c r="QAJ70" s="4"/>
      <c r="QAK70" s="4"/>
      <c r="QAL70" s="4"/>
      <c r="QAM70" s="4"/>
      <c r="QAN70" s="4"/>
      <c r="QAO70" s="4"/>
      <c r="QAP70" s="4"/>
      <c r="QAQ70" s="4"/>
      <c r="QAR70" s="4"/>
      <c r="QAS70" s="4"/>
      <c r="QAT70" s="4"/>
      <c r="QAU70" s="4"/>
      <c r="QAV70" s="4"/>
      <c r="QAW70" s="4"/>
      <c r="QAX70" s="4"/>
      <c r="QAY70" s="4"/>
      <c r="QAZ70" s="4"/>
      <c r="QBA70" s="4"/>
      <c r="QBB70" s="4"/>
      <c r="QBC70" s="4"/>
      <c r="QBD70" s="4"/>
      <c r="QBE70" s="4"/>
      <c r="QBF70" s="4"/>
      <c r="QBG70" s="4"/>
      <c r="QBH70" s="4"/>
      <c r="QBI70" s="4"/>
      <c r="QBJ70" s="4"/>
      <c r="QBK70" s="4"/>
      <c r="QBL70" s="4"/>
      <c r="QBM70" s="4"/>
      <c r="QBN70" s="4"/>
      <c r="QBO70" s="4"/>
      <c r="QBP70" s="4"/>
      <c r="QBQ70" s="4"/>
      <c r="QBR70" s="4"/>
      <c r="QBS70" s="4"/>
      <c r="QBT70" s="4"/>
      <c r="QBU70" s="4"/>
      <c r="QBV70" s="4"/>
      <c r="QBW70" s="4"/>
      <c r="QBX70" s="4"/>
      <c r="QBY70" s="4"/>
      <c r="QBZ70" s="4"/>
      <c r="QCA70" s="4"/>
      <c r="QCB70" s="4"/>
      <c r="QCC70" s="4"/>
      <c r="QCD70" s="4"/>
      <c r="QCE70" s="4"/>
      <c r="QCF70" s="4"/>
      <c r="QCG70" s="4"/>
      <c r="QCH70" s="4"/>
      <c r="QCI70" s="4"/>
      <c r="QCJ70" s="4"/>
      <c r="QCK70" s="4"/>
      <c r="QCL70" s="4"/>
      <c r="QCM70" s="4"/>
      <c r="QCN70" s="4"/>
      <c r="QCO70" s="4"/>
      <c r="QCP70" s="4"/>
      <c r="QCQ70" s="4"/>
      <c r="QCR70" s="4"/>
      <c r="QCS70" s="4"/>
      <c r="QCT70" s="4"/>
      <c r="QCU70" s="4"/>
      <c r="QCV70" s="4"/>
      <c r="QCW70" s="4"/>
      <c r="QCX70" s="4"/>
      <c r="QCY70" s="4"/>
      <c r="QCZ70" s="4"/>
      <c r="QDA70" s="4"/>
      <c r="QDB70" s="4"/>
      <c r="QDC70" s="4"/>
      <c r="QDD70" s="4"/>
      <c r="QDE70" s="4"/>
      <c r="QDF70" s="4"/>
      <c r="QDG70" s="4"/>
      <c r="QDH70" s="4"/>
      <c r="QDI70" s="4"/>
      <c r="QDJ70" s="4"/>
      <c r="QDK70" s="4"/>
      <c r="QDL70" s="4"/>
      <c r="QDM70" s="4"/>
      <c r="QDN70" s="4"/>
      <c r="QDO70" s="4"/>
      <c r="QDP70" s="4"/>
      <c r="QDQ70" s="4"/>
      <c r="QDR70" s="4"/>
      <c r="QDS70" s="4"/>
      <c r="QDT70" s="4"/>
      <c r="QDU70" s="4"/>
      <c r="QDV70" s="4"/>
      <c r="QDW70" s="4"/>
      <c r="QDX70" s="4"/>
      <c r="QDY70" s="4"/>
      <c r="QDZ70" s="4"/>
      <c r="QEA70" s="4"/>
      <c r="QEB70" s="4"/>
      <c r="QEC70" s="4"/>
      <c r="QED70" s="4"/>
      <c r="QEE70" s="4"/>
      <c r="QEF70" s="4"/>
      <c r="QEG70" s="4"/>
      <c r="QEH70" s="4"/>
      <c r="QEI70" s="4"/>
      <c r="QEJ70" s="4"/>
      <c r="QEK70" s="4"/>
      <c r="QEL70" s="4"/>
      <c r="QEM70" s="4"/>
      <c r="QEN70" s="4"/>
      <c r="QEO70" s="4"/>
      <c r="QEP70" s="4"/>
      <c r="QEQ70" s="4"/>
      <c r="QER70" s="4"/>
      <c r="QES70" s="4"/>
      <c r="QET70" s="4"/>
      <c r="QEU70" s="4"/>
      <c r="QEV70" s="4"/>
      <c r="QEW70" s="4"/>
      <c r="QEX70" s="4"/>
      <c r="QEY70" s="4"/>
      <c r="QEZ70" s="4"/>
      <c r="QFA70" s="4"/>
      <c r="QFB70" s="4"/>
      <c r="QFC70" s="4"/>
      <c r="QFD70" s="4"/>
      <c r="QFE70" s="4"/>
      <c r="QFF70" s="4"/>
      <c r="QFG70" s="4"/>
      <c r="QFH70" s="4"/>
      <c r="QFI70" s="4"/>
      <c r="QFJ70" s="4"/>
      <c r="QFK70" s="4"/>
      <c r="QFL70" s="4"/>
      <c r="QFM70" s="4"/>
      <c r="QFN70" s="4"/>
      <c r="QFO70" s="4"/>
      <c r="QFP70" s="4"/>
      <c r="QFQ70" s="4"/>
      <c r="QFR70" s="4"/>
      <c r="QFS70" s="4"/>
      <c r="QFT70" s="4"/>
      <c r="QFU70" s="4"/>
      <c r="QFV70" s="4"/>
      <c r="QFW70" s="4"/>
      <c r="QFX70" s="4"/>
      <c r="QFY70" s="4"/>
      <c r="QFZ70" s="4"/>
      <c r="QGA70" s="4"/>
      <c r="QGB70" s="4"/>
      <c r="QGC70" s="4"/>
      <c r="QGD70" s="4"/>
      <c r="QGE70" s="4"/>
      <c r="QGF70" s="4"/>
      <c r="QGG70" s="4"/>
      <c r="QGH70" s="4"/>
      <c r="QGI70" s="4"/>
      <c r="QGJ70" s="4"/>
      <c r="QGK70" s="4"/>
      <c r="QGL70" s="4"/>
      <c r="QGM70" s="4"/>
      <c r="QGN70" s="4"/>
      <c r="QGO70" s="4"/>
      <c r="QGP70" s="4"/>
      <c r="QGQ70" s="4"/>
      <c r="QGR70" s="4"/>
      <c r="QGS70" s="4"/>
      <c r="QGT70" s="4"/>
      <c r="QGU70" s="4"/>
      <c r="QGV70" s="4"/>
      <c r="QGW70" s="4"/>
      <c r="QGX70" s="4"/>
      <c r="QGY70" s="4"/>
      <c r="QGZ70" s="4"/>
      <c r="QHA70" s="4"/>
      <c r="QHB70" s="4"/>
      <c r="QHC70" s="4"/>
      <c r="QHD70" s="4"/>
      <c r="QHE70" s="4"/>
      <c r="QHF70" s="4"/>
      <c r="QHG70" s="4"/>
      <c r="QHH70" s="4"/>
      <c r="QHI70" s="4"/>
      <c r="QHJ70" s="4"/>
      <c r="QHK70" s="4"/>
      <c r="QHL70" s="4"/>
      <c r="QHM70" s="4"/>
      <c r="QHN70" s="4"/>
      <c r="QHO70" s="4"/>
      <c r="QHP70" s="4"/>
      <c r="QHQ70" s="4"/>
      <c r="QHR70" s="4"/>
      <c r="QHS70" s="4"/>
      <c r="QHT70" s="4"/>
      <c r="QHU70" s="4"/>
      <c r="QHV70" s="4"/>
      <c r="QHW70" s="4"/>
      <c r="QHX70" s="4"/>
      <c r="QHY70" s="4"/>
      <c r="QHZ70" s="4"/>
      <c r="QIA70" s="4"/>
      <c r="QIB70" s="4"/>
      <c r="QIC70" s="4"/>
      <c r="QID70" s="4"/>
      <c r="QIE70" s="4"/>
      <c r="QIF70" s="4"/>
      <c r="QIG70" s="4"/>
      <c r="QIH70" s="4"/>
      <c r="QII70" s="4"/>
      <c r="QIJ70" s="4"/>
      <c r="QIK70" s="4"/>
      <c r="QIL70" s="4"/>
      <c r="QIM70" s="4"/>
      <c r="QIN70" s="4"/>
      <c r="QIO70" s="4"/>
      <c r="QIP70" s="4"/>
      <c r="QIQ70" s="4"/>
      <c r="QIR70" s="4"/>
      <c r="QIS70" s="4"/>
      <c r="QIT70" s="4"/>
      <c r="QIU70" s="4"/>
      <c r="QIV70" s="4"/>
      <c r="QIW70" s="4"/>
      <c r="QIX70" s="4"/>
      <c r="QIY70" s="4"/>
      <c r="QIZ70" s="4"/>
      <c r="QJA70" s="4"/>
      <c r="QJB70" s="4"/>
      <c r="QJC70" s="4"/>
      <c r="QJD70" s="4"/>
      <c r="QJE70" s="4"/>
      <c r="QJF70" s="4"/>
      <c r="QJG70" s="4"/>
      <c r="QJH70" s="4"/>
      <c r="QJI70" s="4"/>
      <c r="QJJ70" s="4"/>
      <c r="QJK70" s="4"/>
      <c r="QJL70" s="4"/>
      <c r="QJM70" s="4"/>
      <c r="QJN70" s="4"/>
      <c r="QJO70" s="4"/>
      <c r="QJP70" s="4"/>
      <c r="QJQ70" s="4"/>
      <c r="QJR70" s="4"/>
      <c r="QJS70" s="4"/>
      <c r="QJT70" s="4"/>
      <c r="QJU70" s="4"/>
      <c r="QJV70" s="4"/>
      <c r="QJW70" s="4"/>
      <c r="QJX70" s="4"/>
      <c r="QJY70" s="4"/>
      <c r="QJZ70" s="4"/>
      <c r="QKA70" s="4"/>
      <c r="QKB70" s="4"/>
      <c r="QKC70" s="4"/>
      <c r="QKD70" s="4"/>
      <c r="QKE70" s="4"/>
      <c r="QKF70" s="4"/>
      <c r="QKG70" s="4"/>
      <c r="QKH70" s="4"/>
      <c r="QKI70" s="4"/>
      <c r="QKJ70" s="4"/>
      <c r="QKK70" s="4"/>
      <c r="QKL70" s="4"/>
      <c r="QKM70" s="4"/>
      <c r="QKN70" s="4"/>
      <c r="QKO70" s="4"/>
      <c r="QKP70" s="4"/>
      <c r="QKQ70" s="4"/>
      <c r="QKR70" s="4"/>
      <c r="QKS70" s="4"/>
      <c r="QKT70" s="4"/>
      <c r="QKU70" s="4"/>
      <c r="QKV70" s="4"/>
      <c r="QKW70" s="4"/>
      <c r="QKX70" s="4"/>
      <c r="QKY70" s="4"/>
      <c r="QKZ70" s="4"/>
      <c r="QLA70" s="4"/>
      <c r="QLB70" s="4"/>
      <c r="QLC70" s="4"/>
      <c r="QLD70" s="4"/>
      <c r="QLE70" s="4"/>
      <c r="QLF70" s="4"/>
      <c r="QLG70" s="4"/>
      <c r="QLH70" s="4"/>
      <c r="QLI70" s="4"/>
      <c r="QLJ70" s="4"/>
      <c r="QLK70" s="4"/>
      <c r="QLL70" s="4"/>
      <c r="QLM70" s="4"/>
      <c r="QLN70" s="4"/>
      <c r="QLO70" s="4"/>
      <c r="QLP70" s="4"/>
      <c r="QLQ70" s="4"/>
      <c r="QLR70" s="4"/>
      <c r="QLS70" s="4"/>
      <c r="QLT70" s="4"/>
      <c r="QLU70" s="4"/>
      <c r="QLV70" s="4"/>
      <c r="QLW70" s="4"/>
      <c r="QLX70" s="4"/>
      <c r="QLY70" s="4"/>
      <c r="QLZ70" s="4"/>
      <c r="QMA70" s="4"/>
      <c r="QMB70" s="4"/>
      <c r="QMC70" s="4"/>
      <c r="QMD70" s="4"/>
      <c r="QME70" s="4"/>
      <c r="QMF70" s="4"/>
      <c r="QMG70" s="4"/>
      <c r="QMH70" s="4"/>
      <c r="QMI70" s="4"/>
      <c r="QMJ70" s="4"/>
      <c r="QMK70" s="4"/>
      <c r="QML70" s="4"/>
      <c r="QMM70" s="4"/>
      <c r="QMN70" s="4"/>
      <c r="QMO70" s="4"/>
      <c r="QMP70" s="4"/>
      <c r="QMQ70" s="4"/>
      <c r="QMR70" s="4"/>
      <c r="QMS70" s="4"/>
      <c r="QMT70" s="4"/>
      <c r="QMU70" s="4"/>
      <c r="QMV70" s="4"/>
      <c r="QMW70" s="4"/>
      <c r="QMX70" s="4"/>
      <c r="QMY70" s="4"/>
      <c r="QMZ70" s="4"/>
      <c r="QNA70" s="4"/>
      <c r="QNB70" s="4"/>
      <c r="QNC70" s="4"/>
      <c r="QND70" s="4"/>
      <c r="QNE70" s="4"/>
      <c r="QNF70" s="4"/>
      <c r="QNG70" s="4"/>
      <c r="QNH70" s="4"/>
      <c r="QNI70" s="4"/>
      <c r="QNJ70" s="4"/>
      <c r="QNK70" s="4"/>
      <c r="QNL70" s="4"/>
      <c r="QNM70" s="4"/>
      <c r="QNN70" s="4"/>
      <c r="QNO70" s="4"/>
      <c r="QNP70" s="4"/>
      <c r="QNQ70" s="4"/>
      <c r="QNR70" s="4"/>
      <c r="QNS70" s="4"/>
      <c r="QNT70" s="4"/>
      <c r="QNU70" s="4"/>
      <c r="QNV70" s="4"/>
      <c r="QNW70" s="4"/>
      <c r="QNX70" s="4"/>
      <c r="QNY70" s="4"/>
      <c r="QNZ70" s="4"/>
      <c r="QOA70" s="4"/>
      <c r="QOB70" s="4"/>
      <c r="QOC70" s="4"/>
      <c r="QOD70" s="4"/>
      <c r="QOE70" s="4"/>
      <c r="QOF70" s="4"/>
      <c r="QOG70" s="4"/>
      <c r="QOH70" s="4"/>
      <c r="QOI70" s="4"/>
      <c r="QOJ70" s="4"/>
      <c r="QOK70" s="4"/>
      <c r="QOL70" s="4"/>
      <c r="QOM70" s="4"/>
      <c r="QON70" s="4"/>
      <c r="QOO70" s="4"/>
      <c r="QOP70" s="4"/>
      <c r="QOQ70" s="4"/>
      <c r="QOR70" s="4"/>
      <c r="QOS70" s="4"/>
      <c r="QOT70" s="4"/>
      <c r="QOU70" s="4"/>
      <c r="QOV70" s="4"/>
      <c r="QOW70" s="4"/>
      <c r="QOX70" s="4"/>
      <c r="QOY70" s="4"/>
      <c r="QOZ70" s="4"/>
      <c r="QPA70" s="4"/>
      <c r="QPB70" s="4"/>
      <c r="QPC70" s="4"/>
      <c r="QPD70" s="4"/>
      <c r="QPE70" s="4"/>
      <c r="QPF70" s="4"/>
      <c r="QPG70" s="4"/>
      <c r="QPH70" s="4"/>
      <c r="QPI70" s="4"/>
      <c r="QPJ70" s="4"/>
      <c r="QPK70" s="4"/>
      <c r="QPL70" s="4"/>
      <c r="QPM70" s="4"/>
      <c r="QPN70" s="4"/>
      <c r="QPO70" s="4"/>
      <c r="QPP70" s="4"/>
      <c r="QPQ70" s="4"/>
      <c r="QPR70" s="4"/>
      <c r="QPS70" s="4"/>
      <c r="QPT70" s="4"/>
      <c r="QPU70" s="4"/>
      <c r="QPV70" s="4"/>
      <c r="QPW70" s="4"/>
      <c r="QPX70" s="4"/>
      <c r="QPY70" s="4"/>
      <c r="QPZ70" s="4"/>
      <c r="QQA70" s="4"/>
      <c r="QQB70" s="4"/>
      <c r="QQC70" s="4"/>
      <c r="QQD70" s="4"/>
      <c r="QQE70" s="4"/>
      <c r="QQF70" s="4"/>
      <c r="QQG70" s="4"/>
      <c r="QQH70" s="4"/>
      <c r="QQI70" s="4"/>
      <c r="QQJ70" s="4"/>
      <c r="QQK70" s="4"/>
      <c r="QQL70" s="4"/>
      <c r="QQM70" s="4"/>
      <c r="QQN70" s="4"/>
      <c r="QQO70" s="4"/>
      <c r="QQP70" s="4"/>
      <c r="QQQ70" s="4"/>
      <c r="QQR70" s="4"/>
      <c r="QQS70" s="4"/>
      <c r="QQT70" s="4"/>
      <c r="QQU70" s="4"/>
      <c r="QQV70" s="4"/>
      <c r="QQW70" s="4"/>
      <c r="QQX70" s="4"/>
      <c r="QQY70" s="4"/>
      <c r="QQZ70" s="4"/>
      <c r="QRA70" s="4"/>
      <c r="QRB70" s="4"/>
      <c r="QRC70" s="4"/>
      <c r="QRD70" s="4"/>
      <c r="QRE70" s="4"/>
      <c r="QRF70" s="4"/>
      <c r="QRG70" s="4"/>
      <c r="QRH70" s="4"/>
      <c r="QRI70" s="4"/>
      <c r="QRJ70" s="4"/>
      <c r="QRK70" s="4"/>
      <c r="QRL70" s="4"/>
      <c r="QRM70" s="4"/>
      <c r="QRN70" s="4"/>
      <c r="QRO70" s="4"/>
      <c r="QRP70" s="4"/>
      <c r="QRQ70" s="4"/>
      <c r="QRR70" s="4"/>
      <c r="QRS70" s="4"/>
      <c r="QRT70" s="4"/>
      <c r="QRU70" s="4"/>
      <c r="QRV70" s="4"/>
      <c r="QRW70" s="4"/>
      <c r="QRX70" s="4"/>
      <c r="QRY70" s="4"/>
      <c r="QRZ70" s="4"/>
      <c r="QSA70" s="4"/>
      <c r="QSB70" s="4"/>
      <c r="QSC70" s="4"/>
      <c r="QSD70" s="4"/>
      <c r="QSE70" s="4"/>
      <c r="QSF70" s="4"/>
      <c r="QSG70" s="4"/>
      <c r="QSH70" s="4"/>
      <c r="QSI70" s="4"/>
      <c r="QSJ70" s="4"/>
      <c r="QSK70" s="4"/>
      <c r="QSL70" s="4"/>
      <c r="QSM70" s="4"/>
      <c r="QSN70" s="4"/>
      <c r="QSO70" s="4"/>
      <c r="QSP70" s="4"/>
      <c r="QSQ70" s="4"/>
      <c r="QSR70" s="4"/>
      <c r="QSS70" s="4"/>
      <c r="QST70" s="4"/>
      <c r="QSU70" s="4"/>
      <c r="QSV70" s="4"/>
      <c r="QSW70" s="4"/>
      <c r="QSX70" s="4"/>
      <c r="QSY70" s="4"/>
      <c r="QSZ70" s="4"/>
      <c r="QTA70" s="4"/>
      <c r="QTB70" s="4"/>
      <c r="QTC70" s="4"/>
      <c r="QTD70" s="4"/>
      <c r="QTE70" s="4"/>
      <c r="QTF70" s="4"/>
      <c r="QTG70" s="4"/>
      <c r="QTH70" s="4"/>
      <c r="QTI70" s="4"/>
      <c r="QTJ70" s="4"/>
      <c r="QTK70" s="4"/>
      <c r="QTL70" s="4"/>
      <c r="QTM70" s="4"/>
      <c r="QTN70" s="4"/>
      <c r="QTO70" s="4"/>
      <c r="QTP70" s="4"/>
      <c r="QTQ70" s="4"/>
      <c r="QTR70" s="4"/>
      <c r="QTS70" s="4"/>
      <c r="QTT70" s="4"/>
      <c r="QTU70" s="4"/>
      <c r="QTV70" s="4"/>
      <c r="QTW70" s="4"/>
      <c r="QTX70" s="4"/>
      <c r="QTY70" s="4"/>
      <c r="QTZ70" s="4"/>
      <c r="QUA70" s="4"/>
      <c r="QUB70" s="4"/>
      <c r="QUC70" s="4"/>
      <c r="QUD70" s="4"/>
      <c r="QUE70" s="4"/>
      <c r="QUF70" s="4"/>
      <c r="QUG70" s="4"/>
      <c r="QUH70" s="4"/>
      <c r="QUI70" s="4"/>
      <c r="QUJ70" s="4"/>
      <c r="QUK70" s="4"/>
      <c r="QUL70" s="4"/>
      <c r="QUM70" s="4"/>
      <c r="QUN70" s="4"/>
      <c r="QUO70" s="4"/>
      <c r="QUP70" s="4"/>
      <c r="QUQ70" s="4"/>
      <c r="QUR70" s="4"/>
      <c r="QUS70" s="4"/>
      <c r="QUT70" s="4"/>
      <c r="QUU70" s="4"/>
      <c r="QUV70" s="4"/>
      <c r="QUW70" s="4"/>
      <c r="QUX70" s="4"/>
      <c r="QUY70" s="4"/>
      <c r="QUZ70" s="4"/>
      <c r="QVA70" s="4"/>
      <c r="QVB70" s="4"/>
      <c r="QVC70" s="4"/>
      <c r="QVD70" s="4"/>
      <c r="QVE70" s="4"/>
      <c r="QVF70" s="4"/>
      <c r="QVG70" s="4"/>
      <c r="QVH70" s="4"/>
      <c r="QVI70" s="4"/>
      <c r="QVJ70" s="4"/>
      <c r="QVK70" s="4"/>
      <c r="QVL70" s="4"/>
      <c r="QVM70" s="4"/>
      <c r="QVN70" s="4"/>
      <c r="QVO70" s="4"/>
      <c r="QVP70" s="4"/>
      <c r="QVQ70" s="4"/>
      <c r="QVR70" s="4"/>
      <c r="QVS70" s="4"/>
      <c r="QVT70" s="4"/>
      <c r="QVU70" s="4"/>
      <c r="QVV70" s="4"/>
      <c r="QVW70" s="4"/>
      <c r="QVX70" s="4"/>
      <c r="QVY70" s="4"/>
      <c r="QVZ70" s="4"/>
      <c r="QWA70" s="4"/>
      <c r="QWB70" s="4"/>
      <c r="QWC70" s="4"/>
      <c r="QWD70" s="4"/>
      <c r="QWE70" s="4"/>
      <c r="QWF70" s="4"/>
      <c r="QWG70" s="4"/>
      <c r="QWH70" s="4"/>
      <c r="QWI70" s="4"/>
      <c r="QWJ70" s="4"/>
      <c r="QWK70" s="4"/>
      <c r="QWL70" s="4"/>
      <c r="QWM70" s="4"/>
      <c r="QWN70" s="4"/>
      <c r="QWO70" s="4"/>
      <c r="QWP70" s="4"/>
      <c r="QWQ70" s="4"/>
      <c r="QWR70" s="4"/>
      <c r="QWS70" s="4"/>
      <c r="QWT70" s="4"/>
      <c r="QWU70" s="4"/>
      <c r="QWV70" s="4"/>
      <c r="QWW70" s="4"/>
      <c r="QWX70" s="4"/>
      <c r="QWY70" s="4"/>
      <c r="QWZ70" s="4"/>
      <c r="QXA70" s="4"/>
      <c r="QXB70" s="4"/>
      <c r="QXC70" s="4"/>
      <c r="QXD70" s="4"/>
      <c r="QXE70" s="4"/>
      <c r="QXF70" s="4"/>
      <c r="QXG70" s="4"/>
      <c r="QXH70" s="4"/>
      <c r="QXI70" s="4"/>
      <c r="QXJ70" s="4"/>
      <c r="QXK70" s="4"/>
      <c r="QXL70" s="4"/>
      <c r="QXM70" s="4"/>
      <c r="QXN70" s="4"/>
      <c r="QXO70" s="4"/>
      <c r="QXP70" s="4"/>
      <c r="QXQ70" s="4"/>
      <c r="QXR70" s="4"/>
      <c r="QXS70" s="4"/>
      <c r="QXT70" s="4"/>
      <c r="QXU70" s="4"/>
      <c r="QXV70" s="4"/>
      <c r="QXW70" s="4"/>
      <c r="QXX70" s="4"/>
      <c r="QXY70" s="4"/>
      <c r="QXZ70" s="4"/>
      <c r="QYA70" s="4"/>
      <c r="QYB70" s="4"/>
      <c r="QYC70" s="4"/>
      <c r="QYD70" s="4"/>
      <c r="QYE70" s="4"/>
      <c r="QYF70" s="4"/>
      <c r="QYG70" s="4"/>
      <c r="QYH70" s="4"/>
      <c r="QYI70" s="4"/>
      <c r="QYJ70" s="4"/>
      <c r="QYK70" s="4"/>
      <c r="QYL70" s="4"/>
      <c r="QYM70" s="4"/>
      <c r="QYN70" s="4"/>
      <c r="QYO70" s="4"/>
      <c r="QYP70" s="4"/>
      <c r="QYQ70" s="4"/>
      <c r="QYR70" s="4"/>
      <c r="QYS70" s="4"/>
      <c r="QYT70" s="4"/>
      <c r="QYU70" s="4"/>
      <c r="QYV70" s="4"/>
      <c r="QYW70" s="4"/>
      <c r="QYX70" s="4"/>
      <c r="QYY70" s="4"/>
      <c r="QYZ70" s="4"/>
      <c r="QZA70" s="4"/>
      <c r="QZB70" s="4"/>
      <c r="QZC70" s="4"/>
      <c r="QZD70" s="4"/>
      <c r="QZE70" s="4"/>
      <c r="QZF70" s="4"/>
      <c r="QZG70" s="4"/>
      <c r="QZH70" s="4"/>
      <c r="QZI70" s="4"/>
      <c r="QZJ70" s="4"/>
      <c r="QZK70" s="4"/>
      <c r="QZL70" s="4"/>
      <c r="QZM70" s="4"/>
      <c r="QZN70" s="4"/>
      <c r="QZO70" s="4"/>
      <c r="QZP70" s="4"/>
      <c r="QZQ70" s="4"/>
      <c r="QZR70" s="4"/>
      <c r="QZS70" s="4"/>
      <c r="QZT70" s="4"/>
      <c r="QZU70" s="4"/>
      <c r="QZV70" s="4"/>
      <c r="QZW70" s="4"/>
      <c r="QZX70" s="4"/>
      <c r="QZY70" s="4"/>
      <c r="QZZ70" s="4"/>
      <c r="RAA70" s="4"/>
      <c r="RAB70" s="4"/>
      <c r="RAC70" s="4"/>
      <c r="RAD70" s="4"/>
      <c r="RAE70" s="4"/>
      <c r="RAF70" s="4"/>
      <c r="RAG70" s="4"/>
      <c r="RAH70" s="4"/>
      <c r="RAI70" s="4"/>
      <c r="RAJ70" s="4"/>
      <c r="RAK70" s="4"/>
      <c r="RAL70" s="4"/>
      <c r="RAM70" s="4"/>
      <c r="RAN70" s="4"/>
      <c r="RAO70" s="4"/>
      <c r="RAP70" s="4"/>
      <c r="RAQ70" s="4"/>
      <c r="RAR70" s="4"/>
      <c r="RAS70" s="4"/>
      <c r="RAT70" s="4"/>
      <c r="RAU70" s="4"/>
      <c r="RAV70" s="4"/>
      <c r="RAW70" s="4"/>
      <c r="RAX70" s="4"/>
      <c r="RAY70" s="4"/>
      <c r="RAZ70" s="4"/>
      <c r="RBA70" s="4"/>
      <c r="RBB70" s="4"/>
      <c r="RBC70" s="4"/>
      <c r="RBD70" s="4"/>
      <c r="RBE70" s="4"/>
      <c r="RBF70" s="4"/>
      <c r="RBG70" s="4"/>
      <c r="RBH70" s="4"/>
      <c r="RBI70" s="4"/>
      <c r="RBJ70" s="4"/>
      <c r="RBK70" s="4"/>
      <c r="RBL70" s="4"/>
      <c r="RBM70" s="4"/>
      <c r="RBN70" s="4"/>
      <c r="RBO70" s="4"/>
      <c r="RBP70" s="4"/>
      <c r="RBQ70" s="4"/>
      <c r="RBR70" s="4"/>
      <c r="RBS70" s="4"/>
      <c r="RBT70" s="4"/>
      <c r="RBU70" s="4"/>
      <c r="RBV70" s="4"/>
      <c r="RBW70" s="4"/>
      <c r="RBX70" s="4"/>
      <c r="RBY70" s="4"/>
      <c r="RBZ70" s="4"/>
      <c r="RCA70" s="4"/>
      <c r="RCB70" s="4"/>
      <c r="RCC70" s="4"/>
      <c r="RCD70" s="4"/>
      <c r="RCE70" s="4"/>
      <c r="RCF70" s="4"/>
      <c r="RCG70" s="4"/>
      <c r="RCH70" s="4"/>
      <c r="RCI70" s="4"/>
      <c r="RCJ70" s="4"/>
      <c r="RCK70" s="4"/>
      <c r="RCL70" s="4"/>
      <c r="RCM70" s="4"/>
      <c r="RCN70" s="4"/>
      <c r="RCO70" s="4"/>
      <c r="RCP70" s="4"/>
      <c r="RCQ70" s="4"/>
      <c r="RCR70" s="4"/>
      <c r="RCS70" s="4"/>
      <c r="RCT70" s="4"/>
      <c r="RCU70" s="4"/>
      <c r="RCV70" s="4"/>
      <c r="RCW70" s="4"/>
      <c r="RCX70" s="4"/>
      <c r="RCY70" s="4"/>
      <c r="RCZ70" s="4"/>
      <c r="RDA70" s="4"/>
      <c r="RDB70" s="4"/>
      <c r="RDC70" s="4"/>
      <c r="RDD70" s="4"/>
      <c r="RDE70" s="4"/>
      <c r="RDF70" s="4"/>
      <c r="RDG70" s="4"/>
      <c r="RDH70" s="4"/>
      <c r="RDI70" s="4"/>
      <c r="RDJ70" s="4"/>
      <c r="RDK70" s="4"/>
      <c r="RDL70" s="4"/>
      <c r="RDM70" s="4"/>
      <c r="RDN70" s="4"/>
      <c r="RDO70" s="4"/>
      <c r="RDP70" s="4"/>
      <c r="RDQ70" s="4"/>
      <c r="RDR70" s="4"/>
      <c r="RDS70" s="4"/>
      <c r="RDT70" s="4"/>
      <c r="RDU70" s="4"/>
      <c r="RDV70" s="4"/>
      <c r="RDW70" s="4"/>
      <c r="RDX70" s="4"/>
      <c r="RDY70" s="4"/>
      <c r="RDZ70" s="4"/>
      <c r="REA70" s="4"/>
      <c r="REB70" s="4"/>
      <c r="REC70" s="4"/>
      <c r="RED70" s="4"/>
      <c r="REE70" s="4"/>
      <c r="REF70" s="4"/>
      <c r="REG70" s="4"/>
      <c r="REH70" s="4"/>
      <c r="REI70" s="4"/>
      <c r="REJ70" s="4"/>
      <c r="REK70" s="4"/>
      <c r="REL70" s="4"/>
      <c r="REM70" s="4"/>
      <c r="REN70" s="4"/>
      <c r="REO70" s="4"/>
      <c r="REP70" s="4"/>
      <c r="REQ70" s="4"/>
      <c r="RER70" s="4"/>
      <c r="RES70" s="4"/>
      <c r="RET70" s="4"/>
      <c r="REU70" s="4"/>
      <c r="REV70" s="4"/>
      <c r="REW70" s="4"/>
      <c r="REX70" s="4"/>
      <c r="REY70" s="4"/>
      <c r="REZ70" s="4"/>
      <c r="RFA70" s="4"/>
      <c r="RFB70" s="4"/>
      <c r="RFC70" s="4"/>
      <c r="RFD70" s="4"/>
      <c r="RFE70" s="4"/>
      <c r="RFF70" s="4"/>
      <c r="RFG70" s="4"/>
      <c r="RFH70" s="4"/>
      <c r="RFI70" s="4"/>
      <c r="RFJ70" s="4"/>
      <c r="RFK70" s="4"/>
      <c r="RFL70" s="4"/>
      <c r="RFM70" s="4"/>
      <c r="RFN70" s="4"/>
      <c r="RFO70" s="4"/>
      <c r="RFP70" s="4"/>
      <c r="RFQ70" s="4"/>
      <c r="RFR70" s="4"/>
      <c r="RFS70" s="4"/>
      <c r="RFT70" s="4"/>
      <c r="RFU70" s="4"/>
      <c r="RFV70" s="4"/>
      <c r="RFW70" s="4"/>
      <c r="RFX70" s="4"/>
      <c r="RFY70" s="4"/>
      <c r="RFZ70" s="4"/>
      <c r="RGA70" s="4"/>
      <c r="RGB70" s="4"/>
      <c r="RGC70" s="4"/>
      <c r="RGD70" s="4"/>
      <c r="RGE70" s="4"/>
      <c r="RGF70" s="4"/>
      <c r="RGG70" s="4"/>
      <c r="RGH70" s="4"/>
      <c r="RGI70" s="4"/>
      <c r="RGJ70" s="4"/>
      <c r="RGK70" s="4"/>
      <c r="RGL70" s="4"/>
      <c r="RGM70" s="4"/>
      <c r="RGN70" s="4"/>
      <c r="RGO70" s="4"/>
      <c r="RGP70" s="4"/>
      <c r="RGQ70" s="4"/>
      <c r="RGR70" s="4"/>
      <c r="RGS70" s="4"/>
      <c r="RGT70" s="4"/>
      <c r="RGU70" s="4"/>
      <c r="RGV70" s="4"/>
      <c r="RGW70" s="4"/>
      <c r="RGX70" s="4"/>
      <c r="RGY70" s="4"/>
      <c r="RGZ70" s="4"/>
      <c r="RHA70" s="4"/>
      <c r="RHB70" s="4"/>
      <c r="RHC70" s="4"/>
      <c r="RHD70" s="4"/>
      <c r="RHE70" s="4"/>
      <c r="RHF70" s="4"/>
      <c r="RHG70" s="4"/>
      <c r="RHH70" s="4"/>
      <c r="RHI70" s="4"/>
      <c r="RHJ70" s="4"/>
      <c r="RHK70" s="4"/>
      <c r="RHL70" s="4"/>
      <c r="RHM70" s="4"/>
      <c r="RHN70" s="4"/>
      <c r="RHO70" s="4"/>
      <c r="RHP70" s="4"/>
      <c r="RHQ70" s="4"/>
      <c r="RHR70" s="4"/>
      <c r="RHS70" s="4"/>
      <c r="RHT70" s="4"/>
      <c r="RHU70" s="4"/>
      <c r="RHV70" s="4"/>
      <c r="RHW70" s="4"/>
      <c r="RHX70" s="4"/>
      <c r="RHY70" s="4"/>
      <c r="RHZ70" s="4"/>
      <c r="RIA70" s="4"/>
      <c r="RIB70" s="4"/>
      <c r="RIC70" s="4"/>
      <c r="RID70" s="4"/>
      <c r="RIE70" s="4"/>
      <c r="RIF70" s="4"/>
      <c r="RIG70" s="4"/>
      <c r="RIH70" s="4"/>
      <c r="RII70" s="4"/>
      <c r="RIJ70" s="4"/>
      <c r="RIK70" s="4"/>
      <c r="RIL70" s="4"/>
      <c r="RIM70" s="4"/>
      <c r="RIN70" s="4"/>
      <c r="RIO70" s="4"/>
      <c r="RIP70" s="4"/>
      <c r="RIQ70" s="4"/>
      <c r="RIR70" s="4"/>
      <c r="RIS70" s="4"/>
      <c r="RIT70" s="4"/>
      <c r="RIU70" s="4"/>
      <c r="RIV70" s="4"/>
      <c r="RIW70" s="4"/>
      <c r="RIX70" s="4"/>
      <c r="RIY70" s="4"/>
      <c r="RIZ70" s="4"/>
      <c r="RJA70" s="4"/>
      <c r="RJB70" s="4"/>
      <c r="RJC70" s="4"/>
      <c r="RJD70" s="4"/>
      <c r="RJE70" s="4"/>
      <c r="RJF70" s="4"/>
      <c r="RJG70" s="4"/>
      <c r="RJH70" s="4"/>
      <c r="RJI70" s="4"/>
      <c r="RJJ70" s="4"/>
      <c r="RJK70" s="4"/>
      <c r="RJL70" s="4"/>
      <c r="RJM70" s="4"/>
      <c r="RJN70" s="4"/>
      <c r="RJO70" s="4"/>
      <c r="RJP70" s="4"/>
      <c r="RJQ70" s="4"/>
      <c r="RJR70" s="4"/>
      <c r="RJS70" s="4"/>
      <c r="RJT70" s="4"/>
      <c r="RJU70" s="4"/>
      <c r="RJV70" s="4"/>
      <c r="RJW70" s="4"/>
      <c r="RJX70" s="4"/>
      <c r="RJY70" s="4"/>
      <c r="RJZ70" s="4"/>
      <c r="RKA70" s="4"/>
      <c r="RKB70" s="4"/>
      <c r="RKC70" s="4"/>
      <c r="RKD70" s="4"/>
      <c r="RKE70" s="4"/>
      <c r="RKF70" s="4"/>
      <c r="RKG70" s="4"/>
      <c r="RKH70" s="4"/>
      <c r="RKI70" s="4"/>
      <c r="RKJ70" s="4"/>
      <c r="RKK70" s="4"/>
      <c r="RKL70" s="4"/>
      <c r="RKM70" s="4"/>
      <c r="RKN70" s="4"/>
      <c r="RKO70" s="4"/>
      <c r="RKP70" s="4"/>
      <c r="RKQ70" s="4"/>
      <c r="RKR70" s="4"/>
      <c r="RKS70" s="4"/>
      <c r="RKT70" s="4"/>
      <c r="RKU70" s="4"/>
      <c r="RKV70" s="4"/>
      <c r="RKW70" s="4"/>
      <c r="RKX70" s="4"/>
      <c r="RKY70" s="4"/>
      <c r="RKZ70" s="4"/>
      <c r="RLA70" s="4"/>
      <c r="RLB70" s="4"/>
      <c r="RLC70" s="4"/>
      <c r="RLD70" s="4"/>
      <c r="RLE70" s="4"/>
      <c r="RLF70" s="4"/>
      <c r="RLG70" s="4"/>
      <c r="RLH70" s="4"/>
      <c r="RLI70" s="4"/>
      <c r="RLJ70" s="4"/>
      <c r="RLK70" s="4"/>
      <c r="RLL70" s="4"/>
      <c r="RLM70" s="4"/>
      <c r="RLN70" s="4"/>
      <c r="RLO70" s="4"/>
      <c r="RLP70" s="4"/>
      <c r="RLQ70" s="4"/>
      <c r="RLR70" s="4"/>
      <c r="RLS70" s="4"/>
      <c r="RLT70" s="4"/>
      <c r="RLU70" s="4"/>
      <c r="RLV70" s="4"/>
      <c r="RLW70" s="4"/>
      <c r="RLX70" s="4"/>
      <c r="RLY70" s="4"/>
      <c r="RLZ70" s="4"/>
      <c r="RMA70" s="4"/>
      <c r="RMB70" s="4"/>
      <c r="RMC70" s="4"/>
      <c r="RMD70" s="4"/>
      <c r="RME70" s="4"/>
      <c r="RMF70" s="4"/>
      <c r="RMG70" s="4"/>
      <c r="RMH70" s="4"/>
      <c r="RMI70" s="4"/>
      <c r="RMJ70" s="4"/>
      <c r="RMK70" s="4"/>
      <c r="RML70" s="4"/>
      <c r="RMM70" s="4"/>
      <c r="RMN70" s="4"/>
      <c r="RMO70" s="4"/>
      <c r="RMP70" s="4"/>
      <c r="RMQ70" s="4"/>
      <c r="RMR70" s="4"/>
      <c r="RMS70" s="4"/>
      <c r="RMT70" s="4"/>
      <c r="RMU70" s="4"/>
      <c r="RMV70" s="4"/>
      <c r="RMW70" s="4"/>
      <c r="RMX70" s="4"/>
      <c r="RMY70" s="4"/>
      <c r="RMZ70" s="4"/>
      <c r="RNA70" s="4"/>
      <c r="RNB70" s="4"/>
      <c r="RNC70" s="4"/>
      <c r="RND70" s="4"/>
      <c r="RNE70" s="4"/>
      <c r="RNF70" s="4"/>
      <c r="RNG70" s="4"/>
      <c r="RNH70" s="4"/>
      <c r="RNI70" s="4"/>
      <c r="RNJ70" s="4"/>
      <c r="RNK70" s="4"/>
      <c r="RNL70" s="4"/>
      <c r="RNM70" s="4"/>
      <c r="RNN70" s="4"/>
      <c r="RNO70" s="4"/>
      <c r="RNP70" s="4"/>
      <c r="RNQ70" s="4"/>
      <c r="RNR70" s="4"/>
      <c r="RNS70" s="4"/>
      <c r="RNT70" s="4"/>
      <c r="RNU70" s="4"/>
      <c r="RNV70" s="4"/>
      <c r="RNW70" s="4"/>
      <c r="RNX70" s="4"/>
      <c r="RNY70" s="4"/>
      <c r="RNZ70" s="4"/>
      <c r="ROA70" s="4"/>
      <c r="ROB70" s="4"/>
      <c r="ROC70" s="4"/>
      <c r="ROD70" s="4"/>
      <c r="ROE70" s="4"/>
      <c r="ROF70" s="4"/>
      <c r="ROG70" s="4"/>
      <c r="ROH70" s="4"/>
      <c r="ROI70" s="4"/>
      <c r="ROJ70" s="4"/>
      <c r="ROK70" s="4"/>
      <c r="ROL70" s="4"/>
      <c r="ROM70" s="4"/>
      <c r="RON70" s="4"/>
      <c r="ROO70" s="4"/>
      <c r="ROP70" s="4"/>
      <c r="ROQ70" s="4"/>
      <c r="ROR70" s="4"/>
      <c r="ROS70" s="4"/>
      <c r="ROT70" s="4"/>
      <c r="ROU70" s="4"/>
      <c r="ROV70" s="4"/>
      <c r="ROW70" s="4"/>
      <c r="ROX70" s="4"/>
      <c r="ROY70" s="4"/>
      <c r="ROZ70" s="4"/>
      <c r="RPA70" s="4"/>
      <c r="RPB70" s="4"/>
      <c r="RPC70" s="4"/>
      <c r="RPD70" s="4"/>
      <c r="RPE70" s="4"/>
      <c r="RPF70" s="4"/>
      <c r="RPG70" s="4"/>
      <c r="RPH70" s="4"/>
      <c r="RPI70" s="4"/>
      <c r="RPJ70" s="4"/>
      <c r="RPK70" s="4"/>
      <c r="RPL70" s="4"/>
      <c r="RPM70" s="4"/>
      <c r="RPN70" s="4"/>
      <c r="RPO70" s="4"/>
      <c r="RPP70" s="4"/>
      <c r="RPQ70" s="4"/>
      <c r="RPR70" s="4"/>
      <c r="RPS70" s="4"/>
      <c r="RPT70" s="4"/>
      <c r="RPU70" s="4"/>
      <c r="RPV70" s="4"/>
      <c r="RPW70" s="4"/>
      <c r="RPX70" s="4"/>
      <c r="RPY70" s="4"/>
      <c r="RPZ70" s="4"/>
      <c r="RQA70" s="4"/>
      <c r="RQB70" s="4"/>
      <c r="RQC70" s="4"/>
      <c r="RQD70" s="4"/>
      <c r="RQE70" s="4"/>
      <c r="RQF70" s="4"/>
      <c r="RQG70" s="4"/>
      <c r="RQH70" s="4"/>
      <c r="RQI70" s="4"/>
      <c r="RQJ70" s="4"/>
      <c r="RQK70" s="4"/>
      <c r="RQL70" s="4"/>
      <c r="RQM70" s="4"/>
      <c r="RQN70" s="4"/>
      <c r="RQO70" s="4"/>
      <c r="RQP70" s="4"/>
      <c r="RQQ70" s="4"/>
      <c r="RQR70" s="4"/>
      <c r="RQS70" s="4"/>
      <c r="RQT70" s="4"/>
      <c r="RQU70" s="4"/>
      <c r="RQV70" s="4"/>
      <c r="RQW70" s="4"/>
      <c r="RQX70" s="4"/>
      <c r="RQY70" s="4"/>
      <c r="RQZ70" s="4"/>
      <c r="RRA70" s="4"/>
      <c r="RRB70" s="4"/>
      <c r="RRC70" s="4"/>
      <c r="RRD70" s="4"/>
      <c r="RRE70" s="4"/>
      <c r="RRF70" s="4"/>
      <c r="RRG70" s="4"/>
      <c r="RRH70" s="4"/>
      <c r="RRI70" s="4"/>
      <c r="RRJ70" s="4"/>
      <c r="RRK70" s="4"/>
      <c r="RRL70" s="4"/>
      <c r="RRM70" s="4"/>
      <c r="RRN70" s="4"/>
      <c r="RRO70" s="4"/>
      <c r="RRP70" s="4"/>
      <c r="RRQ70" s="4"/>
      <c r="RRR70" s="4"/>
      <c r="RRS70" s="4"/>
      <c r="RRT70" s="4"/>
      <c r="RRU70" s="4"/>
      <c r="RRV70" s="4"/>
      <c r="RRW70" s="4"/>
      <c r="RRX70" s="4"/>
      <c r="RRY70" s="4"/>
      <c r="RRZ70" s="4"/>
      <c r="RSA70" s="4"/>
      <c r="RSB70" s="4"/>
      <c r="RSC70" s="4"/>
      <c r="RSD70" s="4"/>
      <c r="RSE70" s="4"/>
      <c r="RSF70" s="4"/>
      <c r="RSG70" s="4"/>
      <c r="RSH70" s="4"/>
      <c r="RSI70" s="4"/>
      <c r="RSJ70" s="4"/>
      <c r="RSK70" s="4"/>
      <c r="RSL70" s="4"/>
      <c r="RSM70" s="4"/>
      <c r="RSN70" s="4"/>
      <c r="RSO70" s="4"/>
      <c r="RSP70" s="4"/>
      <c r="RSQ70" s="4"/>
      <c r="RSR70" s="4"/>
      <c r="RSS70" s="4"/>
      <c r="RST70" s="4"/>
      <c r="RSU70" s="4"/>
      <c r="RSV70" s="4"/>
      <c r="RSW70" s="4"/>
      <c r="RSX70" s="4"/>
      <c r="RSY70" s="4"/>
      <c r="RSZ70" s="4"/>
      <c r="RTA70" s="4"/>
      <c r="RTB70" s="4"/>
      <c r="RTC70" s="4"/>
      <c r="RTD70" s="4"/>
      <c r="RTE70" s="4"/>
      <c r="RTF70" s="4"/>
      <c r="RTG70" s="4"/>
      <c r="RTH70" s="4"/>
      <c r="RTI70" s="4"/>
      <c r="RTJ70" s="4"/>
      <c r="RTK70" s="4"/>
      <c r="RTL70" s="4"/>
      <c r="RTM70" s="4"/>
      <c r="RTN70" s="4"/>
      <c r="RTO70" s="4"/>
      <c r="RTP70" s="4"/>
      <c r="RTQ70" s="4"/>
      <c r="RTR70" s="4"/>
      <c r="RTS70" s="4"/>
      <c r="RTT70" s="4"/>
      <c r="RTU70" s="4"/>
      <c r="RTV70" s="4"/>
      <c r="RTW70" s="4"/>
      <c r="RTX70" s="4"/>
      <c r="RTY70" s="4"/>
      <c r="RTZ70" s="4"/>
      <c r="RUA70" s="4"/>
      <c r="RUB70" s="4"/>
      <c r="RUC70" s="4"/>
      <c r="RUD70" s="4"/>
      <c r="RUE70" s="4"/>
      <c r="RUF70" s="4"/>
      <c r="RUG70" s="4"/>
      <c r="RUH70" s="4"/>
      <c r="RUI70" s="4"/>
      <c r="RUJ70" s="4"/>
      <c r="RUK70" s="4"/>
      <c r="RUL70" s="4"/>
      <c r="RUM70" s="4"/>
      <c r="RUN70" s="4"/>
      <c r="RUO70" s="4"/>
      <c r="RUP70" s="4"/>
      <c r="RUQ70" s="4"/>
      <c r="RUR70" s="4"/>
      <c r="RUS70" s="4"/>
      <c r="RUT70" s="4"/>
      <c r="RUU70" s="4"/>
      <c r="RUV70" s="4"/>
      <c r="RUW70" s="4"/>
      <c r="RUX70" s="4"/>
      <c r="RUY70" s="4"/>
      <c r="RUZ70" s="4"/>
      <c r="RVA70" s="4"/>
      <c r="RVB70" s="4"/>
      <c r="RVC70" s="4"/>
      <c r="RVD70" s="4"/>
      <c r="RVE70" s="4"/>
      <c r="RVF70" s="4"/>
      <c r="RVG70" s="4"/>
      <c r="RVH70" s="4"/>
      <c r="RVI70" s="4"/>
      <c r="RVJ70" s="4"/>
      <c r="RVK70" s="4"/>
      <c r="RVL70" s="4"/>
      <c r="RVM70" s="4"/>
      <c r="RVN70" s="4"/>
      <c r="RVO70" s="4"/>
      <c r="RVP70" s="4"/>
      <c r="RVQ70" s="4"/>
      <c r="RVR70" s="4"/>
      <c r="RVS70" s="4"/>
      <c r="RVT70" s="4"/>
      <c r="RVU70" s="4"/>
      <c r="RVV70" s="4"/>
      <c r="RVW70" s="4"/>
      <c r="RVX70" s="4"/>
      <c r="RVY70" s="4"/>
      <c r="RVZ70" s="4"/>
      <c r="RWA70" s="4"/>
      <c r="RWB70" s="4"/>
      <c r="RWC70" s="4"/>
      <c r="RWD70" s="4"/>
      <c r="RWE70" s="4"/>
      <c r="RWF70" s="4"/>
      <c r="RWG70" s="4"/>
      <c r="RWH70" s="4"/>
      <c r="RWI70" s="4"/>
      <c r="RWJ70" s="4"/>
      <c r="RWK70" s="4"/>
      <c r="RWL70" s="4"/>
      <c r="RWM70" s="4"/>
      <c r="RWN70" s="4"/>
      <c r="RWO70" s="4"/>
      <c r="RWP70" s="4"/>
      <c r="RWQ70" s="4"/>
      <c r="RWR70" s="4"/>
      <c r="RWS70" s="4"/>
      <c r="RWT70" s="4"/>
      <c r="RWU70" s="4"/>
      <c r="RWV70" s="4"/>
      <c r="RWW70" s="4"/>
      <c r="RWX70" s="4"/>
      <c r="RWY70" s="4"/>
      <c r="RWZ70" s="4"/>
      <c r="RXA70" s="4"/>
      <c r="RXB70" s="4"/>
      <c r="RXC70" s="4"/>
      <c r="RXD70" s="4"/>
      <c r="RXE70" s="4"/>
      <c r="RXF70" s="4"/>
      <c r="RXG70" s="4"/>
      <c r="RXH70" s="4"/>
      <c r="RXI70" s="4"/>
      <c r="RXJ70" s="4"/>
      <c r="RXK70" s="4"/>
      <c r="RXL70" s="4"/>
      <c r="RXM70" s="4"/>
      <c r="RXN70" s="4"/>
      <c r="RXO70" s="4"/>
      <c r="RXP70" s="4"/>
      <c r="RXQ70" s="4"/>
      <c r="RXR70" s="4"/>
      <c r="RXS70" s="4"/>
      <c r="RXT70" s="4"/>
      <c r="RXU70" s="4"/>
      <c r="RXV70" s="4"/>
      <c r="RXW70" s="4"/>
      <c r="RXX70" s="4"/>
      <c r="RXY70" s="4"/>
      <c r="RXZ70" s="4"/>
      <c r="RYA70" s="4"/>
      <c r="RYB70" s="4"/>
      <c r="RYC70" s="4"/>
      <c r="RYD70" s="4"/>
      <c r="RYE70" s="4"/>
      <c r="RYF70" s="4"/>
      <c r="RYG70" s="4"/>
      <c r="RYH70" s="4"/>
      <c r="RYI70" s="4"/>
      <c r="RYJ70" s="4"/>
      <c r="RYK70" s="4"/>
      <c r="RYL70" s="4"/>
      <c r="RYM70" s="4"/>
      <c r="RYN70" s="4"/>
      <c r="RYO70" s="4"/>
      <c r="RYP70" s="4"/>
      <c r="RYQ70" s="4"/>
      <c r="RYR70" s="4"/>
      <c r="RYS70" s="4"/>
      <c r="RYT70" s="4"/>
      <c r="RYU70" s="4"/>
      <c r="RYV70" s="4"/>
      <c r="RYW70" s="4"/>
      <c r="RYX70" s="4"/>
      <c r="RYY70" s="4"/>
      <c r="RYZ70" s="4"/>
      <c r="RZA70" s="4"/>
      <c r="RZB70" s="4"/>
      <c r="RZC70" s="4"/>
      <c r="RZD70" s="4"/>
      <c r="RZE70" s="4"/>
      <c r="RZF70" s="4"/>
      <c r="RZG70" s="4"/>
      <c r="RZH70" s="4"/>
      <c r="RZI70" s="4"/>
      <c r="RZJ70" s="4"/>
      <c r="RZK70" s="4"/>
      <c r="RZL70" s="4"/>
      <c r="RZM70" s="4"/>
      <c r="RZN70" s="4"/>
      <c r="RZO70" s="4"/>
      <c r="RZP70" s="4"/>
      <c r="RZQ70" s="4"/>
      <c r="RZR70" s="4"/>
      <c r="RZS70" s="4"/>
      <c r="RZT70" s="4"/>
      <c r="RZU70" s="4"/>
      <c r="RZV70" s="4"/>
      <c r="RZW70" s="4"/>
      <c r="RZX70" s="4"/>
      <c r="RZY70" s="4"/>
      <c r="RZZ70" s="4"/>
      <c r="SAA70" s="4"/>
      <c r="SAB70" s="4"/>
      <c r="SAC70" s="4"/>
      <c r="SAD70" s="4"/>
      <c r="SAE70" s="4"/>
      <c r="SAF70" s="4"/>
      <c r="SAG70" s="4"/>
      <c r="SAH70" s="4"/>
      <c r="SAI70" s="4"/>
      <c r="SAJ70" s="4"/>
      <c r="SAK70" s="4"/>
      <c r="SAL70" s="4"/>
      <c r="SAM70" s="4"/>
      <c r="SAN70" s="4"/>
      <c r="SAO70" s="4"/>
      <c r="SAP70" s="4"/>
      <c r="SAQ70" s="4"/>
      <c r="SAR70" s="4"/>
      <c r="SAS70" s="4"/>
      <c r="SAT70" s="4"/>
      <c r="SAU70" s="4"/>
      <c r="SAV70" s="4"/>
      <c r="SAW70" s="4"/>
      <c r="SAX70" s="4"/>
      <c r="SAY70" s="4"/>
      <c r="SAZ70" s="4"/>
      <c r="SBA70" s="4"/>
      <c r="SBB70" s="4"/>
      <c r="SBC70" s="4"/>
      <c r="SBD70" s="4"/>
      <c r="SBE70" s="4"/>
      <c r="SBF70" s="4"/>
      <c r="SBG70" s="4"/>
      <c r="SBH70" s="4"/>
      <c r="SBI70" s="4"/>
      <c r="SBJ70" s="4"/>
      <c r="SBK70" s="4"/>
      <c r="SBL70" s="4"/>
      <c r="SBM70" s="4"/>
      <c r="SBN70" s="4"/>
      <c r="SBO70" s="4"/>
      <c r="SBP70" s="4"/>
      <c r="SBQ70" s="4"/>
      <c r="SBR70" s="4"/>
      <c r="SBS70" s="4"/>
      <c r="SBT70" s="4"/>
      <c r="SBU70" s="4"/>
      <c r="SBV70" s="4"/>
      <c r="SBW70" s="4"/>
      <c r="SBX70" s="4"/>
      <c r="SBY70" s="4"/>
      <c r="SBZ70" s="4"/>
      <c r="SCA70" s="4"/>
      <c r="SCB70" s="4"/>
      <c r="SCC70" s="4"/>
      <c r="SCD70" s="4"/>
      <c r="SCE70" s="4"/>
      <c r="SCF70" s="4"/>
      <c r="SCG70" s="4"/>
      <c r="SCH70" s="4"/>
      <c r="SCI70" s="4"/>
      <c r="SCJ70" s="4"/>
      <c r="SCK70" s="4"/>
      <c r="SCL70" s="4"/>
      <c r="SCM70" s="4"/>
      <c r="SCN70" s="4"/>
      <c r="SCO70" s="4"/>
      <c r="SCP70" s="4"/>
      <c r="SCQ70" s="4"/>
      <c r="SCR70" s="4"/>
      <c r="SCS70" s="4"/>
      <c r="SCT70" s="4"/>
      <c r="SCU70" s="4"/>
      <c r="SCV70" s="4"/>
      <c r="SCW70" s="4"/>
      <c r="SCX70" s="4"/>
      <c r="SCY70" s="4"/>
      <c r="SCZ70" s="4"/>
      <c r="SDA70" s="4"/>
      <c r="SDB70" s="4"/>
      <c r="SDC70" s="4"/>
      <c r="SDD70" s="4"/>
      <c r="SDE70" s="4"/>
      <c r="SDF70" s="4"/>
      <c r="SDG70" s="4"/>
      <c r="SDH70" s="4"/>
      <c r="SDI70" s="4"/>
      <c r="SDJ70" s="4"/>
      <c r="SDK70" s="4"/>
      <c r="SDL70" s="4"/>
      <c r="SDM70" s="4"/>
      <c r="SDN70" s="4"/>
      <c r="SDO70" s="4"/>
      <c r="SDP70" s="4"/>
      <c r="SDQ70" s="4"/>
      <c r="SDR70" s="4"/>
      <c r="SDS70" s="4"/>
      <c r="SDT70" s="4"/>
      <c r="SDU70" s="4"/>
      <c r="SDV70" s="4"/>
      <c r="SDW70" s="4"/>
      <c r="SDX70" s="4"/>
      <c r="SDY70" s="4"/>
      <c r="SDZ70" s="4"/>
      <c r="SEA70" s="4"/>
      <c r="SEB70" s="4"/>
      <c r="SEC70" s="4"/>
      <c r="SED70" s="4"/>
      <c r="SEE70" s="4"/>
      <c r="SEF70" s="4"/>
      <c r="SEG70" s="4"/>
      <c r="SEH70" s="4"/>
      <c r="SEI70" s="4"/>
      <c r="SEJ70" s="4"/>
      <c r="SEK70" s="4"/>
      <c r="SEL70" s="4"/>
      <c r="SEM70" s="4"/>
      <c r="SEN70" s="4"/>
      <c r="SEO70" s="4"/>
      <c r="SEP70" s="4"/>
      <c r="SEQ70" s="4"/>
      <c r="SER70" s="4"/>
      <c r="SES70" s="4"/>
      <c r="SET70" s="4"/>
      <c r="SEU70" s="4"/>
      <c r="SEV70" s="4"/>
      <c r="SEW70" s="4"/>
      <c r="SEX70" s="4"/>
      <c r="SEY70" s="4"/>
      <c r="SEZ70" s="4"/>
      <c r="SFA70" s="4"/>
      <c r="SFB70" s="4"/>
      <c r="SFC70" s="4"/>
      <c r="SFD70" s="4"/>
      <c r="SFE70" s="4"/>
      <c r="SFF70" s="4"/>
      <c r="SFG70" s="4"/>
      <c r="SFH70" s="4"/>
      <c r="SFI70" s="4"/>
      <c r="SFJ70" s="4"/>
      <c r="SFK70" s="4"/>
      <c r="SFL70" s="4"/>
      <c r="SFM70" s="4"/>
      <c r="SFN70" s="4"/>
      <c r="SFO70" s="4"/>
      <c r="SFP70" s="4"/>
      <c r="SFQ70" s="4"/>
      <c r="SFR70" s="4"/>
      <c r="SFS70" s="4"/>
      <c r="SFT70" s="4"/>
      <c r="SFU70" s="4"/>
      <c r="SFV70" s="4"/>
      <c r="SFW70" s="4"/>
      <c r="SFX70" s="4"/>
      <c r="SFY70" s="4"/>
      <c r="SFZ70" s="4"/>
      <c r="SGA70" s="4"/>
      <c r="SGB70" s="4"/>
      <c r="SGC70" s="4"/>
      <c r="SGD70" s="4"/>
      <c r="SGE70" s="4"/>
      <c r="SGF70" s="4"/>
      <c r="SGG70" s="4"/>
      <c r="SGH70" s="4"/>
      <c r="SGI70" s="4"/>
      <c r="SGJ70" s="4"/>
      <c r="SGK70" s="4"/>
      <c r="SGL70" s="4"/>
      <c r="SGM70" s="4"/>
      <c r="SGN70" s="4"/>
      <c r="SGO70" s="4"/>
      <c r="SGP70" s="4"/>
      <c r="SGQ70" s="4"/>
      <c r="SGR70" s="4"/>
      <c r="SGS70" s="4"/>
      <c r="SGT70" s="4"/>
      <c r="SGU70" s="4"/>
      <c r="SGV70" s="4"/>
      <c r="SGW70" s="4"/>
      <c r="SGX70" s="4"/>
      <c r="SGY70" s="4"/>
      <c r="SGZ70" s="4"/>
      <c r="SHA70" s="4"/>
      <c r="SHB70" s="4"/>
      <c r="SHC70" s="4"/>
      <c r="SHD70" s="4"/>
      <c r="SHE70" s="4"/>
      <c r="SHF70" s="4"/>
      <c r="SHG70" s="4"/>
      <c r="SHH70" s="4"/>
      <c r="SHI70" s="4"/>
      <c r="SHJ70" s="4"/>
      <c r="SHK70" s="4"/>
      <c r="SHL70" s="4"/>
      <c r="SHM70" s="4"/>
      <c r="SHN70" s="4"/>
      <c r="SHO70" s="4"/>
      <c r="SHP70" s="4"/>
      <c r="SHQ70" s="4"/>
      <c r="SHR70" s="4"/>
      <c r="SHS70" s="4"/>
      <c r="SHT70" s="4"/>
      <c r="SHU70" s="4"/>
      <c r="SHV70" s="4"/>
      <c r="SHW70" s="4"/>
      <c r="SHX70" s="4"/>
      <c r="SHY70" s="4"/>
      <c r="SHZ70" s="4"/>
      <c r="SIA70" s="4"/>
      <c r="SIB70" s="4"/>
      <c r="SIC70" s="4"/>
      <c r="SID70" s="4"/>
      <c r="SIE70" s="4"/>
      <c r="SIF70" s="4"/>
      <c r="SIG70" s="4"/>
      <c r="SIH70" s="4"/>
      <c r="SII70" s="4"/>
      <c r="SIJ70" s="4"/>
      <c r="SIK70" s="4"/>
      <c r="SIL70" s="4"/>
      <c r="SIM70" s="4"/>
      <c r="SIN70" s="4"/>
      <c r="SIO70" s="4"/>
      <c r="SIP70" s="4"/>
      <c r="SIQ70" s="4"/>
      <c r="SIR70" s="4"/>
      <c r="SIS70" s="4"/>
      <c r="SIT70" s="4"/>
      <c r="SIU70" s="4"/>
      <c r="SIV70" s="4"/>
      <c r="SIW70" s="4"/>
      <c r="SIX70" s="4"/>
      <c r="SIY70" s="4"/>
      <c r="SIZ70" s="4"/>
      <c r="SJA70" s="4"/>
      <c r="SJB70" s="4"/>
      <c r="SJC70" s="4"/>
      <c r="SJD70" s="4"/>
      <c r="SJE70" s="4"/>
      <c r="SJF70" s="4"/>
      <c r="SJG70" s="4"/>
      <c r="SJH70" s="4"/>
      <c r="SJI70" s="4"/>
      <c r="SJJ70" s="4"/>
      <c r="SJK70" s="4"/>
      <c r="SJL70" s="4"/>
      <c r="SJM70" s="4"/>
      <c r="SJN70" s="4"/>
      <c r="SJO70" s="4"/>
      <c r="SJP70" s="4"/>
      <c r="SJQ70" s="4"/>
      <c r="SJR70" s="4"/>
      <c r="SJS70" s="4"/>
      <c r="SJT70" s="4"/>
      <c r="SJU70" s="4"/>
      <c r="SJV70" s="4"/>
      <c r="SJW70" s="4"/>
      <c r="SJX70" s="4"/>
      <c r="SJY70" s="4"/>
      <c r="SJZ70" s="4"/>
      <c r="SKA70" s="4"/>
      <c r="SKB70" s="4"/>
      <c r="SKC70" s="4"/>
      <c r="SKD70" s="4"/>
      <c r="SKE70" s="4"/>
      <c r="SKF70" s="4"/>
      <c r="SKG70" s="4"/>
      <c r="SKH70" s="4"/>
      <c r="SKI70" s="4"/>
      <c r="SKJ70" s="4"/>
      <c r="SKK70" s="4"/>
      <c r="SKL70" s="4"/>
      <c r="SKM70" s="4"/>
      <c r="SKN70" s="4"/>
      <c r="SKO70" s="4"/>
      <c r="SKP70" s="4"/>
      <c r="SKQ70" s="4"/>
      <c r="SKR70" s="4"/>
      <c r="SKS70" s="4"/>
      <c r="SKT70" s="4"/>
      <c r="SKU70" s="4"/>
      <c r="SKV70" s="4"/>
      <c r="SKW70" s="4"/>
      <c r="SKX70" s="4"/>
      <c r="SKY70" s="4"/>
      <c r="SKZ70" s="4"/>
      <c r="SLA70" s="4"/>
      <c r="SLB70" s="4"/>
      <c r="SLC70" s="4"/>
      <c r="SLD70" s="4"/>
      <c r="SLE70" s="4"/>
      <c r="SLF70" s="4"/>
      <c r="SLG70" s="4"/>
      <c r="SLH70" s="4"/>
      <c r="SLI70" s="4"/>
      <c r="SLJ70" s="4"/>
      <c r="SLK70" s="4"/>
      <c r="SLL70" s="4"/>
      <c r="SLM70" s="4"/>
      <c r="SLN70" s="4"/>
      <c r="SLO70" s="4"/>
      <c r="SLP70" s="4"/>
      <c r="SLQ70" s="4"/>
      <c r="SLR70" s="4"/>
      <c r="SLS70" s="4"/>
      <c r="SLT70" s="4"/>
      <c r="SLU70" s="4"/>
      <c r="SLV70" s="4"/>
      <c r="SLW70" s="4"/>
      <c r="SLX70" s="4"/>
      <c r="SLY70" s="4"/>
      <c r="SLZ70" s="4"/>
      <c r="SMA70" s="4"/>
      <c r="SMB70" s="4"/>
      <c r="SMC70" s="4"/>
      <c r="SMD70" s="4"/>
      <c r="SME70" s="4"/>
      <c r="SMF70" s="4"/>
      <c r="SMG70" s="4"/>
      <c r="SMH70" s="4"/>
      <c r="SMI70" s="4"/>
      <c r="SMJ70" s="4"/>
      <c r="SMK70" s="4"/>
      <c r="SML70" s="4"/>
      <c r="SMM70" s="4"/>
      <c r="SMN70" s="4"/>
      <c r="SMO70" s="4"/>
      <c r="SMP70" s="4"/>
      <c r="SMQ70" s="4"/>
      <c r="SMR70" s="4"/>
      <c r="SMS70" s="4"/>
      <c r="SMT70" s="4"/>
      <c r="SMU70" s="4"/>
      <c r="SMV70" s="4"/>
      <c r="SMW70" s="4"/>
      <c r="SMX70" s="4"/>
      <c r="SMY70" s="4"/>
      <c r="SMZ70" s="4"/>
      <c r="SNA70" s="4"/>
      <c r="SNB70" s="4"/>
      <c r="SNC70" s="4"/>
      <c r="SND70" s="4"/>
      <c r="SNE70" s="4"/>
      <c r="SNF70" s="4"/>
      <c r="SNG70" s="4"/>
      <c r="SNH70" s="4"/>
      <c r="SNI70" s="4"/>
      <c r="SNJ70" s="4"/>
      <c r="SNK70" s="4"/>
      <c r="SNL70" s="4"/>
      <c r="SNM70" s="4"/>
      <c r="SNN70" s="4"/>
      <c r="SNO70" s="4"/>
      <c r="SNP70" s="4"/>
      <c r="SNQ70" s="4"/>
      <c r="SNR70" s="4"/>
      <c r="SNS70" s="4"/>
      <c r="SNT70" s="4"/>
      <c r="SNU70" s="4"/>
      <c r="SNV70" s="4"/>
      <c r="SNW70" s="4"/>
      <c r="SNX70" s="4"/>
      <c r="SNY70" s="4"/>
      <c r="SNZ70" s="4"/>
      <c r="SOA70" s="4"/>
      <c r="SOB70" s="4"/>
      <c r="SOC70" s="4"/>
      <c r="SOD70" s="4"/>
      <c r="SOE70" s="4"/>
      <c r="SOF70" s="4"/>
      <c r="SOG70" s="4"/>
      <c r="SOH70" s="4"/>
      <c r="SOI70" s="4"/>
      <c r="SOJ70" s="4"/>
      <c r="SOK70" s="4"/>
      <c r="SOL70" s="4"/>
      <c r="SOM70" s="4"/>
      <c r="SON70" s="4"/>
      <c r="SOO70" s="4"/>
      <c r="SOP70" s="4"/>
      <c r="SOQ70" s="4"/>
      <c r="SOR70" s="4"/>
      <c r="SOS70" s="4"/>
      <c r="SOT70" s="4"/>
      <c r="SOU70" s="4"/>
      <c r="SOV70" s="4"/>
      <c r="SOW70" s="4"/>
      <c r="SOX70" s="4"/>
      <c r="SOY70" s="4"/>
      <c r="SOZ70" s="4"/>
      <c r="SPA70" s="4"/>
      <c r="SPB70" s="4"/>
      <c r="SPC70" s="4"/>
      <c r="SPD70" s="4"/>
      <c r="SPE70" s="4"/>
      <c r="SPF70" s="4"/>
      <c r="SPG70" s="4"/>
      <c r="SPH70" s="4"/>
      <c r="SPI70" s="4"/>
      <c r="SPJ70" s="4"/>
      <c r="SPK70" s="4"/>
      <c r="SPL70" s="4"/>
      <c r="SPM70" s="4"/>
      <c r="SPN70" s="4"/>
      <c r="SPO70" s="4"/>
      <c r="SPP70" s="4"/>
      <c r="SPQ70" s="4"/>
      <c r="SPR70" s="4"/>
      <c r="SPS70" s="4"/>
      <c r="SPT70" s="4"/>
      <c r="SPU70" s="4"/>
      <c r="SPV70" s="4"/>
      <c r="SPW70" s="4"/>
      <c r="SPX70" s="4"/>
      <c r="SPY70" s="4"/>
      <c r="SPZ70" s="4"/>
      <c r="SQA70" s="4"/>
      <c r="SQB70" s="4"/>
      <c r="SQC70" s="4"/>
      <c r="SQD70" s="4"/>
      <c r="SQE70" s="4"/>
      <c r="SQF70" s="4"/>
      <c r="SQG70" s="4"/>
      <c r="SQH70" s="4"/>
      <c r="SQI70" s="4"/>
      <c r="SQJ70" s="4"/>
      <c r="SQK70" s="4"/>
      <c r="SQL70" s="4"/>
      <c r="SQM70" s="4"/>
      <c r="SQN70" s="4"/>
      <c r="SQO70" s="4"/>
      <c r="SQP70" s="4"/>
      <c r="SQQ70" s="4"/>
      <c r="SQR70" s="4"/>
      <c r="SQS70" s="4"/>
      <c r="SQT70" s="4"/>
      <c r="SQU70" s="4"/>
      <c r="SQV70" s="4"/>
      <c r="SQW70" s="4"/>
      <c r="SQX70" s="4"/>
      <c r="SQY70" s="4"/>
      <c r="SQZ70" s="4"/>
      <c r="SRA70" s="4"/>
      <c r="SRB70" s="4"/>
      <c r="SRC70" s="4"/>
      <c r="SRD70" s="4"/>
      <c r="SRE70" s="4"/>
      <c r="SRF70" s="4"/>
      <c r="SRG70" s="4"/>
      <c r="SRH70" s="4"/>
      <c r="SRI70" s="4"/>
      <c r="SRJ70" s="4"/>
      <c r="SRK70" s="4"/>
      <c r="SRL70" s="4"/>
      <c r="SRM70" s="4"/>
      <c r="SRN70" s="4"/>
      <c r="SRO70" s="4"/>
      <c r="SRP70" s="4"/>
      <c r="SRQ70" s="4"/>
      <c r="SRR70" s="4"/>
      <c r="SRS70" s="4"/>
      <c r="SRT70" s="4"/>
      <c r="SRU70" s="4"/>
      <c r="SRV70" s="4"/>
      <c r="SRW70" s="4"/>
      <c r="SRX70" s="4"/>
      <c r="SRY70" s="4"/>
      <c r="SRZ70" s="4"/>
      <c r="SSA70" s="4"/>
      <c r="SSB70" s="4"/>
      <c r="SSC70" s="4"/>
      <c r="SSD70" s="4"/>
      <c r="SSE70" s="4"/>
      <c r="SSF70" s="4"/>
      <c r="SSG70" s="4"/>
      <c r="SSH70" s="4"/>
      <c r="SSI70" s="4"/>
      <c r="SSJ70" s="4"/>
      <c r="SSK70" s="4"/>
      <c r="SSL70" s="4"/>
      <c r="SSM70" s="4"/>
      <c r="SSN70" s="4"/>
      <c r="SSO70" s="4"/>
      <c r="SSP70" s="4"/>
      <c r="SSQ70" s="4"/>
      <c r="SSR70" s="4"/>
      <c r="SSS70" s="4"/>
      <c r="SST70" s="4"/>
      <c r="SSU70" s="4"/>
      <c r="SSV70" s="4"/>
      <c r="SSW70" s="4"/>
      <c r="SSX70" s="4"/>
      <c r="SSY70" s="4"/>
      <c r="SSZ70" s="4"/>
      <c r="STA70" s="4"/>
      <c r="STB70" s="4"/>
      <c r="STC70" s="4"/>
      <c r="STD70" s="4"/>
      <c r="STE70" s="4"/>
      <c r="STF70" s="4"/>
      <c r="STG70" s="4"/>
      <c r="STH70" s="4"/>
      <c r="STI70" s="4"/>
      <c r="STJ70" s="4"/>
      <c r="STK70" s="4"/>
      <c r="STL70" s="4"/>
      <c r="STM70" s="4"/>
      <c r="STN70" s="4"/>
      <c r="STO70" s="4"/>
      <c r="STP70" s="4"/>
      <c r="STQ70" s="4"/>
      <c r="STR70" s="4"/>
      <c r="STS70" s="4"/>
      <c r="STT70" s="4"/>
      <c r="STU70" s="4"/>
      <c r="STV70" s="4"/>
      <c r="STW70" s="4"/>
      <c r="STX70" s="4"/>
      <c r="STY70" s="4"/>
      <c r="STZ70" s="4"/>
      <c r="SUA70" s="4"/>
      <c r="SUB70" s="4"/>
      <c r="SUC70" s="4"/>
      <c r="SUD70" s="4"/>
      <c r="SUE70" s="4"/>
      <c r="SUF70" s="4"/>
      <c r="SUG70" s="4"/>
      <c r="SUH70" s="4"/>
      <c r="SUI70" s="4"/>
      <c r="SUJ70" s="4"/>
      <c r="SUK70" s="4"/>
      <c r="SUL70" s="4"/>
      <c r="SUM70" s="4"/>
      <c r="SUN70" s="4"/>
      <c r="SUO70" s="4"/>
      <c r="SUP70" s="4"/>
      <c r="SUQ70" s="4"/>
      <c r="SUR70" s="4"/>
      <c r="SUS70" s="4"/>
      <c r="SUT70" s="4"/>
      <c r="SUU70" s="4"/>
      <c r="SUV70" s="4"/>
      <c r="SUW70" s="4"/>
      <c r="SUX70" s="4"/>
      <c r="SUY70" s="4"/>
      <c r="SUZ70" s="4"/>
      <c r="SVA70" s="4"/>
      <c r="SVB70" s="4"/>
      <c r="SVC70" s="4"/>
      <c r="SVD70" s="4"/>
      <c r="SVE70" s="4"/>
      <c r="SVF70" s="4"/>
      <c r="SVG70" s="4"/>
      <c r="SVH70" s="4"/>
      <c r="SVI70" s="4"/>
      <c r="SVJ70" s="4"/>
      <c r="SVK70" s="4"/>
      <c r="SVL70" s="4"/>
      <c r="SVM70" s="4"/>
      <c r="SVN70" s="4"/>
      <c r="SVO70" s="4"/>
      <c r="SVP70" s="4"/>
      <c r="SVQ70" s="4"/>
      <c r="SVR70" s="4"/>
      <c r="SVS70" s="4"/>
      <c r="SVT70" s="4"/>
      <c r="SVU70" s="4"/>
      <c r="SVV70" s="4"/>
      <c r="SVW70" s="4"/>
      <c r="SVX70" s="4"/>
      <c r="SVY70" s="4"/>
      <c r="SVZ70" s="4"/>
      <c r="SWA70" s="4"/>
      <c r="SWB70" s="4"/>
      <c r="SWC70" s="4"/>
      <c r="SWD70" s="4"/>
      <c r="SWE70" s="4"/>
      <c r="SWF70" s="4"/>
      <c r="SWG70" s="4"/>
      <c r="SWH70" s="4"/>
      <c r="SWI70" s="4"/>
      <c r="SWJ70" s="4"/>
      <c r="SWK70" s="4"/>
      <c r="SWL70" s="4"/>
      <c r="SWM70" s="4"/>
      <c r="SWN70" s="4"/>
      <c r="SWO70" s="4"/>
      <c r="SWP70" s="4"/>
      <c r="SWQ70" s="4"/>
      <c r="SWR70" s="4"/>
      <c r="SWS70" s="4"/>
      <c r="SWT70" s="4"/>
      <c r="SWU70" s="4"/>
      <c r="SWV70" s="4"/>
      <c r="SWW70" s="4"/>
      <c r="SWX70" s="4"/>
      <c r="SWY70" s="4"/>
      <c r="SWZ70" s="4"/>
      <c r="SXA70" s="4"/>
      <c r="SXB70" s="4"/>
      <c r="SXC70" s="4"/>
      <c r="SXD70" s="4"/>
      <c r="SXE70" s="4"/>
      <c r="SXF70" s="4"/>
      <c r="SXG70" s="4"/>
      <c r="SXH70" s="4"/>
      <c r="SXI70" s="4"/>
      <c r="SXJ70" s="4"/>
      <c r="SXK70" s="4"/>
      <c r="SXL70" s="4"/>
      <c r="SXM70" s="4"/>
      <c r="SXN70" s="4"/>
      <c r="SXO70" s="4"/>
      <c r="SXP70" s="4"/>
      <c r="SXQ70" s="4"/>
      <c r="SXR70" s="4"/>
      <c r="SXS70" s="4"/>
      <c r="SXT70" s="4"/>
      <c r="SXU70" s="4"/>
      <c r="SXV70" s="4"/>
      <c r="SXW70" s="4"/>
      <c r="SXX70" s="4"/>
      <c r="SXY70" s="4"/>
      <c r="SXZ70" s="4"/>
      <c r="SYA70" s="4"/>
      <c r="SYB70" s="4"/>
      <c r="SYC70" s="4"/>
      <c r="SYD70" s="4"/>
      <c r="SYE70" s="4"/>
      <c r="SYF70" s="4"/>
      <c r="SYG70" s="4"/>
      <c r="SYH70" s="4"/>
      <c r="SYI70" s="4"/>
      <c r="SYJ70" s="4"/>
      <c r="SYK70" s="4"/>
      <c r="SYL70" s="4"/>
      <c r="SYM70" s="4"/>
      <c r="SYN70" s="4"/>
      <c r="SYO70" s="4"/>
      <c r="SYP70" s="4"/>
      <c r="SYQ70" s="4"/>
      <c r="SYR70" s="4"/>
      <c r="SYS70" s="4"/>
      <c r="SYT70" s="4"/>
      <c r="SYU70" s="4"/>
      <c r="SYV70" s="4"/>
      <c r="SYW70" s="4"/>
      <c r="SYX70" s="4"/>
      <c r="SYY70" s="4"/>
      <c r="SYZ70" s="4"/>
      <c r="SZA70" s="4"/>
      <c r="SZB70" s="4"/>
      <c r="SZC70" s="4"/>
      <c r="SZD70" s="4"/>
      <c r="SZE70" s="4"/>
      <c r="SZF70" s="4"/>
      <c r="SZG70" s="4"/>
      <c r="SZH70" s="4"/>
      <c r="SZI70" s="4"/>
      <c r="SZJ70" s="4"/>
      <c r="SZK70" s="4"/>
      <c r="SZL70" s="4"/>
      <c r="SZM70" s="4"/>
      <c r="SZN70" s="4"/>
      <c r="SZO70" s="4"/>
      <c r="SZP70" s="4"/>
      <c r="SZQ70" s="4"/>
      <c r="SZR70" s="4"/>
      <c r="SZS70" s="4"/>
      <c r="SZT70" s="4"/>
      <c r="SZU70" s="4"/>
      <c r="SZV70" s="4"/>
      <c r="SZW70" s="4"/>
      <c r="SZX70" s="4"/>
      <c r="SZY70" s="4"/>
      <c r="SZZ70" s="4"/>
      <c r="TAA70" s="4"/>
      <c r="TAB70" s="4"/>
      <c r="TAC70" s="4"/>
      <c r="TAD70" s="4"/>
      <c r="TAE70" s="4"/>
      <c r="TAF70" s="4"/>
      <c r="TAG70" s="4"/>
      <c r="TAH70" s="4"/>
      <c r="TAI70" s="4"/>
      <c r="TAJ70" s="4"/>
      <c r="TAK70" s="4"/>
      <c r="TAL70" s="4"/>
      <c r="TAM70" s="4"/>
      <c r="TAN70" s="4"/>
      <c r="TAO70" s="4"/>
      <c r="TAP70" s="4"/>
      <c r="TAQ70" s="4"/>
      <c r="TAR70" s="4"/>
      <c r="TAS70" s="4"/>
      <c r="TAT70" s="4"/>
      <c r="TAU70" s="4"/>
      <c r="TAV70" s="4"/>
      <c r="TAW70" s="4"/>
      <c r="TAX70" s="4"/>
      <c r="TAY70" s="4"/>
      <c r="TAZ70" s="4"/>
      <c r="TBA70" s="4"/>
      <c r="TBB70" s="4"/>
      <c r="TBC70" s="4"/>
      <c r="TBD70" s="4"/>
      <c r="TBE70" s="4"/>
      <c r="TBF70" s="4"/>
      <c r="TBG70" s="4"/>
      <c r="TBH70" s="4"/>
      <c r="TBI70" s="4"/>
      <c r="TBJ70" s="4"/>
      <c r="TBK70" s="4"/>
      <c r="TBL70" s="4"/>
      <c r="TBM70" s="4"/>
      <c r="TBN70" s="4"/>
      <c r="TBO70" s="4"/>
      <c r="TBP70" s="4"/>
      <c r="TBQ70" s="4"/>
      <c r="TBR70" s="4"/>
      <c r="TBS70" s="4"/>
      <c r="TBT70" s="4"/>
      <c r="TBU70" s="4"/>
      <c r="TBV70" s="4"/>
      <c r="TBW70" s="4"/>
      <c r="TBX70" s="4"/>
      <c r="TBY70" s="4"/>
      <c r="TBZ70" s="4"/>
      <c r="TCA70" s="4"/>
      <c r="TCB70" s="4"/>
      <c r="TCC70" s="4"/>
      <c r="TCD70" s="4"/>
      <c r="TCE70" s="4"/>
      <c r="TCF70" s="4"/>
      <c r="TCG70" s="4"/>
      <c r="TCH70" s="4"/>
      <c r="TCI70" s="4"/>
      <c r="TCJ70" s="4"/>
      <c r="TCK70" s="4"/>
      <c r="TCL70" s="4"/>
      <c r="TCM70" s="4"/>
      <c r="TCN70" s="4"/>
      <c r="TCO70" s="4"/>
      <c r="TCP70" s="4"/>
      <c r="TCQ70" s="4"/>
      <c r="TCR70" s="4"/>
      <c r="TCS70" s="4"/>
      <c r="TCT70" s="4"/>
      <c r="TCU70" s="4"/>
      <c r="TCV70" s="4"/>
      <c r="TCW70" s="4"/>
      <c r="TCX70" s="4"/>
      <c r="TCY70" s="4"/>
      <c r="TCZ70" s="4"/>
      <c r="TDA70" s="4"/>
      <c r="TDB70" s="4"/>
      <c r="TDC70" s="4"/>
      <c r="TDD70" s="4"/>
      <c r="TDE70" s="4"/>
      <c r="TDF70" s="4"/>
      <c r="TDG70" s="4"/>
      <c r="TDH70" s="4"/>
      <c r="TDI70" s="4"/>
      <c r="TDJ70" s="4"/>
      <c r="TDK70" s="4"/>
      <c r="TDL70" s="4"/>
      <c r="TDM70" s="4"/>
      <c r="TDN70" s="4"/>
      <c r="TDO70" s="4"/>
      <c r="TDP70" s="4"/>
      <c r="TDQ70" s="4"/>
      <c r="TDR70" s="4"/>
      <c r="TDS70" s="4"/>
      <c r="TDT70" s="4"/>
      <c r="TDU70" s="4"/>
      <c r="TDV70" s="4"/>
      <c r="TDW70" s="4"/>
      <c r="TDX70" s="4"/>
      <c r="TDY70" s="4"/>
      <c r="TDZ70" s="4"/>
      <c r="TEA70" s="4"/>
      <c r="TEB70" s="4"/>
      <c r="TEC70" s="4"/>
      <c r="TED70" s="4"/>
      <c r="TEE70" s="4"/>
      <c r="TEF70" s="4"/>
      <c r="TEG70" s="4"/>
      <c r="TEH70" s="4"/>
      <c r="TEI70" s="4"/>
      <c r="TEJ70" s="4"/>
      <c r="TEK70" s="4"/>
      <c r="TEL70" s="4"/>
      <c r="TEM70" s="4"/>
      <c r="TEN70" s="4"/>
      <c r="TEO70" s="4"/>
      <c r="TEP70" s="4"/>
      <c r="TEQ70" s="4"/>
      <c r="TER70" s="4"/>
      <c r="TES70" s="4"/>
      <c r="TET70" s="4"/>
      <c r="TEU70" s="4"/>
      <c r="TEV70" s="4"/>
      <c r="TEW70" s="4"/>
      <c r="TEX70" s="4"/>
      <c r="TEY70" s="4"/>
      <c r="TEZ70" s="4"/>
      <c r="TFA70" s="4"/>
      <c r="TFB70" s="4"/>
      <c r="TFC70" s="4"/>
      <c r="TFD70" s="4"/>
      <c r="TFE70" s="4"/>
      <c r="TFF70" s="4"/>
      <c r="TFG70" s="4"/>
      <c r="TFH70" s="4"/>
      <c r="TFI70" s="4"/>
      <c r="TFJ70" s="4"/>
      <c r="TFK70" s="4"/>
      <c r="TFL70" s="4"/>
      <c r="TFM70" s="4"/>
      <c r="TFN70" s="4"/>
      <c r="TFO70" s="4"/>
      <c r="TFP70" s="4"/>
      <c r="TFQ70" s="4"/>
      <c r="TFR70" s="4"/>
      <c r="TFS70" s="4"/>
      <c r="TFT70" s="4"/>
      <c r="TFU70" s="4"/>
      <c r="TFV70" s="4"/>
      <c r="TFW70" s="4"/>
      <c r="TFX70" s="4"/>
      <c r="TFY70" s="4"/>
      <c r="TFZ70" s="4"/>
      <c r="TGA70" s="4"/>
      <c r="TGB70" s="4"/>
      <c r="TGC70" s="4"/>
      <c r="TGD70" s="4"/>
      <c r="TGE70" s="4"/>
      <c r="TGF70" s="4"/>
      <c r="TGG70" s="4"/>
      <c r="TGH70" s="4"/>
      <c r="TGI70" s="4"/>
      <c r="TGJ70" s="4"/>
      <c r="TGK70" s="4"/>
      <c r="TGL70" s="4"/>
      <c r="TGM70" s="4"/>
      <c r="TGN70" s="4"/>
      <c r="TGO70" s="4"/>
      <c r="TGP70" s="4"/>
      <c r="TGQ70" s="4"/>
      <c r="TGR70" s="4"/>
      <c r="TGS70" s="4"/>
      <c r="TGT70" s="4"/>
      <c r="TGU70" s="4"/>
      <c r="TGV70" s="4"/>
      <c r="TGW70" s="4"/>
      <c r="TGX70" s="4"/>
      <c r="TGY70" s="4"/>
      <c r="TGZ70" s="4"/>
      <c r="THA70" s="4"/>
      <c r="THB70" s="4"/>
      <c r="THC70" s="4"/>
      <c r="THD70" s="4"/>
      <c r="THE70" s="4"/>
      <c r="THF70" s="4"/>
      <c r="THG70" s="4"/>
      <c r="THH70" s="4"/>
      <c r="THI70" s="4"/>
      <c r="THJ70" s="4"/>
      <c r="THK70" s="4"/>
      <c r="THL70" s="4"/>
      <c r="THM70" s="4"/>
      <c r="THN70" s="4"/>
      <c r="THO70" s="4"/>
      <c r="THP70" s="4"/>
      <c r="THQ70" s="4"/>
      <c r="THR70" s="4"/>
      <c r="THS70" s="4"/>
      <c r="THT70" s="4"/>
      <c r="THU70" s="4"/>
      <c r="THV70" s="4"/>
      <c r="THW70" s="4"/>
      <c r="THX70" s="4"/>
      <c r="THY70" s="4"/>
      <c r="THZ70" s="4"/>
      <c r="TIA70" s="4"/>
      <c r="TIB70" s="4"/>
      <c r="TIC70" s="4"/>
      <c r="TID70" s="4"/>
      <c r="TIE70" s="4"/>
      <c r="TIF70" s="4"/>
      <c r="TIG70" s="4"/>
      <c r="TIH70" s="4"/>
      <c r="TII70" s="4"/>
      <c r="TIJ70" s="4"/>
      <c r="TIK70" s="4"/>
      <c r="TIL70" s="4"/>
      <c r="TIM70" s="4"/>
      <c r="TIN70" s="4"/>
      <c r="TIO70" s="4"/>
      <c r="TIP70" s="4"/>
      <c r="TIQ70" s="4"/>
      <c r="TIR70" s="4"/>
      <c r="TIS70" s="4"/>
      <c r="TIT70" s="4"/>
      <c r="TIU70" s="4"/>
      <c r="TIV70" s="4"/>
      <c r="TIW70" s="4"/>
      <c r="TIX70" s="4"/>
      <c r="TIY70" s="4"/>
      <c r="TIZ70" s="4"/>
      <c r="TJA70" s="4"/>
      <c r="TJB70" s="4"/>
      <c r="TJC70" s="4"/>
      <c r="TJD70" s="4"/>
      <c r="TJE70" s="4"/>
      <c r="TJF70" s="4"/>
      <c r="TJG70" s="4"/>
      <c r="TJH70" s="4"/>
      <c r="TJI70" s="4"/>
      <c r="TJJ70" s="4"/>
      <c r="TJK70" s="4"/>
      <c r="TJL70" s="4"/>
      <c r="TJM70" s="4"/>
      <c r="TJN70" s="4"/>
      <c r="TJO70" s="4"/>
      <c r="TJP70" s="4"/>
      <c r="TJQ70" s="4"/>
      <c r="TJR70" s="4"/>
      <c r="TJS70" s="4"/>
      <c r="TJT70" s="4"/>
      <c r="TJU70" s="4"/>
      <c r="TJV70" s="4"/>
      <c r="TJW70" s="4"/>
      <c r="TJX70" s="4"/>
      <c r="TJY70" s="4"/>
      <c r="TJZ70" s="4"/>
      <c r="TKA70" s="4"/>
      <c r="TKB70" s="4"/>
      <c r="TKC70" s="4"/>
      <c r="TKD70" s="4"/>
      <c r="TKE70" s="4"/>
      <c r="TKF70" s="4"/>
      <c r="TKG70" s="4"/>
      <c r="TKH70" s="4"/>
      <c r="TKI70" s="4"/>
      <c r="TKJ70" s="4"/>
      <c r="TKK70" s="4"/>
      <c r="TKL70" s="4"/>
      <c r="TKM70" s="4"/>
      <c r="TKN70" s="4"/>
      <c r="TKO70" s="4"/>
      <c r="TKP70" s="4"/>
      <c r="TKQ70" s="4"/>
      <c r="TKR70" s="4"/>
      <c r="TKS70" s="4"/>
      <c r="TKT70" s="4"/>
      <c r="TKU70" s="4"/>
      <c r="TKV70" s="4"/>
      <c r="TKW70" s="4"/>
      <c r="TKX70" s="4"/>
      <c r="TKY70" s="4"/>
      <c r="TKZ70" s="4"/>
      <c r="TLA70" s="4"/>
      <c r="TLB70" s="4"/>
      <c r="TLC70" s="4"/>
      <c r="TLD70" s="4"/>
      <c r="TLE70" s="4"/>
      <c r="TLF70" s="4"/>
      <c r="TLG70" s="4"/>
      <c r="TLH70" s="4"/>
      <c r="TLI70" s="4"/>
      <c r="TLJ70" s="4"/>
      <c r="TLK70" s="4"/>
      <c r="TLL70" s="4"/>
      <c r="TLM70" s="4"/>
      <c r="TLN70" s="4"/>
      <c r="TLO70" s="4"/>
      <c r="TLP70" s="4"/>
      <c r="TLQ70" s="4"/>
      <c r="TLR70" s="4"/>
      <c r="TLS70" s="4"/>
      <c r="TLT70" s="4"/>
      <c r="TLU70" s="4"/>
      <c r="TLV70" s="4"/>
      <c r="TLW70" s="4"/>
      <c r="TLX70" s="4"/>
      <c r="TLY70" s="4"/>
      <c r="TLZ70" s="4"/>
      <c r="TMA70" s="4"/>
      <c r="TMB70" s="4"/>
      <c r="TMC70" s="4"/>
      <c r="TMD70" s="4"/>
      <c r="TME70" s="4"/>
      <c r="TMF70" s="4"/>
      <c r="TMG70" s="4"/>
      <c r="TMH70" s="4"/>
      <c r="TMI70" s="4"/>
      <c r="TMJ70" s="4"/>
      <c r="TMK70" s="4"/>
      <c r="TML70" s="4"/>
      <c r="TMM70" s="4"/>
      <c r="TMN70" s="4"/>
      <c r="TMO70" s="4"/>
      <c r="TMP70" s="4"/>
      <c r="TMQ70" s="4"/>
      <c r="TMR70" s="4"/>
      <c r="TMS70" s="4"/>
      <c r="TMT70" s="4"/>
      <c r="TMU70" s="4"/>
      <c r="TMV70" s="4"/>
      <c r="TMW70" s="4"/>
      <c r="TMX70" s="4"/>
      <c r="TMY70" s="4"/>
      <c r="TMZ70" s="4"/>
      <c r="TNA70" s="4"/>
      <c r="TNB70" s="4"/>
      <c r="TNC70" s="4"/>
      <c r="TND70" s="4"/>
      <c r="TNE70" s="4"/>
      <c r="TNF70" s="4"/>
      <c r="TNG70" s="4"/>
      <c r="TNH70" s="4"/>
      <c r="TNI70" s="4"/>
      <c r="TNJ70" s="4"/>
      <c r="TNK70" s="4"/>
      <c r="TNL70" s="4"/>
      <c r="TNM70" s="4"/>
      <c r="TNN70" s="4"/>
      <c r="TNO70" s="4"/>
      <c r="TNP70" s="4"/>
      <c r="TNQ70" s="4"/>
      <c r="TNR70" s="4"/>
      <c r="TNS70" s="4"/>
      <c r="TNT70" s="4"/>
      <c r="TNU70" s="4"/>
      <c r="TNV70" s="4"/>
      <c r="TNW70" s="4"/>
      <c r="TNX70" s="4"/>
      <c r="TNY70" s="4"/>
      <c r="TNZ70" s="4"/>
      <c r="TOA70" s="4"/>
      <c r="TOB70" s="4"/>
      <c r="TOC70" s="4"/>
      <c r="TOD70" s="4"/>
      <c r="TOE70" s="4"/>
      <c r="TOF70" s="4"/>
      <c r="TOG70" s="4"/>
      <c r="TOH70" s="4"/>
      <c r="TOI70" s="4"/>
      <c r="TOJ70" s="4"/>
      <c r="TOK70" s="4"/>
      <c r="TOL70" s="4"/>
      <c r="TOM70" s="4"/>
      <c r="TON70" s="4"/>
      <c r="TOO70" s="4"/>
      <c r="TOP70" s="4"/>
      <c r="TOQ70" s="4"/>
      <c r="TOR70" s="4"/>
      <c r="TOS70" s="4"/>
      <c r="TOT70" s="4"/>
      <c r="TOU70" s="4"/>
      <c r="TOV70" s="4"/>
      <c r="TOW70" s="4"/>
      <c r="TOX70" s="4"/>
      <c r="TOY70" s="4"/>
      <c r="TOZ70" s="4"/>
      <c r="TPA70" s="4"/>
      <c r="TPB70" s="4"/>
      <c r="TPC70" s="4"/>
      <c r="TPD70" s="4"/>
      <c r="TPE70" s="4"/>
      <c r="TPF70" s="4"/>
      <c r="TPG70" s="4"/>
      <c r="TPH70" s="4"/>
      <c r="TPI70" s="4"/>
      <c r="TPJ70" s="4"/>
      <c r="TPK70" s="4"/>
      <c r="TPL70" s="4"/>
      <c r="TPM70" s="4"/>
      <c r="TPN70" s="4"/>
      <c r="TPO70" s="4"/>
      <c r="TPP70" s="4"/>
      <c r="TPQ70" s="4"/>
      <c r="TPR70" s="4"/>
      <c r="TPS70" s="4"/>
      <c r="TPT70" s="4"/>
      <c r="TPU70" s="4"/>
      <c r="TPV70" s="4"/>
      <c r="TPW70" s="4"/>
      <c r="TPX70" s="4"/>
      <c r="TPY70" s="4"/>
      <c r="TPZ70" s="4"/>
      <c r="TQA70" s="4"/>
      <c r="TQB70" s="4"/>
      <c r="TQC70" s="4"/>
      <c r="TQD70" s="4"/>
      <c r="TQE70" s="4"/>
      <c r="TQF70" s="4"/>
      <c r="TQG70" s="4"/>
      <c r="TQH70" s="4"/>
      <c r="TQI70" s="4"/>
      <c r="TQJ70" s="4"/>
      <c r="TQK70" s="4"/>
      <c r="TQL70" s="4"/>
      <c r="TQM70" s="4"/>
      <c r="TQN70" s="4"/>
      <c r="TQO70" s="4"/>
      <c r="TQP70" s="4"/>
      <c r="TQQ70" s="4"/>
      <c r="TQR70" s="4"/>
      <c r="TQS70" s="4"/>
      <c r="TQT70" s="4"/>
      <c r="TQU70" s="4"/>
      <c r="TQV70" s="4"/>
      <c r="TQW70" s="4"/>
      <c r="TQX70" s="4"/>
      <c r="TQY70" s="4"/>
      <c r="TQZ70" s="4"/>
      <c r="TRA70" s="4"/>
      <c r="TRB70" s="4"/>
      <c r="TRC70" s="4"/>
      <c r="TRD70" s="4"/>
      <c r="TRE70" s="4"/>
      <c r="TRF70" s="4"/>
      <c r="TRG70" s="4"/>
      <c r="TRH70" s="4"/>
      <c r="TRI70" s="4"/>
      <c r="TRJ70" s="4"/>
      <c r="TRK70" s="4"/>
      <c r="TRL70" s="4"/>
      <c r="TRM70" s="4"/>
      <c r="TRN70" s="4"/>
      <c r="TRO70" s="4"/>
      <c r="TRP70" s="4"/>
      <c r="TRQ70" s="4"/>
      <c r="TRR70" s="4"/>
      <c r="TRS70" s="4"/>
      <c r="TRT70" s="4"/>
      <c r="TRU70" s="4"/>
      <c r="TRV70" s="4"/>
      <c r="TRW70" s="4"/>
      <c r="TRX70" s="4"/>
      <c r="TRY70" s="4"/>
      <c r="TRZ70" s="4"/>
      <c r="TSA70" s="4"/>
      <c r="TSB70" s="4"/>
      <c r="TSC70" s="4"/>
      <c r="TSD70" s="4"/>
      <c r="TSE70" s="4"/>
      <c r="TSF70" s="4"/>
      <c r="TSG70" s="4"/>
      <c r="TSH70" s="4"/>
      <c r="TSI70" s="4"/>
      <c r="TSJ70" s="4"/>
      <c r="TSK70" s="4"/>
      <c r="TSL70" s="4"/>
      <c r="TSM70" s="4"/>
      <c r="TSN70" s="4"/>
      <c r="TSO70" s="4"/>
      <c r="TSP70" s="4"/>
      <c r="TSQ70" s="4"/>
      <c r="TSR70" s="4"/>
      <c r="TSS70" s="4"/>
      <c r="TST70" s="4"/>
      <c r="TSU70" s="4"/>
      <c r="TSV70" s="4"/>
      <c r="TSW70" s="4"/>
      <c r="TSX70" s="4"/>
      <c r="TSY70" s="4"/>
      <c r="TSZ70" s="4"/>
      <c r="TTA70" s="4"/>
      <c r="TTB70" s="4"/>
      <c r="TTC70" s="4"/>
      <c r="TTD70" s="4"/>
      <c r="TTE70" s="4"/>
      <c r="TTF70" s="4"/>
      <c r="TTG70" s="4"/>
      <c r="TTH70" s="4"/>
      <c r="TTI70" s="4"/>
      <c r="TTJ70" s="4"/>
      <c r="TTK70" s="4"/>
      <c r="TTL70" s="4"/>
      <c r="TTM70" s="4"/>
      <c r="TTN70" s="4"/>
      <c r="TTO70" s="4"/>
      <c r="TTP70" s="4"/>
      <c r="TTQ70" s="4"/>
      <c r="TTR70" s="4"/>
      <c r="TTS70" s="4"/>
      <c r="TTT70" s="4"/>
      <c r="TTU70" s="4"/>
      <c r="TTV70" s="4"/>
      <c r="TTW70" s="4"/>
      <c r="TTX70" s="4"/>
      <c r="TTY70" s="4"/>
      <c r="TTZ70" s="4"/>
      <c r="TUA70" s="4"/>
      <c r="TUB70" s="4"/>
      <c r="TUC70" s="4"/>
      <c r="TUD70" s="4"/>
      <c r="TUE70" s="4"/>
      <c r="TUF70" s="4"/>
      <c r="TUG70" s="4"/>
      <c r="TUH70" s="4"/>
      <c r="TUI70" s="4"/>
      <c r="TUJ70" s="4"/>
      <c r="TUK70" s="4"/>
      <c r="TUL70" s="4"/>
      <c r="TUM70" s="4"/>
      <c r="TUN70" s="4"/>
      <c r="TUO70" s="4"/>
      <c r="TUP70" s="4"/>
      <c r="TUQ70" s="4"/>
      <c r="TUR70" s="4"/>
      <c r="TUS70" s="4"/>
      <c r="TUT70" s="4"/>
      <c r="TUU70" s="4"/>
      <c r="TUV70" s="4"/>
      <c r="TUW70" s="4"/>
      <c r="TUX70" s="4"/>
      <c r="TUY70" s="4"/>
      <c r="TUZ70" s="4"/>
      <c r="TVA70" s="4"/>
      <c r="TVB70" s="4"/>
      <c r="TVC70" s="4"/>
      <c r="TVD70" s="4"/>
      <c r="TVE70" s="4"/>
      <c r="TVF70" s="4"/>
      <c r="TVG70" s="4"/>
      <c r="TVH70" s="4"/>
      <c r="TVI70" s="4"/>
      <c r="TVJ70" s="4"/>
      <c r="TVK70" s="4"/>
      <c r="TVL70" s="4"/>
      <c r="TVM70" s="4"/>
      <c r="TVN70" s="4"/>
      <c r="TVO70" s="4"/>
      <c r="TVP70" s="4"/>
      <c r="TVQ70" s="4"/>
      <c r="TVR70" s="4"/>
      <c r="TVS70" s="4"/>
      <c r="TVT70" s="4"/>
      <c r="TVU70" s="4"/>
      <c r="TVV70" s="4"/>
      <c r="TVW70" s="4"/>
      <c r="TVX70" s="4"/>
      <c r="TVY70" s="4"/>
      <c r="TVZ70" s="4"/>
      <c r="TWA70" s="4"/>
      <c r="TWB70" s="4"/>
      <c r="TWC70" s="4"/>
      <c r="TWD70" s="4"/>
      <c r="TWE70" s="4"/>
      <c r="TWF70" s="4"/>
      <c r="TWG70" s="4"/>
      <c r="TWH70" s="4"/>
      <c r="TWI70" s="4"/>
      <c r="TWJ70" s="4"/>
      <c r="TWK70" s="4"/>
      <c r="TWL70" s="4"/>
      <c r="TWM70" s="4"/>
      <c r="TWN70" s="4"/>
      <c r="TWO70" s="4"/>
      <c r="TWP70" s="4"/>
      <c r="TWQ70" s="4"/>
      <c r="TWR70" s="4"/>
      <c r="TWS70" s="4"/>
      <c r="TWT70" s="4"/>
      <c r="TWU70" s="4"/>
      <c r="TWV70" s="4"/>
      <c r="TWW70" s="4"/>
      <c r="TWX70" s="4"/>
      <c r="TWY70" s="4"/>
      <c r="TWZ70" s="4"/>
      <c r="TXA70" s="4"/>
      <c r="TXB70" s="4"/>
      <c r="TXC70" s="4"/>
      <c r="TXD70" s="4"/>
      <c r="TXE70" s="4"/>
      <c r="TXF70" s="4"/>
      <c r="TXG70" s="4"/>
      <c r="TXH70" s="4"/>
      <c r="TXI70" s="4"/>
      <c r="TXJ70" s="4"/>
      <c r="TXK70" s="4"/>
      <c r="TXL70" s="4"/>
      <c r="TXM70" s="4"/>
      <c r="TXN70" s="4"/>
      <c r="TXO70" s="4"/>
      <c r="TXP70" s="4"/>
      <c r="TXQ70" s="4"/>
      <c r="TXR70" s="4"/>
      <c r="TXS70" s="4"/>
      <c r="TXT70" s="4"/>
      <c r="TXU70" s="4"/>
      <c r="TXV70" s="4"/>
      <c r="TXW70" s="4"/>
      <c r="TXX70" s="4"/>
      <c r="TXY70" s="4"/>
      <c r="TXZ70" s="4"/>
      <c r="TYA70" s="4"/>
      <c r="TYB70" s="4"/>
      <c r="TYC70" s="4"/>
      <c r="TYD70" s="4"/>
      <c r="TYE70" s="4"/>
      <c r="TYF70" s="4"/>
      <c r="TYG70" s="4"/>
      <c r="TYH70" s="4"/>
      <c r="TYI70" s="4"/>
      <c r="TYJ70" s="4"/>
      <c r="TYK70" s="4"/>
      <c r="TYL70" s="4"/>
      <c r="TYM70" s="4"/>
      <c r="TYN70" s="4"/>
      <c r="TYO70" s="4"/>
      <c r="TYP70" s="4"/>
      <c r="TYQ70" s="4"/>
      <c r="TYR70" s="4"/>
      <c r="TYS70" s="4"/>
      <c r="TYT70" s="4"/>
      <c r="TYU70" s="4"/>
      <c r="TYV70" s="4"/>
      <c r="TYW70" s="4"/>
      <c r="TYX70" s="4"/>
      <c r="TYY70" s="4"/>
      <c r="TYZ70" s="4"/>
      <c r="TZA70" s="4"/>
      <c r="TZB70" s="4"/>
      <c r="TZC70" s="4"/>
      <c r="TZD70" s="4"/>
      <c r="TZE70" s="4"/>
      <c r="TZF70" s="4"/>
      <c r="TZG70" s="4"/>
      <c r="TZH70" s="4"/>
      <c r="TZI70" s="4"/>
      <c r="TZJ70" s="4"/>
      <c r="TZK70" s="4"/>
      <c r="TZL70" s="4"/>
      <c r="TZM70" s="4"/>
      <c r="TZN70" s="4"/>
      <c r="TZO70" s="4"/>
      <c r="TZP70" s="4"/>
      <c r="TZQ70" s="4"/>
      <c r="TZR70" s="4"/>
      <c r="TZS70" s="4"/>
      <c r="TZT70" s="4"/>
      <c r="TZU70" s="4"/>
      <c r="TZV70" s="4"/>
      <c r="TZW70" s="4"/>
      <c r="TZX70" s="4"/>
      <c r="TZY70" s="4"/>
      <c r="TZZ70" s="4"/>
      <c r="UAA70" s="4"/>
      <c r="UAB70" s="4"/>
      <c r="UAC70" s="4"/>
      <c r="UAD70" s="4"/>
      <c r="UAE70" s="4"/>
      <c r="UAF70" s="4"/>
      <c r="UAG70" s="4"/>
      <c r="UAH70" s="4"/>
      <c r="UAI70" s="4"/>
      <c r="UAJ70" s="4"/>
      <c r="UAK70" s="4"/>
      <c r="UAL70" s="4"/>
      <c r="UAM70" s="4"/>
      <c r="UAN70" s="4"/>
      <c r="UAO70" s="4"/>
      <c r="UAP70" s="4"/>
      <c r="UAQ70" s="4"/>
      <c r="UAR70" s="4"/>
      <c r="UAS70" s="4"/>
      <c r="UAT70" s="4"/>
      <c r="UAU70" s="4"/>
      <c r="UAV70" s="4"/>
      <c r="UAW70" s="4"/>
      <c r="UAX70" s="4"/>
      <c r="UAY70" s="4"/>
      <c r="UAZ70" s="4"/>
      <c r="UBA70" s="4"/>
      <c r="UBB70" s="4"/>
      <c r="UBC70" s="4"/>
      <c r="UBD70" s="4"/>
      <c r="UBE70" s="4"/>
      <c r="UBF70" s="4"/>
      <c r="UBG70" s="4"/>
      <c r="UBH70" s="4"/>
      <c r="UBI70" s="4"/>
      <c r="UBJ70" s="4"/>
      <c r="UBK70" s="4"/>
      <c r="UBL70" s="4"/>
      <c r="UBM70" s="4"/>
      <c r="UBN70" s="4"/>
      <c r="UBO70" s="4"/>
      <c r="UBP70" s="4"/>
      <c r="UBQ70" s="4"/>
      <c r="UBR70" s="4"/>
      <c r="UBS70" s="4"/>
      <c r="UBT70" s="4"/>
      <c r="UBU70" s="4"/>
      <c r="UBV70" s="4"/>
      <c r="UBW70" s="4"/>
      <c r="UBX70" s="4"/>
      <c r="UBY70" s="4"/>
      <c r="UBZ70" s="4"/>
      <c r="UCA70" s="4"/>
      <c r="UCB70" s="4"/>
      <c r="UCC70" s="4"/>
      <c r="UCD70" s="4"/>
      <c r="UCE70" s="4"/>
      <c r="UCF70" s="4"/>
      <c r="UCG70" s="4"/>
      <c r="UCH70" s="4"/>
      <c r="UCI70" s="4"/>
      <c r="UCJ70" s="4"/>
      <c r="UCK70" s="4"/>
      <c r="UCL70" s="4"/>
      <c r="UCM70" s="4"/>
      <c r="UCN70" s="4"/>
      <c r="UCO70" s="4"/>
      <c r="UCP70" s="4"/>
      <c r="UCQ70" s="4"/>
      <c r="UCR70" s="4"/>
      <c r="UCS70" s="4"/>
      <c r="UCT70" s="4"/>
      <c r="UCU70" s="4"/>
      <c r="UCV70" s="4"/>
      <c r="UCW70" s="4"/>
      <c r="UCX70" s="4"/>
      <c r="UCY70" s="4"/>
      <c r="UCZ70" s="4"/>
      <c r="UDA70" s="4"/>
      <c r="UDB70" s="4"/>
      <c r="UDC70" s="4"/>
      <c r="UDD70" s="4"/>
      <c r="UDE70" s="4"/>
      <c r="UDF70" s="4"/>
      <c r="UDG70" s="4"/>
      <c r="UDH70" s="4"/>
      <c r="UDI70" s="4"/>
      <c r="UDJ70" s="4"/>
      <c r="UDK70" s="4"/>
      <c r="UDL70" s="4"/>
      <c r="UDM70" s="4"/>
      <c r="UDN70" s="4"/>
      <c r="UDO70" s="4"/>
      <c r="UDP70" s="4"/>
      <c r="UDQ70" s="4"/>
      <c r="UDR70" s="4"/>
      <c r="UDS70" s="4"/>
      <c r="UDT70" s="4"/>
      <c r="UDU70" s="4"/>
      <c r="UDV70" s="4"/>
      <c r="UDW70" s="4"/>
      <c r="UDX70" s="4"/>
      <c r="UDY70" s="4"/>
      <c r="UDZ70" s="4"/>
      <c r="UEA70" s="4"/>
      <c r="UEB70" s="4"/>
      <c r="UEC70" s="4"/>
      <c r="UED70" s="4"/>
      <c r="UEE70" s="4"/>
      <c r="UEF70" s="4"/>
      <c r="UEG70" s="4"/>
      <c r="UEH70" s="4"/>
      <c r="UEI70" s="4"/>
      <c r="UEJ70" s="4"/>
      <c r="UEK70" s="4"/>
      <c r="UEL70" s="4"/>
      <c r="UEM70" s="4"/>
      <c r="UEN70" s="4"/>
      <c r="UEO70" s="4"/>
      <c r="UEP70" s="4"/>
      <c r="UEQ70" s="4"/>
      <c r="UER70" s="4"/>
      <c r="UES70" s="4"/>
      <c r="UET70" s="4"/>
      <c r="UEU70" s="4"/>
      <c r="UEV70" s="4"/>
      <c r="UEW70" s="4"/>
      <c r="UEX70" s="4"/>
      <c r="UEY70" s="4"/>
      <c r="UEZ70" s="4"/>
      <c r="UFA70" s="4"/>
      <c r="UFB70" s="4"/>
      <c r="UFC70" s="4"/>
      <c r="UFD70" s="4"/>
      <c r="UFE70" s="4"/>
      <c r="UFF70" s="4"/>
      <c r="UFG70" s="4"/>
      <c r="UFH70" s="4"/>
      <c r="UFI70" s="4"/>
      <c r="UFJ70" s="4"/>
      <c r="UFK70" s="4"/>
      <c r="UFL70" s="4"/>
      <c r="UFM70" s="4"/>
      <c r="UFN70" s="4"/>
      <c r="UFO70" s="4"/>
      <c r="UFP70" s="4"/>
      <c r="UFQ70" s="4"/>
      <c r="UFR70" s="4"/>
      <c r="UFS70" s="4"/>
      <c r="UFT70" s="4"/>
      <c r="UFU70" s="4"/>
      <c r="UFV70" s="4"/>
      <c r="UFW70" s="4"/>
      <c r="UFX70" s="4"/>
      <c r="UFY70" s="4"/>
      <c r="UFZ70" s="4"/>
      <c r="UGA70" s="4"/>
      <c r="UGB70" s="4"/>
      <c r="UGC70" s="4"/>
      <c r="UGD70" s="4"/>
      <c r="UGE70" s="4"/>
      <c r="UGF70" s="4"/>
      <c r="UGG70" s="4"/>
      <c r="UGH70" s="4"/>
      <c r="UGI70" s="4"/>
      <c r="UGJ70" s="4"/>
      <c r="UGK70" s="4"/>
      <c r="UGL70" s="4"/>
      <c r="UGM70" s="4"/>
      <c r="UGN70" s="4"/>
      <c r="UGO70" s="4"/>
      <c r="UGP70" s="4"/>
      <c r="UGQ70" s="4"/>
      <c r="UGR70" s="4"/>
      <c r="UGS70" s="4"/>
      <c r="UGT70" s="4"/>
      <c r="UGU70" s="4"/>
      <c r="UGV70" s="4"/>
      <c r="UGW70" s="4"/>
      <c r="UGX70" s="4"/>
      <c r="UGY70" s="4"/>
      <c r="UGZ70" s="4"/>
      <c r="UHA70" s="4"/>
      <c r="UHB70" s="4"/>
      <c r="UHC70" s="4"/>
      <c r="UHD70" s="4"/>
      <c r="UHE70" s="4"/>
      <c r="UHF70" s="4"/>
      <c r="UHG70" s="4"/>
      <c r="UHH70" s="4"/>
      <c r="UHI70" s="4"/>
      <c r="UHJ70" s="4"/>
      <c r="UHK70" s="4"/>
      <c r="UHL70" s="4"/>
      <c r="UHM70" s="4"/>
      <c r="UHN70" s="4"/>
      <c r="UHO70" s="4"/>
      <c r="UHP70" s="4"/>
      <c r="UHQ70" s="4"/>
      <c r="UHR70" s="4"/>
      <c r="UHS70" s="4"/>
      <c r="UHT70" s="4"/>
      <c r="UHU70" s="4"/>
      <c r="UHV70" s="4"/>
      <c r="UHW70" s="4"/>
      <c r="UHX70" s="4"/>
      <c r="UHY70" s="4"/>
      <c r="UHZ70" s="4"/>
      <c r="UIA70" s="4"/>
      <c r="UIB70" s="4"/>
      <c r="UIC70" s="4"/>
      <c r="UID70" s="4"/>
      <c r="UIE70" s="4"/>
      <c r="UIF70" s="4"/>
      <c r="UIG70" s="4"/>
      <c r="UIH70" s="4"/>
      <c r="UII70" s="4"/>
      <c r="UIJ70" s="4"/>
      <c r="UIK70" s="4"/>
      <c r="UIL70" s="4"/>
      <c r="UIM70" s="4"/>
      <c r="UIN70" s="4"/>
      <c r="UIO70" s="4"/>
      <c r="UIP70" s="4"/>
      <c r="UIQ70" s="4"/>
      <c r="UIR70" s="4"/>
      <c r="UIS70" s="4"/>
      <c r="UIT70" s="4"/>
      <c r="UIU70" s="4"/>
      <c r="UIV70" s="4"/>
      <c r="UIW70" s="4"/>
      <c r="UIX70" s="4"/>
      <c r="UIY70" s="4"/>
      <c r="UIZ70" s="4"/>
      <c r="UJA70" s="4"/>
      <c r="UJB70" s="4"/>
      <c r="UJC70" s="4"/>
      <c r="UJD70" s="4"/>
      <c r="UJE70" s="4"/>
      <c r="UJF70" s="4"/>
      <c r="UJG70" s="4"/>
      <c r="UJH70" s="4"/>
      <c r="UJI70" s="4"/>
      <c r="UJJ70" s="4"/>
      <c r="UJK70" s="4"/>
      <c r="UJL70" s="4"/>
      <c r="UJM70" s="4"/>
      <c r="UJN70" s="4"/>
      <c r="UJO70" s="4"/>
      <c r="UJP70" s="4"/>
      <c r="UJQ70" s="4"/>
      <c r="UJR70" s="4"/>
      <c r="UJS70" s="4"/>
      <c r="UJT70" s="4"/>
      <c r="UJU70" s="4"/>
      <c r="UJV70" s="4"/>
      <c r="UJW70" s="4"/>
      <c r="UJX70" s="4"/>
      <c r="UJY70" s="4"/>
      <c r="UJZ70" s="4"/>
      <c r="UKA70" s="4"/>
      <c r="UKB70" s="4"/>
      <c r="UKC70" s="4"/>
      <c r="UKD70" s="4"/>
      <c r="UKE70" s="4"/>
      <c r="UKF70" s="4"/>
      <c r="UKG70" s="4"/>
      <c r="UKH70" s="4"/>
      <c r="UKI70" s="4"/>
      <c r="UKJ70" s="4"/>
      <c r="UKK70" s="4"/>
      <c r="UKL70" s="4"/>
      <c r="UKM70" s="4"/>
      <c r="UKN70" s="4"/>
      <c r="UKO70" s="4"/>
      <c r="UKP70" s="4"/>
      <c r="UKQ70" s="4"/>
      <c r="UKR70" s="4"/>
      <c r="UKS70" s="4"/>
      <c r="UKT70" s="4"/>
      <c r="UKU70" s="4"/>
      <c r="UKV70" s="4"/>
      <c r="UKW70" s="4"/>
      <c r="UKX70" s="4"/>
      <c r="UKY70" s="4"/>
      <c r="UKZ70" s="4"/>
      <c r="ULA70" s="4"/>
      <c r="ULB70" s="4"/>
      <c r="ULC70" s="4"/>
      <c r="ULD70" s="4"/>
      <c r="ULE70" s="4"/>
      <c r="ULF70" s="4"/>
      <c r="ULG70" s="4"/>
      <c r="ULH70" s="4"/>
      <c r="ULI70" s="4"/>
      <c r="ULJ70" s="4"/>
      <c r="ULK70" s="4"/>
      <c r="ULL70" s="4"/>
      <c r="ULM70" s="4"/>
      <c r="ULN70" s="4"/>
      <c r="ULO70" s="4"/>
      <c r="ULP70" s="4"/>
      <c r="ULQ70" s="4"/>
      <c r="ULR70" s="4"/>
      <c r="ULS70" s="4"/>
      <c r="ULT70" s="4"/>
      <c r="ULU70" s="4"/>
      <c r="ULV70" s="4"/>
      <c r="ULW70" s="4"/>
      <c r="ULX70" s="4"/>
      <c r="ULY70" s="4"/>
      <c r="ULZ70" s="4"/>
      <c r="UMA70" s="4"/>
      <c r="UMB70" s="4"/>
      <c r="UMC70" s="4"/>
      <c r="UMD70" s="4"/>
      <c r="UME70" s="4"/>
      <c r="UMF70" s="4"/>
      <c r="UMG70" s="4"/>
      <c r="UMH70" s="4"/>
      <c r="UMI70" s="4"/>
      <c r="UMJ70" s="4"/>
      <c r="UMK70" s="4"/>
      <c r="UML70" s="4"/>
      <c r="UMM70" s="4"/>
      <c r="UMN70" s="4"/>
      <c r="UMO70" s="4"/>
      <c r="UMP70" s="4"/>
      <c r="UMQ70" s="4"/>
      <c r="UMR70" s="4"/>
      <c r="UMS70" s="4"/>
      <c r="UMT70" s="4"/>
      <c r="UMU70" s="4"/>
      <c r="UMV70" s="4"/>
      <c r="UMW70" s="4"/>
      <c r="UMX70" s="4"/>
      <c r="UMY70" s="4"/>
      <c r="UMZ70" s="4"/>
      <c r="UNA70" s="4"/>
      <c r="UNB70" s="4"/>
      <c r="UNC70" s="4"/>
      <c r="UND70" s="4"/>
      <c r="UNE70" s="4"/>
      <c r="UNF70" s="4"/>
      <c r="UNG70" s="4"/>
      <c r="UNH70" s="4"/>
      <c r="UNI70" s="4"/>
      <c r="UNJ70" s="4"/>
      <c r="UNK70" s="4"/>
      <c r="UNL70" s="4"/>
      <c r="UNM70" s="4"/>
      <c r="UNN70" s="4"/>
      <c r="UNO70" s="4"/>
      <c r="UNP70" s="4"/>
      <c r="UNQ70" s="4"/>
      <c r="UNR70" s="4"/>
      <c r="UNS70" s="4"/>
      <c r="UNT70" s="4"/>
      <c r="UNU70" s="4"/>
      <c r="UNV70" s="4"/>
      <c r="UNW70" s="4"/>
      <c r="UNX70" s="4"/>
      <c r="UNY70" s="4"/>
      <c r="UNZ70" s="4"/>
      <c r="UOA70" s="4"/>
      <c r="UOB70" s="4"/>
      <c r="UOC70" s="4"/>
      <c r="UOD70" s="4"/>
      <c r="UOE70" s="4"/>
      <c r="UOF70" s="4"/>
      <c r="UOG70" s="4"/>
      <c r="UOH70" s="4"/>
      <c r="UOI70" s="4"/>
      <c r="UOJ70" s="4"/>
      <c r="UOK70" s="4"/>
      <c r="UOL70" s="4"/>
      <c r="UOM70" s="4"/>
      <c r="UON70" s="4"/>
      <c r="UOO70" s="4"/>
      <c r="UOP70" s="4"/>
      <c r="UOQ70" s="4"/>
      <c r="UOR70" s="4"/>
      <c r="UOS70" s="4"/>
      <c r="UOT70" s="4"/>
      <c r="UOU70" s="4"/>
      <c r="UOV70" s="4"/>
      <c r="UOW70" s="4"/>
      <c r="UOX70" s="4"/>
      <c r="UOY70" s="4"/>
      <c r="UOZ70" s="4"/>
      <c r="UPA70" s="4"/>
      <c r="UPB70" s="4"/>
      <c r="UPC70" s="4"/>
      <c r="UPD70" s="4"/>
      <c r="UPE70" s="4"/>
      <c r="UPF70" s="4"/>
      <c r="UPG70" s="4"/>
      <c r="UPH70" s="4"/>
      <c r="UPI70" s="4"/>
      <c r="UPJ70" s="4"/>
      <c r="UPK70" s="4"/>
      <c r="UPL70" s="4"/>
      <c r="UPM70" s="4"/>
      <c r="UPN70" s="4"/>
      <c r="UPO70" s="4"/>
      <c r="UPP70" s="4"/>
      <c r="UPQ70" s="4"/>
      <c r="UPR70" s="4"/>
      <c r="UPS70" s="4"/>
      <c r="UPT70" s="4"/>
      <c r="UPU70" s="4"/>
      <c r="UPV70" s="4"/>
      <c r="UPW70" s="4"/>
      <c r="UPX70" s="4"/>
      <c r="UPY70" s="4"/>
      <c r="UPZ70" s="4"/>
      <c r="UQA70" s="4"/>
      <c r="UQB70" s="4"/>
      <c r="UQC70" s="4"/>
      <c r="UQD70" s="4"/>
      <c r="UQE70" s="4"/>
      <c r="UQF70" s="4"/>
      <c r="UQG70" s="4"/>
      <c r="UQH70" s="4"/>
      <c r="UQI70" s="4"/>
      <c r="UQJ70" s="4"/>
      <c r="UQK70" s="4"/>
      <c r="UQL70" s="4"/>
      <c r="UQM70" s="4"/>
      <c r="UQN70" s="4"/>
      <c r="UQO70" s="4"/>
      <c r="UQP70" s="4"/>
      <c r="UQQ70" s="4"/>
      <c r="UQR70" s="4"/>
      <c r="UQS70" s="4"/>
      <c r="UQT70" s="4"/>
      <c r="UQU70" s="4"/>
      <c r="UQV70" s="4"/>
      <c r="UQW70" s="4"/>
      <c r="UQX70" s="4"/>
      <c r="UQY70" s="4"/>
      <c r="UQZ70" s="4"/>
      <c r="URA70" s="4"/>
      <c r="URB70" s="4"/>
      <c r="URC70" s="4"/>
      <c r="URD70" s="4"/>
      <c r="URE70" s="4"/>
      <c r="URF70" s="4"/>
      <c r="URG70" s="4"/>
      <c r="URH70" s="4"/>
      <c r="URI70" s="4"/>
      <c r="URJ70" s="4"/>
      <c r="URK70" s="4"/>
      <c r="URL70" s="4"/>
      <c r="URM70" s="4"/>
      <c r="URN70" s="4"/>
      <c r="URO70" s="4"/>
      <c r="URP70" s="4"/>
      <c r="URQ70" s="4"/>
      <c r="URR70" s="4"/>
      <c r="URS70" s="4"/>
      <c r="URT70" s="4"/>
      <c r="URU70" s="4"/>
      <c r="URV70" s="4"/>
      <c r="URW70" s="4"/>
      <c r="URX70" s="4"/>
      <c r="URY70" s="4"/>
      <c r="URZ70" s="4"/>
      <c r="USA70" s="4"/>
      <c r="USB70" s="4"/>
      <c r="USC70" s="4"/>
      <c r="USD70" s="4"/>
      <c r="USE70" s="4"/>
      <c r="USF70" s="4"/>
      <c r="USG70" s="4"/>
      <c r="USH70" s="4"/>
      <c r="USI70" s="4"/>
      <c r="USJ70" s="4"/>
      <c r="USK70" s="4"/>
      <c r="USL70" s="4"/>
      <c r="USM70" s="4"/>
      <c r="USN70" s="4"/>
      <c r="USO70" s="4"/>
      <c r="USP70" s="4"/>
      <c r="USQ70" s="4"/>
      <c r="USR70" s="4"/>
      <c r="USS70" s="4"/>
      <c r="UST70" s="4"/>
      <c r="USU70" s="4"/>
      <c r="USV70" s="4"/>
      <c r="USW70" s="4"/>
      <c r="USX70" s="4"/>
      <c r="USY70" s="4"/>
      <c r="USZ70" s="4"/>
      <c r="UTA70" s="4"/>
      <c r="UTB70" s="4"/>
      <c r="UTC70" s="4"/>
      <c r="UTD70" s="4"/>
      <c r="UTE70" s="4"/>
      <c r="UTF70" s="4"/>
      <c r="UTG70" s="4"/>
      <c r="UTH70" s="4"/>
      <c r="UTI70" s="4"/>
      <c r="UTJ70" s="4"/>
      <c r="UTK70" s="4"/>
      <c r="UTL70" s="4"/>
      <c r="UTM70" s="4"/>
      <c r="UTN70" s="4"/>
      <c r="UTO70" s="4"/>
      <c r="UTP70" s="4"/>
      <c r="UTQ70" s="4"/>
      <c r="UTR70" s="4"/>
      <c r="UTS70" s="4"/>
      <c r="UTT70" s="4"/>
      <c r="UTU70" s="4"/>
      <c r="UTV70" s="4"/>
      <c r="UTW70" s="4"/>
      <c r="UTX70" s="4"/>
      <c r="UTY70" s="4"/>
      <c r="UTZ70" s="4"/>
      <c r="UUA70" s="4"/>
      <c r="UUB70" s="4"/>
      <c r="UUC70" s="4"/>
      <c r="UUD70" s="4"/>
      <c r="UUE70" s="4"/>
      <c r="UUF70" s="4"/>
      <c r="UUG70" s="4"/>
      <c r="UUH70" s="4"/>
      <c r="UUI70" s="4"/>
      <c r="UUJ70" s="4"/>
      <c r="UUK70" s="4"/>
      <c r="UUL70" s="4"/>
      <c r="UUM70" s="4"/>
      <c r="UUN70" s="4"/>
      <c r="UUO70" s="4"/>
      <c r="UUP70" s="4"/>
      <c r="UUQ70" s="4"/>
      <c r="UUR70" s="4"/>
      <c r="UUS70" s="4"/>
      <c r="UUT70" s="4"/>
      <c r="UUU70" s="4"/>
      <c r="UUV70" s="4"/>
      <c r="UUW70" s="4"/>
      <c r="UUX70" s="4"/>
      <c r="UUY70" s="4"/>
      <c r="UUZ70" s="4"/>
      <c r="UVA70" s="4"/>
      <c r="UVB70" s="4"/>
      <c r="UVC70" s="4"/>
      <c r="UVD70" s="4"/>
      <c r="UVE70" s="4"/>
      <c r="UVF70" s="4"/>
      <c r="UVG70" s="4"/>
      <c r="UVH70" s="4"/>
      <c r="UVI70" s="4"/>
      <c r="UVJ70" s="4"/>
      <c r="UVK70" s="4"/>
      <c r="UVL70" s="4"/>
      <c r="UVM70" s="4"/>
      <c r="UVN70" s="4"/>
      <c r="UVO70" s="4"/>
      <c r="UVP70" s="4"/>
      <c r="UVQ70" s="4"/>
      <c r="UVR70" s="4"/>
      <c r="UVS70" s="4"/>
      <c r="UVT70" s="4"/>
      <c r="UVU70" s="4"/>
      <c r="UVV70" s="4"/>
      <c r="UVW70" s="4"/>
      <c r="UVX70" s="4"/>
      <c r="UVY70" s="4"/>
      <c r="UVZ70" s="4"/>
      <c r="UWA70" s="4"/>
      <c r="UWB70" s="4"/>
      <c r="UWC70" s="4"/>
      <c r="UWD70" s="4"/>
      <c r="UWE70" s="4"/>
      <c r="UWF70" s="4"/>
      <c r="UWG70" s="4"/>
      <c r="UWH70" s="4"/>
      <c r="UWI70" s="4"/>
      <c r="UWJ70" s="4"/>
      <c r="UWK70" s="4"/>
      <c r="UWL70" s="4"/>
      <c r="UWM70" s="4"/>
      <c r="UWN70" s="4"/>
      <c r="UWO70" s="4"/>
      <c r="UWP70" s="4"/>
      <c r="UWQ70" s="4"/>
      <c r="UWR70" s="4"/>
      <c r="UWS70" s="4"/>
      <c r="UWT70" s="4"/>
      <c r="UWU70" s="4"/>
      <c r="UWV70" s="4"/>
      <c r="UWW70" s="4"/>
      <c r="UWX70" s="4"/>
      <c r="UWY70" s="4"/>
      <c r="UWZ70" s="4"/>
      <c r="UXA70" s="4"/>
      <c r="UXB70" s="4"/>
      <c r="UXC70" s="4"/>
      <c r="UXD70" s="4"/>
      <c r="UXE70" s="4"/>
      <c r="UXF70" s="4"/>
      <c r="UXG70" s="4"/>
      <c r="UXH70" s="4"/>
      <c r="UXI70" s="4"/>
      <c r="UXJ70" s="4"/>
      <c r="UXK70" s="4"/>
      <c r="UXL70" s="4"/>
      <c r="UXM70" s="4"/>
      <c r="UXN70" s="4"/>
      <c r="UXO70" s="4"/>
      <c r="UXP70" s="4"/>
      <c r="UXQ70" s="4"/>
      <c r="UXR70" s="4"/>
      <c r="UXS70" s="4"/>
      <c r="UXT70" s="4"/>
      <c r="UXU70" s="4"/>
      <c r="UXV70" s="4"/>
      <c r="UXW70" s="4"/>
      <c r="UXX70" s="4"/>
      <c r="UXY70" s="4"/>
      <c r="UXZ70" s="4"/>
      <c r="UYA70" s="4"/>
      <c r="UYB70" s="4"/>
      <c r="UYC70" s="4"/>
      <c r="UYD70" s="4"/>
      <c r="UYE70" s="4"/>
      <c r="UYF70" s="4"/>
      <c r="UYG70" s="4"/>
      <c r="UYH70" s="4"/>
      <c r="UYI70" s="4"/>
      <c r="UYJ70" s="4"/>
      <c r="UYK70" s="4"/>
      <c r="UYL70" s="4"/>
      <c r="UYM70" s="4"/>
      <c r="UYN70" s="4"/>
      <c r="UYO70" s="4"/>
      <c r="UYP70" s="4"/>
      <c r="UYQ70" s="4"/>
      <c r="UYR70" s="4"/>
      <c r="UYS70" s="4"/>
      <c r="UYT70" s="4"/>
      <c r="UYU70" s="4"/>
      <c r="UYV70" s="4"/>
      <c r="UYW70" s="4"/>
      <c r="UYX70" s="4"/>
      <c r="UYY70" s="4"/>
      <c r="UYZ70" s="4"/>
      <c r="UZA70" s="4"/>
      <c r="UZB70" s="4"/>
      <c r="UZC70" s="4"/>
      <c r="UZD70" s="4"/>
      <c r="UZE70" s="4"/>
      <c r="UZF70" s="4"/>
      <c r="UZG70" s="4"/>
      <c r="UZH70" s="4"/>
      <c r="UZI70" s="4"/>
      <c r="UZJ70" s="4"/>
      <c r="UZK70" s="4"/>
      <c r="UZL70" s="4"/>
      <c r="UZM70" s="4"/>
      <c r="UZN70" s="4"/>
      <c r="UZO70" s="4"/>
      <c r="UZP70" s="4"/>
      <c r="UZQ70" s="4"/>
      <c r="UZR70" s="4"/>
      <c r="UZS70" s="4"/>
      <c r="UZT70" s="4"/>
      <c r="UZU70" s="4"/>
      <c r="UZV70" s="4"/>
      <c r="UZW70" s="4"/>
      <c r="UZX70" s="4"/>
      <c r="UZY70" s="4"/>
      <c r="UZZ70" s="4"/>
      <c r="VAA70" s="4"/>
      <c r="VAB70" s="4"/>
      <c r="VAC70" s="4"/>
      <c r="VAD70" s="4"/>
      <c r="VAE70" s="4"/>
      <c r="VAF70" s="4"/>
      <c r="VAG70" s="4"/>
      <c r="VAH70" s="4"/>
      <c r="VAI70" s="4"/>
      <c r="VAJ70" s="4"/>
      <c r="VAK70" s="4"/>
      <c r="VAL70" s="4"/>
      <c r="VAM70" s="4"/>
      <c r="VAN70" s="4"/>
      <c r="VAO70" s="4"/>
      <c r="VAP70" s="4"/>
      <c r="VAQ70" s="4"/>
      <c r="VAR70" s="4"/>
      <c r="VAS70" s="4"/>
      <c r="VAT70" s="4"/>
      <c r="VAU70" s="4"/>
      <c r="VAV70" s="4"/>
      <c r="VAW70" s="4"/>
      <c r="VAX70" s="4"/>
      <c r="VAY70" s="4"/>
      <c r="VAZ70" s="4"/>
      <c r="VBA70" s="4"/>
      <c r="VBB70" s="4"/>
      <c r="VBC70" s="4"/>
      <c r="VBD70" s="4"/>
      <c r="VBE70" s="4"/>
      <c r="VBF70" s="4"/>
      <c r="VBG70" s="4"/>
      <c r="VBH70" s="4"/>
      <c r="VBI70" s="4"/>
      <c r="VBJ70" s="4"/>
      <c r="VBK70" s="4"/>
      <c r="VBL70" s="4"/>
      <c r="VBM70" s="4"/>
      <c r="VBN70" s="4"/>
      <c r="VBO70" s="4"/>
      <c r="VBP70" s="4"/>
      <c r="VBQ70" s="4"/>
      <c r="VBR70" s="4"/>
      <c r="VBS70" s="4"/>
      <c r="VBT70" s="4"/>
      <c r="VBU70" s="4"/>
      <c r="VBV70" s="4"/>
      <c r="VBW70" s="4"/>
      <c r="VBX70" s="4"/>
      <c r="VBY70" s="4"/>
      <c r="VBZ70" s="4"/>
      <c r="VCA70" s="4"/>
      <c r="VCB70" s="4"/>
      <c r="VCC70" s="4"/>
      <c r="VCD70" s="4"/>
      <c r="VCE70" s="4"/>
      <c r="VCF70" s="4"/>
      <c r="VCG70" s="4"/>
      <c r="VCH70" s="4"/>
      <c r="VCI70" s="4"/>
      <c r="VCJ70" s="4"/>
      <c r="VCK70" s="4"/>
      <c r="VCL70" s="4"/>
      <c r="VCM70" s="4"/>
      <c r="VCN70" s="4"/>
      <c r="VCO70" s="4"/>
      <c r="VCP70" s="4"/>
      <c r="VCQ70" s="4"/>
      <c r="VCR70" s="4"/>
      <c r="VCS70" s="4"/>
      <c r="VCT70" s="4"/>
      <c r="VCU70" s="4"/>
      <c r="VCV70" s="4"/>
      <c r="VCW70" s="4"/>
      <c r="VCX70" s="4"/>
      <c r="VCY70" s="4"/>
      <c r="VCZ70" s="4"/>
      <c r="VDA70" s="4"/>
      <c r="VDB70" s="4"/>
      <c r="VDC70" s="4"/>
      <c r="VDD70" s="4"/>
      <c r="VDE70" s="4"/>
      <c r="VDF70" s="4"/>
      <c r="VDG70" s="4"/>
      <c r="VDH70" s="4"/>
      <c r="VDI70" s="4"/>
      <c r="VDJ70" s="4"/>
      <c r="VDK70" s="4"/>
      <c r="VDL70" s="4"/>
      <c r="VDM70" s="4"/>
      <c r="VDN70" s="4"/>
      <c r="VDO70" s="4"/>
      <c r="VDP70" s="4"/>
      <c r="VDQ70" s="4"/>
      <c r="VDR70" s="4"/>
      <c r="VDS70" s="4"/>
      <c r="VDT70" s="4"/>
      <c r="VDU70" s="4"/>
      <c r="VDV70" s="4"/>
      <c r="VDW70" s="4"/>
      <c r="VDX70" s="4"/>
      <c r="VDY70" s="4"/>
      <c r="VDZ70" s="4"/>
      <c r="VEA70" s="4"/>
      <c r="VEB70" s="4"/>
      <c r="VEC70" s="4"/>
      <c r="VED70" s="4"/>
      <c r="VEE70" s="4"/>
      <c r="VEF70" s="4"/>
      <c r="VEG70" s="4"/>
      <c r="VEH70" s="4"/>
      <c r="VEI70" s="4"/>
      <c r="VEJ70" s="4"/>
      <c r="VEK70" s="4"/>
      <c r="VEL70" s="4"/>
      <c r="VEM70" s="4"/>
      <c r="VEN70" s="4"/>
      <c r="VEO70" s="4"/>
      <c r="VEP70" s="4"/>
      <c r="VEQ70" s="4"/>
      <c r="VER70" s="4"/>
      <c r="VES70" s="4"/>
      <c r="VET70" s="4"/>
      <c r="VEU70" s="4"/>
      <c r="VEV70" s="4"/>
      <c r="VEW70" s="4"/>
      <c r="VEX70" s="4"/>
      <c r="VEY70" s="4"/>
      <c r="VEZ70" s="4"/>
      <c r="VFA70" s="4"/>
      <c r="VFB70" s="4"/>
      <c r="VFC70" s="4"/>
      <c r="VFD70" s="4"/>
      <c r="VFE70" s="4"/>
      <c r="VFF70" s="4"/>
      <c r="VFG70" s="4"/>
      <c r="VFH70" s="4"/>
      <c r="VFI70" s="4"/>
      <c r="VFJ70" s="4"/>
      <c r="VFK70" s="4"/>
      <c r="VFL70" s="4"/>
      <c r="VFM70" s="4"/>
      <c r="VFN70" s="4"/>
      <c r="VFO70" s="4"/>
      <c r="VFP70" s="4"/>
      <c r="VFQ70" s="4"/>
      <c r="VFR70" s="4"/>
      <c r="VFS70" s="4"/>
      <c r="VFT70" s="4"/>
      <c r="VFU70" s="4"/>
      <c r="VFV70" s="4"/>
      <c r="VFW70" s="4"/>
      <c r="VFX70" s="4"/>
      <c r="VFY70" s="4"/>
      <c r="VFZ70" s="4"/>
      <c r="VGA70" s="4"/>
      <c r="VGB70" s="4"/>
      <c r="VGC70" s="4"/>
      <c r="VGD70" s="4"/>
      <c r="VGE70" s="4"/>
      <c r="VGF70" s="4"/>
      <c r="VGG70" s="4"/>
      <c r="VGH70" s="4"/>
      <c r="VGI70" s="4"/>
      <c r="VGJ70" s="4"/>
      <c r="VGK70" s="4"/>
      <c r="VGL70" s="4"/>
      <c r="VGM70" s="4"/>
      <c r="VGN70" s="4"/>
      <c r="VGO70" s="4"/>
      <c r="VGP70" s="4"/>
      <c r="VGQ70" s="4"/>
      <c r="VGR70" s="4"/>
      <c r="VGS70" s="4"/>
      <c r="VGT70" s="4"/>
      <c r="VGU70" s="4"/>
      <c r="VGV70" s="4"/>
      <c r="VGW70" s="4"/>
      <c r="VGX70" s="4"/>
      <c r="VGY70" s="4"/>
      <c r="VGZ70" s="4"/>
      <c r="VHA70" s="4"/>
      <c r="VHB70" s="4"/>
      <c r="VHC70" s="4"/>
      <c r="VHD70" s="4"/>
      <c r="VHE70" s="4"/>
      <c r="VHF70" s="4"/>
      <c r="VHG70" s="4"/>
      <c r="VHH70" s="4"/>
      <c r="VHI70" s="4"/>
      <c r="VHJ70" s="4"/>
      <c r="VHK70" s="4"/>
      <c r="VHL70" s="4"/>
      <c r="VHM70" s="4"/>
      <c r="VHN70" s="4"/>
      <c r="VHO70" s="4"/>
      <c r="VHP70" s="4"/>
      <c r="VHQ70" s="4"/>
      <c r="VHR70" s="4"/>
      <c r="VHS70" s="4"/>
      <c r="VHT70" s="4"/>
      <c r="VHU70" s="4"/>
      <c r="VHV70" s="4"/>
      <c r="VHW70" s="4"/>
      <c r="VHX70" s="4"/>
      <c r="VHY70" s="4"/>
      <c r="VHZ70" s="4"/>
      <c r="VIA70" s="4"/>
      <c r="VIB70" s="4"/>
      <c r="VIC70" s="4"/>
      <c r="VID70" s="4"/>
      <c r="VIE70" s="4"/>
      <c r="VIF70" s="4"/>
      <c r="VIG70" s="4"/>
      <c r="VIH70" s="4"/>
      <c r="VII70" s="4"/>
      <c r="VIJ70" s="4"/>
      <c r="VIK70" s="4"/>
      <c r="VIL70" s="4"/>
      <c r="VIM70" s="4"/>
      <c r="VIN70" s="4"/>
      <c r="VIO70" s="4"/>
      <c r="VIP70" s="4"/>
      <c r="VIQ70" s="4"/>
      <c r="VIR70" s="4"/>
      <c r="VIS70" s="4"/>
      <c r="VIT70" s="4"/>
      <c r="VIU70" s="4"/>
      <c r="VIV70" s="4"/>
      <c r="VIW70" s="4"/>
      <c r="VIX70" s="4"/>
      <c r="VIY70" s="4"/>
      <c r="VIZ70" s="4"/>
      <c r="VJA70" s="4"/>
      <c r="VJB70" s="4"/>
      <c r="VJC70" s="4"/>
      <c r="VJD70" s="4"/>
      <c r="VJE70" s="4"/>
      <c r="VJF70" s="4"/>
      <c r="VJG70" s="4"/>
      <c r="VJH70" s="4"/>
      <c r="VJI70" s="4"/>
      <c r="VJJ70" s="4"/>
      <c r="VJK70" s="4"/>
      <c r="VJL70" s="4"/>
      <c r="VJM70" s="4"/>
      <c r="VJN70" s="4"/>
      <c r="VJO70" s="4"/>
      <c r="VJP70" s="4"/>
      <c r="VJQ70" s="4"/>
      <c r="VJR70" s="4"/>
      <c r="VJS70" s="4"/>
      <c r="VJT70" s="4"/>
      <c r="VJU70" s="4"/>
      <c r="VJV70" s="4"/>
      <c r="VJW70" s="4"/>
      <c r="VJX70" s="4"/>
      <c r="VJY70" s="4"/>
      <c r="VJZ70" s="4"/>
      <c r="VKA70" s="4"/>
      <c r="VKB70" s="4"/>
      <c r="VKC70" s="4"/>
      <c r="VKD70" s="4"/>
      <c r="VKE70" s="4"/>
      <c r="VKF70" s="4"/>
      <c r="VKG70" s="4"/>
      <c r="VKH70" s="4"/>
      <c r="VKI70" s="4"/>
      <c r="VKJ70" s="4"/>
      <c r="VKK70" s="4"/>
      <c r="VKL70" s="4"/>
      <c r="VKM70" s="4"/>
      <c r="VKN70" s="4"/>
      <c r="VKO70" s="4"/>
      <c r="VKP70" s="4"/>
      <c r="VKQ70" s="4"/>
      <c r="VKR70" s="4"/>
      <c r="VKS70" s="4"/>
      <c r="VKT70" s="4"/>
      <c r="VKU70" s="4"/>
      <c r="VKV70" s="4"/>
      <c r="VKW70" s="4"/>
      <c r="VKX70" s="4"/>
      <c r="VKY70" s="4"/>
      <c r="VKZ70" s="4"/>
      <c r="VLA70" s="4"/>
      <c r="VLB70" s="4"/>
      <c r="VLC70" s="4"/>
      <c r="VLD70" s="4"/>
      <c r="VLE70" s="4"/>
      <c r="VLF70" s="4"/>
      <c r="VLG70" s="4"/>
      <c r="VLH70" s="4"/>
      <c r="VLI70" s="4"/>
      <c r="VLJ70" s="4"/>
      <c r="VLK70" s="4"/>
      <c r="VLL70" s="4"/>
      <c r="VLM70" s="4"/>
      <c r="VLN70" s="4"/>
      <c r="VLO70" s="4"/>
      <c r="VLP70" s="4"/>
      <c r="VLQ70" s="4"/>
      <c r="VLR70" s="4"/>
      <c r="VLS70" s="4"/>
      <c r="VLT70" s="4"/>
      <c r="VLU70" s="4"/>
      <c r="VLV70" s="4"/>
      <c r="VLW70" s="4"/>
      <c r="VLX70" s="4"/>
      <c r="VLY70" s="4"/>
      <c r="VLZ70" s="4"/>
      <c r="VMA70" s="4"/>
      <c r="VMB70" s="4"/>
      <c r="VMC70" s="4"/>
      <c r="VMD70" s="4"/>
      <c r="VME70" s="4"/>
      <c r="VMF70" s="4"/>
      <c r="VMG70" s="4"/>
      <c r="VMH70" s="4"/>
      <c r="VMI70" s="4"/>
      <c r="VMJ70" s="4"/>
      <c r="VMK70" s="4"/>
      <c r="VML70" s="4"/>
      <c r="VMM70" s="4"/>
      <c r="VMN70" s="4"/>
      <c r="VMO70" s="4"/>
      <c r="VMP70" s="4"/>
      <c r="VMQ70" s="4"/>
      <c r="VMR70" s="4"/>
      <c r="VMS70" s="4"/>
      <c r="VMT70" s="4"/>
      <c r="VMU70" s="4"/>
      <c r="VMV70" s="4"/>
      <c r="VMW70" s="4"/>
      <c r="VMX70" s="4"/>
      <c r="VMY70" s="4"/>
      <c r="VMZ70" s="4"/>
      <c r="VNA70" s="4"/>
      <c r="VNB70" s="4"/>
      <c r="VNC70" s="4"/>
      <c r="VND70" s="4"/>
      <c r="VNE70" s="4"/>
      <c r="VNF70" s="4"/>
      <c r="VNG70" s="4"/>
      <c r="VNH70" s="4"/>
      <c r="VNI70" s="4"/>
      <c r="VNJ70" s="4"/>
      <c r="VNK70" s="4"/>
      <c r="VNL70" s="4"/>
      <c r="VNM70" s="4"/>
      <c r="VNN70" s="4"/>
      <c r="VNO70" s="4"/>
      <c r="VNP70" s="4"/>
      <c r="VNQ70" s="4"/>
      <c r="VNR70" s="4"/>
      <c r="VNS70" s="4"/>
      <c r="VNT70" s="4"/>
      <c r="VNU70" s="4"/>
      <c r="VNV70" s="4"/>
      <c r="VNW70" s="4"/>
      <c r="VNX70" s="4"/>
      <c r="VNY70" s="4"/>
      <c r="VNZ70" s="4"/>
      <c r="VOA70" s="4"/>
      <c r="VOB70" s="4"/>
      <c r="VOC70" s="4"/>
      <c r="VOD70" s="4"/>
      <c r="VOE70" s="4"/>
      <c r="VOF70" s="4"/>
      <c r="VOG70" s="4"/>
      <c r="VOH70" s="4"/>
      <c r="VOI70" s="4"/>
      <c r="VOJ70" s="4"/>
      <c r="VOK70" s="4"/>
      <c r="VOL70" s="4"/>
      <c r="VOM70" s="4"/>
      <c r="VON70" s="4"/>
      <c r="VOO70" s="4"/>
      <c r="VOP70" s="4"/>
      <c r="VOQ70" s="4"/>
      <c r="VOR70" s="4"/>
      <c r="VOS70" s="4"/>
      <c r="VOT70" s="4"/>
      <c r="VOU70" s="4"/>
      <c r="VOV70" s="4"/>
      <c r="VOW70" s="4"/>
      <c r="VOX70" s="4"/>
      <c r="VOY70" s="4"/>
      <c r="VOZ70" s="4"/>
      <c r="VPA70" s="4"/>
      <c r="VPB70" s="4"/>
      <c r="VPC70" s="4"/>
      <c r="VPD70" s="4"/>
      <c r="VPE70" s="4"/>
      <c r="VPF70" s="4"/>
      <c r="VPG70" s="4"/>
      <c r="VPH70" s="4"/>
      <c r="VPI70" s="4"/>
      <c r="VPJ70" s="4"/>
      <c r="VPK70" s="4"/>
      <c r="VPL70" s="4"/>
      <c r="VPM70" s="4"/>
      <c r="VPN70" s="4"/>
      <c r="VPO70" s="4"/>
      <c r="VPP70" s="4"/>
      <c r="VPQ70" s="4"/>
      <c r="VPR70" s="4"/>
      <c r="VPS70" s="4"/>
      <c r="VPT70" s="4"/>
      <c r="VPU70" s="4"/>
      <c r="VPV70" s="4"/>
      <c r="VPW70" s="4"/>
      <c r="VPX70" s="4"/>
      <c r="VPY70" s="4"/>
      <c r="VPZ70" s="4"/>
      <c r="VQA70" s="4"/>
      <c r="VQB70" s="4"/>
      <c r="VQC70" s="4"/>
      <c r="VQD70" s="4"/>
      <c r="VQE70" s="4"/>
      <c r="VQF70" s="4"/>
      <c r="VQG70" s="4"/>
      <c r="VQH70" s="4"/>
      <c r="VQI70" s="4"/>
      <c r="VQJ70" s="4"/>
      <c r="VQK70" s="4"/>
      <c r="VQL70" s="4"/>
      <c r="VQM70" s="4"/>
      <c r="VQN70" s="4"/>
      <c r="VQO70" s="4"/>
      <c r="VQP70" s="4"/>
      <c r="VQQ70" s="4"/>
      <c r="VQR70" s="4"/>
      <c r="VQS70" s="4"/>
      <c r="VQT70" s="4"/>
      <c r="VQU70" s="4"/>
      <c r="VQV70" s="4"/>
      <c r="VQW70" s="4"/>
      <c r="VQX70" s="4"/>
      <c r="VQY70" s="4"/>
      <c r="VQZ70" s="4"/>
      <c r="VRA70" s="4"/>
      <c r="VRB70" s="4"/>
      <c r="VRC70" s="4"/>
      <c r="VRD70" s="4"/>
      <c r="VRE70" s="4"/>
      <c r="VRF70" s="4"/>
      <c r="VRG70" s="4"/>
      <c r="VRH70" s="4"/>
      <c r="VRI70" s="4"/>
      <c r="VRJ70" s="4"/>
      <c r="VRK70" s="4"/>
      <c r="VRL70" s="4"/>
      <c r="VRM70" s="4"/>
      <c r="VRN70" s="4"/>
      <c r="VRO70" s="4"/>
      <c r="VRP70" s="4"/>
      <c r="VRQ70" s="4"/>
      <c r="VRR70" s="4"/>
      <c r="VRS70" s="4"/>
      <c r="VRT70" s="4"/>
      <c r="VRU70" s="4"/>
      <c r="VRV70" s="4"/>
      <c r="VRW70" s="4"/>
      <c r="VRX70" s="4"/>
      <c r="VRY70" s="4"/>
      <c r="VRZ70" s="4"/>
      <c r="VSA70" s="4"/>
      <c r="VSB70" s="4"/>
      <c r="VSC70" s="4"/>
      <c r="VSD70" s="4"/>
      <c r="VSE70" s="4"/>
      <c r="VSF70" s="4"/>
      <c r="VSG70" s="4"/>
      <c r="VSH70" s="4"/>
      <c r="VSI70" s="4"/>
      <c r="VSJ70" s="4"/>
      <c r="VSK70" s="4"/>
      <c r="VSL70" s="4"/>
      <c r="VSM70" s="4"/>
      <c r="VSN70" s="4"/>
      <c r="VSO70" s="4"/>
      <c r="VSP70" s="4"/>
      <c r="VSQ70" s="4"/>
      <c r="VSR70" s="4"/>
      <c r="VSS70" s="4"/>
      <c r="VST70" s="4"/>
      <c r="VSU70" s="4"/>
      <c r="VSV70" s="4"/>
      <c r="VSW70" s="4"/>
      <c r="VSX70" s="4"/>
      <c r="VSY70" s="4"/>
      <c r="VSZ70" s="4"/>
      <c r="VTA70" s="4"/>
      <c r="VTB70" s="4"/>
      <c r="VTC70" s="4"/>
      <c r="VTD70" s="4"/>
      <c r="VTE70" s="4"/>
      <c r="VTF70" s="4"/>
      <c r="VTG70" s="4"/>
      <c r="VTH70" s="4"/>
      <c r="VTI70" s="4"/>
      <c r="VTJ70" s="4"/>
      <c r="VTK70" s="4"/>
      <c r="VTL70" s="4"/>
      <c r="VTM70" s="4"/>
      <c r="VTN70" s="4"/>
      <c r="VTO70" s="4"/>
      <c r="VTP70" s="4"/>
      <c r="VTQ70" s="4"/>
      <c r="VTR70" s="4"/>
      <c r="VTS70" s="4"/>
      <c r="VTT70" s="4"/>
      <c r="VTU70" s="4"/>
      <c r="VTV70" s="4"/>
      <c r="VTW70" s="4"/>
      <c r="VTX70" s="4"/>
      <c r="VTY70" s="4"/>
      <c r="VTZ70" s="4"/>
      <c r="VUA70" s="4"/>
      <c r="VUB70" s="4"/>
      <c r="VUC70" s="4"/>
      <c r="VUD70" s="4"/>
      <c r="VUE70" s="4"/>
      <c r="VUF70" s="4"/>
      <c r="VUG70" s="4"/>
      <c r="VUH70" s="4"/>
      <c r="VUI70" s="4"/>
      <c r="VUJ70" s="4"/>
      <c r="VUK70" s="4"/>
      <c r="VUL70" s="4"/>
      <c r="VUM70" s="4"/>
      <c r="VUN70" s="4"/>
      <c r="VUO70" s="4"/>
      <c r="VUP70" s="4"/>
      <c r="VUQ70" s="4"/>
      <c r="VUR70" s="4"/>
      <c r="VUS70" s="4"/>
      <c r="VUT70" s="4"/>
      <c r="VUU70" s="4"/>
      <c r="VUV70" s="4"/>
      <c r="VUW70" s="4"/>
      <c r="VUX70" s="4"/>
      <c r="VUY70" s="4"/>
      <c r="VUZ70" s="4"/>
      <c r="VVA70" s="4"/>
      <c r="VVB70" s="4"/>
      <c r="VVC70" s="4"/>
      <c r="VVD70" s="4"/>
      <c r="VVE70" s="4"/>
      <c r="VVF70" s="4"/>
      <c r="VVG70" s="4"/>
      <c r="VVH70" s="4"/>
      <c r="VVI70" s="4"/>
      <c r="VVJ70" s="4"/>
      <c r="VVK70" s="4"/>
      <c r="VVL70" s="4"/>
      <c r="VVM70" s="4"/>
      <c r="VVN70" s="4"/>
      <c r="VVO70" s="4"/>
      <c r="VVP70" s="4"/>
      <c r="VVQ70" s="4"/>
      <c r="VVR70" s="4"/>
      <c r="VVS70" s="4"/>
      <c r="VVT70" s="4"/>
      <c r="VVU70" s="4"/>
      <c r="VVV70" s="4"/>
      <c r="VVW70" s="4"/>
      <c r="VVX70" s="4"/>
      <c r="VVY70" s="4"/>
      <c r="VVZ70" s="4"/>
      <c r="VWA70" s="4"/>
      <c r="VWB70" s="4"/>
      <c r="VWC70" s="4"/>
      <c r="VWD70" s="4"/>
      <c r="VWE70" s="4"/>
      <c r="VWF70" s="4"/>
      <c r="VWG70" s="4"/>
      <c r="VWH70" s="4"/>
      <c r="VWI70" s="4"/>
      <c r="VWJ70" s="4"/>
      <c r="VWK70" s="4"/>
      <c r="VWL70" s="4"/>
      <c r="VWM70" s="4"/>
      <c r="VWN70" s="4"/>
      <c r="VWO70" s="4"/>
      <c r="VWP70" s="4"/>
      <c r="VWQ70" s="4"/>
      <c r="VWR70" s="4"/>
      <c r="VWS70" s="4"/>
      <c r="VWT70" s="4"/>
      <c r="VWU70" s="4"/>
      <c r="VWV70" s="4"/>
      <c r="VWW70" s="4"/>
      <c r="VWX70" s="4"/>
      <c r="VWY70" s="4"/>
      <c r="VWZ70" s="4"/>
      <c r="VXA70" s="4"/>
      <c r="VXB70" s="4"/>
      <c r="VXC70" s="4"/>
      <c r="VXD70" s="4"/>
      <c r="VXE70" s="4"/>
      <c r="VXF70" s="4"/>
      <c r="VXG70" s="4"/>
      <c r="VXH70" s="4"/>
      <c r="VXI70" s="4"/>
      <c r="VXJ70" s="4"/>
      <c r="VXK70" s="4"/>
      <c r="VXL70" s="4"/>
      <c r="VXM70" s="4"/>
      <c r="VXN70" s="4"/>
      <c r="VXO70" s="4"/>
      <c r="VXP70" s="4"/>
      <c r="VXQ70" s="4"/>
      <c r="VXR70" s="4"/>
      <c r="VXS70" s="4"/>
      <c r="VXT70" s="4"/>
      <c r="VXU70" s="4"/>
      <c r="VXV70" s="4"/>
      <c r="VXW70" s="4"/>
      <c r="VXX70" s="4"/>
      <c r="VXY70" s="4"/>
      <c r="VXZ70" s="4"/>
      <c r="VYA70" s="4"/>
      <c r="VYB70" s="4"/>
      <c r="VYC70" s="4"/>
      <c r="VYD70" s="4"/>
      <c r="VYE70" s="4"/>
      <c r="VYF70" s="4"/>
      <c r="VYG70" s="4"/>
      <c r="VYH70" s="4"/>
      <c r="VYI70" s="4"/>
      <c r="VYJ70" s="4"/>
      <c r="VYK70" s="4"/>
      <c r="VYL70" s="4"/>
      <c r="VYM70" s="4"/>
      <c r="VYN70" s="4"/>
      <c r="VYO70" s="4"/>
      <c r="VYP70" s="4"/>
      <c r="VYQ70" s="4"/>
      <c r="VYR70" s="4"/>
      <c r="VYS70" s="4"/>
      <c r="VYT70" s="4"/>
      <c r="VYU70" s="4"/>
      <c r="VYV70" s="4"/>
      <c r="VYW70" s="4"/>
      <c r="VYX70" s="4"/>
      <c r="VYY70" s="4"/>
      <c r="VYZ70" s="4"/>
      <c r="VZA70" s="4"/>
      <c r="VZB70" s="4"/>
      <c r="VZC70" s="4"/>
      <c r="VZD70" s="4"/>
      <c r="VZE70" s="4"/>
      <c r="VZF70" s="4"/>
      <c r="VZG70" s="4"/>
      <c r="VZH70" s="4"/>
      <c r="VZI70" s="4"/>
      <c r="VZJ70" s="4"/>
      <c r="VZK70" s="4"/>
      <c r="VZL70" s="4"/>
      <c r="VZM70" s="4"/>
      <c r="VZN70" s="4"/>
      <c r="VZO70" s="4"/>
      <c r="VZP70" s="4"/>
      <c r="VZQ70" s="4"/>
      <c r="VZR70" s="4"/>
      <c r="VZS70" s="4"/>
      <c r="VZT70" s="4"/>
      <c r="VZU70" s="4"/>
      <c r="VZV70" s="4"/>
      <c r="VZW70" s="4"/>
      <c r="VZX70" s="4"/>
      <c r="VZY70" s="4"/>
      <c r="VZZ70" s="4"/>
      <c r="WAA70" s="4"/>
      <c r="WAB70" s="4"/>
      <c r="WAC70" s="4"/>
      <c r="WAD70" s="4"/>
      <c r="WAE70" s="4"/>
      <c r="WAF70" s="4"/>
      <c r="WAG70" s="4"/>
      <c r="WAH70" s="4"/>
      <c r="WAI70" s="4"/>
      <c r="WAJ70" s="4"/>
      <c r="WAK70" s="4"/>
      <c r="WAL70" s="4"/>
      <c r="WAM70" s="4"/>
      <c r="WAN70" s="4"/>
      <c r="WAO70" s="4"/>
      <c r="WAP70" s="4"/>
      <c r="WAQ70" s="4"/>
      <c r="WAR70" s="4"/>
      <c r="WAS70" s="4"/>
      <c r="WAT70" s="4"/>
      <c r="WAU70" s="4"/>
      <c r="WAV70" s="4"/>
      <c r="WAW70" s="4"/>
      <c r="WAX70" s="4"/>
      <c r="WAY70" s="4"/>
      <c r="WAZ70" s="4"/>
      <c r="WBA70" s="4"/>
      <c r="WBB70" s="4"/>
      <c r="WBC70" s="4"/>
      <c r="WBD70" s="4"/>
      <c r="WBE70" s="4"/>
      <c r="WBF70" s="4"/>
      <c r="WBG70" s="4"/>
      <c r="WBH70" s="4"/>
      <c r="WBI70" s="4"/>
      <c r="WBJ70" s="4"/>
      <c r="WBK70" s="4"/>
      <c r="WBL70" s="4"/>
      <c r="WBM70" s="4"/>
      <c r="WBN70" s="4"/>
      <c r="WBO70" s="4"/>
      <c r="WBP70" s="4"/>
      <c r="WBQ70" s="4"/>
      <c r="WBR70" s="4"/>
      <c r="WBS70" s="4"/>
      <c r="WBT70" s="4"/>
      <c r="WBU70" s="4"/>
      <c r="WBV70" s="4"/>
      <c r="WBW70" s="4"/>
      <c r="WBX70" s="4"/>
      <c r="WBY70" s="4"/>
      <c r="WBZ70" s="4"/>
      <c r="WCA70" s="4"/>
      <c r="WCB70" s="4"/>
      <c r="WCC70" s="4"/>
      <c r="WCD70" s="4"/>
      <c r="WCE70" s="4"/>
      <c r="WCF70" s="4"/>
      <c r="WCG70" s="4"/>
      <c r="WCH70" s="4"/>
      <c r="WCI70" s="4"/>
      <c r="WCJ70" s="4"/>
      <c r="WCK70" s="4"/>
      <c r="WCL70" s="4"/>
      <c r="WCM70" s="4"/>
      <c r="WCN70" s="4"/>
      <c r="WCO70" s="4"/>
      <c r="WCP70" s="4"/>
      <c r="WCQ70" s="4"/>
      <c r="WCR70" s="4"/>
      <c r="WCS70" s="4"/>
      <c r="WCT70" s="4"/>
      <c r="WCU70" s="4"/>
      <c r="WCV70" s="4"/>
      <c r="WCW70" s="4"/>
      <c r="WCX70" s="4"/>
      <c r="WCY70" s="4"/>
      <c r="WCZ70" s="4"/>
      <c r="WDA70" s="4"/>
      <c r="WDB70" s="4"/>
      <c r="WDC70" s="4"/>
      <c r="WDD70" s="4"/>
      <c r="WDE70" s="4"/>
      <c r="WDF70" s="4"/>
      <c r="WDG70" s="4"/>
      <c r="WDH70" s="4"/>
      <c r="WDI70" s="4"/>
      <c r="WDJ70" s="4"/>
      <c r="WDK70" s="4"/>
      <c r="WDL70" s="4"/>
      <c r="WDM70" s="4"/>
      <c r="WDN70" s="4"/>
      <c r="WDO70" s="4"/>
      <c r="WDP70" s="4"/>
      <c r="WDQ70" s="4"/>
      <c r="WDR70" s="4"/>
      <c r="WDS70" s="4"/>
      <c r="WDT70" s="4"/>
      <c r="WDU70" s="4"/>
      <c r="WDV70" s="4"/>
      <c r="WDW70" s="4"/>
      <c r="WDX70" s="4"/>
      <c r="WDY70" s="4"/>
      <c r="WDZ70" s="4"/>
      <c r="WEA70" s="4"/>
      <c r="WEB70" s="4"/>
      <c r="WEC70" s="4"/>
      <c r="WED70" s="4"/>
      <c r="WEE70" s="4"/>
      <c r="WEF70" s="4"/>
      <c r="WEG70" s="4"/>
      <c r="WEH70" s="4"/>
      <c r="WEI70" s="4"/>
      <c r="WEJ70" s="4"/>
      <c r="WEK70" s="4"/>
      <c r="WEL70" s="4"/>
      <c r="WEM70" s="4"/>
      <c r="WEN70" s="4"/>
      <c r="WEO70" s="4"/>
      <c r="WEP70" s="4"/>
      <c r="WEQ70" s="4"/>
      <c r="WER70" s="4"/>
      <c r="WES70" s="4"/>
      <c r="WET70" s="4"/>
      <c r="WEU70" s="4"/>
      <c r="WEV70" s="4"/>
      <c r="WEW70" s="4"/>
      <c r="WEX70" s="4"/>
      <c r="WEY70" s="4"/>
      <c r="WEZ70" s="4"/>
      <c r="WFA70" s="4"/>
      <c r="WFB70" s="4"/>
      <c r="WFC70" s="4"/>
      <c r="WFD70" s="4"/>
      <c r="WFE70" s="4"/>
      <c r="WFF70" s="4"/>
      <c r="WFG70" s="4"/>
      <c r="WFH70" s="4"/>
      <c r="WFI70" s="4"/>
      <c r="WFJ70" s="4"/>
      <c r="WFK70" s="4"/>
      <c r="WFL70" s="4"/>
      <c r="WFM70" s="4"/>
      <c r="WFN70" s="4"/>
      <c r="WFO70" s="4"/>
      <c r="WFP70" s="4"/>
      <c r="WFQ70" s="4"/>
      <c r="WFR70" s="4"/>
      <c r="WFS70" s="4"/>
      <c r="WFT70" s="4"/>
      <c r="WFU70" s="4"/>
      <c r="WFV70" s="4"/>
      <c r="WFW70" s="4"/>
      <c r="WFX70" s="4"/>
      <c r="WFY70" s="4"/>
      <c r="WFZ70" s="4"/>
      <c r="WGA70" s="4"/>
      <c r="WGB70" s="4"/>
      <c r="WGC70" s="4"/>
      <c r="WGD70" s="4"/>
      <c r="WGE70" s="4"/>
      <c r="WGF70" s="4"/>
      <c r="WGG70" s="4"/>
      <c r="WGH70" s="4"/>
      <c r="WGI70" s="4"/>
      <c r="WGJ70" s="4"/>
      <c r="WGK70" s="4"/>
      <c r="WGL70" s="4"/>
      <c r="WGM70" s="4"/>
      <c r="WGN70" s="4"/>
      <c r="WGO70" s="4"/>
      <c r="WGP70" s="4"/>
      <c r="WGQ70" s="4"/>
      <c r="WGR70" s="4"/>
      <c r="WGS70" s="4"/>
      <c r="WGT70" s="4"/>
      <c r="WGU70" s="4"/>
      <c r="WGV70" s="4"/>
      <c r="WGW70" s="4"/>
      <c r="WGX70" s="4"/>
      <c r="WGY70" s="4"/>
      <c r="WGZ70" s="4"/>
      <c r="WHA70" s="4"/>
      <c r="WHB70" s="4"/>
      <c r="WHC70" s="4"/>
      <c r="WHD70" s="4"/>
      <c r="WHE70" s="4"/>
      <c r="WHF70" s="4"/>
      <c r="WHG70" s="4"/>
      <c r="WHH70" s="4"/>
      <c r="WHI70" s="4"/>
      <c r="WHJ70" s="4"/>
      <c r="WHK70" s="4"/>
      <c r="WHL70" s="4"/>
      <c r="WHM70" s="4"/>
      <c r="WHN70" s="4"/>
      <c r="WHO70" s="4"/>
      <c r="WHP70" s="4"/>
      <c r="WHQ70" s="4"/>
      <c r="WHR70" s="4"/>
      <c r="WHS70" s="4"/>
      <c r="WHT70" s="4"/>
      <c r="WHU70" s="4"/>
      <c r="WHV70" s="4"/>
      <c r="WHW70" s="4"/>
      <c r="WHX70" s="4"/>
      <c r="WHY70" s="4"/>
      <c r="WHZ70" s="4"/>
      <c r="WIA70" s="4"/>
      <c r="WIB70" s="4"/>
      <c r="WIC70" s="4"/>
      <c r="WID70" s="4"/>
      <c r="WIE70" s="4"/>
      <c r="WIF70" s="4"/>
      <c r="WIG70" s="4"/>
      <c r="WIH70" s="4"/>
      <c r="WII70" s="4"/>
      <c r="WIJ70" s="4"/>
      <c r="WIK70" s="4"/>
      <c r="WIL70" s="4"/>
      <c r="WIM70" s="4"/>
      <c r="WIN70" s="4"/>
      <c r="WIO70" s="4"/>
      <c r="WIP70" s="4"/>
      <c r="WIQ70" s="4"/>
      <c r="WIR70" s="4"/>
      <c r="WIS70" s="4"/>
      <c r="WIT70" s="4"/>
      <c r="WIU70" s="4"/>
      <c r="WIV70" s="4"/>
      <c r="WIW70" s="4"/>
      <c r="WIX70" s="4"/>
      <c r="WIY70" s="4"/>
      <c r="WIZ70" s="4"/>
      <c r="WJA70" s="4"/>
      <c r="WJB70" s="4"/>
      <c r="WJC70" s="4"/>
      <c r="WJD70" s="4"/>
      <c r="WJE70" s="4"/>
      <c r="WJF70" s="4"/>
      <c r="WJG70" s="4"/>
      <c r="WJH70" s="4"/>
      <c r="WJI70" s="4"/>
      <c r="WJJ70" s="4"/>
      <c r="WJK70" s="4"/>
      <c r="WJL70" s="4"/>
      <c r="WJM70" s="4"/>
      <c r="WJN70" s="4"/>
      <c r="WJO70" s="4"/>
      <c r="WJP70" s="4"/>
      <c r="WJQ70" s="4"/>
      <c r="WJR70" s="4"/>
      <c r="WJS70" s="4"/>
      <c r="WJT70" s="4"/>
      <c r="WJU70" s="4"/>
      <c r="WJV70" s="4"/>
      <c r="WJW70" s="4"/>
      <c r="WJX70" s="4"/>
      <c r="WJY70" s="4"/>
      <c r="WJZ70" s="4"/>
      <c r="WKA70" s="4"/>
      <c r="WKB70" s="4"/>
      <c r="WKC70" s="4"/>
      <c r="WKD70" s="4"/>
      <c r="WKE70" s="4"/>
      <c r="WKF70" s="4"/>
      <c r="WKG70" s="4"/>
      <c r="WKH70" s="4"/>
      <c r="WKI70" s="4"/>
      <c r="WKJ70" s="4"/>
      <c r="WKK70" s="4"/>
      <c r="WKL70" s="4"/>
      <c r="WKM70" s="4"/>
      <c r="WKN70" s="4"/>
      <c r="WKO70" s="4"/>
      <c r="WKP70" s="4"/>
      <c r="WKQ70" s="4"/>
      <c r="WKR70" s="4"/>
      <c r="WKS70" s="4"/>
      <c r="WKT70" s="4"/>
      <c r="WKU70" s="4"/>
      <c r="WKV70" s="4"/>
      <c r="WKW70" s="4"/>
      <c r="WKX70" s="4"/>
      <c r="WKY70" s="4"/>
      <c r="WKZ70" s="4"/>
      <c r="WLA70" s="4"/>
      <c r="WLB70" s="4"/>
      <c r="WLC70" s="4"/>
      <c r="WLD70" s="4"/>
      <c r="WLE70" s="4"/>
      <c r="WLF70" s="4"/>
      <c r="WLG70" s="4"/>
      <c r="WLH70" s="4"/>
      <c r="WLI70" s="4"/>
      <c r="WLJ70" s="4"/>
      <c r="WLK70" s="4"/>
      <c r="WLL70" s="4"/>
      <c r="WLM70" s="4"/>
      <c r="WLN70" s="4"/>
      <c r="WLO70" s="4"/>
      <c r="WLP70" s="4"/>
      <c r="WLQ70" s="4"/>
      <c r="WLR70" s="4"/>
      <c r="WLS70" s="4"/>
      <c r="WLT70" s="4"/>
      <c r="WLU70" s="4"/>
      <c r="WLV70" s="4"/>
      <c r="WLW70" s="4"/>
      <c r="WLX70" s="4"/>
      <c r="WLY70" s="4"/>
      <c r="WLZ70" s="4"/>
      <c r="WMA70" s="4"/>
      <c r="WMB70" s="4"/>
      <c r="WMC70" s="4"/>
      <c r="WMD70" s="4"/>
      <c r="WME70" s="4"/>
      <c r="WMF70" s="4"/>
      <c r="WMG70" s="4"/>
      <c r="WMH70" s="4"/>
      <c r="WMI70" s="4"/>
      <c r="WMJ70" s="4"/>
      <c r="WMK70" s="4"/>
      <c r="WML70" s="4"/>
      <c r="WMM70" s="4"/>
      <c r="WMN70" s="4"/>
      <c r="WMO70" s="4"/>
      <c r="WMP70" s="4"/>
      <c r="WMQ70" s="4"/>
      <c r="WMR70" s="4"/>
      <c r="WMS70" s="4"/>
      <c r="WMT70" s="4"/>
      <c r="WMU70" s="4"/>
      <c r="WMV70" s="4"/>
      <c r="WMW70" s="4"/>
      <c r="WMX70" s="4"/>
      <c r="WMY70" s="4"/>
      <c r="WMZ70" s="4"/>
      <c r="WNA70" s="4"/>
      <c r="WNB70" s="4"/>
      <c r="WNC70" s="4"/>
      <c r="WND70" s="4"/>
      <c r="WNE70" s="4"/>
      <c r="WNF70" s="4"/>
      <c r="WNG70" s="4"/>
      <c r="WNH70" s="4"/>
      <c r="WNI70" s="4"/>
      <c r="WNJ70" s="4"/>
      <c r="WNK70" s="4"/>
      <c r="WNL70" s="4"/>
      <c r="WNM70" s="4"/>
      <c r="WNN70" s="4"/>
      <c r="WNO70" s="4"/>
      <c r="WNP70" s="4"/>
      <c r="WNQ70" s="4"/>
      <c r="WNR70" s="4"/>
      <c r="WNS70" s="4"/>
      <c r="WNT70" s="4"/>
      <c r="WNU70" s="4"/>
      <c r="WNV70" s="4"/>
      <c r="WNW70" s="4"/>
      <c r="WNX70" s="4"/>
      <c r="WNY70" s="4"/>
      <c r="WNZ70" s="4"/>
      <c r="WOA70" s="4"/>
      <c r="WOB70" s="4"/>
      <c r="WOC70" s="4"/>
      <c r="WOD70" s="4"/>
      <c r="WOE70" s="4"/>
      <c r="WOF70" s="4"/>
      <c r="WOG70" s="4"/>
      <c r="WOH70" s="4"/>
      <c r="WOI70" s="4"/>
      <c r="WOJ70" s="4"/>
      <c r="WOK70" s="4"/>
      <c r="WOL70" s="4"/>
      <c r="WOM70" s="4"/>
      <c r="WON70" s="4"/>
      <c r="WOO70" s="4"/>
      <c r="WOP70" s="4"/>
      <c r="WOQ70" s="4"/>
      <c r="WOR70" s="4"/>
      <c r="WOS70" s="4"/>
      <c r="WOT70" s="4"/>
      <c r="WOU70" s="4"/>
      <c r="WOV70" s="4"/>
      <c r="WOW70" s="4"/>
      <c r="WOX70" s="4"/>
      <c r="WOY70" s="4"/>
      <c r="WOZ70" s="4"/>
      <c r="WPA70" s="4"/>
      <c r="WPB70" s="4"/>
      <c r="WPC70" s="4"/>
      <c r="WPD70" s="4"/>
      <c r="WPE70" s="4"/>
      <c r="WPF70" s="4"/>
      <c r="WPG70" s="4"/>
      <c r="WPH70" s="4"/>
      <c r="WPI70" s="4"/>
      <c r="WPJ70" s="4"/>
      <c r="WPK70" s="4"/>
      <c r="WPL70" s="4"/>
      <c r="WPM70" s="4"/>
      <c r="WPN70" s="4"/>
      <c r="WPO70" s="4"/>
      <c r="WPP70" s="4"/>
      <c r="WPQ70" s="4"/>
      <c r="WPR70" s="4"/>
      <c r="WPS70" s="4"/>
      <c r="WPT70" s="4"/>
      <c r="WPU70" s="4"/>
      <c r="WPV70" s="4"/>
      <c r="WPW70" s="4"/>
      <c r="WPX70" s="4"/>
      <c r="WPY70" s="4"/>
      <c r="WPZ70" s="4"/>
      <c r="WQA70" s="4"/>
      <c r="WQB70" s="4"/>
      <c r="WQC70" s="4"/>
      <c r="WQD70" s="4"/>
      <c r="WQE70" s="4"/>
      <c r="WQF70" s="4"/>
      <c r="WQG70" s="4"/>
      <c r="WQH70" s="4"/>
      <c r="WQI70" s="4"/>
      <c r="WQJ70" s="4"/>
      <c r="WQK70" s="4"/>
      <c r="WQL70" s="4"/>
      <c r="WQM70" s="4"/>
      <c r="WQN70" s="4"/>
      <c r="WQO70" s="4"/>
      <c r="WQP70" s="4"/>
      <c r="WQQ70" s="4"/>
      <c r="WQR70" s="4"/>
      <c r="WQS70" s="4"/>
      <c r="WQT70" s="4"/>
      <c r="WQU70" s="4"/>
      <c r="WQV70" s="4"/>
      <c r="WQW70" s="4"/>
      <c r="WQX70" s="4"/>
      <c r="WQY70" s="4"/>
      <c r="WQZ70" s="4"/>
      <c r="WRA70" s="4"/>
      <c r="WRB70" s="4"/>
      <c r="WRC70" s="4"/>
      <c r="WRD70" s="4"/>
      <c r="WRE70" s="4"/>
      <c r="WRF70" s="4"/>
      <c r="WRG70" s="4"/>
      <c r="WRH70" s="4"/>
      <c r="WRI70" s="4"/>
      <c r="WRJ70" s="4"/>
      <c r="WRK70" s="4"/>
      <c r="WRL70" s="4"/>
      <c r="WRM70" s="4"/>
      <c r="WRN70" s="4"/>
      <c r="WRO70" s="4"/>
      <c r="WRP70" s="4"/>
      <c r="WRQ70" s="4"/>
      <c r="WRR70" s="4"/>
      <c r="WRS70" s="4"/>
      <c r="WRT70" s="4"/>
      <c r="WRU70" s="4"/>
      <c r="WRV70" s="4"/>
      <c r="WRW70" s="4"/>
      <c r="WRX70" s="4"/>
      <c r="WRY70" s="4"/>
      <c r="WRZ70" s="4"/>
      <c r="WSA70" s="4"/>
      <c r="WSB70" s="4"/>
      <c r="WSC70" s="4"/>
      <c r="WSD70" s="4"/>
      <c r="WSE70" s="4"/>
      <c r="WSF70" s="4"/>
      <c r="WSG70" s="4"/>
      <c r="WSH70" s="4"/>
      <c r="WSI70" s="4"/>
      <c r="WSJ70" s="4"/>
      <c r="WSK70" s="4"/>
      <c r="WSL70" s="4"/>
      <c r="WSM70" s="4"/>
      <c r="WSN70" s="4"/>
      <c r="WSO70" s="4"/>
      <c r="WSP70" s="4"/>
      <c r="WSQ70" s="4"/>
      <c r="WSR70" s="4"/>
      <c r="WSS70" s="4"/>
      <c r="WST70" s="4"/>
      <c r="WSU70" s="4"/>
      <c r="WSV70" s="4"/>
      <c r="WSW70" s="4"/>
      <c r="WSX70" s="4"/>
      <c r="WSY70" s="4"/>
      <c r="WSZ70" s="4"/>
      <c r="WTA70" s="4"/>
      <c r="WTB70" s="4"/>
      <c r="WTC70" s="4"/>
      <c r="WTD70" s="4"/>
      <c r="WTE70" s="4"/>
      <c r="WTF70" s="4"/>
      <c r="WTG70" s="4"/>
      <c r="WTH70" s="4"/>
      <c r="WTI70" s="4"/>
      <c r="WTJ70" s="4"/>
      <c r="WTK70" s="4"/>
      <c r="WTL70" s="4"/>
      <c r="WTM70" s="4"/>
      <c r="WTN70" s="4"/>
      <c r="WTO70" s="4"/>
      <c r="WTP70" s="4"/>
      <c r="WTQ70" s="4"/>
      <c r="WTR70" s="4"/>
      <c r="WTS70" s="4"/>
      <c r="WTT70" s="4"/>
      <c r="WTU70" s="4"/>
      <c r="WTV70" s="4"/>
      <c r="WTW70" s="4"/>
      <c r="WTX70" s="4"/>
      <c r="WTY70" s="4"/>
      <c r="WTZ70" s="4"/>
      <c r="WUA70" s="4"/>
      <c r="WUB70" s="4"/>
      <c r="WUC70" s="4"/>
      <c r="WUD70" s="4"/>
      <c r="WUE70" s="4"/>
      <c r="WUF70" s="4"/>
      <c r="WUG70" s="4"/>
      <c r="WUH70" s="4"/>
      <c r="WUI70" s="4"/>
      <c r="WUJ70" s="4"/>
      <c r="WUK70" s="4"/>
      <c r="WUL70" s="4"/>
      <c r="WUM70" s="4"/>
      <c r="WUN70" s="4"/>
      <c r="WUO70" s="4"/>
      <c r="WUP70" s="4"/>
      <c r="WUQ70" s="4"/>
      <c r="WUR70" s="4"/>
      <c r="WUS70" s="4"/>
      <c r="WUT70" s="4"/>
      <c r="WUU70" s="4"/>
      <c r="WUV70" s="4"/>
      <c r="WUW70" s="4"/>
      <c r="WUX70" s="4"/>
      <c r="WUY70" s="4"/>
      <c r="WUZ70" s="4"/>
      <c r="WVA70" s="4"/>
      <c r="WVB70" s="4"/>
      <c r="WVC70" s="4"/>
      <c r="WVD70" s="4"/>
      <c r="WVE70" s="4"/>
      <c r="WVF70" s="4"/>
      <c r="WVG70" s="4"/>
      <c r="WVH70" s="4"/>
      <c r="WVI70" s="4"/>
      <c r="WVJ70" s="4"/>
      <c r="WVK70" s="4"/>
      <c r="WVL70" s="4"/>
      <c r="WVM70" s="4"/>
      <c r="WVN70" s="4"/>
      <c r="WVO70" s="4"/>
      <c r="WVP70" s="4"/>
      <c r="WVQ70" s="4"/>
      <c r="WVR70" s="4"/>
      <c r="WVS70" s="4"/>
      <c r="WVT70" s="4"/>
      <c r="WVU70" s="4"/>
      <c r="WVV70" s="4"/>
      <c r="WVW70" s="4"/>
      <c r="WVX70" s="4"/>
      <c r="WVY70" s="4"/>
      <c r="WVZ70" s="4"/>
      <c r="WWA70" s="4"/>
      <c r="WWB70" s="4"/>
      <c r="WWC70" s="4"/>
      <c r="WWD70" s="4"/>
      <c r="WWE70" s="4"/>
      <c r="WWF70" s="4"/>
      <c r="WWG70" s="4"/>
      <c r="WWH70" s="4"/>
      <c r="WWI70" s="4"/>
      <c r="WWJ70" s="4"/>
      <c r="WWK70" s="4"/>
      <c r="WWL70" s="4"/>
      <c r="WWM70" s="4"/>
      <c r="WWN70" s="4"/>
      <c r="WWO70" s="4"/>
      <c r="WWP70" s="4"/>
      <c r="WWQ70" s="4"/>
      <c r="WWR70" s="4"/>
      <c r="WWS70" s="4"/>
      <c r="WWT70" s="4"/>
      <c r="WWU70" s="4"/>
      <c r="WWV70" s="4"/>
      <c r="WWW70" s="4"/>
      <c r="WWX70" s="4"/>
      <c r="WWY70" s="4"/>
      <c r="WWZ70" s="4"/>
      <c r="WXA70" s="4"/>
      <c r="WXB70" s="4"/>
      <c r="WXC70" s="4"/>
      <c r="WXD70" s="4"/>
      <c r="WXE70" s="4"/>
      <c r="WXF70" s="4"/>
      <c r="WXG70" s="4"/>
      <c r="WXH70" s="4"/>
      <c r="WXI70" s="4"/>
      <c r="WXJ70" s="4"/>
      <c r="WXK70" s="4"/>
      <c r="WXL70" s="4"/>
      <c r="WXM70" s="4"/>
      <c r="WXN70" s="4"/>
      <c r="WXO70" s="4"/>
      <c r="WXP70" s="4"/>
      <c r="WXQ70" s="4"/>
      <c r="WXR70" s="4"/>
      <c r="WXS70" s="4"/>
      <c r="WXT70" s="4"/>
      <c r="WXU70" s="4"/>
      <c r="WXV70" s="4"/>
      <c r="WXW70" s="4"/>
      <c r="WXX70" s="4"/>
      <c r="WXY70" s="4"/>
      <c r="WXZ70" s="4"/>
      <c r="WYA70" s="4"/>
      <c r="WYB70" s="4"/>
      <c r="WYC70" s="4"/>
      <c r="WYD70" s="4"/>
      <c r="WYE70" s="4"/>
      <c r="WYF70" s="4"/>
      <c r="WYG70" s="4"/>
      <c r="WYH70" s="4"/>
      <c r="WYI70" s="4"/>
      <c r="WYJ70" s="4"/>
      <c r="WYK70" s="4"/>
      <c r="WYL70" s="4"/>
      <c r="WYM70" s="4"/>
      <c r="WYN70" s="4"/>
      <c r="WYO70" s="4"/>
      <c r="WYP70" s="4"/>
      <c r="WYQ70" s="4"/>
      <c r="WYR70" s="4"/>
      <c r="WYS70" s="4"/>
      <c r="WYT70" s="4"/>
      <c r="WYU70" s="4"/>
      <c r="WYV70" s="4"/>
      <c r="WYW70" s="4"/>
      <c r="WYX70" s="4"/>
      <c r="WYY70" s="4"/>
      <c r="WYZ70" s="4"/>
      <c r="WZA70" s="4"/>
      <c r="WZB70" s="4"/>
      <c r="WZC70" s="4"/>
      <c r="WZD70" s="4"/>
      <c r="WZE70" s="4"/>
      <c r="WZF70" s="4"/>
      <c r="WZG70" s="4"/>
      <c r="WZH70" s="4"/>
      <c r="WZI70" s="4"/>
      <c r="WZJ70" s="4"/>
      <c r="WZK70" s="4"/>
      <c r="WZL70" s="4"/>
      <c r="WZM70" s="4"/>
      <c r="WZN70" s="4"/>
      <c r="WZO70" s="4"/>
      <c r="WZP70" s="4"/>
      <c r="WZQ70" s="4"/>
      <c r="WZR70" s="4"/>
      <c r="WZS70" s="4"/>
      <c r="WZT70" s="4"/>
      <c r="WZU70" s="4"/>
      <c r="WZV70" s="4"/>
      <c r="WZW70" s="4"/>
      <c r="WZX70" s="4"/>
      <c r="WZY70" s="4"/>
      <c r="WZZ70" s="4"/>
      <c r="XAA70" s="4"/>
      <c r="XAB70" s="4"/>
      <c r="XAC70" s="4"/>
      <c r="XAD70" s="4"/>
      <c r="XAE70" s="4"/>
      <c r="XAF70" s="4"/>
      <c r="XAG70" s="4"/>
      <c r="XAH70" s="4"/>
      <c r="XAI70" s="4"/>
      <c r="XAJ70" s="4"/>
      <c r="XAK70" s="4"/>
      <c r="XAL70" s="4"/>
      <c r="XAM70" s="4"/>
      <c r="XAN70" s="4"/>
      <c r="XAO70" s="4"/>
      <c r="XAP70" s="4"/>
      <c r="XAQ70" s="4"/>
      <c r="XAR70" s="4"/>
      <c r="XAS70" s="4"/>
      <c r="XAT70" s="4"/>
      <c r="XAU70" s="4"/>
      <c r="XAV70" s="4"/>
      <c r="XAW70" s="4"/>
      <c r="XAX70" s="4"/>
      <c r="XAY70" s="4"/>
      <c r="XAZ70" s="4"/>
      <c r="XBA70" s="4"/>
      <c r="XBB70" s="4"/>
      <c r="XBC70" s="4"/>
      <c r="XBD70" s="4"/>
      <c r="XBE70" s="4"/>
      <c r="XBF70" s="4"/>
      <c r="XBG70" s="4"/>
      <c r="XBH70" s="4"/>
      <c r="XBI70" s="4"/>
      <c r="XBJ70" s="4"/>
      <c r="XBK70" s="4"/>
      <c r="XBL70" s="4"/>
      <c r="XBM70" s="4"/>
      <c r="XBN70" s="4"/>
      <c r="XBO70" s="4"/>
      <c r="XBP70" s="4"/>
      <c r="XBQ70" s="4"/>
      <c r="XBR70" s="4"/>
      <c r="XBS70" s="4"/>
      <c r="XBT70" s="4"/>
      <c r="XBU70" s="4"/>
      <c r="XBV70" s="4"/>
      <c r="XBW70" s="4"/>
      <c r="XBX70" s="4"/>
      <c r="XBY70" s="4"/>
      <c r="XBZ70" s="4"/>
      <c r="XCA70" s="4"/>
      <c r="XCB70" s="4"/>
      <c r="XCC70" s="4"/>
      <c r="XCD70" s="4"/>
      <c r="XCE70" s="4"/>
      <c r="XCF70" s="4"/>
      <c r="XCG70" s="4"/>
      <c r="XCH70" s="4"/>
      <c r="XCI70" s="4"/>
      <c r="XCJ70" s="4"/>
      <c r="XCK70" s="4"/>
      <c r="XCL70" s="4"/>
      <c r="XCM70" s="4"/>
      <c r="XCN70" s="4"/>
      <c r="XCO70" s="4"/>
      <c r="XCP70" s="4"/>
      <c r="XCQ70" s="4"/>
      <c r="XCR70" s="4"/>
      <c r="XCS70" s="4"/>
      <c r="XCT70" s="4"/>
      <c r="XCU70" s="4"/>
      <c r="XCV70" s="4"/>
      <c r="XCW70" s="4"/>
      <c r="XCX70" s="4"/>
      <c r="XCY70" s="4"/>
      <c r="XCZ70" s="4"/>
      <c r="XDA70" s="4"/>
      <c r="XDB70" s="4"/>
      <c r="XDC70" s="4"/>
      <c r="XDD70" s="4"/>
      <c r="XDE70" s="4"/>
      <c r="XDF70" s="4"/>
      <c r="XDG70" s="4"/>
      <c r="XDH70" s="4"/>
      <c r="XDI70" s="4"/>
      <c r="XDJ70" s="4"/>
      <c r="XDK70" s="4"/>
      <c r="XDL70" s="4"/>
      <c r="XDM70" s="4"/>
      <c r="XDN70" s="4"/>
      <c r="XDO70" s="4"/>
      <c r="XDP70" s="4"/>
      <c r="XDQ70" s="4"/>
      <c r="XDR70" s="4"/>
      <c r="XDS70" s="4"/>
      <c r="XDT70" s="4"/>
      <c r="XDU70" s="4"/>
      <c r="XDV70" s="4"/>
      <c r="XDW70" s="4"/>
      <c r="XDX70" s="4"/>
      <c r="XDY70" s="4"/>
      <c r="XDZ70" s="4"/>
      <c r="XEA70" s="4"/>
      <c r="XEB70" s="4"/>
      <c r="XEC70" s="4"/>
      <c r="XED70" s="4"/>
      <c r="XEE70" s="4"/>
      <c r="XEF70" s="4"/>
      <c r="XEG70" s="4"/>
      <c r="XEH70" s="4"/>
      <c r="XEI70" s="4"/>
      <c r="XEJ70" s="4"/>
      <c r="XEK70" s="4"/>
      <c r="XEL70" s="4"/>
      <c r="XEM70" s="4"/>
      <c r="XEN70" s="4"/>
      <c r="XEO70" s="4"/>
      <c r="XEP70" s="4"/>
      <c r="XEQ70" s="4"/>
      <c r="XER70" s="4"/>
      <c r="XES70" s="4"/>
      <c r="XET70" s="4"/>
      <c r="XEU70" s="4"/>
      <c r="XEV70" s="4"/>
      <c r="XEW70" s="4"/>
      <c r="XEX70" s="4"/>
      <c r="XEY70" s="4"/>
      <c r="XEZ70" s="4"/>
      <c r="XFA70" s="4"/>
      <c r="XFB70" s="4"/>
    </row>
    <row r="71" spans="1:16384" s="41" customFormat="1" x14ac:dyDescent="0.35">
      <c r="A71" s="88" t="s">
        <v>360</v>
      </c>
      <c r="B71" s="101" t="s">
        <v>0</v>
      </c>
      <c r="C71" s="101"/>
      <c r="D71" s="14"/>
      <c r="E71" s="14"/>
      <c r="F71" s="14" t="s">
        <v>80</v>
      </c>
      <c r="G71" s="14" t="s">
        <v>5</v>
      </c>
      <c r="H71" s="40" t="s">
        <v>116</v>
      </c>
      <c r="I71" s="40" t="s">
        <v>116</v>
      </c>
      <c r="J71" s="40" t="s">
        <v>11</v>
      </c>
      <c r="L71" s="42"/>
      <c r="M71" s="43"/>
      <c r="N71" s="42">
        <v>1</v>
      </c>
      <c r="O71" s="44">
        <f>2060000/1430</f>
        <v>1440.5594405594406</v>
      </c>
      <c r="P71" s="44">
        <f>+O71*N71</f>
        <v>1440.5594405594406</v>
      </c>
      <c r="Q71" s="44"/>
      <c r="R71" s="43"/>
      <c r="T71" s="43">
        <f>+P71+Q71+R71+S71</f>
        <v>1440.5594405594406</v>
      </c>
      <c r="U71" s="10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  <c r="AML71" s="4"/>
      <c r="AMM71" s="4"/>
      <c r="AMN71" s="4"/>
      <c r="AMO71" s="4"/>
      <c r="AMP71" s="4"/>
      <c r="AMQ71" s="4"/>
      <c r="AMR71" s="4"/>
      <c r="AMS71" s="4"/>
      <c r="AMT71" s="4"/>
      <c r="AMU71" s="4"/>
      <c r="AMV71" s="4"/>
      <c r="AMW71" s="4"/>
      <c r="AMX71" s="4"/>
      <c r="AMY71" s="4"/>
      <c r="AMZ71" s="4"/>
      <c r="ANA71" s="4"/>
      <c r="ANB71" s="4"/>
      <c r="ANC71" s="4"/>
      <c r="AND71" s="4"/>
      <c r="ANE71" s="4"/>
      <c r="ANF71" s="4"/>
      <c r="ANG71" s="4"/>
      <c r="ANH71" s="4"/>
      <c r="ANI71" s="4"/>
      <c r="ANJ71" s="4"/>
      <c r="ANK71" s="4"/>
      <c r="ANL71" s="4"/>
      <c r="ANM71" s="4"/>
      <c r="ANN71" s="4"/>
      <c r="ANO71" s="4"/>
      <c r="ANP71" s="4"/>
      <c r="ANQ71" s="4"/>
      <c r="ANR71" s="4"/>
      <c r="ANS71" s="4"/>
      <c r="ANT71" s="4"/>
      <c r="ANU71" s="4"/>
      <c r="ANV71" s="4"/>
      <c r="ANW71" s="4"/>
      <c r="ANX71" s="4"/>
      <c r="ANY71" s="4"/>
      <c r="ANZ71" s="4"/>
      <c r="AOA71" s="4"/>
      <c r="AOB71" s="4"/>
      <c r="AOC71" s="4"/>
      <c r="AOD71" s="4"/>
      <c r="AOE71" s="4"/>
      <c r="AOF71" s="4"/>
      <c r="AOG71" s="4"/>
      <c r="AOH71" s="4"/>
      <c r="AOI71" s="4"/>
      <c r="AOJ71" s="4"/>
      <c r="AOK71" s="4"/>
      <c r="AOL71" s="4"/>
      <c r="AOM71" s="4"/>
      <c r="AON71" s="4"/>
      <c r="AOO71" s="4"/>
      <c r="AOP71" s="4"/>
      <c r="AOQ71" s="4"/>
      <c r="AOR71" s="4"/>
      <c r="AOS71" s="4"/>
      <c r="AOT71" s="4"/>
      <c r="AOU71" s="4"/>
      <c r="AOV71" s="4"/>
      <c r="AOW71" s="4"/>
      <c r="AOX71" s="4"/>
      <c r="AOY71" s="4"/>
      <c r="AOZ71" s="4"/>
      <c r="APA71" s="4"/>
      <c r="APB71" s="4"/>
      <c r="APC71" s="4"/>
      <c r="APD71" s="4"/>
      <c r="APE71" s="4"/>
      <c r="APF71" s="4"/>
      <c r="APG71" s="4"/>
      <c r="APH71" s="4"/>
      <c r="API71" s="4"/>
      <c r="APJ71" s="4"/>
      <c r="APK71" s="4"/>
      <c r="APL71" s="4"/>
      <c r="APM71" s="4"/>
      <c r="APN71" s="4"/>
      <c r="APO71" s="4"/>
      <c r="APP71" s="4"/>
      <c r="APQ71" s="4"/>
      <c r="APR71" s="4"/>
      <c r="APS71" s="4"/>
      <c r="APT71" s="4"/>
      <c r="APU71" s="4"/>
      <c r="APV71" s="4"/>
      <c r="APW71" s="4"/>
      <c r="APX71" s="4"/>
      <c r="APY71" s="4"/>
      <c r="APZ71" s="4"/>
      <c r="AQA71" s="4"/>
      <c r="AQB71" s="4"/>
      <c r="AQC71" s="4"/>
      <c r="AQD71" s="4"/>
      <c r="AQE71" s="4"/>
      <c r="AQF71" s="4"/>
      <c r="AQG71" s="4"/>
      <c r="AQH71" s="4"/>
      <c r="AQI71" s="4"/>
      <c r="AQJ71" s="4"/>
      <c r="AQK71" s="4"/>
      <c r="AQL71" s="4"/>
      <c r="AQM71" s="4"/>
      <c r="AQN71" s="4"/>
      <c r="AQO71" s="4"/>
      <c r="AQP71" s="4"/>
      <c r="AQQ71" s="4"/>
      <c r="AQR71" s="4"/>
      <c r="AQS71" s="4"/>
      <c r="AQT71" s="4"/>
      <c r="AQU71" s="4"/>
      <c r="AQV71" s="4"/>
      <c r="AQW71" s="4"/>
      <c r="AQX71" s="4"/>
      <c r="AQY71" s="4"/>
      <c r="AQZ71" s="4"/>
      <c r="ARA71" s="4"/>
      <c r="ARB71" s="4"/>
      <c r="ARC71" s="4"/>
      <c r="ARD71" s="4"/>
      <c r="ARE71" s="4"/>
      <c r="ARF71" s="4"/>
      <c r="ARG71" s="4"/>
      <c r="ARH71" s="4"/>
      <c r="ARI71" s="4"/>
      <c r="ARJ71" s="4"/>
      <c r="ARK71" s="4"/>
      <c r="ARL71" s="4"/>
      <c r="ARM71" s="4"/>
      <c r="ARN71" s="4"/>
      <c r="ARO71" s="4"/>
      <c r="ARP71" s="4"/>
      <c r="ARQ71" s="4"/>
      <c r="ARR71" s="4"/>
      <c r="ARS71" s="4"/>
      <c r="ART71" s="4"/>
      <c r="ARU71" s="4"/>
      <c r="ARV71" s="4"/>
      <c r="ARW71" s="4"/>
      <c r="ARX71" s="4"/>
      <c r="ARY71" s="4"/>
      <c r="ARZ71" s="4"/>
      <c r="ASA71" s="4"/>
      <c r="ASB71" s="4"/>
      <c r="ASC71" s="4"/>
      <c r="ASD71" s="4"/>
      <c r="ASE71" s="4"/>
      <c r="ASF71" s="4"/>
      <c r="ASG71" s="4"/>
      <c r="ASH71" s="4"/>
      <c r="ASI71" s="4"/>
      <c r="ASJ71" s="4"/>
      <c r="ASK71" s="4"/>
      <c r="ASL71" s="4"/>
      <c r="ASM71" s="4"/>
      <c r="ASN71" s="4"/>
      <c r="ASO71" s="4"/>
      <c r="ASP71" s="4"/>
      <c r="ASQ71" s="4"/>
      <c r="ASR71" s="4"/>
      <c r="ASS71" s="4"/>
      <c r="AST71" s="4"/>
      <c r="ASU71" s="4"/>
      <c r="ASV71" s="4"/>
      <c r="ASW71" s="4"/>
      <c r="ASX71" s="4"/>
      <c r="ASY71" s="4"/>
      <c r="ASZ71" s="4"/>
      <c r="ATA71" s="4"/>
      <c r="ATB71" s="4"/>
      <c r="ATC71" s="4"/>
      <c r="ATD71" s="4"/>
      <c r="ATE71" s="4"/>
      <c r="ATF71" s="4"/>
      <c r="ATG71" s="4"/>
      <c r="ATH71" s="4"/>
      <c r="ATI71" s="4"/>
      <c r="ATJ71" s="4"/>
      <c r="ATK71" s="4"/>
      <c r="ATL71" s="4"/>
      <c r="ATM71" s="4"/>
      <c r="ATN71" s="4"/>
      <c r="ATO71" s="4"/>
      <c r="ATP71" s="4"/>
      <c r="ATQ71" s="4"/>
      <c r="ATR71" s="4"/>
      <c r="ATS71" s="4"/>
      <c r="ATT71" s="4"/>
      <c r="ATU71" s="4"/>
      <c r="ATV71" s="4"/>
      <c r="ATW71" s="4"/>
      <c r="ATX71" s="4"/>
      <c r="ATY71" s="4"/>
      <c r="ATZ71" s="4"/>
      <c r="AUA71" s="4"/>
      <c r="AUB71" s="4"/>
      <c r="AUC71" s="4"/>
      <c r="AUD71" s="4"/>
      <c r="AUE71" s="4"/>
      <c r="AUF71" s="4"/>
      <c r="AUG71" s="4"/>
      <c r="AUH71" s="4"/>
      <c r="AUI71" s="4"/>
      <c r="AUJ71" s="4"/>
      <c r="AUK71" s="4"/>
      <c r="AUL71" s="4"/>
      <c r="AUM71" s="4"/>
      <c r="AUN71" s="4"/>
      <c r="AUO71" s="4"/>
      <c r="AUP71" s="4"/>
      <c r="AUQ71" s="4"/>
      <c r="AUR71" s="4"/>
      <c r="AUS71" s="4"/>
      <c r="AUT71" s="4"/>
      <c r="AUU71" s="4"/>
      <c r="AUV71" s="4"/>
      <c r="AUW71" s="4"/>
      <c r="AUX71" s="4"/>
      <c r="AUY71" s="4"/>
      <c r="AUZ71" s="4"/>
      <c r="AVA71" s="4"/>
      <c r="AVB71" s="4"/>
      <c r="AVC71" s="4"/>
      <c r="AVD71" s="4"/>
      <c r="AVE71" s="4"/>
      <c r="AVF71" s="4"/>
      <c r="AVG71" s="4"/>
      <c r="AVH71" s="4"/>
      <c r="AVI71" s="4"/>
      <c r="AVJ71" s="4"/>
      <c r="AVK71" s="4"/>
      <c r="AVL71" s="4"/>
      <c r="AVM71" s="4"/>
      <c r="AVN71" s="4"/>
      <c r="AVO71" s="4"/>
      <c r="AVP71" s="4"/>
      <c r="AVQ71" s="4"/>
      <c r="AVR71" s="4"/>
      <c r="AVS71" s="4"/>
      <c r="AVT71" s="4"/>
      <c r="AVU71" s="4"/>
      <c r="AVV71" s="4"/>
      <c r="AVW71" s="4"/>
      <c r="AVX71" s="4"/>
      <c r="AVY71" s="4"/>
      <c r="AVZ71" s="4"/>
      <c r="AWA71" s="4"/>
      <c r="AWB71" s="4"/>
      <c r="AWC71" s="4"/>
      <c r="AWD71" s="4"/>
      <c r="AWE71" s="4"/>
      <c r="AWF71" s="4"/>
      <c r="AWG71" s="4"/>
      <c r="AWH71" s="4"/>
      <c r="AWI71" s="4"/>
      <c r="AWJ71" s="4"/>
      <c r="AWK71" s="4"/>
      <c r="AWL71" s="4"/>
      <c r="AWM71" s="4"/>
      <c r="AWN71" s="4"/>
      <c r="AWO71" s="4"/>
      <c r="AWP71" s="4"/>
      <c r="AWQ71" s="4"/>
      <c r="AWR71" s="4"/>
      <c r="AWS71" s="4"/>
      <c r="AWT71" s="4"/>
      <c r="AWU71" s="4"/>
      <c r="AWV71" s="4"/>
      <c r="AWW71" s="4"/>
      <c r="AWX71" s="4"/>
      <c r="AWY71" s="4"/>
      <c r="AWZ71" s="4"/>
      <c r="AXA71" s="4"/>
      <c r="AXB71" s="4"/>
      <c r="AXC71" s="4"/>
      <c r="AXD71" s="4"/>
      <c r="AXE71" s="4"/>
      <c r="AXF71" s="4"/>
      <c r="AXG71" s="4"/>
      <c r="AXH71" s="4"/>
      <c r="AXI71" s="4"/>
      <c r="AXJ71" s="4"/>
      <c r="AXK71" s="4"/>
      <c r="AXL71" s="4"/>
      <c r="AXM71" s="4"/>
      <c r="AXN71" s="4"/>
      <c r="AXO71" s="4"/>
      <c r="AXP71" s="4"/>
      <c r="AXQ71" s="4"/>
      <c r="AXR71" s="4"/>
      <c r="AXS71" s="4"/>
      <c r="AXT71" s="4"/>
      <c r="AXU71" s="4"/>
      <c r="AXV71" s="4"/>
      <c r="AXW71" s="4"/>
      <c r="AXX71" s="4"/>
      <c r="AXY71" s="4"/>
      <c r="AXZ71" s="4"/>
      <c r="AYA71" s="4"/>
      <c r="AYB71" s="4"/>
      <c r="AYC71" s="4"/>
      <c r="AYD71" s="4"/>
      <c r="AYE71" s="4"/>
      <c r="AYF71" s="4"/>
      <c r="AYG71" s="4"/>
      <c r="AYH71" s="4"/>
      <c r="AYI71" s="4"/>
      <c r="AYJ71" s="4"/>
      <c r="AYK71" s="4"/>
      <c r="AYL71" s="4"/>
      <c r="AYM71" s="4"/>
      <c r="AYN71" s="4"/>
      <c r="AYO71" s="4"/>
      <c r="AYP71" s="4"/>
      <c r="AYQ71" s="4"/>
      <c r="AYR71" s="4"/>
      <c r="AYS71" s="4"/>
      <c r="AYT71" s="4"/>
      <c r="AYU71" s="4"/>
      <c r="AYV71" s="4"/>
      <c r="AYW71" s="4"/>
      <c r="AYX71" s="4"/>
      <c r="AYY71" s="4"/>
      <c r="AYZ71" s="4"/>
      <c r="AZA71" s="4"/>
      <c r="AZB71" s="4"/>
      <c r="AZC71" s="4"/>
      <c r="AZD71" s="4"/>
      <c r="AZE71" s="4"/>
      <c r="AZF71" s="4"/>
      <c r="AZG71" s="4"/>
      <c r="AZH71" s="4"/>
      <c r="AZI71" s="4"/>
      <c r="AZJ71" s="4"/>
      <c r="AZK71" s="4"/>
      <c r="AZL71" s="4"/>
      <c r="AZM71" s="4"/>
      <c r="AZN71" s="4"/>
      <c r="AZO71" s="4"/>
      <c r="AZP71" s="4"/>
      <c r="AZQ71" s="4"/>
      <c r="AZR71" s="4"/>
      <c r="AZS71" s="4"/>
      <c r="AZT71" s="4"/>
      <c r="AZU71" s="4"/>
      <c r="AZV71" s="4"/>
      <c r="AZW71" s="4"/>
      <c r="AZX71" s="4"/>
      <c r="AZY71" s="4"/>
      <c r="AZZ71" s="4"/>
      <c r="BAA71" s="4"/>
      <c r="BAB71" s="4"/>
      <c r="BAC71" s="4"/>
      <c r="BAD71" s="4"/>
      <c r="BAE71" s="4"/>
      <c r="BAF71" s="4"/>
      <c r="BAG71" s="4"/>
      <c r="BAH71" s="4"/>
      <c r="BAI71" s="4"/>
      <c r="BAJ71" s="4"/>
      <c r="BAK71" s="4"/>
      <c r="BAL71" s="4"/>
      <c r="BAM71" s="4"/>
      <c r="BAN71" s="4"/>
      <c r="BAO71" s="4"/>
      <c r="BAP71" s="4"/>
      <c r="BAQ71" s="4"/>
      <c r="BAR71" s="4"/>
      <c r="BAS71" s="4"/>
      <c r="BAT71" s="4"/>
      <c r="BAU71" s="4"/>
      <c r="BAV71" s="4"/>
      <c r="BAW71" s="4"/>
      <c r="BAX71" s="4"/>
      <c r="BAY71" s="4"/>
      <c r="BAZ71" s="4"/>
      <c r="BBA71" s="4"/>
      <c r="BBB71" s="4"/>
      <c r="BBC71" s="4"/>
      <c r="BBD71" s="4"/>
      <c r="BBE71" s="4"/>
      <c r="BBF71" s="4"/>
      <c r="BBG71" s="4"/>
      <c r="BBH71" s="4"/>
      <c r="BBI71" s="4"/>
      <c r="BBJ71" s="4"/>
      <c r="BBK71" s="4"/>
      <c r="BBL71" s="4"/>
      <c r="BBM71" s="4"/>
      <c r="BBN71" s="4"/>
      <c r="BBO71" s="4"/>
      <c r="BBP71" s="4"/>
      <c r="BBQ71" s="4"/>
      <c r="BBR71" s="4"/>
      <c r="BBS71" s="4"/>
      <c r="BBT71" s="4"/>
      <c r="BBU71" s="4"/>
      <c r="BBV71" s="4"/>
      <c r="BBW71" s="4"/>
      <c r="BBX71" s="4"/>
      <c r="BBY71" s="4"/>
      <c r="BBZ71" s="4"/>
      <c r="BCA71" s="4"/>
      <c r="BCB71" s="4"/>
      <c r="BCC71" s="4"/>
      <c r="BCD71" s="4"/>
      <c r="BCE71" s="4"/>
      <c r="BCF71" s="4"/>
      <c r="BCG71" s="4"/>
      <c r="BCH71" s="4"/>
      <c r="BCI71" s="4"/>
      <c r="BCJ71" s="4"/>
      <c r="BCK71" s="4"/>
      <c r="BCL71" s="4"/>
      <c r="BCM71" s="4"/>
      <c r="BCN71" s="4"/>
      <c r="BCO71" s="4"/>
      <c r="BCP71" s="4"/>
      <c r="BCQ71" s="4"/>
      <c r="BCR71" s="4"/>
      <c r="BCS71" s="4"/>
      <c r="BCT71" s="4"/>
      <c r="BCU71" s="4"/>
      <c r="BCV71" s="4"/>
      <c r="BCW71" s="4"/>
      <c r="BCX71" s="4"/>
      <c r="BCY71" s="4"/>
      <c r="BCZ71" s="4"/>
      <c r="BDA71" s="4"/>
      <c r="BDB71" s="4"/>
      <c r="BDC71" s="4"/>
      <c r="BDD71" s="4"/>
      <c r="BDE71" s="4"/>
      <c r="BDF71" s="4"/>
      <c r="BDG71" s="4"/>
      <c r="BDH71" s="4"/>
      <c r="BDI71" s="4"/>
      <c r="BDJ71" s="4"/>
      <c r="BDK71" s="4"/>
      <c r="BDL71" s="4"/>
      <c r="BDM71" s="4"/>
      <c r="BDN71" s="4"/>
      <c r="BDO71" s="4"/>
      <c r="BDP71" s="4"/>
      <c r="BDQ71" s="4"/>
      <c r="BDR71" s="4"/>
      <c r="BDS71" s="4"/>
      <c r="BDT71" s="4"/>
      <c r="BDU71" s="4"/>
      <c r="BDV71" s="4"/>
      <c r="BDW71" s="4"/>
      <c r="BDX71" s="4"/>
      <c r="BDY71" s="4"/>
      <c r="BDZ71" s="4"/>
      <c r="BEA71" s="4"/>
      <c r="BEB71" s="4"/>
      <c r="BEC71" s="4"/>
      <c r="BED71" s="4"/>
      <c r="BEE71" s="4"/>
      <c r="BEF71" s="4"/>
      <c r="BEG71" s="4"/>
      <c r="BEH71" s="4"/>
      <c r="BEI71" s="4"/>
      <c r="BEJ71" s="4"/>
      <c r="BEK71" s="4"/>
      <c r="BEL71" s="4"/>
      <c r="BEM71" s="4"/>
      <c r="BEN71" s="4"/>
      <c r="BEO71" s="4"/>
      <c r="BEP71" s="4"/>
      <c r="BEQ71" s="4"/>
      <c r="BER71" s="4"/>
      <c r="BES71" s="4"/>
      <c r="BET71" s="4"/>
      <c r="BEU71" s="4"/>
      <c r="BEV71" s="4"/>
      <c r="BEW71" s="4"/>
      <c r="BEX71" s="4"/>
      <c r="BEY71" s="4"/>
      <c r="BEZ71" s="4"/>
      <c r="BFA71" s="4"/>
      <c r="BFB71" s="4"/>
      <c r="BFC71" s="4"/>
      <c r="BFD71" s="4"/>
      <c r="BFE71" s="4"/>
      <c r="BFF71" s="4"/>
      <c r="BFG71" s="4"/>
      <c r="BFH71" s="4"/>
      <c r="BFI71" s="4"/>
      <c r="BFJ71" s="4"/>
      <c r="BFK71" s="4"/>
      <c r="BFL71" s="4"/>
      <c r="BFM71" s="4"/>
      <c r="BFN71" s="4"/>
      <c r="BFO71" s="4"/>
      <c r="BFP71" s="4"/>
      <c r="BFQ71" s="4"/>
      <c r="BFR71" s="4"/>
      <c r="BFS71" s="4"/>
      <c r="BFT71" s="4"/>
      <c r="BFU71" s="4"/>
      <c r="BFV71" s="4"/>
      <c r="BFW71" s="4"/>
      <c r="BFX71" s="4"/>
      <c r="BFY71" s="4"/>
      <c r="BFZ71" s="4"/>
      <c r="BGA71" s="4"/>
      <c r="BGB71" s="4"/>
      <c r="BGC71" s="4"/>
      <c r="BGD71" s="4"/>
      <c r="BGE71" s="4"/>
      <c r="BGF71" s="4"/>
      <c r="BGG71" s="4"/>
      <c r="BGH71" s="4"/>
      <c r="BGI71" s="4"/>
      <c r="BGJ71" s="4"/>
      <c r="BGK71" s="4"/>
      <c r="BGL71" s="4"/>
      <c r="BGM71" s="4"/>
      <c r="BGN71" s="4"/>
      <c r="BGO71" s="4"/>
      <c r="BGP71" s="4"/>
      <c r="BGQ71" s="4"/>
      <c r="BGR71" s="4"/>
      <c r="BGS71" s="4"/>
      <c r="BGT71" s="4"/>
      <c r="BGU71" s="4"/>
      <c r="BGV71" s="4"/>
      <c r="BGW71" s="4"/>
      <c r="BGX71" s="4"/>
      <c r="BGY71" s="4"/>
      <c r="BGZ71" s="4"/>
      <c r="BHA71" s="4"/>
      <c r="BHB71" s="4"/>
      <c r="BHC71" s="4"/>
      <c r="BHD71" s="4"/>
      <c r="BHE71" s="4"/>
      <c r="BHF71" s="4"/>
      <c r="BHG71" s="4"/>
      <c r="BHH71" s="4"/>
      <c r="BHI71" s="4"/>
      <c r="BHJ71" s="4"/>
      <c r="BHK71" s="4"/>
      <c r="BHL71" s="4"/>
      <c r="BHM71" s="4"/>
      <c r="BHN71" s="4"/>
      <c r="BHO71" s="4"/>
      <c r="BHP71" s="4"/>
      <c r="BHQ71" s="4"/>
      <c r="BHR71" s="4"/>
      <c r="BHS71" s="4"/>
      <c r="BHT71" s="4"/>
      <c r="BHU71" s="4"/>
      <c r="BHV71" s="4"/>
      <c r="BHW71" s="4"/>
      <c r="BHX71" s="4"/>
      <c r="BHY71" s="4"/>
      <c r="BHZ71" s="4"/>
      <c r="BIA71" s="4"/>
      <c r="BIB71" s="4"/>
      <c r="BIC71" s="4"/>
      <c r="BID71" s="4"/>
      <c r="BIE71" s="4"/>
      <c r="BIF71" s="4"/>
      <c r="BIG71" s="4"/>
      <c r="BIH71" s="4"/>
      <c r="BII71" s="4"/>
      <c r="BIJ71" s="4"/>
      <c r="BIK71" s="4"/>
      <c r="BIL71" s="4"/>
      <c r="BIM71" s="4"/>
      <c r="BIN71" s="4"/>
      <c r="BIO71" s="4"/>
      <c r="BIP71" s="4"/>
      <c r="BIQ71" s="4"/>
      <c r="BIR71" s="4"/>
      <c r="BIS71" s="4"/>
      <c r="BIT71" s="4"/>
      <c r="BIU71" s="4"/>
      <c r="BIV71" s="4"/>
      <c r="BIW71" s="4"/>
      <c r="BIX71" s="4"/>
      <c r="BIY71" s="4"/>
      <c r="BIZ71" s="4"/>
      <c r="BJA71" s="4"/>
      <c r="BJB71" s="4"/>
      <c r="BJC71" s="4"/>
      <c r="BJD71" s="4"/>
      <c r="BJE71" s="4"/>
      <c r="BJF71" s="4"/>
      <c r="BJG71" s="4"/>
      <c r="BJH71" s="4"/>
      <c r="BJI71" s="4"/>
      <c r="BJJ71" s="4"/>
      <c r="BJK71" s="4"/>
      <c r="BJL71" s="4"/>
      <c r="BJM71" s="4"/>
      <c r="BJN71" s="4"/>
      <c r="BJO71" s="4"/>
      <c r="BJP71" s="4"/>
      <c r="BJQ71" s="4"/>
      <c r="BJR71" s="4"/>
      <c r="BJS71" s="4"/>
      <c r="BJT71" s="4"/>
      <c r="BJU71" s="4"/>
      <c r="BJV71" s="4"/>
      <c r="BJW71" s="4"/>
      <c r="BJX71" s="4"/>
      <c r="BJY71" s="4"/>
      <c r="BJZ71" s="4"/>
      <c r="BKA71" s="4"/>
      <c r="BKB71" s="4"/>
      <c r="BKC71" s="4"/>
      <c r="BKD71" s="4"/>
      <c r="BKE71" s="4"/>
      <c r="BKF71" s="4"/>
      <c r="BKG71" s="4"/>
      <c r="BKH71" s="4"/>
      <c r="BKI71" s="4"/>
      <c r="BKJ71" s="4"/>
      <c r="BKK71" s="4"/>
      <c r="BKL71" s="4"/>
      <c r="BKM71" s="4"/>
      <c r="BKN71" s="4"/>
      <c r="BKO71" s="4"/>
      <c r="BKP71" s="4"/>
      <c r="BKQ71" s="4"/>
      <c r="BKR71" s="4"/>
      <c r="BKS71" s="4"/>
      <c r="BKT71" s="4"/>
      <c r="BKU71" s="4"/>
      <c r="BKV71" s="4"/>
      <c r="BKW71" s="4"/>
      <c r="BKX71" s="4"/>
      <c r="BKY71" s="4"/>
      <c r="BKZ71" s="4"/>
      <c r="BLA71" s="4"/>
      <c r="BLB71" s="4"/>
      <c r="BLC71" s="4"/>
      <c r="BLD71" s="4"/>
      <c r="BLE71" s="4"/>
      <c r="BLF71" s="4"/>
      <c r="BLG71" s="4"/>
      <c r="BLH71" s="4"/>
      <c r="BLI71" s="4"/>
      <c r="BLJ71" s="4"/>
      <c r="BLK71" s="4"/>
      <c r="BLL71" s="4"/>
      <c r="BLM71" s="4"/>
      <c r="BLN71" s="4"/>
      <c r="BLO71" s="4"/>
      <c r="BLP71" s="4"/>
      <c r="BLQ71" s="4"/>
      <c r="BLR71" s="4"/>
      <c r="BLS71" s="4"/>
      <c r="BLT71" s="4"/>
      <c r="BLU71" s="4"/>
      <c r="BLV71" s="4"/>
      <c r="BLW71" s="4"/>
      <c r="BLX71" s="4"/>
      <c r="BLY71" s="4"/>
      <c r="BLZ71" s="4"/>
      <c r="BMA71" s="4"/>
      <c r="BMB71" s="4"/>
      <c r="BMC71" s="4"/>
      <c r="BMD71" s="4"/>
      <c r="BME71" s="4"/>
      <c r="BMF71" s="4"/>
      <c r="BMG71" s="4"/>
      <c r="BMH71" s="4"/>
      <c r="BMI71" s="4"/>
      <c r="BMJ71" s="4"/>
      <c r="BMK71" s="4"/>
      <c r="BML71" s="4"/>
      <c r="BMM71" s="4"/>
      <c r="BMN71" s="4"/>
      <c r="BMO71" s="4"/>
      <c r="BMP71" s="4"/>
      <c r="BMQ71" s="4"/>
      <c r="BMR71" s="4"/>
      <c r="BMS71" s="4"/>
      <c r="BMT71" s="4"/>
      <c r="BMU71" s="4"/>
      <c r="BMV71" s="4"/>
      <c r="BMW71" s="4"/>
      <c r="BMX71" s="4"/>
      <c r="BMY71" s="4"/>
      <c r="BMZ71" s="4"/>
      <c r="BNA71" s="4"/>
      <c r="BNB71" s="4"/>
      <c r="BNC71" s="4"/>
      <c r="BND71" s="4"/>
      <c r="BNE71" s="4"/>
      <c r="BNF71" s="4"/>
      <c r="BNG71" s="4"/>
      <c r="BNH71" s="4"/>
      <c r="BNI71" s="4"/>
      <c r="BNJ71" s="4"/>
      <c r="BNK71" s="4"/>
      <c r="BNL71" s="4"/>
      <c r="BNM71" s="4"/>
      <c r="BNN71" s="4"/>
      <c r="BNO71" s="4"/>
      <c r="BNP71" s="4"/>
      <c r="BNQ71" s="4"/>
      <c r="BNR71" s="4"/>
      <c r="BNS71" s="4"/>
      <c r="BNT71" s="4"/>
      <c r="BNU71" s="4"/>
      <c r="BNV71" s="4"/>
      <c r="BNW71" s="4"/>
      <c r="BNX71" s="4"/>
      <c r="BNY71" s="4"/>
      <c r="BNZ71" s="4"/>
      <c r="BOA71" s="4"/>
      <c r="BOB71" s="4"/>
      <c r="BOC71" s="4"/>
      <c r="BOD71" s="4"/>
      <c r="BOE71" s="4"/>
      <c r="BOF71" s="4"/>
      <c r="BOG71" s="4"/>
      <c r="BOH71" s="4"/>
      <c r="BOI71" s="4"/>
      <c r="BOJ71" s="4"/>
      <c r="BOK71" s="4"/>
      <c r="BOL71" s="4"/>
      <c r="BOM71" s="4"/>
      <c r="BON71" s="4"/>
      <c r="BOO71" s="4"/>
      <c r="BOP71" s="4"/>
      <c r="BOQ71" s="4"/>
      <c r="BOR71" s="4"/>
      <c r="BOS71" s="4"/>
      <c r="BOT71" s="4"/>
      <c r="BOU71" s="4"/>
      <c r="BOV71" s="4"/>
      <c r="BOW71" s="4"/>
      <c r="BOX71" s="4"/>
      <c r="BOY71" s="4"/>
      <c r="BOZ71" s="4"/>
      <c r="BPA71" s="4"/>
      <c r="BPB71" s="4"/>
      <c r="BPC71" s="4"/>
      <c r="BPD71" s="4"/>
      <c r="BPE71" s="4"/>
      <c r="BPF71" s="4"/>
      <c r="BPG71" s="4"/>
      <c r="BPH71" s="4"/>
      <c r="BPI71" s="4"/>
      <c r="BPJ71" s="4"/>
      <c r="BPK71" s="4"/>
      <c r="BPL71" s="4"/>
      <c r="BPM71" s="4"/>
      <c r="BPN71" s="4"/>
      <c r="BPO71" s="4"/>
      <c r="BPP71" s="4"/>
      <c r="BPQ71" s="4"/>
      <c r="BPR71" s="4"/>
      <c r="BPS71" s="4"/>
      <c r="BPT71" s="4"/>
      <c r="BPU71" s="4"/>
      <c r="BPV71" s="4"/>
      <c r="BPW71" s="4"/>
      <c r="BPX71" s="4"/>
      <c r="BPY71" s="4"/>
      <c r="BPZ71" s="4"/>
      <c r="BQA71" s="4"/>
      <c r="BQB71" s="4"/>
      <c r="BQC71" s="4"/>
      <c r="BQD71" s="4"/>
      <c r="BQE71" s="4"/>
      <c r="BQF71" s="4"/>
      <c r="BQG71" s="4"/>
      <c r="BQH71" s="4"/>
      <c r="BQI71" s="4"/>
      <c r="BQJ71" s="4"/>
      <c r="BQK71" s="4"/>
      <c r="BQL71" s="4"/>
      <c r="BQM71" s="4"/>
      <c r="BQN71" s="4"/>
      <c r="BQO71" s="4"/>
      <c r="BQP71" s="4"/>
      <c r="BQQ71" s="4"/>
      <c r="BQR71" s="4"/>
      <c r="BQS71" s="4"/>
      <c r="BQT71" s="4"/>
      <c r="BQU71" s="4"/>
      <c r="BQV71" s="4"/>
      <c r="BQW71" s="4"/>
      <c r="BQX71" s="4"/>
      <c r="BQY71" s="4"/>
      <c r="BQZ71" s="4"/>
      <c r="BRA71" s="4"/>
      <c r="BRB71" s="4"/>
      <c r="BRC71" s="4"/>
      <c r="BRD71" s="4"/>
      <c r="BRE71" s="4"/>
      <c r="BRF71" s="4"/>
      <c r="BRG71" s="4"/>
      <c r="BRH71" s="4"/>
      <c r="BRI71" s="4"/>
      <c r="BRJ71" s="4"/>
      <c r="BRK71" s="4"/>
      <c r="BRL71" s="4"/>
      <c r="BRM71" s="4"/>
      <c r="BRN71" s="4"/>
      <c r="BRO71" s="4"/>
      <c r="BRP71" s="4"/>
      <c r="BRQ71" s="4"/>
      <c r="BRR71" s="4"/>
      <c r="BRS71" s="4"/>
      <c r="BRT71" s="4"/>
      <c r="BRU71" s="4"/>
      <c r="BRV71" s="4"/>
      <c r="BRW71" s="4"/>
      <c r="BRX71" s="4"/>
      <c r="BRY71" s="4"/>
      <c r="BRZ71" s="4"/>
      <c r="BSA71" s="4"/>
      <c r="BSB71" s="4"/>
      <c r="BSC71" s="4"/>
      <c r="BSD71" s="4"/>
      <c r="BSE71" s="4"/>
      <c r="BSF71" s="4"/>
      <c r="BSG71" s="4"/>
      <c r="BSH71" s="4"/>
      <c r="BSI71" s="4"/>
      <c r="BSJ71" s="4"/>
      <c r="BSK71" s="4"/>
      <c r="BSL71" s="4"/>
      <c r="BSM71" s="4"/>
      <c r="BSN71" s="4"/>
      <c r="BSO71" s="4"/>
      <c r="BSP71" s="4"/>
      <c r="BSQ71" s="4"/>
      <c r="BSR71" s="4"/>
      <c r="BSS71" s="4"/>
      <c r="BST71" s="4"/>
      <c r="BSU71" s="4"/>
      <c r="BSV71" s="4"/>
      <c r="BSW71" s="4"/>
      <c r="BSX71" s="4"/>
      <c r="BSY71" s="4"/>
      <c r="BSZ71" s="4"/>
      <c r="BTA71" s="4"/>
      <c r="BTB71" s="4"/>
      <c r="BTC71" s="4"/>
      <c r="BTD71" s="4"/>
      <c r="BTE71" s="4"/>
      <c r="BTF71" s="4"/>
      <c r="BTG71" s="4"/>
      <c r="BTH71" s="4"/>
      <c r="BTI71" s="4"/>
      <c r="BTJ71" s="4"/>
      <c r="BTK71" s="4"/>
      <c r="BTL71" s="4"/>
      <c r="BTM71" s="4"/>
      <c r="BTN71" s="4"/>
      <c r="BTO71" s="4"/>
      <c r="BTP71" s="4"/>
      <c r="BTQ71" s="4"/>
      <c r="BTR71" s="4"/>
      <c r="BTS71" s="4"/>
      <c r="BTT71" s="4"/>
      <c r="BTU71" s="4"/>
      <c r="BTV71" s="4"/>
      <c r="BTW71" s="4"/>
      <c r="BTX71" s="4"/>
      <c r="BTY71" s="4"/>
      <c r="BTZ71" s="4"/>
      <c r="BUA71" s="4"/>
      <c r="BUB71" s="4"/>
      <c r="BUC71" s="4"/>
      <c r="BUD71" s="4"/>
      <c r="BUE71" s="4"/>
      <c r="BUF71" s="4"/>
      <c r="BUG71" s="4"/>
      <c r="BUH71" s="4"/>
      <c r="BUI71" s="4"/>
      <c r="BUJ71" s="4"/>
      <c r="BUK71" s="4"/>
      <c r="BUL71" s="4"/>
      <c r="BUM71" s="4"/>
      <c r="BUN71" s="4"/>
      <c r="BUO71" s="4"/>
      <c r="BUP71" s="4"/>
      <c r="BUQ71" s="4"/>
      <c r="BUR71" s="4"/>
      <c r="BUS71" s="4"/>
      <c r="BUT71" s="4"/>
      <c r="BUU71" s="4"/>
      <c r="BUV71" s="4"/>
      <c r="BUW71" s="4"/>
      <c r="BUX71" s="4"/>
      <c r="BUY71" s="4"/>
      <c r="BUZ71" s="4"/>
      <c r="BVA71" s="4"/>
      <c r="BVB71" s="4"/>
      <c r="BVC71" s="4"/>
      <c r="BVD71" s="4"/>
      <c r="BVE71" s="4"/>
      <c r="BVF71" s="4"/>
      <c r="BVG71" s="4"/>
      <c r="BVH71" s="4"/>
      <c r="BVI71" s="4"/>
      <c r="BVJ71" s="4"/>
      <c r="BVK71" s="4"/>
      <c r="BVL71" s="4"/>
      <c r="BVM71" s="4"/>
      <c r="BVN71" s="4"/>
      <c r="BVO71" s="4"/>
      <c r="BVP71" s="4"/>
      <c r="BVQ71" s="4"/>
      <c r="BVR71" s="4"/>
      <c r="BVS71" s="4"/>
      <c r="BVT71" s="4"/>
      <c r="BVU71" s="4"/>
      <c r="BVV71" s="4"/>
      <c r="BVW71" s="4"/>
      <c r="BVX71" s="4"/>
      <c r="BVY71" s="4"/>
      <c r="BVZ71" s="4"/>
      <c r="BWA71" s="4"/>
      <c r="BWB71" s="4"/>
      <c r="BWC71" s="4"/>
      <c r="BWD71" s="4"/>
      <c r="BWE71" s="4"/>
      <c r="BWF71" s="4"/>
      <c r="BWG71" s="4"/>
      <c r="BWH71" s="4"/>
      <c r="BWI71" s="4"/>
      <c r="BWJ71" s="4"/>
      <c r="BWK71" s="4"/>
      <c r="BWL71" s="4"/>
      <c r="BWM71" s="4"/>
      <c r="BWN71" s="4"/>
      <c r="BWO71" s="4"/>
      <c r="BWP71" s="4"/>
      <c r="BWQ71" s="4"/>
      <c r="BWR71" s="4"/>
      <c r="BWS71" s="4"/>
      <c r="BWT71" s="4"/>
      <c r="BWU71" s="4"/>
      <c r="BWV71" s="4"/>
      <c r="BWW71" s="4"/>
      <c r="BWX71" s="4"/>
      <c r="BWY71" s="4"/>
      <c r="BWZ71" s="4"/>
      <c r="BXA71" s="4"/>
      <c r="BXB71" s="4"/>
      <c r="BXC71" s="4"/>
      <c r="BXD71" s="4"/>
      <c r="BXE71" s="4"/>
      <c r="BXF71" s="4"/>
      <c r="BXG71" s="4"/>
      <c r="BXH71" s="4"/>
      <c r="BXI71" s="4"/>
      <c r="BXJ71" s="4"/>
      <c r="BXK71" s="4"/>
      <c r="BXL71" s="4"/>
      <c r="BXM71" s="4"/>
      <c r="BXN71" s="4"/>
      <c r="BXO71" s="4"/>
      <c r="BXP71" s="4"/>
      <c r="BXQ71" s="4"/>
      <c r="BXR71" s="4"/>
      <c r="BXS71" s="4"/>
      <c r="BXT71" s="4"/>
      <c r="BXU71" s="4"/>
      <c r="BXV71" s="4"/>
      <c r="BXW71" s="4"/>
      <c r="BXX71" s="4"/>
      <c r="BXY71" s="4"/>
      <c r="BXZ71" s="4"/>
      <c r="BYA71" s="4"/>
      <c r="BYB71" s="4"/>
      <c r="BYC71" s="4"/>
      <c r="BYD71" s="4"/>
      <c r="BYE71" s="4"/>
      <c r="BYF71" s="4"/>
      <c r="BYG71" s="4"/>
      <c r="BYH71" s="4"/>
      <c r="BYI71" s="4"/>
      <c r="BYJ71" s="4"/>
      <c r="BYK71" s="4"/>
      <c r="BYL71" s="4"/>
      <c r="BYM71" s="4"/>
      <c r="BYN71" s="4"/>
      <c r="BYO71" s="4"/>
      <c r="BYP71" s="4"/>
      <c r="BYQ71" s="4"/>
      <c r="BYR71" s="4"/>
      <c r="BYS71" s="4"/>
      <c r="BYT71" s="4"/>
      <c r="BYU71" s="4"/>
      <c r="BYV71" s="4"/>
      <c r="BYW71" s="4"/>
      <c r="BYX71" s="4"/>
      <c r="BYY71" s="4"/>
      <c r="BYZ71" s="4"/>
      <c r="BZA71" s="4"/>
      <c r="BZB71" s="4"/>
      <c r="BZC71" s="4"/>
      <c r="BZD71" s="4"/>
      <c r="BZE71" s="4"/>
      <c r="BZF71" s="4"/>
      <c r="BZG71" s="4"/>
      <c r="BZH71" s="4"/>
      <c r="BZI71" s="4"/>
      <c r="BZJ71" s="4"/>
      <c r="BZK71" s="4"/>
      <c r="BZL71" s="4"/>
      <c r="BZM71" s="4"/>
      <c r="BZN71" s="4"/>
      <c r="BZO71" s="4"/>
      <c r="BZP71" s="4"/>
      <c r="BZQ71" s="4"/>
      <c r="BZR71" s="4"/>
      <c r="BZS71" s="4"/>
      <c r="BZT71" s="4"/>
      <c r="BZU71" s="4"/>
      <c r="BZV71" s="4"/>
      <c r="BZW71" s="4"/>
      <c r="BZX71" s="4"/>
      <c r="BZY71" s="4"/>
      <c r="BZZ71" s="4"/>
      <c r="CAA71" s="4"/>
      <c r="CAB71" s="4"/>
      <c r="CAC71" s="4"/>
      <c r="CAD71" s="4"/>
      <c r="CAE71" s="4"/>
      <c r="CAF71" s="4"/>
      <c r="CAG71" s="4"/>
      <c r="CAH71" s="4"/>
      <c r="CAI71" s="4"/>
      <c r="CAJ71" s="4"/>
      <c r="CAK71" s="4"/>
      <c r="CAL71" s="4"/>
      <c r="CAM71" s="4"/>
      <c r="CAN71" s="4"/>
      <c r="CAO71" s="4"/>
      <c r="CAP71" s="4"/>
      <c r="CAQ71" s="4"/>
      <c r="CAR71" s="4"/>
      <c r="CAS71" s="4"/>
      <c r="CAT71" s="4"/>
      <c r="CAU71" s="4"/>
      <c r="CAV71" s="4"/>
      <c r="CAW71" s="4"/>
      <c r="CAX71" s="4"/>
      <c r="CAY71" s="4"/>
      <c r="CAZ71" s="4"/>
      <c r="CBA71" s="4"/>
      <c r="CBB71" s="4"/>
      <c r="CBC71" s="4"/>
      <c r="CBD71" s="4"/>
      <c r="CBE71" s="4"/>
      <c r="CBF71" s="4"/>
      <c r="CBG71" s="4"/>
      <c r="CBH71" s="4"/>
      <c r="CBI71" s="4"/>
      <c r="CBJ71" s="4"/>
      <c r="CBK71" s="4"/>
      <c r="CBL71" s="4"/>
      <c r="CBM71" s="4"/>
      <c r="CBN71" s="4"/>
      <c r="CBO71" s="4"/>
      <c r="CBP71" s="4"/>
      <c r="CBQ71" s="4"/>
      <c r="CBR71" s="4"/>
      <c r="CBS71" s="4"/>
      <c r="CBT71" s="4"/>
      <c r="CBU71" s="4"/>
      <c r="CBV71" s="4"/>
      <c r="CBW71" s="4"/>
      <c r="CBX71" s="4"/>
      <c r="CBY71" s="4"/>
      <c r="CBZ71" s="4"/>
      <c r="CCA71" s="4"/>
      <c r="CCB71" s="4"/>
      <c r="CCC71" s="4"/>
      <c r="CCD71" s="4"/>
      <c r="CCE71" s="4"/>
      <c r="CCF71" s="4"/>
      <c r="CCG71" s="4"/>
      <c r="CCH71" s="4"/>
      <c r="CCI71" s="4"/>
      <c r="CCJ71" s="4"/>
      <c r="CCK71" s="4"/>
      <c r="CCL71" s="4"/>
      <c r="CCM71" s="4"/>
      <c r="CCN71" s="4"/>
      <c r="CCO71" s="4"/>
      <c r="CCP71" s="4"/>
      <c r="CCQ71" s="4"/>
      <c r="CCR71" s="4"/>
      <c r="CCS71" s="4"/>
      <c r="CCT71" s="4"/>
      <c r="CCU71" s="4"/>
      <c r="CCV71" s="4"/>
      <c r="CCW71" s="4"/>
      <c r="CCX71" s="4"/>
      <c r="CCY71" s="4"/>
      <c r="CCZ71" s="4"/>
      <c r="CDA71" s="4"/>
      <c r="CDB71" s="4"/>
      <c r="CDC71" s="4"/>
      <c r="CDD71" s="4"/>
      <c r="CDE71" s="4"/>
      <c r="CDF71" s="4"/>
      <c r="CDG71" s="4"/>
      <c r="CDH71" s="4"/>
      <c r="CDI71" s="4"/>
      <c r="CDJ71" s="4"/>
      <c r="CDK71" s="4"/>
      <c r="CDL71" s="4"/>
      <c r="CDM71" s="4"/>
      <c r="CDN71" s="4"/>
      <c r="CDO71" s="4"/>
      <c r="CDP71" s="4"/>
      <c r="CDQ71" s="4"/>
      <c r="CDR71" s="4"/>
      <c r="CDS71" s="4"/>
      <c r="CDT71" s="4"/>
      <c r="CDU71" s="4"/>
      <c r="CDV71" s="4"/>
      <c r="CDW71" s="4"/>
      <c r="CDX71" s="4"/>
      <c r="CDY71" s="4"/>
      <c r="CDZ71" s="4"/>
      <c r="CEA71" s="4"/>
      <c r="CEB71" s="4"/>
      <c r="CEC71" s="4"/>
      <c r="CED71" s="4"/>
      <c r="CEE71" s="4"/>
      <c r="CEF71" s="4"/>
      <c r="CEG71" s="4"/>
      <c r="CEH71" s="4"/>
      <c r="CEI71" s="4"/>
      <c r="CEJ71" s="4"/>
      <c r="CEK71" s="4"/>
      <c r="CEL71" s="4"/>
      <c r="CEM71" s="4"/>
      <c r="CEN71" s="4"/>
      <c r="CEO71" s="4"/>
      <c r="CEP71" s="4"/>
      <c r="CEQ71" s="4"/>
      <c r="CER71" s="4"/>
      <c r="CES71" s="4"/>
      <c r="CET71" s="4"/>
      <c r="CEU71" s="4"/>
      <c r="CEV71" s="4"/>
      <c r="CEW71" s="4"/>
      <c r="CEX71" s="4"/>
      <c r="CEY71" s="4"/>
      <c r="CEZ71" s="4"/>
      <c r="CFA71" s="4"/>
      <c r="CFB71" s="4"/>
      <c r="CFC71" s="4"/>
      <c r="CFD71" s="4"/>
      <c r="CFE71" s="4"/>
      <c r="CFF71" s="4"/>
      <c r="CFG71" s="4"/>
      <c r="CFH71" s="4"/>
      <c r="CFI71" s="4"/>
      <c r="CFJ71" s="4"/>
      <c r="CFK71" s="4"/>
      <c r="CFL71" s="4"/>
      <c r="CFM71" s="4"/>
      <c r="CFN71" s="4"/>
      <c r="CFO71" s="4"/>
      <c r="CFP71" s="4"/>
      <c r="CFQ71" s="4"/>
      <c r="CFR71" s="4"/>
      <c r="CFS71" s="4"/>
      <c r="CFT71" s="4"/>
      <c r="CFU71" s="4"/>
      <c r="CFV71" s="4"/>
      <c r="CFW71" s="4"/>
      <c r="CFX71" s="4"/>
      <c r="CFY71" s="4"/>
      <c r="CFZ71" s="4"/>
      <c r="CGA71" s="4"/>
      <c r="CGB71" s="4"/>
      <c r="CGC71" s="4"/>
      <c r="CGD71" s="4"/>
      <c r="CGE71" s="4"/>
      <c r="CGF71" s="4"/>
      <c r="CGG71" s="4"/>
      <c r="CGH71" s="4"/>
      <c r="CGI71" s="4"/>
      <c r="CGJ71" s="4"/>
      <c r="CGK71" s="4"/>
      <c r="CGL71" s="4"/>
      <c r="CGM71" s="4"/>
      <c r="CGN71" s="4"/>
      <c r="CGO71" s="4"/>
      <c r="CGP71" s="4"/>
      <c r="CGQ71" s="4"/>
      <c r="CGR71" s="4"/>
      <c r="CGS71" s="4"/>
      <c r="CGT71" s="4"/>
      <c r="CGU71" s="4"/>
      <c r="CGV71" s="4"/>
      <c r="CGW71" s="4"/>
      <c r="CGX71" s="4"/>
      <c r="CGY71" s="4"/>
      <c r="CGZ71" s="4"/>
      <c r="CHA71" s="4"/>
      <c r="CHB71" s="4"/>
      <c r="CHC71" s="4"/>
      <c r="CHD71" s="4"/>
      <c r="CHE71" s="4"/>
      <c r="CHF71" s="4"/>
      <c r="CHG71" s="4"/>
      <c r="CHH71" s="4"/>
      <c r="CHI71" s="4"/>
      <c r="CHJ71" s="4"/>
      <c r="CHK71" s="4"/>
      <c r="CHL71" s="4"/>
      <c r="CHM71" s="4"/>
      <c r="CHN71" s="4"/>
      <c r="CHO71" s="4"/>
      <c r="CHP71" s="4"/>
      <c r="CHQ71" s="4"/>
      <c r="CHR71" s="4"/>
      <c r="CHS71" s="4"/>
      <c r="CHT71" s="4"/>
      <c r="CHU71" s="4"/>
      <c r="CHV71" s="4"/>
      <c r="CHW71" s="4"/>
      <c r="CHX71" s="4"/>
      <c r="CHY71" s="4"/>
      <c r="CHZ71" s="4"/>
      <c r="CIA71" s="4"/>
      <c r="CIB71" s="4"/>
      <c r="CIC71" s="4"/>
      <c r="CID71" s="4"/>
      <c r="CIE71" s="4"/>
      <c r="CIF71" s="4"/>
      <c r="CIG71" s="4"/>
      <c r="CIH71" s="4"/>
      <c r="CII71" s="4"/>
      <c r="CIJ71" s="4"/>
      <c r="CIK71" s="4"/>
      <c r="CIL71" s="4"/>
      <c r="CIM71" s="4"/>
      <c r="CIN71" s="4"/>
      <c r="CIO71" s="4"/>
      <c r="CIP71" s="4"/>
      <c r="CIQ71" s="4"/>
      <c r="CIR71" s="4"/>
      <c r="CIS71" s="4"/>
      <c r="CIT71" s="4"/>
      <c r="CIU71" s="4"/>
      <c r="CIV71" s="4"/>
      <c r="CIW71" s="4"/>
      <c r="CIX71" s="4"/>
      <c r="CIY71" s="4"/>
      <c r="CIZ71" s="4"/>
      <c r="CJA71" s="4"/>
      <c r="CJB71" s="4"/>
      <c r="CJC71" s="4"/>
      <c r="CJD71" s="4"/>
      <c r="CJE71" s="4"/>
      <c r="CJF71" s="4"/>
      <c r="CJG71" s="4"/>
      <c r="CJH71" s="4"/>
      <c r="CJI71" s="4"/>
      <c r="CJJ71" s="4"/>
      <c r="CJK71" s="4"/>
      <c r="CJL71" s="4"/>
      <c r="CJM71" s="4"/>
      <c r="CJN71" s="4"/>
      <c r="CJO71" s="4"/>
      <c r="CJP71" s="4"/>
      <c r="CJQ71" s="4"/>
      <c r="CJR71" s="4"/>
      <c r="CJS71" s="4"/>
      <c r="CJT71" s="4"/>
      <c r="CJU71" s="4"/>
      <c r="CJV71" s="4"/>
      <c r="CJW71" s="4"/>
      <c r="CJX71" s="4"/>
      <c r="CJY71" s="4"/>
      <c r="CJZ71" s="4"/>
      <c r="CKA71" s="4"/>
      <c r="CKB71" s="4"/>
      <c r="CKC71" s="4"/>
      <c r="CKD71" s="4"/>
      <c r="CKE71" s="4"/>
      <c r="CKF71" s="4"/>
      <c r="CKG71" s="4"/>
      <c r="CKH71" s="4"/>
      <c r="CKI71" s="4"/>
      <c r="CKJ71" s="4"/>
      <c r="CKK71" s="4"/>
      <c r="CKL71" s="4"/>
      <c r="CKM71" s="4"/>
      <c r="CKN71" s="4"/>
      <c r="CKO71" s="4"/>
      <c r="CKP71" s="4"/>
      <c r="CKQ71" s="4"/>
      <c r="CKR71" s="4"/>
      <c r="CKS71" s="4"/>
      <c r="CKT71" s="4"/>
      <c r="CKU71" s="4"/>
      <c r="CKV71" s="4"/>
      <c r="CKW71" s="4"/>
      <c r="CKX71" s="4"/>
      <c r="CKY71" s="4"/>
      <c r="CKZ71" s="4"/>
      <c r="CLA71" s="4"/>
      <c r="CLB71" s="4"/>
      <c r="CLC71" s="4"/>
      <c r="CLD71" s="4"/>
      <c r="CLE71" s="4"/>
      <c r="CLF71" s="4"/>
      <c r="CLG71" s="4"/>
      <c r="CLH71" s="4"/>
      <c r="CLI71" s="4"/>
      <c r="CLJ71" s="4"/>
      <c r="CLK71" s="4"/>
      <c r="CLL71" s="4"/>
      <c r="CLM71" s="4"/>
      <c r="CLN71" s="4"/>
      <c r="CLO71" s="4"/>
      <c r="CLP71" s="4"/>
      <c r="CLQ71" s="4"/>
      <c r="CLR71" s="4"/>
      <c r="CLS71" s="4"/>
      <c r="CLT71" s="4"/>
      <c r="CLU71" s="4"/>
      <c r="CLV71" s="4"/>
      <c r="CLW71" s="4"/>
      <c r="CLX71" s="4"/>
      <c r="CLY71" s="4"/>
      <c r="CLZ71" s="4"/>
      <c r="CMA71" s="4"/>
      <c r="CMB71" s="4"/>
      <c r="CMC71" s="4"/>
      <c r="CMD71" s="4"/>
      <c r="CME71" s="4"/>
      <c r="CMF71" s="4"/>
      <c r="CMG71" s="4"/>
      <c r="CMH71" s="4"/>
      <c r="CMI71" s="4"/>
      <c r="CMJ71" s="4"/>
      <c r="CMK71" s="4"/>
      <c r="CML71" s="4"/>
      <c r="CMM71" s="4"/>
      <c r="CMN71" s="4"/>
      <c r="CMO71" s="4"/>
      <c r="CMP71" s="4"/>
      <c r="CMQ71" s="4"/>
      <c r="CMR71" s="4"/>
      <c r="CMS71" s="4"/>
      <c r="CMT71" s="4"/>
      <c r="CMU71" s="4"/>
      <c r="CMV71" s="4"/>
      <c r="CMW71" s="4"/>
      <c r="CMX71" s="4"/>
      <c r="CMY71" s="4"/>
      <c r="CMZ71" s="4"/>
      <c r="CNA71" s="4"/>
      <c r="CNB71" s="4"/>
      <c r="CNC71" s="4"/>
      <c r="CND71" s="4"/>
      <c r="CNE71" s="4"/>
      <c r="CNF71" s="4"/>
      <c r="CNG71" s="4"/>
      <c r="CNH71" s="4"/>
      <c r="CNI71" s="4"/>
      <c r="CNJ71" s="4"/>
      <c r="CNK71" s="4"/>
      <c r="CNL71" s="4"/>
      <c r="CNM71" s="4"/>
      <c r="CNN71" s="4"/>
      <c r="CNO71" s="4"/>
      <c r="CNP71" s="4"/>
      <c r="CNQ71" s="4"/>
      <c r="CNR71" s="4"/>
      <c r="CNS71" s="4"/>
      <c r="CNT71" s="4"/>
      <c r="CNU71" s="4"/>
      <c r="CNV71" s="4"/>
      <c r="CNW71" s="4"/>
      <c r="CNX71" s="4"/>
      <c r="CNY71" s="4"/>
      <c r="CNZ71" s="4"/>
      <c r="COA71" s="4"/>
      <c r="COB71" s="4"/>
      <c r="COC71" s="4"/>
      <c r="COD71" s="4"/>
      <c r="COE71" s="4"/>
      <c r="COF71" s="4"/>
      <c r="COG71" s="4"/>
      <c r="COH71" s="4"/>
      <c r="COI71" s="4"/>
      <c r="COJ71" s="4"/>
      <c r="COK71" s="4"/>
      <c r="COL71" s="4"/>
      <c r="COM71" s="4"/>
      <c r="CON71" s="4"/>
      <c r="COO71" s="4"/>
      <c r="COP71" s="4"/>
      <c r="COQ71" s="4"/>
      <c r="COR71" s="4"/>
      <c r="COS71" s="4"/>
      <c r="COT71" s="4"/>
      <c r="COU71" s="4"/>
      <c r="COV71" s="4"/>
      <c r="COW71" s="4"/>
      <c r="COX71" s="4"/>
      <c r="COY71" s="4"/>
      <c r="COZ71" s="4"/>
      <c r="CPA71" s="4"/>
      <c r="CPB71" s="4"/>
      <c r="CPC71" s="4"/>
      <c r="CPD71" s="4"/>
      <c r="CPE71" s="4"/>
      <c r="CPF71" s="4"/>
      <c r="CPG71" s="4"/>
      <c r="CPH71" s="4"/>
      <c r="CPI71" s="4"/>
      <c r="CPJ71" s="4"/>
      <c r="CPK71" s="4"/>
      <c r="CPL71" s="4"/>
      <c r="CPM71" s="4"/>
      <c r="CPN71" s="4"/>
      <c r="CPO71" s="4"/>
      <c r="CPP71" s="4"/>
      <c r="CPQ71" s="4"/>
      <c r="CPR71" s="4"/>
      <c r="CPS71" s="4"/>
      <c r="CPT71" s="4"/>
      <c r="CPU71" s="4"/>
      <c r="CPV71" s="4"/>
      <c r="CPW71" s="4"/>
      <c r="CPX71" s="4"/>
      <c r="CPY71" s="4"/>
      <c r="CPZ71" s="4"/>
      <c r="CQA71" s="4"/>
      <c r="CQB71" s="4"/>
      <c r="CQC71" s="4"/>
      <c r="CQD71" s="4"/>
      <c r="CQE71" s="4"/>
      <c r="CQF71" s="4"/>
      <c r="CQG71" s="4"/>
      <c r="CQH71" s="4"/>
      <c r="CQI71" s="4"/>
      <c r="CQJ71" s="4"/>
      <c r="CQK71" s="4"/>
      <c r="CQL71" s="4"/>
      <c r="CQM71" s="4"/>
      <c r="CQN71" s="4"/>
      <c r="CQO71" s="4"/>
      <c r="CQP71" s="4"/>
      <c r="CQQ71" s="4"/>
      <c r="CQR71" s="4"/>
      <c r="CQS71" s="4"/>
      <c r="CQT71" s="4"/>
      <c r="CQU71" s="4"/>
      <c r="CQV71" s="4"/>
      <c r="CQW71" s="4"/>
      <c r="CQX71" s="4"/>
      <c r="CQY71" s="4"/>
      <c r="CQZ71" s="4"/>
      <c r="CRA71" s="4"/>
      <c r="CRB71" s="4"/>
      <c r="CRC71" s="4"/>
      <c r="CRD71" s="4"/>
      <c r="CRE71" s="4"/>
      <c r="CRF71" s="4"/>
      <c r="CRG71" s="4"/>
      <c r="CRH71" s="4"/>
      <c r="CRI71" s="4"/>
      <c r="CRJ71" s="4"/>
      <c r="CRK71" s="4"/>
      <c r="CRL71" s="4"/>
      <c r="CRM71" s="4"/>
      <c r="CRN71" s="4"/>
      <c r="CRO71" s="4"/>
      <c r="CRP71" s="4"/>
      <c r="CRQ71" s="4"/>
      <c r="CRR71" s="4"/>
      <c r="CRS71" s="4"/>
      <c r="CRT71" s="4"/>
      <c r="CRU71" s="4"/>
      <c r="CRV71" s="4"/>
      <c r="CRW71" s="4"/>
      <c r="CRX71" s="4"/>
      <c r="CRY71" s="4"/>
      <c r="CRZ71" s="4"/>
      <c r="CSA71" s="4"/>
      <c r="CSB71" s="4"/>
      <c r="CSC71" s="4"/>
      <c r="CSD71" s="4"/>
      <c r="CSE71" s="4"/>
      <c r="CSF71" s="4"/>
      <c r="CSG71" s="4"/>
      <c r="CSH71" s="4"/>
      <c r="CSI71" s="4"/>
      <c r="CSJ71" s="4"/>
      <c r="CSK71" s="4"/>
      <c r="CSL71" s="4"/>
      <c r="CSM71" s="4"/>
      <c r="CSN71" s="4"/>
      <c r="CSO71" s="4"/>
      <c r="CSP71" s="4"/>
      <c r="CSQ71" s="4"/>
      <c r="CSR71" s="4"/>
      <c r="CSS71" s="4"/>
      <c r="CST71" s="4"/>
      <c r="CSU71" s="4"/>
      <c r="CSV71" s="4"/>
      <c r="CSW71" s="4"/>
      <c r="CSX71" s="4"/>
      <c r="CSY71" s="4"/>
      <c r="CSZ71" s="4"/>
      <c r="CTA71" s="4"/>
      <c r="CTB71" s="4"/>
      <c r="CTC71" s="4"/>
      <c r="CTD71" s="4"/>
      <c r="CTE71" s="4"/>
      <c r="CTF71" s="4"/>
      <c r="CTG71" s="4"/>
      <c r="CTH71" s="4"/>
      <c r="CTI71" s="4"/>
      <c r="CTJ71" s="4"/>
      <c r="CTK71" s="4"/>
      <c r="CTL71" s="4"/>
      <c r="CTM71" s="4"/>
      <c r="CTN71" s="4"/>
      <c r="CTO71" s="4"/>
      <c r="CTP71" s="4"/>
      <c r="CTQ71" s="4"/>
      <c r="CTR71" s="4"/>
      <c r="CTS71" s="4"/>
      <c r="CTT71" s="4"/>
      <c r="CTU71" s="4"/>
      <c r="CTV71" s="4"/>
      <c r="CTW71" s="4"/>
      <c r="CTX71" s="4"/>
      <c r="CTY71" s="4"/>
      <c r="CTZ71" s="4"/>
      <c r="CUA71" s="4"/>
      <c r="CUB71" s="4"/>
      <c r="CUC71" s="4"/>
      <c r="CUD71" s="4"/>
      <c r="CUE71" s="4"/>
      <c r="CUF71" s="4"/>
      <c r="CUG71" s="4"/>
      <c r="CUH71" s="4"/>
      <c r="CUI71" s="4"/>
      <c r="CUJ71" s="4"/>
      <c r="CUK71" s="4"/>
      <c r="CUL71" s="4"/>
      <c r="CUM71" s="4"/>
      <c r="CUN71" s="4"/>
      <c r="CUO71" s="4"/>
      <c r="CUP71" s="4"/>
      <c r="CUQ71" s="4"/>
      <c r="CUR71" s="4"/>
      <c r="CUS71" s="4"/>
      <c r="CUT71" s="4"/>
      <c r="CUU71" s="4"/>
      <c r="CUV71" s="4"/>
      <c r="CUW71" s="4"/>
      <c r="CUX71" s="4"/>
      <c r="CUY71" s="4"/>
      <c r="CUZ71" s="4"/>
      <c r="CVA71" s="4"/>
      <c r="CVB71" s="4"/>
      <c r="CVC71" s="4"/>
      <c r="CVD71" s="4"/>
      <c r="CVE71" s="4"/>
      <c r="CVF71" s="4"/>
      <c r="CVG71" s="4"/>
      <c r="CVH71" s="4"/>
      <c r="CVI71" s="4"/>
      <c r="CVJ71" s="4"/>
      <c r="CVK71" s="4"/>
      <c r="CVL71" s="4"/>
      <c r="CVM71" s="4"/>
      <c r="CVN71" s="4"/>
      <c r="CVO71" s="4"/>
      <c r="CVP71" s="4"/>
      <c r="CVQ71" s="4"/>
      <c r="CVR71" s="4"/>
      <c r="CVS71" s="4"/>
      <c r="CVT71" s="4"/>
      <c r="CVU71" s="4"/>
      <c r="CVV71" s="4"/>
      <c r="CVW71" s="4"/>
      <c r="CVX71" s="4"/>
      <c r="CVY71" s="4"/>
      <c r="CVZ71" s="4"/>
      <c r="CWA71" s="4"/>
      <c r="CWB71" s="4"/>
      <c r="CWC71" s="4"/>
      <c r="CWD71" s="4"/>
      <c r="CWE71" s="4"/>
      <c r="CWF71" s="4"/>
      <c r="CWG71" s="4"/>
      <c r="CWH71" s="4"/>
      <c r="CWI71" s="4"/>
      <c r="CWJ71" s="4"/>
      <c r="CWK71" s="4"/>
      <c r="CWL71" s="4"/>
      <c r="CWM71" s="4"/>
      <c r="CWN71" s="4"/>
      <c r="CWO71" s="4"/>
      <c r="CWP71" s="4"/>
      <c r="CWQ71" s="4"/>
      <c r="CWR71" s="4"/>
      <c r="CWS71" s="4"/>
      <c r="CWT71" s="4"/>
      <c r="CWU71" s="4"/>
      <c r="CWV71" s="4"/>
      <c r="CWW71" s="4"/>
      <c r="CWX71" s="4"/>
      <c r="CWY71" s="4"/>
      <c r="CWZ71" s="4"/>
      <c r="CXA71" s="4"/>
      <c r="CXB71" s="4"/>
      <c r="CXC71" s="4"/>
      <c r="CXD71" s="4"/>
      <c r="CXE71" s="4"/>
      <c r="CXF71" s="4"/>
      <c r="CXG71" s="4"/>
      <c r="CXH71" s="4"/>
      <c r="CXI71" s="4"/>
      <c r="CXJ71" s="4"/>
      <c r="CXK71" s="4"/>
      <c r="CXL71" s="4"/>
      <c r="CXM71" s="4"/>
      <c r="CXN71" s="4"/>
      <c r="CXO71" s="4"/>
      <c r="CXP71" s="4"/>
      <c r="CXQ71" s="4"/>
      <c r="CXR71" s="4"/>
      <c r="CXS71" s="4"/>
      <c r="CXT71" s="4"/>
      <c r="CXU71" s="4"/>
      <c r="CXV71" s="4"/>
      <c r="CXW71" s="4"/>
      <c r="CXX71" s="4"/>
      <c r="CXY71" s="4"/>
      <c r="CXZ71" s="4"/>
      <c r="CYA71" s="4"/>
      <c r="CYB71" s="4"/>
      <c r="CYC71" s="4"/>
      <c r="CYD71" s="4"/>
      <c r="CYE71" s="4"/>
      <c r="CYF71" s="4"/>
      <c r="CYG71" s="4"/>
      <c r="CYH71" s="4"/>
      <c r="CYI71" s="4"/>
      <c r="CYJ71" s="4"/>
      <c r="CYK71" s="4"/>
      <c r="CYL71" s="4"/>
      <c r="CYM71" s="4"/>
      <c r="CYN71" s="4"/>
      <c r="CYO71" s="4"/>
      <c r="CYP71" s="4"/>
      <c r="CYQ71" s="4"/>
      <c r="CYR71" s="4"/>
      <c r="CYS71" s="4"/>
      <c r="CYT71" s="4"/>
      <c r="CYU71" s="4"/>
      <c r="CYV71" s="4"/>
      <c r="CYW71" s="4"/>
      <c r="CYX71" s="4"/>
      <c r="CYY71" s="4"/>
      <c r="CYZ71" s="4"/>
      <c r="CZA71" s="4"/>
      <c r="CZB71" s="4"/>
      <c r="CZC71" s="4"/>
      <c r="CZD71" s="4"/>
      <c r="CZE71" s="4"/>
      <c r="CZF71" s="4"/>
      <c r="CZG71" s="4"/>
      <c r="CZH71" s="4"/>
      <c r="CZI71" s="4"/>
      <c r="CZJ71" s="4"/>
      <c r="CZK71" s="4"/>
      <c r="CZL71" s="4"/>
      <c r="CZM71" s="4"/>
      <c r="CZN71" s="4"/>
      <c r="CZO71" s="4"/>
      <c r="CZP71" s="4"/>
      <c r="CZQ71" s="4"/>
      <c r="CZR71" s="4"/>
      <c r="CZS71" s="4"/>
      <c r="CZT71" s="4"/>
      <c r="CZU71" s="4"/>
      <c r="CZV71" s="4"/>
      <c r="CZW71" s="4"/>
      <c r="CZX71" s="4"/>
      <c r="CZY71" s="4"/>
      <c r="CZZ71" s="4"/>
      <c r="DAA71" s="4"/>
      <c r="DAB71" s="4"/>
      <c r="DAC71" s="4"/>
      <c r="DAD71" s="4"/>
      <c r="DAE71" s="4"/>
      <c r="DAF71" s="4"/>
      <c r="DAG71" s="4"/>
      <c r="DAH71" s="4"/>
      <c r="DAI71" s="4"/>
      <c r="DAJ71" s="4"/>
      <c r="DAK71" s="4"/>
      <c r="DAL71" s="4"/>
      <c r="DAM71" s="4"/>
      <c r="DAN71" s="4"/>
      <c r="DAO71" s="4"/>
      <c r="DAP71" s="4"/>
      <c r="DAQ71" s="4"/>
      <c r="DAR71" s="4"/>
      <c r="DAS71" s="4"/>
      <c r="DAT71" s="4"/>
      <c r="DAU71" s="4"/>
      <c r="DAV71" s="4"/>
      <c r="DAW71" s="4"/>
      <c r="DAX71" s="4"/>
      <c r="DAY71" s="4"/>
      <c r="DAZ71" s="4"/>
      <c r="DBA71" s="4"/>
      <c r="DBB71" s="4"/>
      <c r="DBC71" s="4"/>
      <c r="DBD71" s="4"/>
      <c r="DBE71" s="4"/>
      <c r="DBF71" s="4"/>
      <c r="DBG71" s="4"/>
      <c r="DBH71" s="4"/>
      <c r="DBI71" s="4"/>
      <c r="DBJ71" s="4"/>
      <c r="DBK71" s="4"/>
      <c r="DBL71" s="4"/>
      <c r="DBM71" s="4"/>
      <c r="DBN71" s="4"/>
      <c r="DBO71" s="4"/>
      <c r="DBP71" s="4"/>
      <c r="DBQ71" s="4"/>
      <c r="DBR71" s="4"/>
      <c r="DBS71" s="4"/>
      <c r="DBT71" s="4"/>
      <c r="DBU71" s="4"/>
      <c r="DBV71" s="4"/>
      <c r="DBW71" s="4"/>
      <c r="DBX71" s="4"/>
      <c r="DBY71" s="4"/>
      <c r="DBZ71" s="4"/>
      <c r="DCA71" s="4"/>
      <c r="DCB71" s="4"/>
      <c r="DCC71" s="4"/>
      <c r="DCD71" s="4"/>
      <c r="DCE71" s="4"/>
      <c r="DCF71" s="4"/>
      <c r="DCG71" s="4"/>
      <c r="DCH71" s="4"/>
      <c r="DCI71" s="4"/>
      <c r="DCJ71" s="4"/>
      <c r="DCK71" s="4"/>
      <c r="DCL71" s="4"/>
      <c r="DCM71" s="4"/>
      <c r="DCN71" s="4"/>
      <c r="DCO71" s="4"/>
      <c r="DCP71" s="4"/>
      <c r="DCQ71" s="4"/>
      <c r="DCR71" s="4"/>
      <c r="DCS71" s="4"/>
      <c r="DCT71" s="4"/>
      <c r="DCU71" s="4"/>
      <c r="DCV71" s="4"/>
      <c r="DCW71" s="4"/>
      <c r="DCX71" s="4"/>
      <c r="DCY71" s="4"/>
      <c r="DCZ71" s="4"/>
      <c r="DDA71" s="4"/>
      <c r="DDB71" s="4"/>
      <c r="DDC71" s="4"/>
      <c r="DDD71" s="4"/>
      <c r="DDE71" s="4"/>
      <c r="DDF71" s="4"/>
      <c r="DDG71" s="4"/>
      <c r="DDH71" s="4"/>
      <c r="DDI71" s="4"/>
      <c r="DDJ71" s="4"/>
      <c r="DDK71" s="4"/>
      <c r="DDL71" s="4"/>
      <c r="DDM71" s="4"/>
      <c r="DDN71" s="4"/>
      <c r="DDO71" s="4"/>
      <c r="DDP71" s="4"/>
      <c r="DDQ71" s="4"/>
      <c r="DDR71" s="4"/>
      <c r="DDS71" s="4"/>
      <c r="DDT71" s="4"/>
      <c r="DDU71" s="4"/>
      <c r="DDV71" s="4"/>
      <c r="DDW71" s="4"/>
      <c r="DDX71" s="4"/>
      <c r="DDY71" s="4"/>
      <c r="DDZ71" s="4"/>
      <c r="DEA71" s="4"/>
      <c r="DEB71" s="4"/>
      <c r="DEC71" s="4"/>
      <c r="DED71" s="4"/>
      <c r="DEE71" s="4"/>
      <c r="DEF71" s="4"/>
      <c r="DEG71" s="4"/>
      <c r="DEH71" s="4"/>
      <c r="DEI71" s="4"/>
      <c r="DEJ71" s="4"/>
      <c r="DEK71" s="4"/>
      <c r="DEL71" s="4"/>
      <c r="DEM71" s="4"/>
      <c r="DEN71" s="4"/>
      <c r="DEO71" s="4"/>
      <c r="DEP71" s="4"/>
      <c r="DEQ71" s="4"/>
      <c r="DER71" s="4"/>
      <c r="DES71" s="4"/>
      <c r="DET71" s="4"/>
      <c r="DEU71" s="4"/>
      <c r="DEV71" s="4"/>
      <c r="DEW71" s="4"/>
      <c r="DEX71" s="4"/>
      <c r="DEY71" s="4"/>
      <c r="DEZ71" s="4"/>
      <c r="DFA71" s="4"/>
      <c r="DFB71" s="4"/>
      <c r="DFC71" s="4"/>
      <c r="DFD71" s="4"/>
      <c r="DFE71" s="4"/>
      <c r="DFF71" s="4"/>
      <c r="DFG71" s="4"/>
      <c r="DFH71" s="4"/>
      <c r="DFI71" s="4"/>
      <c r="DFJ71" s="4"/>
      <c r="DFK71" s="4"/>
      <c r="DFL71" s="4"/>
      <c r="DFM71" s="4"/>
      <c r="DFN71" s="4"/>
      <c r="DFO71" s="4"/>
      <c r="DFP71" s="4"/>
      <c r="DFQ71" s="4"/>
      <c r="DFR71" s="4"/>
      <c r="DFS71" s="4"/>
      <c r="DFT71" s="4"/>
      <c r="DFU71" s="4"/>
      <c r="DFV71" s="4"/>
      <c r="DFW71" s="4"/>
      <c r="DFX71" s="4"/>
      <c r="DFY71" s="4"/>
      <c r="DFZ71" s="4"/>
      <c r="DGA71" s="4"/>
      <c r="DGB71" s="4"/>
      <c r="DGC71" s="4"/>
      <c r="DGD71" s="4"/>
      <c r="DGE71" s="4"/>
      <c r="DGF71" s="4"/>
      <c r="DGG71" s="4"/>
      <c r="DGH71" s="4"/>
      <c r="DGI71" s="4"/>
      <c r="DGJ71" s="4"/>
      <c r="DGK71" s="4"/>
      <c r="DGL71" s="4"/>
      <c r="DGM71" s="4"/>
      <c r="DGN71" s="4"/>
      <c r="DGO71" s="4"/>
      <c r="DGP71" s="4"/>
      <c r="DGQ71" s="4"/>
      <c r="DGR71" s="4"/>
      <c r="DGS71" s="4"/>
      <c r="DGT71" s="4"/>
      <c r="DGU71" s="4"/>
      <c r="DGV71" s="4"/>
      <c r="DGW71" s="4"/>
      <c r="DGX71" s="4"/>
      <c r="DGY71" s="4"/>
      <c r="DGZ71" s="4"/>
      <c r="DHA71" s="4"/>
      <c r="DHB71" s="4"/>
      <c r="DHC71" s="4"/>
      <c r="DHD71" s="4"/>
      <c r="DHE71" s="4"/>
      <c r="DHF71" s="4"/>
      <c r="DHG71" s="4"/>
      <c r="DHH71" s="4"/>
      <c r="DHI71" s="4"/>
      <c r="DHJ71" s="4"/>
      <c r="DHK71" s="4"/>
      <c r="DHL71" s="4"/>
      <c r="DHM71" s="4"/>
      <c r="DHN71" s="4"/>
      <c r="DHO71" s="4"/>
      <c r="DHP71" s="4"/>
      <c r="DHQ71" s="4"/>
      <c r="DHR71" s="4"/>
      <c r="DHS71" s="4"/>
      <c r="DHT71" s="4"/>
      <c r="DHU71" s="4"/>
      <c r="DHV71" s="4"/>
      <c r="DHW71" s="4"/>
      <c r="DHX71" s="4"/>
      <c r="DHY71" s="4"/>
      <c r="DHZ71" s="4"/>
      <c r="DIA71" s="4"/>
      <c r="DIB71" s="4"/>
      <c r="DIC71" s="4"/>
      <c r="DID71" s="4"/>
      <c r="DIE71" s="4"/>
      <c r="DIF71" s="4"/>
      <c r="DIG71" s="4"/>
      <c r="DIH71" s="4"/>
      <c r="DII71" s="4"/>
      <c r="DIJ71" s="4"/>
      <c r="DIK71" s="4"/>
      <c r="DIL71" s="4"/>
      <c r="DIM71" s="4"/>
      <c r="DIN71" s="4"/>
      <c r="DIO71" s="4"/>
      <c r="DIP71" s="4"/>
      <c r="DIQ71" s="4"/>
      <c r="DIR71" s="4"/>
      <c r="DIS71" s="4"/>
      <c r="DIT71" s="4"/>
      <c r="DIU71" s="4"/>
      <c r="DIV71" s="4"/>
      <c r="DIW71" s="4"/>
      <c r="DIX71" s="4"/>
      <c r="DIY71" s="4"/>
      <c r="DIZ71" s="4"/>
      <c r="DJA71" s="4"/>
      <c r="DJB71" s="4"/>
      <c r="DJC71" s="4"/>
      <c r="DJD71" s="4"/>
      <c r="DJE71" s="4"/>
      <c r="DJF71" s="4"/>
      <c r="DJG71" s="4"/>
      <c r="DJH71" s="4"/>
      <c r="DJI71" s="4"/>
      <c r="DJJ71" s="4"/>
      <c r="DJK71" s="4"/>
      <c r="DJL71" s="4"/>
      <c r="DJM71" s="4"/>
      <c r="DJN71" s="4"/>
      <c r="DJO71" s="4"/>
      <c r="DJP71" s="4"/>
      <c r="DJQ71" s="4"/>
      <c r="DJR71" s="4"/>
      <c r="DJS71" s="4"/>
      <c r="DJT71" s="4"/>
      <c r="DJU71" s="4"/>
      <c r="DJV71" s="4"/>
      <c r="DJW71" s="4"/>
      <c r="DJX71" s="4"/>
      <c r="DJY71" s="4"/>
      <c r="DJZ71" s="4"/>
      <c r="DKA71" s="4"/>
      <c r="DKB71" s="4"/>
      <c r="DKC71" s="4"/>
      <c r="DKD71" s="4"/>
      <c r="DKE71" s="4"/>
      <c r="DKF71" s="4"/>
      <c r="DKG71" s="4"/>
      <c r="DKH71" s="4"/>
      <c r="DKI71" s="4"/>
      <c r="DKJ71" s="4"/>
      <c r="DKK71" s="4"/>
      <c r="DKL71" s="4"/>
      <c r="DKM71" s="4"/>
      <c r="DKN71" s="4"/>
      <c r="DKO71" s="4"/>
      <c r="DKP71" s="4"/>
      <c r="DKQ71" s="4"/>
      <c r="DKR71" s="4"/>
      <c r="DKS71" s="4"/>
      <c r="DKT71" s="4"/>
      <c r="DKU71" s="4"/>
      <c r="DKV71" s="4"/>
      <c r="DKW71" s="4"/>
      <c r="DKX71" s="4"/>
      <c r="DKY71" s="4"/>
      <c r="DKZ71" s="4"/>
      <c r="DLA71" s="4"/>
      <c r="DLB71" s="4"/>
      <c r="DLC71" s="4"/>
      <c r="DLD71" s="4"/>
      <c r="DLE71" s="4"/>
      <c r="DLF71" s="4"/>
      <c r="DLG71" s="4"/>
      <c r="DLH71" s="4"/>
      <c r="DLI71" s="4"/>
      <c r="DLJ71" s="4"/>
      <c r="DLK71" s="4"/>
      <c r="DLL71" s="4"/>
      <c r="DLM71" s="4"/>
      <c r="DLN71" s="4"/>
      <c r="DLO71" s="4"/>
      <c r="DLP71" s="4"/>
      <c r="DLQ71" s="4"/>
      <c r="DLR71" s="4"/>
      <c r="DLS71" s="4"/>
      <c r="DLT71" s="4"/>
      <c r="DLU71" s="4"/>
      <c r="DLV71" s="4"/>
      <c r="DLW71" s="4"/>
      <c r="DLX71" s="4"/>
      <c r="DLY71" s="4"/>
      <c r="DLZ71" s="4"/>
      <c r="DMA71" s="4"/>
      <c r="DMB71" s="4"/>
      <c r="DMC71" s="4"/>
      <c r="DMD71" s="4"/>
      <c r="DME71" s="4"/>
      <c r="DMF71" s="4"/>
      <c r="DMG71" s="4"/>
      <c r="DMH71" s="4"/>
      <c r="DMI71" s="4"/>
      <c r="DMJ71" s="4"/>
      <c r="DMK71" s="4"/>
      <c r="DML71" s="4"/>
      <c r="DMM71" s="4"/>
      <c r="DMN71" s="4"/>
      <c r="DMO71" s="4"/>
      <c r="DMP71" s="4"/>
      <c r="DMQ71" s="4"/>
      <c r="DMR71" s="4"/>
      <c r="DMS71" s="4"/>
      <c r="DMT71" s="4"/>
      <c r="DMU71" s="4"/>
      <c r="DMV71" s="4"/>
      <c r="DMW71" s="4"/>
      <c r="DMX71" s="4"/>
      <c r="DMY71" s="4"/>
      <c r="DMZ71" s="4"/>
      <c r="DNA71" s="4"/>
      <c r="DNB71" s="4"/>
      <c r="DNC71" s="4"/>
      <c r="DND71" s="4"/>
      <c r="DNE71" s="4"/>
      <c r="DNF71" s="4"/>
      <c r="DNG71" s="4"/>
      <c r="DNH71" s="4"/>
      <c r="DNI71" s="4"/>
      <c r="DNJ71" s="4"/>
      <c r="DNK71" s="4"/>
      <c r="DNL71" s="4"/>
      <c r="DNM71" s="4"/>
      <c r="DNN71" s="4"/>
      <c r="DNO71" s="4"/>
      <c r="DNP71" s="4"/>
      <c r="DNQ71" s="4"/>
      <c r="DNR71" s="4"/>
      <c r="DNS71" s="4"/>
      <c r="DNT71" s="4"/>
      <c r="DNU71" s="4"/>
      <c r="DNV71" s="4"/>
      <c r="DNW71" s="4"/>
      <c r="DNX71" s="4"/>
      <c r="DNY71" s="4"/>
      <c r="DNZ71" s="4"/>
      <c r="DOA71" s="4"/>
      <c r="DOB71" s="4"/>
      <c r="DOC71" s="4"/>
      <c r="DOD71" s="4"/>
      <c r="DOE71" s="4"/>
      <c r="DOF71" s="4"/>
      <c r="DOG71" s="4"/>
      <c r="DOH71" s="4"/>
      <c r="DOI71" s="4"/>
      <c r="DOJ71" s="4"/>
      <c r="DOK71" s="4"/>
      <c r="DOL71" s="4"/>
      <c r="DOM71" s="4"/>
      <c r="DON71" s="4"/>
      <c r="DOO71" s="4"/>
      <c r="DOP71" s="4"/>
      <c r="DOQ71" s="4"/>
      <c r="DOR71" s="4"/>
      <c r="DOS71" s="4"/>
      <c r="DOT71" s="4"/>
      <c r="DOU71" s="4"/>
      <c r="DOV71" s="4"/>
      <c r="DOW71" s="4"/>
      <c r="DOX71" s="4"/>
      <c r="DOY71" s="4"/>
      <c r="DOZ71" s="4"/>
      <c r="DPA71" s="4"/>
      <c r="DPB71" s="4"/>
      <c r="DPC71" s="4"/>
      <c r="DPD71" s="4"/>
      <c r="DPE71" s="4"/>
      <c r="DPF71" s="4"/>
      <c r="DPG71" s="4"/>
      <c r="DPH71" s="4"/>
      <c r="DPI71" s="4"/>
      <c r="DPJ71" s="4"/>
      <c r="DPK71" s="4"/>
      <c r="DPL71" s="4"/>
      <c r="DPM71" s="4"/>
      <c r="DPN71" s="4"/>
      <c r="DPO71" s="4"/>
      <c r="DPP71" s="4"/>
      <c r="DPQ71" s="4"/>
      <c r="DPR71" s="4"/>
      <c r="DPS71" s="4"/>
      <c r="DPT71" s="4"/>
      <c r="DPU71" s="4"/>
      <c r="DPV71" s="4"/>
      <c r="DPW71" s="4"/>
      <c r="DPX71" s="4"/>
      <c r="DPY71" s="4"/>
      <c r="DPZ71" s="4"/>
      <c r="DQA71" s="4"/>
      <c r="DQB71" s="4"/>
      <c r="DQC71" s="4"/>
      <c r="DQD71" s="4"/>
      <c r="DQE71" s="4"/>
      <c r="DQF71" s="4"/>
      <c r="DQG71" s="4"/>
      <c r="DQH71" s="4"/>
      <c r="DQI71" s="4"/>
      <c r="DQJ71" s="4"/>
      <c r="DQK71" s="4"/>
      <c r="DQL71" s="4"/>
      <c r="DQM71" s="4"/>
      <c r="DQN71" s="4"/>
      <c r="DQO71" s="4"/>
      <c r="DQP71" s="4"/>
      <c r="DQQ71" s="4"/>
      <c r="DQR71" s="4"/>
      <c r="DQS71" s="4"/>
      <c r="DQT71" s="4"/>
      <c r="DQU71" s="4"/>
      <c r="DQV71" s="4"/>
      <c r="DQW71" s="4"/>
      <c r="DQX71" s="4"/>
      <c r="DQY71" s="4"/>
      <c r="DQZ71" s="4"/>
      <c r="DRA71" s="4"/>
      <c r="DRB71" s="4"/>
      <c r="DRC71" s="4"/>
      <c r="DRD71" s="4"/>
      <c r="DRE71" s="4"/>
      <c r="DRF71" s="4"/>
      <c r="DRG71" s="4"/>
      <c r="DRH71" s="4"/>
      <c r="DRI71" s="4"/>
      <c r="DRJ71" s="4"/>
      <c r="DRK71" s="4"/>
      <c r="DRL71" s="4"/>
      <c r="DRM71" s="4"/>
      <c r="DRN71" s="4"/>
      <c r="DRO71" s="4"/>
      <c r="DRP71" s="4"/>
      <c r="DRQ71" s="4"/>
      <c r="DRR71" s="4"/>
      <c r="DRS71" s="4"/>
      <c r="DRT71" s="4"/>
      <c r="DRU71" s="4"/>
      <c r="DRV71" s="4"/>
      <c r="DRW71" s="4"/>
      <c r="DRX71" s="4"/>
      <c r="DRY71" s="4"/>
      <c r="DRZ71" s="4"/>
      <c r="DSA71" s="4"/>
      <c r="DSB71" s="4"/>
      <c r="DSC71" s="4"/>
      <c r="DSD71" s="4"/>
      <c r="DSE71" s="4"/>
      <c r="DSF71" s="4"/>
      <c r="DSG71" s="4"/>
      <c r="DSH71" s="4"/>
      <c r="DSI71" s="4"/>
      <c r="DSJ71" s="4"/>
      <c r="DSK71" s="4"/>
      <c r="DSL71" s="4"/>
      <c r="DSM71" s="4"/>
      <c r="DSN71" s="4"/>
      <c r="DSO71" s="4"/>
      <c r="DSP71" s="4"/>
      <c r="DSQ71" s="4"/>
      <c r="DSR71" s="4"/>
      <c r="DSS71" s="4"/>
      <c r="DST71" s="4"/>
      <c r="DSU71" s="4"/>
      <c r="DSV71" s="4"/>
      <c r="DSW71" s="4"/>
      <c r="DSX71" s="4"/>
      <c r="DSY71" s="4"/>
      <c r="DSZ71" s="4"/>
      <c r="DTA71" s="4"/>
      <c r="DTB71" s="4"/>
      <c r="DTC71" s="4"/>
      <c r="DTD71" s="4"/>
      <c r="DTE71" s="4"/>
      <c r="DTF71" s="4"/>
      <c r="DTG71" s="4"/>
      <c r="DTH71" s="4"/>
      <c r="DTI71" s="4"/>
      <c r="DTJ71" s="4"/>
      <c r="DTK71" s="4"/>
      <c r="DTL71" s="4"/>
      <c r="DTM71" s="4"/>
      <c r="DTN71" s="4"/>
      <c r="DTO71" s="4"/>
      <c r="DTP71" s="4"/>
      <c r="DTQ71" s="4"/>
      <c r="DTR71" s="4"/>
      <c r="DTS71" s="4"/>
      <c r="DTT71" s="4"/>
      <c r="DTU71" s="4"/>
      <c r="DTV71" s="4"/>
      <c r="DTW71" s="4"/>
      <c r="DTX71" s="4"/>
      <c r="DTY71" s="4"/>
      <c r="DTZ71" s="4"/>
      <c r="DUA71" s="4"/>
      <c r="DUB71" s="4"/>
      <c r="DUC71" s="4"/>
      <c r="DUD71" s="4"/>
      <c r="DUE71" s="4"/>
      <c r="DUF71" s="4"/>
      <c r="DUG71" s="4"/>
      <c r="DUH71" s="4"/>
      <c r="DUI71" s="4"/>
      <c r="DUJ71" s="4"/>
      <c r="DUK71" s="4"/>
      <c r="DUL71" s="4"/>
      <c r="DUM71" s="4"/>
      <c r="DUN71" s="4"/>
      <c r="DUO71" s="4"/>
      <c r="DUP71" s="4"/>
      <c r="DUQ71" s="4"/>
      <c r="DUR71" s="4"/>
      <c r="DUS71" s="4"/>
      <c r="DUT71" s="4"/>
      <c r="DUU71" s="4"/>
      <c r="DUV71" s="4"/>
      <c r="DUW71" s="4"/>
      <c r="DUX71" s="4"/>
      <c r="DUY71" s="4"/>
      <c r="DUZ71" s="4"/>
      <c r="DVA71" s="4"/>
      <c r="DVB71" s="4"/>
      <c r="DVC71" s="4"/>
      <c r="DVD71" s="4"/>
      <c r="DVE71" s="4"/>
      <c r="DVF71" s="4"/>
      <c r="DVG71" s="4"/>
      <c r="DVH71" s="4"/>
      <c r="DVI71" s="4"/>
      <c r="DVJ71" s="4"/>
      <c r="DVK71" s="4"/>
      <c r="DVL71" s="4"/>
      <c r="DVM71" s="4"/>
      <c r="DVN71" s="4"/>
      <c r="DVO71" s="4"/>
      <c r="DVP71" s="4"/>
      <c r="DVQ71" s="4"/>
      <c r="DVR71" s="4"/>
      <c r="DVS71" s="4"/>
      <c r="DVT71" s="4"/>
      <c r="DVU71" s="4"/>
      <c r="DVV71" s="4"/>
      <c r="DVW71" s="4"/>
      <c r="DVX71" s="4"/>
      <c r="DVY71" s="4"/>
      <c r="DVZ71" s="4"/>
      <c r="DWA71" s="4"/>
      <c r="DWB71" s="4"/>
      <c r="DWC71" s="4"/>
      <c r="DWD71" s="4"/>
      <c r="DWE71" s="4"/>
      <c r="DWF71" s="4"/>
      <c r="DWG71" s="4"/>
      <c r="DWH71" s="4"/>
      <c r="DWI71" s="4"/>
      <c r="DWJ71" s="4"/>
      <c r="DWK71" s="4"/>
      <c r="DWL71" s="4"/>
      <c r="DWM71" s="4"/>
      <c r="DWN71" s="4"/>
      <c r="DWO71" s="4"/>
      <c r="DWP71" s="4"/>
      <c r="DWQ71" s="4"/>
      <c r="DWR71" s="4"/>
      <c r="DWS71" s="4"/>
      <c r="DWT71" s="4"/>
      <c r="DWU71" s="4"/>
      <c r="DWV71" s="4"/>
      <c r="DWW71" s="4"/>
      <c r="DWX71" s="4"/>
      <c r="DWY71" s="4"/>
      <c r="DWZ71" s="4"/>
      <c r="DXA71" s="4"/>
      <c r="DXB71" s="4"/>
      <c r="DXC71" s="4"/>
      <c r="DXD71" s="4"/>
      <c r="DXE71" s="4"/>
      <c r="DXF71" s="4"/>
      <c r="DXG71" s="4"/>
      <c r="DXH71" s="4"/>
      <c r="DXI71" s="4"/>
      <c r="DXJ71" s="4"/>
      <c r="DXK71" s="4"/>
      <c r="DXL71" s="4"/>
      <c r="DXM71" s="4"/>
      <c r="DXN71" s="4"/>
      <c r="DXO71" s="4"/>
      <c r="DXP71" s="4"/>
      <c r="DXQ71" s="4"/>
      <c r="DXR71" s="4"/>
      <c r="DXS71" s="4"/>
      <c r="DXT71" s="4"/>
      <c r="DXU71" s="4"/>
      <c r="DXV71" s="4"/>
      <c r="DXW71" s="4"/>
      <c r="DXX71" s="4"/>
      <c r="DXY71" s="4"/>
      <c r="DXZ71" s="4"/>
      <c r="DYA71" s="4"/>
      <c r="DYB71" s="4"/>
      <c r="DYC71" s="4"/>
      <c r="DYD71" s="4"/>
      <c r="DYE71" s="4"/>
      <c r="DYF71" s="4"/>
      <c r="DYG71" s="4"/>
      <c r="DYH71" s="4"/>
      <c r="DYI71" s="4"/>
      <c r="DYJ71" s="4"/>
      <c r="DYK71" s="4"/>
      <c r="DYL71" s="4"/>
      <c r="DYM71" s="4"/>
      <c r="DYN71" s="4"/>
      <c r="DYO71" s="4"/>
      <c r="DYP71" s="4"/>
      <c r="DYQ71" s="4"/>
      <c r="DYR71" s="4"/>
      <c r="DYS71" s="4"/>
      <c r="DYT71" s="4"/>
      <c r="DYU71" s="4"/>
      <c r="DYV71" s="4"/>
      <c r="DYW71" s="4"/>
      <c r="DYX71" s="4"/>
      <c r="DYY71" s="4"/>
      <c r="DYZ71" s="4"/>
      <c r="DZA71" s="4"/>
      <c r="DZB71" s="4"/>
      <c r="DZC71" s="4"/>
      <c r="DZD71" s="4"/>
      <c r="DZE71" s="4"/>
      <c r="DZF71" s="4"/>
      <c r="DZG71" s="4"/>
      <c r="DZH71" s="4"/>
      <c r="DZI71" s="4"/>
      <c r="DZJ71" s="4"/>
      <c r="DZK71" s="4"/>
      <c r="DZL71" s="4"/>
      <c r="DZM71" s="4"/>
      <c r="DZN71" s="4"/>
      <c r="DZO71" s="4"/>
      <c r="DZP71" s="4"/>
      <c r="DZQ71" s="4"/>
      <c r="DZR71" s="4"/>
      <c r="DZS71" s="4"/>
      <c r="DZT71" s="4"/>
      <c r="DZU71" s="4"/>
      <c r="DZV71" s="4"/>
      <c r="DZW71" s="4"/>
      <c r="DZX71" s="4"/>
      <c r="DZY71" s="4"/>
      <c r="DZZ71" s="4"/>
      <c r="EAA71" s="4"/>
      <c r="EAB71" s="4"/>
      <c r="EAC71" s="4"/>
      <c r="EAD71" s="4"/>
      <c r="EAE71" s="4"/>
      <c r="EAF71" s="4"/>
      <c r="EAG71" s="4"/>
      <c r="EAH71" s="4"/>
      <c r="EAI71" s="4"/>
      <c r="EAJ71" s="4"/>
      <c r="EAK71" s="4"/>
      <c r="EAL71" s="4"/>
      <c r="EAM71" s="4"/>
      <c r="EAN71" s="4"/>
      <c r="EAO71" s="4"/>
      <c r="EAP71" s="4"/>
      <c r="EAQ71" s="4"/>
      <c r="EAR71" s="4"/>
      <c r="EAS71" s="4"/>
      <c r="EAT71" s="4"/>
      <c r="EAU71" s="4"/>
      <c r="EAV71" s="4"/>
      <c r="EAW71" s="4"/>
      <c r="EAX71" s="4"/>
      <c r="EAY71" s="4"/>
      <c r="EAZ71" s="4"/>
      <c r="EBA71" s="4"/>
      <c r="EBB71" s="4"/>
      <c r="EBC71" s="4"/>
      <c r="EBD71" s="4"/>
      <c r="EBE71" s="4"/>
      <c r="EBF71" s="4"/>
      <c r="EBG71" s="4"/>
      <c r="EBH71" s="4"/>
      <c r="EBI71" s="4"/>
      <c r="EBJ71" s="4"/>
      <c r="EBK71" s="4"/>
      <c r="EBL71" s="4"/>
      <c r="EBM71" s="4"/>
      <c r="EBN71" s="4"/>
      <c r="EBO71" s="4"/>
      <c r="EBP71" s="4"/>
      <c r="EBQ71" s="4"/>
      <c r="EBR71" s="4"/>
      <c r="EBS71" s="4"/>
      <c r="EBT71" s="4"/>
      <c r="EBU71" s="4"/>
      <c r="EBV71" s="4"/>
      <c r="EBW71" s="4"/>
      <c r="EBX71" s="4"/>
      <c r="EBY71" s="4"/>
      <c r="EBZ71" s="4"/>
      <c r="ECA71" s="4"/>
      <c r="ECB71" s="4"/>
      <c r="ECC71" s="4"/>
      <c r="ECD71" s="4"/>
      <c r="ECE71" s="4"/>
      <c r="ECF71" s="4"/>
      <c r="ECG71" s="4"/>
      <c r="ECH71" s="4"/>
      <c r="ECI71" s="4"/>
      <c r="ECJ71" s="4"/>
      <c r="ECK71" s="4"/>
      <c r="ECL71" s="4"/>
      <c r="ECM71" s="4"/>
      <c r="ECN71" s="4"/>
      <c r="ECO71" s="4"/>
      <c r="ECP71" s="4"/>
      <c r="ECQ71" s="4"/>
      <c r="ECR71" s="4"/>
      <c r="ECS71" s="4"/>
      <c r="ECT71" s="4"/>
      <c r="ECU71" s="4"/>
      <c r="ECV71" s="4"/>
      <c r="ECW71" s="4"/>
      <c r="ECX71" s="4"/>
      <c r="ECY71" s="4"/>
      <c r="ECZ71" s="4"/>
      <c r="EDA71" s="4"/>
      <c r="EDB71" s="4"/>
      <c r="EDC71" s="4"/>
      <c r="EDD71" s="4"/>
      <c r="EDE71" s="4"/>
      <c r="EDF71" s="4"/>
      <c r="EDG71" s="4"/>
      <c r="EDH71" s="4"/>
      <c r="EDI71" s="4"/>
      <c r="EDJ71" s="4"/>
      <c r="EDK71" s="4"/>
      <c r="EDL71" s="4"/>
      <c r="EDM71" s="4"/>
      <c r="EDN71" s="4"/>
      <c r="EDO71" s="4"/>
      <c r="EDP71" s="4"/>
      <c r="EDQ71" s="4"/>
      <c r="EDR71" s="4"/>
      <c r="EDS71" s="4"/>
      <c r="EDT71" s="4"/>
      <c r="EDU71" s="4"/>
      <c r="EDV71" s="4"/>
      <c r="EDW71" s="4"/>
      <c r="EDX71" s="4"/>
      <c r="EDY71" s="4"/>
      <c r="EDZ71" s="4"/>
      <c r="EEA71" s="4"/>
      <c r="EEB71" s="4"/>
      <c r="EEC71" s="4"/>
      <c r="EED71" s="4"/>
      <c r="EEE71" s="4"/>
      <c r="EEF71" s="4"/>
      <c r="EEG71" s="4"/>
      <c r="EEH71" s="4"/>
      <c r="EEI71" s="4"/>
      <c r="EEJ71" s="4"/>
      <c r="EEK71" s="4"/>
      <c r="EEL71" s="4"/>
      <c r="EEM71" s="4"/>
      <c r="EEN71" s="4"/>
      <c r="EEO71" s="4"/>
      <c r="EEP71" s="4"/>
      <c r="EEQ71" s="4"/>
      <c r="EER71" s="4"/>
      <c r="EES71" s="4"/>
      <c r="EET71" s="4"/>
      <c r="EEU71" s="4"/>
      <c r="EEV71" s="4"/>
      <c r="EEW71" s="4"/>
      <c r="EEX71" s="4"/>
      <c r="EEY71" s="4"/>
      <c r="EEZ71" s="4"/>
      <c r="EFA71" s="4"/>
      <c r="EFB71" s="4"/>
      <c r="EFC71" s="4"/>
      <c r="EFD71" s="4"/>
      <c r="EFE71" s="4"/>
      <c r="EFF71" s="4"/>
      <c r="EFG71" s="4"/>
      <c r="EFH71" s="4"/>
      <c r="EFI71" s="4"/>
      <c r="EFJ71" s="4"/>
      <c r="EFK71" s="4"/>
      <c r="EFL71" s="4"/>
      <c r="EFM71" s="4"/>
      <c r="EFN71" s="4"/>
      <c r="EFO71" s="4"/>
      <c r="EFP71" s="4"/>
      <c r="EFQ71" s="4"/>
      <c r="EFR71" s="4"/>
      <c r="EFS71" s="4"/>
      <c r="EFT71" s="4"/>
      <c r="EFU71" s="4"/>
      <c r="EFV71" s="4"/>
      <c r="EFW71" s="4"/>
      <c r="EFX71" s="4"/>
      <c r="EFY71" s="4"/>
      <c r="EFZ71" s="4"/>
      <c r="EGA71" s="4"/>
      <c r="EGB71" s="4"/>
      <c r="EGC71" s="4"/>
      <c r="EGD71" s="4"/>
      <c r="EGE71" s="4"/>
      <c r="EGF71" s="4"/>
      <c r="EGG71" s="4"/>
      <c r="EGH71" s="4"/>
      <c r="EGI71" s="4"/>
      <c r="EGJ71" s="4"/>
      <c r="EGK71" s="4"/>
      <c r="EGL71" s="4"/>
      <c r="EGM71" s="4"/>
      <c r="EGN71" s="4"/>
      <c r="EGO71" s="4"/>
      <c r="EGP71" s="4"/>
      <c r="EGQ71" s="4"/>
      <c r="EGR71" s="4"/>
      <c r="EGS71" s="4"/>
      <c r="EGT71" s="4"/>
      <c r="EGU71" s="4"/>
      <c r="EGV71" s="4"/>
      <c r="EGW71" s="4"/>
      <c r="EGX71" s="4"/>
      <c r="EGY71" s="4"/>
      <c r="EGZ71" s="4"/>
      <c r="EHA71" s="4"/>
      <c r="EHB71" s="4"/>
      <c r="EHC71" s="4"/>
      <c r="EHD71" s="4"/>
      <c r="EHE71" s="4"/>
      <c r="EHF71" s="4"/>
      <c r="EHG71" s="4"/>
      <c r="EHH71" s="4"/>
      <c r="EHI71" s="4"/>
      <c r="EHJ71" s="4"/>
      <c r="EHK71" s="4"/>
      <c r="EHL71" s="4"/>
      <c r="EHM71" s="4"/>
      <c r="EHN71" s="4"/>
      <c r="EHO71" s="4"/>
      <c r="EHP71" s="4"/>
      <c r="EHQ71" s="4"/>
      <c r="EHR71" s="4"/>
      <c r="EHS71" s="4"/>
      <c r="EHT71" s="4"/>
      <c r="EHU71" s="4"/>
      <c r="EHV71" s="4"/>
      <c r="EHW71" s="4"/>
      <c r="EHX71" s="4"/>
      <c r="EHY71" s="4"/>
      <c r="EHZ71" s="4"/>
      <c r="EIA71" s="4"/>
      <c r="EIB71" s="4"/>
      <c r="EIC71" s="4"/>
      <c r="EID71" s="4"/>
      <c r="EIE71" s="4"/>
      <c r="EIF71" s="4"/>
      <c r="EIG71" s="4"/>
      <c r="EIH71" s="4"/>
      <c r="EII71" s="4"/>
      <c r="EIJ71" s="4"/>
      <c r="EIK71" s="4"/>
      <c r="EIL71" s="4"/>
      <c r="EIM71" s="4"/>
      <c r="EIN71" s="4"/>
      <c r="EIO71" s="4"/>
      <c r="EIP71" s="4"/>
      <c r="EIQ71" s="4"/>
      <c r="EIR71" s="4"/>
      <c r="EIS71" s="4"/>
      <c r="EIT71" s="4"/>
      <c r="EIU71" s="4"/>
      <c r="EIV71" s="4"/>
      <c r="EIW71" s="4"/>
      <c r="EIX71" s="4"/>
      <c r="EIY71" s="4"/>
      <c r="EIZ71" s="4"/>
      <c r="EJA71" s="4"/>
      <c r="EJB71" s="4"/>
      <c r="EJC71" s="4"/>
      <c r="EJD71" s="4"/>
      <c r="EJE71" s="4"/>
      <c r="EJF71" s="4"/>
      <c r="EJG71" s="4"/>
      <c r="EJH71" s="4"/>
      <c r="EJI71" s="4"/>
      <c r="EJJ71" s="4"/>
      <c r="EJK71" s="4"/>
      <c r="EJL71" s="4"/>
      <c r="EJM71" s="4"/>
      <c r="EJN71" s="4"/>
      <c r="EJO71" s="4"/>
      <c r="EJP71" s="4"/>
      <c r="EJQ71" s="4"/>
      <c r="EJR71" s="4"/>
      <c r="EJS71" s="4"/>
      <c r="EJT71" s="4"/>
      <c r="EJU71" s="4"/>
      <c r="EJV71" s="4"/>
      <c r="EJW71" s="4"/>
      <c r="EJX71" s="4"/>
      <c r="EJY71" s="4"/>
      <c r="EJZ71" s="4"/>
      <c r="EKA71" s="4"/>
      <c r="EKB71" s="4"/>
      <c r="EKC71" s="4"/>
      <c r="EKD71" s="4"/>
      <c r="EKE71" s="4"/>
      <c r="EKF71" s="4"/>
      <c r="EKG71" s="4"/>
      <c r="EKH71" s="4"/>
      <c r="EKI71" s="4"/>
      <c r="EKJ71" s="4"/>
      <c r="EKK71" s="4"/>
      <c r="EKL71" s="4"/>
      <c r="EKM71" s="4"/>
      <c r="EKN71" s="4"/>
      <c r="EKO71" s="4"/>
      <c r="EKP71" s="4"/>
      <c r="EKQ71" s="4"/>
      <c r="EKR71" s="4"/>
      <c r="EKS71" s="4"/>
      <c r="EKT71" s="4"/>
      <c r="EKU71" s="4"/>
      <c r="EKV71" s="4"/>
      <c r="EKW71" s="4"/>
      <c r="EKX71" s="4"/>
      <c r="EKY71" s="4"/>
      <c r="EKZ71" s="4"/>
      <c r="ELA71" s="4"/>
      <c r="ELB71" s="4"/>
      <c r="ELC71" s="4"/>
      <c r="ELD71" s="4"/>
      <c r="ELE71" s="4"/>
      <c r="ELF71" s="4"/>
      <c r="ELG71" s="4"/>
      <c r="ELH71" s="4"/>
      <c r="ELI71" s="4"/>
      <c r="ELJ71" s="4"/>
      <c r="ELK71" s="4"/>
      <c r="ELL71" s="4"/>
      <c r="ELM71" s="4"/>
      <c r="ELN71" s="4"/>
      <c r="ELO71" s="4"/>
      <c r="ELP71" s="4"/>
      <c r="ELQ71" s="4"/>
      <c r="ELR71" s="4"/>
      <c r="ELS71" s="4"/>
      <c r="ELT71" s="4"/>
      <c r="ELU71" s="4"/>
      <c r="ELV71" s="4"/>
      <c r="ELW71" s="4"/>
      <c r="ELX71" s="4"/>
      <c r="ELY71" s="4"/>
      <c r="ELZ71" s="4"/>
      <c r="EMA71" s="4"/>
      <c r="EMB71" s="4"/>
      <c r="EMC71" s="4"/>
      <c r="EMD71" s="4"/>
      <c r="EME71" s="4"/>
      <c r="EMF71" s="4"/>
      <c r="EMG71" s="4"/>
      <c r="EMH71" s="4"/>
      <c r="EMI71" s="4"/>
      <c r="EMJ71" s="4"/>
      <c r="EMK71" s="4"/>
      <c r="EML71" s="4"/>
      <c r="EMM71" s="4"/>
      <c r="EMN71" s="4"/>
      <c r="EMO71" s="4"/>
      <c r="EMP71" s="4"/>
      <c r="EMQ71" s="4"/>
      <c r="EMR71" s="4"/>
      <c r="EMS71" s="4"/>
      <c r="EMT71" s="4"/>
      <c r="EMU71" s="4"/>
      <c r="EMV71" s="4"/>
      <c r="EMW71" s="4"/>
      <c r="EMX71" s="4"/>
      <c r="EMY71" s="4"/>
      <c r="EMZ71" s="4"/>
      <c r="ENA71" s="4"/>
      <c r="ENB71" s="4"/>
      <c r="ENC71" s="4"/>
      <c r="END71" s="4"/>
      <c r="ENE71" s="4"/>
      <c r="ENF71" s="4"/>
      <c r="ENG71" s="4"/>
      <c r="ENH71" s="4"/>
      <c r="ENI71" s="4"/>
      <c r="ENJ71" s="4"/>
      <c r="ENK71" s="4"/>
      <c r="ENL71" s="4"/>
      <c r="ENM71" s="4"/>
      <c r="ENN71" s="4"/>
      <c r="ENO71" s="4"/>
      <c r="ENP71" s="4"/>
      <c r="ENQ71" s="4"/>
      <c r="ENR71" s="4"/>
      <c r="ENS71" s="4"/>
      <c r="ENT71" s="4"/>
      <c r="ENU71" s="4"/>
      <c r="ENV71" s="4"/>
      <c r="ENW71" s="4"/>
      <c r="ENX71" s="4"/>
      <c r="ENY71" s="4"/>
      <c r="ENZ71" s="4"/>
      <c r="EOA71" s="4"/>
      <c r="EOB71" s="4"/>
      <c r="EOC71" s="4"/>
      <c r="EOD71" s="4"/>
      <c r="EOE71" s="4"/>
      <c r="EOF71" s="4"/>
      <c r="EOG71" s="4"/>
      <c r="EOH71" s="4"/>
      <c r="EOI71" s="4"/>
      <c r="EOJ71" s="4"/>
      <c r="EOK71" s="4"/>
      <c r="EOL71" s="4"/>
      <c r="EOM71" s="4"/>
      <c r="EON71" s="4"/>
      <c r="EOO71" s="4"/>
      <c r="EOP71" s="4"/>
      <c r="EOQ71" s="4"/>
      <c r="EOR71" s="4"/>
      <c r="EOS71" s="4"/>
      <c r="EOT71" s="4"/>
      <c r="EOU71" s="4"/>
      <c r="EOV71" s="4"/>
      <c r="EOW71" s="4"/>
      <c r="EOX71" s="4"/>
      <c r="EOY71" s="4"/>
      <c r="EOZ71" s="4"/>
      <c r="EPA71" s="4"/>
      <c r="EPB71" s="4"/>
      <c r="EPC71" s="4"/>
      <c r="EPD71" s="4"/>
      <c r="EPE71" s="4"/>
      <c r="EPF71" s="4"/>
      <c r="EPG71" s="4"/>
      <c r="EPH71" s="4"/>
      <c r="EPI71" s="4"/>
      <c r="EPJ71" s="4"/>
      <c r="EPK71" s="4"/>
      <c r="EPL71" s="4"/>
      <c r="EPM71" s="4"/>
      <c r="EPN71" s="4"/>
      <c r="EPO71" s="4"/>
      <c r="EPP71" s="4"/>
      <c r="EPQ71" s="4"/>
      <c r="EPR71" s="4"/>
      <c r="EPS71" s="4"/>
      <c r="EPT71" s="4"/>
      <c r="EPU71" s="4"/>
      <c r="EPV71" s="4"/>
      <c r="EPW71" s="4"/>
      <c r="EPX71" s="4"/>
      <c r="EPY71" s="4"/>
      <c r="EPZ71" s="4"/>
      <c r="EQA71" s="4"/>
      <c r="EQB71" s="4"/>
      <c r="EQC71" s="4"/>
      <c r="EQD71" s="4"/>
      <c r="EQE71" s="4"/>
      <c r="EQF71" s="4"/>
      <c r="EQG71" s="4"/>
      <c r="EQH71" s="4"/>
      <c r="EQI71" s="4"/>
      <c r="EQJ71" s="4"/>
      <c r="EQK71" s="4"/>
      <c r="EQL71" s="4"/>
      <c r="EQM71" s="4"/>
      <c r="EQN71" s="4"/>
      <c r="EQO71" s="4"/>
      <c r="EQP71" s="4"/>
      <c r="EQQ71" s="4"/>
      <c r="EQR71" s="4"/>
      <c r="EQS71" s="4"/>
      <c r="EQT71" s="4"/>
      <c r="EQU71" s="4"/>
      <c r="EQV71" s="4"/>
      <c r="EQW71" s="4"/>
      <c r="EQX71" s="4"/>
      <c r="EQY71" s="4"/>
      <c r="EQZ71" s="4"/>
      <c r="ERA71" s="4"/>
      <c r="ERB71" s="4"/>
      <c r="ERC71" s="4"/>
      <c r="ERD71" s="4"/>
      <c r="ERE71" s="4"/>
      <c r="ERF71" s="4"/>
      <c r="ERG71" s="4"/>
      <c r="ERH71" s="4"/>
      <c r="ERI71" s="4"/>
      <c r="ERJ71" s="4"/>
      <c r="ERK71" s="4"/>
      <c r="ERL71" s="4"/>
      <c r="ERM71" s="4"/>
      <c r="ERN71" s="4"/>
      <c r="ERO71" s="4"/>
      <c r="ERP71" s="4"/>
      <c r="ERQ71" s="4"/>
      <c r="ERR71" s="4"/>
      <c r="ERS71" s="4"/>
      <c r="ERT71" s="4"/>
      <c r="ERU71" s="4"/>
      <c r="ERV71" s="4"/>
      <c r="ERW71" s="4"/>
      <c r="ERX71" s="4"/>
      <c r="ERY71" s="4"/>
      <c r="ERZ71" s="4"/>
      <c r="ESA71" s="4"/>
      <c r="ESB71" s="4"/>
      <c r="ESC71" s="4"/>
      <c r="ESD71" s="4"/>
      <c r="ESE71" s="4"/>
      <c r="ESF71" s="4"/>
      <c r="ESG71" s="4"/>
      <c r="ESH71" s="4"/>
      <c r="ESI71" s="4"/>
      <c r="ESJ71" s="4"/>
      <c r="ESK71" s="4"/>
      <c r="ESL71" s="4"/>
      <c r="ESM71" s="4"/>
      <c r="ESN71" s="4"/>
      <c r="ESO71" s="4"/>
      <c r="ESP71" s="4"/>
      <c r="ESQ71" s="4"/>
      <c r="ESR71" s="4"/>
      <c r="ESS71" s="4"/>
      <c r="EST71" s="4"/>
      <c r="ESU71" s="4"/>
      <c r="ESV71" s="4"/>
      <c r="ESW71" s="4"/>
      <c r="ESX71" s="4"/>
      <c r="ESY71" s="4"/>
      <c r="ESZ71" s="4"/>
      <c r="ETA71" s="4"/>
      <c r="ETB71" s="4"/>
      <c r="ETC71" s="4"/>
      <c r="ETD71" s="4"/>
      <c r="ETE71" s="4"/>
      <c r="ETF71" s="4"/>
      <c r="ETG71" s="4"/>
      <c r="ETH71" s="4"/>
      <c r="ETI71" s="4"/>
      <c r="ETJ71" s="4"/>
      <c r="ETK71" s="4"/>
      <c r="ETL71" s="4"/>
      <c r="ETM71" s="4"/>
      <c r="ETN71" s="4"/>
      <c r="ETO71" s="4"/>
      <c r="ETP71" s="4"/>
      <c r="ETQ71" s="4"/>
      <c r="ETR71" s="4"/>
      <c r="ETS71" s="4"/>
      <c r="ETT71" s="4"/>
      <c r="ETU71" s="4"/>
      <c r="ETV71" s="4"/>
      <c r="ETW71" s="4"/>
      <c r="ETX71" s="4"/>
      <c r="ETY71" s="4"/>
      <c r="ETZ71" s="4"/>
      <c r="EUA71" s="4"/>
      <c r="EUB71" s="4"/>
      <c r="EUC71" s="4"/>
      <c r="EUD71" s="4"/>
      <c r="EUE71" s="4"/>
      <c r="EUF71" s="4"/>
      <c r="EUG71" s="4"/>
      <c r="EUH71" s="4"/>
      <c r="EUI71" s="4"/>
      <c r="EUJ71" s="4"/>
      <c r="EUK71" s="4"/>
      <c r="EUL71" s="4"/>
      <c r="EUM71" s="4"/>
      <c r="EUN71" s="4"/>
      <c r="EUO71" s="4"/>
      <c r="EUP71" s="4"/>
      <c r="EUQ71" s="4"/>
      <c r="EUR71" s="4"/>
      <c r="EUS71" s="4"/>
      <c r="EUT71" s="4"/>
      <c r="EUU71" s="4"/>
      <c r="EUV71" s="4"/>
      <c r="EUW71" s="4"/>
      <c r="EUX71" s="4"/>
      <c r="EUY71" s="4"/>
      <c r="EUZ71" s="4"/>
      <c r="EVA71" s="4"/>
      <c r="EVB71" s="4"/>
      <c r="EVC71" s="4"/>
      <c r="EVD71" s="4"/>
      <c r="EVE71" s="4"/>
      <c r="EVF71" s="4"/>
      <c r="EVG71" s="4"/>
      <c r="EVH71" s="4"/>
      <c r="EVI71" s="4"/>
      <c r="EVJ71" s="4"/>
      <c r="EVK71" s="4"/>
      <c r="EVL71" s="4"/>
      <c r="EVM71" s="4"/>
      <c r="EVN71" s="4"/>
      <c r="EVO71" s="4"/>
      <c r="EVP71" s="4"/>
      <c r="EVQ71" s="4"/>
      <c r="EVR71" s="4"/>
      <c r="EVS71" s="4"/>
      <c r="EVT71" s="4"/>
      <c r="EVU71" s="4"/>
      <c r="EVV71" s="4"/>
      <c r="EVW71" s="4"/>
      <c r="EVX71" s="4"/>
      <c r="EVY71" s="4"/>
      <c r="EVZ71" s="4"/>
      <c r="EWA71" s="4"/>
      <c r="EWB71" s="4"/>
      <c r="EWC71" s="4"/>
      <c r="EWD71" s="4"/>
      <c r="EWE71" s="4"/>
      <c r="EWF71" s="4"/>
      <c r="EWG71" s="4"/>
      <c r="EWH71" s="4"/>
      <c r="EWI71" s="4"/>
      <c r="EWJ71" s="4"/>
      <c r="EWK71" s="4"/>
      <c r="EWL71" s="4"/>
      <c r="EWM71" s="4"/>
      <c r="EWN71" s="4"/>
      <c r="EWO71" s="4"/>
      <c r="EWP71" s="4"/>
      <c r="EWQ71" s="4"/>
      <c r="EWR71" s="4"/>
      <c r="EWS71" s="4"/>
      <c r="EWT71" s="4"/>
      <c r="EWU71" s="4"/>
      <c r="EWV71" s="4"/>
      <c r="EWW71" s="4"/>
      <c r="EWX71" s="4"/>
      <c r="EWY71" s="4"/>
      <c r="EWZ71" s="4"/>
      <c r="EXA71" s="4"/>
      <c r="EXB71" s="4"/>
      <c r="EXC71" s="4"/>
      <c r="EXD71" s="4"/>
      <c r="EXE71" s="4"/>
      <c r="EXF71" s="4"/>
      <c r="EXG71" s="4"/>
      <c r="EXH71" s="4"/>
      <c r="EXI71" s="4"/>
      <c r="EXJ71" s="4"/>
      <c r="EXK71" s="4"/>
      <c r="EXL71" s="4"/>
      <c r="EXM71" s="4"/>
      <c r="EXN71" s="4"/>
      <c r="EXO71" s="4"/>
      <c r="EXP71" s="4"/>
      <c r="EXQ71" s="4"/>
      <c r="EXR71" s="4"/>
      <c r="EXS71" s="4"/>
      <c r="EXT71" s="4"/>
      <c r="EXU71" s="4"/>
      <c r="EXV71" s="4"/>
      <c r="EXW71" s="4"/>
      <c r="EXX71" s="4"/>
      <c r="EXY71" s="4"/>
      <c r="EXZ71" s="4"/>
      <c r="EYA71" s="4"/>
      <c r="EYB71" s="4"/>
      <c r="EYC71" s="4"/>
      <c r="EYD71" s="4"/>
      <c r="EYE71" s="4"/>
      <c r="EYF71" s="4"/>
      <c r="EYG71" s="4"/>
      <c r="EYH71" s="4"/>
      <c r="EYI71" s="4"/>
      <c r="EYJ71" s="4"/>
      <c r="EYK71" s="4"/>
      <c r="EYL71" s="4"/>
      <c r="EYM71" s="4"/>
      <c r="EYN71" s="4"/>
      <c r="EYO71" s="4"/>
      <c r="EYP71" s="4"/>
      <c r="EYQ71" s="4"/>
      <c r="EYR71" s="4"/>
      <c r="EYS71" s="4"/>
      <c r="EYT71" s="4"/>
      <c r="EYU71" s="4"/>
      <c r="EYV71" s="4"/>
      <c r="EYW71" s="4"/>
      <c r="EYX71" s="4"/>
      <c r="EYY71" s="4"/>
      <c r="EYZ71" s="4"/>
      <c r="EZA71" s="4"/>
      <c r="EZB71" s="4"/>
      <c r="EZC71" s="4"/>
      <c r="EZD71" s="4"/>
      <c r="EZE71" s="4"/>
      <c r="EZF71" s="4"/>
      <c r="EZG71" s="4"/>
      <c r="EZH71" s="4"/>
      <c r="EZI71" s="4"/>
      <c r="EZJ71" s="4"/>
      <c r="EZK71" s="4"/>
      <c r="EZL71" s="4"/>
      <c r="EZM71" s="4"/>
      <c r="EZN71" s="4"/>
      <c r="EZO71" s="4"/>
      <c r="EZP71" s="4"/>
      <c r="EZQ71" s="4"/>
      <c r="EZR71" s="4"/>
      <c r="EZS71" s="4"/>
      <c r="EZT71" s="4"/>
      <c r="EZU71" s="4"/>
      <c r="EZV71" s="4"/>
      <c r="EZW71" s="4"/>
      <c r="EZX71" s="4"/>
      <c r="EZY71" s="4"/>
      <c r="EZZ71" s="4"/>
      <c r="FAA71" s="4"/>
      <c r="FAB71" s="4"/>
      <c r="FAC71" s="4"/>
      <c r="FAD71" s="4"/>
      <c r="FAE71" s="4"/>
      <c r="FAF71" s="4"/>
      <c r="FAG71" s="4"/>
      <c r="FAH71" s="4"/>
      <c r="FAI71" s="4"/>
      <c r="FAJ71" s="4"/>
      <c r="FAK71" s="4"/>
      <c r="FAL71" s="4"/>
      <c r="FAM71" s="4"/>
      <c r="FAN71" s="4"/>
      <c r="FAO71" s="4"/>
      <c r="FAP71" s="4"/>
      <c r="FAQ71" s="4"/>
      <c r="FAR71" s="4"/>
      <c r="FAS71" s="4"/>
      <c r="FAT71" s="4"/>
      <c r="FAU71" s="4"/>
      <c r="FAV71" s="4"/>
      <c r="FAW71" s="4"/>
      <c r="FAX71" s="4"/>
      <c r="FAY71" s="4"/>
      <c r="FAZ71" s="4"/>
      <c r="FBA71" s="4"/>
      <c r="FBB71" s="4"/>
      <c r="FBC71" s="4"/>
      <c r="FBD71" s="4"/>
      <c r="FBE71" s="4"/>
      <c r="FBF71" s="4"/>
      <c r="FBG71" s="4"/>
      <c r="FBH71" s="4"/>
      <c r="FBI71" s="4"/>
      <c r="FBJ71" s="4"/>
      <c r="FBK71" s="4"/>
      <c r="FBL71" s="4"/>
      <c r="FBM71" s="4"/>
      <c r="FBN71" s="4"/>
      <c r="FBO71" s="4"/>
      <c r="FBP71" s="4"/>
      <c r="FBQ71" s="4"/>
      <c r="FBR71" s="4"/>
      <c r="FBS71" s="4"/>
      <c r="FBT71" s="4"/>
      <c r="FBU71" s="4"/>
      <c r="FBV71" s="4"/>
      <c r="FBW71" s="4"/>
      <c r="FBX71" s="4"/>
      <c r="FBY71" s="4"/>
      <c r="FBZ71" s="4"/>
      <c r="FCA71" s="4"/>
      <c r="FCB71" s="4"/>
      <c r="FCC71" s="4"/>
      <c r="FCD71" s="4"/>
      <c r="FCE71" s="4"/>
      <c r="FCF71" s="4"/>
      <c r="FCG71" s="4"/>
      <c r="FCH71" s="4"/>
      <c r="FCI71" s="4"/>
      <c r="FCJ71" s="4"/>
      <c r="FCK71" s="4"/>
      <c r="FCL71" s="4"/>
      <c r="FCM71" s="4"/>
      <c r="FCN71" s="4"/>
      <c r="FCO71" s="4"/>
      <c r="FCP71" s="4"/>
      <c r="FCQ71" s="4"/>
      <c r="FCR71" s="4"/>
      <c r="FCS71" s="4"/>
      <c r="FCT71" s="4"/>
      <c r="FCU71" s="4"/>
      <c r="FCV71" s="4"/>
      <c r="FCW71" s="4"/>
      <c r="FCX71" s="4"/>
      <c r="FCY71" s="4"/>
      <c r="FCZ71" s="4"/>
      <c r="FDA71" s="4"/>
      <c r="FDB71" s="4"/>
      <c r="FDC71" s="4"/>
      <c r="FDD71" s="4"/>
      <c r="FDE71" s="4"/>
      <c r="FDF71" s="4"/>
      <c r="FDG71" s="4"/>
      <c r="FDH71" s="4"/>
      <c r="FDI71" s="4"/>
      <c r="FDJ71" s="4"/>
      <c r="FDK71" s="4"/>
      <c r="FDL71" s="4"/>
      <c r="FDM71" s="4"/>
      <c r="FDN71" s="4"/>
      <c r="FDO71" s="4"/>
      <c r="FDP71" s="4"/>
      <c r="FDQ71" s="4"/>
      <c r="FDR71" s="4"/>
      <c r="FDS71" s="4"/>
      <c r="FDT71" s="4"/>
      <c r="FDU71" s="4"/>
      <c r="FDV71" s="4"/>
      <c r="FDW71" s="4"/>
      <c r="FDX71" s="4"/>
      <c r="FDY71" s="4"/>
      <c r="FDZ71" s="4"/>
      <c r="FEA71" s="4"/>
      <c r="FEB71" s="4"/>
      <c r="FEC71" s="4"/>
      <c r="FED71" s="4"/>
      <c r="FEE71" s="4"/>
      <c r="FEF71" s="4"/>
      <c r="FEG71" s="4"/>
      <c r="FEH71" s="4"/>
      <c r="FEI71" s="4"/>
      <c r="FEJ71" s="4"/>
      <c r="FEK71" s="4"/>
      <c r="FEL71" s="4"/>
      <c r="FEM71" s="4"/>
      <c r="FEN71" s="4"/>
      <c r="FEO71" s="4"/>
      <c r="FEP71" s="4"/>
      <c r="FEQ71" s="4"/>
      <c r="FER71" s="4"/>
      <c r="FES71" s="4"/>
      <c r="FET71" s="4"/>
      <c r="FEU71" s="4"/>
      <c r="FEV71" s="4"/>
      <c r="FEW71" s="4"/>
      <c r="FEX71" s="4"/>
      <c r="FEY71" s="4"/>
      <c r="FEZ71" s="4"/>
      <c r="FFA71" s="4"/>
      <c r="FFB71" s="4"/>
      <c r="FFC71" s="4"/>
      <c r="FFD71" s="4"/>
      <c r="FFE71" s="4"/>
      <c r="FFF71" s="4"/>
      <c r="FFG71" s="4"/>
      <c r="FFH71" s="4"/>
      <c r="FFI71" s="4"/>
      <c r="FFJ71" s="4"/>
      <c r="FFK71" s="4"/>
      <c r="FFL71" s="4"/>
      <c r="FFM71" s="4"/>
      <c r="FFN71" s="4"/>
      <c r="FFO71" s="4"/>
      <c r="FFP71" s="4"/>
      <c r="FFQ71" s="4"/>
      <c r="FFR71" s="4"/>
      <c r="FFS71" s="4"/>
      <c r="FFT71" s="4"/>
      <c r="FFU71" s="4"/>
      <c r="FFV71" s="4"/>
      <c r="FFW71" s="4"/>
      <c r="FFX71" s="4"/>
      <c r="FFY71" s="4"/>
      <c r="FFZ71" s="4"/>
      <c r="FGA71" s="4"/>
      <c r="FGB71" s="4"/>
      <c r="FGC71" s="4"/>
      <c r="FGD71" s="4"/>
      <c r="FGE71" s="4"/>
      <c r="FGF71" s="4"/>
      <c r="FGG71" s="4"/>
      <c r="FGH71" s="4"/>
      <c r="FGI71" s="4"/>
      <c r="FGJ71" s="4"/>
      <c r="FGK71" s="4"/>
      <c r="FGL71" s="4"/>
      <c r="FGM71" s="4"/>
      <c r="FGN71" s="4"/>
      <c r="FGO71" s="4"/>
      <c r="FGP71" s="4"/>
      <c r="FGQ71" s="4"/>
      <c r="FGR71" s="4"/>
      <c r="FGS71" s="4"/>
      <c r="FGT71" s="4"/>
      <c r="FGU71" s="4"/>
      <c r="FGV71" s="4"/>
      <c r="FGW71" s="4"/>
      <c r="FGX71" s="4"/>
      <c r="FGY71" s="4"/>
      <c r="FGZ71" s="4"/>
      <c r="FHA71" s="4"/>
      <c r="FHB71" s="4"/>
      <c r="FHC71" s="4"/>
      <c r="FHD71" s="4"/>
      <c r="FHE71" s="4"/>
      <c r="FHF71" s="4"/>
      <c r="FHG71" s="4"/>
      <c r="FHH71" s="4"/>
      <c r="FHI71" s="4"/>
      <c r="FHJ71" s="4"/>
      <c r="FHK71" s="4"/>
      <c r="FHL71" s="4"/>
      <c r="FHM71" s="4"/>
      <c r="FHN71" s="4"/>
      <c r="FHO71" s="4"/>
      <c r="FHP71" s="4"/>
      <c r="FHQ71" s="4"/>
      <c r="FHR71" s="4"/>
      <c r="FHS71" s="4"/>
      <c r="FHT71" s="4"/>
      <c r="FHU71" s="4"/>
      <c r="FHV71" s="4"/>
      <c r="FHW71" s="4"/>
      <c r="FHX71" s="4"/>
      <c r="FHY71" s="4"/>
      <c r="FHZ71" s="4"/>
      <c r="FIA71" s="4"/>
      <c r="FIB71" s="4"/>
      <c r="FIC71" s="4"/>
      <c r="FID71" s="4"/>
      <c r="FIE71" s="4"/>
      <c r="FIF71" s="4"/>
      <c r="FIG71" s="4"/>
      <c r="FIH71" s="4"/>
      <c r="FII71" s="4"/>
      <c r="FIJ71" s="4"/>
      <c r="FIK71" s="4"/>
      <c r="FIL71" s="4"/>
      <c r="FIM71" s="4"/>
      <c r="FIN71" s="4"/>
      <c r="FIO71" s="4"/>
      <c r="FIP71" s="4"/>
      <c r="FIQ71" s="4"/>
      <c r="FIR71" s="4"/>
      <c r="FIS71" s="4"/>
      <c r="FIT71" s="4"/>
      <c r="FIU71" s="4"/>
      <c r="FIV71" s="4"/>
      <c r="FIW71" s="4"/>
      <c r="FIX71" s="4"/>
      <c r="FIY71" s="4"/>
      <c r="FIZ71" s="4"/>
      <c r="FJA71" s="4"/>
      <c r="FJB71" s="4"/>
      <c r="FJC71" s="4"/>
      <c r="FJD71" s="4"/>
      <c r="FJE71" s="4"/>
      <c r="FJF71" s="4"/>
      <c r="FJG71" s="4"/>
      <c r="FJH71" s="4"/>
      <c r="FJI71" s="4"/>
      <c r="FJJ71" s="4"/>
      <c r="FJK71" s="4"/>
      <c r="FJL71" s="4"/>
      <c r="FJM71" s="4"/>
      <c r="FJN71" s="4"/>
      <c r="FJO71" s="4"/>
      <c r="FJP71" s="4"/>
      <c r="FJQ71" s="4"/>
      <c r="FJR71" s="4"/>
      <c r="FJS71" s="4"/>
      <c r="FJT71" s="4"/>
      <c r="FJU71" s="4"/>
      <c r="FJV71" s="4"/>
      <c r="FJW71" s="4"/>
      <c r="FJX71" s="4"/>
      <c r="FJY71" s="4"/>
      <c r="FJZ71" s="4"/>
      <c r="FKA71" s="4"/>
      <c r="FKB71" s="4"/>
      <c r="FKC71" s="4"/>
      <c r="FKD71" s="4"/>
      <c r="FKE71" s="4"/>
      <c r="FKF71" s="4"/>
      <c r="FKG71" s="4"/>
      <c r="FKH71" s="4"/>
      <c r="FKI71" s="4"/>
      <c r="FKJ71" s="4"/>
      <c r="FKK71" s="4"/>
      <c r="FKL71" s="4"/>
      <c r="FKM71" s="4"/>
      <c r="FKN71" s="4"/>
      <c r="FKO71" s="4"/>
      <c r="FKP71" s="4"/>
      <c r="FKQ71" s="4"/>
      <c r="FKR71" s="4"/>
      <c r="FKS71" s="4"/>
      <c r="FKT71" s="4"/>
      <c r="FKU71" s="4"/>
      <c r="FKV71" s="4"/>
      <c r="FKW71" s="4"/>
      <c r="FKX71" s="4"/>
      <c r="FKY71" s="4"/>
      <c r="FKZ71" s="4"/>
      <c r="FLA71" s="4"/>
      <c r="FLB71" s="4"/>
      <c r="FLC71" s="4"/>
      <c r="FLD71" s="4"/>
      <c r="FLE71" s="4"/>
      <c r="FLF71" s="4"/>
      <c r="FLG71" s="4"/>
      <c r="FLH71" s="4"/>
      <c r="FLI71" s="4"/>
      <c r="FLJ71" s="4"/>
      <c r="FLK71" s="4"/>
      <c r="FLL71" s="4"/>
      <c r="FLM71" s="4"/>
      <c r="FLN71" s="4"/>
      <c r="FLO71" s="4"/>
      <c r="FLP71" s="4"/>
      <c r="FLQ71" s="4"/>
      <c r="FLR71" s="4"/>
      <c r="FLS71" s="4"/>
      <c r="FLT71" s="4"/>
      <c r="FLU71" s="4"/>
      <c r="FLV71" s="4"/>
      <c r="FLW71" s="4"/>
      <c r="FLX71" s="4"/>
      <c r="FLY71" s="4"/>
      <c r="FLZ71" s="4"/>
      <c r="FMA71" s="4"/>
      <c r="FMB71" s="4"/>
      <c r="FMC71" s="4"/>
      <c r="FMD71" s="4"/>
      <c r="FME71" s="4"/>
      <c r="FMF71" s="4"/>
      <c r="FMG71" s="4"/>
      <c r="FMH71" s="4"/>
      <c r="FMI71" s="4"/>
      <c r="FMJ71" s="4"/>
      <c r="FMK71" s="4"/>
      <c r="FML71" s="4"/>
      <c r="FMM71" s="4"/>
      <c r="FMN71" s="4"/>
      <c r="FMO71" s="4"/>
      <c r="FMP71" s="4"/>
      <c r="FMQ71" s="4"/>
      <c r="FMR71" s="4"/>
      <c r="FMS71" s="4"/>
      <c r="FMT71" s="4"/>
      <c r="FMU71" s="4"/>
      <c r="FMV71" s="4"/>
      <c r="FMW71" s="4"/>
      <c r="FMX71" s="4"/>
      <c r="FMY71" s="4"/>
      <c r="FMZ71" s="4"/>
      <c r="FNA71" s="4"/>
      <c r="FNB71" s="4"/>
      <c r="FNC71" s="4"/>
      <c r="FND71" s="4"/>
      <c r="FNE71" s="4"/>
      <c r="FNF71" s="4"/>
      <c r="FNG71" s="4"/>
      <c r="FNH71" s="4"/>
      <c r="FNI71" s="4"/>
      <c r="FNJ71" s="4"/>
      <c r="FNK71" s="4"/>
      <c r="FNL71" s="4"/>
      <c r="FNM71" s="4"/>
      <c r="FNN71" s="4"/>
      <c r="FNO71" s="4"/>
      <c r="FNP71" s="4"/>
      <c r="FNQ71" s="4"/>
      <c r="FNR71" s="4"/>
      <c r="FNS71" s="4"/>
      <c r="FNT71" s="4"/>
      <c r="FNU71" s="4"/>
      <c r="FNV71" s="4"/>
      <c r="FNW71" s="4"/>
      <c r="FNX71" s="4"/>
      <c r="FNY71" s="4"/>
      <c r="FNZ71" s="4"/>
      <c r="FOA71" s="4"/>
      <c r="FOB71" s="4"/>
      <c r="FOC71" s="4"/>
      <c r="FOD71" s="4"/>
      <c r="FOE71" s="4"/>
      <c r="FOF71" s="4"/>
      <c r="FOG71" s="4"/>
      <c r="FOH71" s="4"/>
      <c r="FOI71" s="4"/>
      <c r="FOJ71" s="4"/>
      <c r="FOK71" s="4"/>
      <c r="FOL71" s="4"/>
      <c r="FOM71" s="4"/>
      <c r="FON71" s="4"/>
      <c r="FOO71" s="4"/>
      <c r="FOP71" s="4"/>
      <c r="FOQ71" s="4"/>
      <c r="FOR71" s="4"/>
      <c r="FOS71" s="4"/>
      <c r="FOT71" s="4"/>
      <c r="FOU71" s="4"/>
      <c r="FOV71" s="4"/>
      <c r="FOW71" s="4"/>
      <c r="FOX71" s="4"/>
      <c r="FOY71" s="4"/>
      <c r="FOZ71" s="4"/>
      <c r="FPA71" s="4"/>
      <c r="FPB71" s="4"/>
      <c r="FPC71" s="4"/>
      <c r="FPD71" s="4"/>
      <c r="FPE71" s="4"/>
      <c r="FPF71" s="4"/>
      <c r="FPG71" s="4"/>
      <c r="FPH71" s="4"/>
      <c r="FPI71" s="4"/>
      <c r="FPJ71" s="4"/>
      <c r="FPK71" s="4"/>
      <c r="FPL71" s="4"/>
      <c r="FPM71" s="4"/>
      <c r="FPN71" s="4"/>
      <c r="FPO71" s="4"/>
      <c r="FPP71" s="4"/>
      <c r="FPQ71" s="4"/>
      <c r="FPR71" s="4"/>
      <c r="FPS71" s="4"/>
      <c r="FPT71" s="4"/>
      <c r="FPU71" s="4"/>
      <c r="FPV71" s="4"/>
      <c r="FPW71" s="4"/>
      <c r="FPX71" s="4"/>
      <c r="FPY71" s="4"/>
      <c r="FPZ71" s="4"/>
      <c r="FQA71" s="4"/>
      <c r="FQB71" s="4"/>
      <c r="FQC71" s="4"/>
      <c r="FQD71" s="4"/>
      <c r="FQE71" s="4"/>
      <c r="FQF71" s="4"/>
      <c r="FQG71" s="4"/>
      <c r="FQH71" s="4"/>
      <c r="FQI71" s="4"/>
      <c r="FQJ71" s="4"/>
      <c r="FQK71" s="4"/>
      <c r="FQL71" s="4"/>
      <c r="FQM71" s="4"/>
      <c r="FQN71" s="4"/>
      <c r="FQO71" s="4"/>
      <c r="FQP71" s="4"/>
      <c r="FQQ71" s="4"/>
      <c r="FQR71" s="4"/>
      <c r="FQS71" s="4"/>
      <c r="FQT71" s="4"/>
      <c r="FQU71" s="4"/>
      <c r="FQV71" s="4"/>
      <c r="FQW71" s="4"/>
      <c r="FQX71" s="4"/>
      <c r="FQY71" s="4"/>
      <c r="FQZ71" s="4"/>
      <c r="FRA71" s="4"/>
      <c r="FRB71" s="4"/>
      <c r="FRC71" s="4"/>
      <c r="FRD71" s="4"/>
      <c r="FRE71" s="4"/>
      <c r="FRF71" s="4"/>
      <c r="FRG71" s="4"/>
      <c r="FRH71" s="4"/>
      <c r="FRI71" s="4"/>
      <c r="FRJ71" s="4"/>
      <c r="FRK71" s="4"/>
      <c r="FRL71" s="4"/>
      <c r="FRM71" s="4"/>
      <c r="FRN71" s="4"/>
      <c r="FRO71" s="4"/>
      <c r="FRP71" s="4"/>
      <c r="FRQ71" s="4"/>
      <c r="FRR71" s="4"/>
      <c r="FRS71" s="4"/>
      <c r="FRT71" s="4"/>
      <c r="FRU71" s="4"/>
      <c r="FRV71" s="4"/>
      <c r="FRW71" s="4"/>
      <c r="FRX71" s="4"/>
      <c r="FRY71" s="4"/>
      <c r="FRZ71" s="4"/>
      <c r="FSA71" s="4"/>
      <c r="FSB71" s="4"/>
      <c r="FSC71" s="4"/>
      <c r="FSD71" s="4"/>
      <c r="FSE71" s="4"/>
      <c r="FSF71" s="4"/>
      <c r="FSG71" s="4"/>
      <c r="FSH71" s="4"/>
      <c r="FSI71" s="4"/>
      <c r="FSJ71" s="4"/>
      <c r="FSK71" s="4"/>
      <c r="FSL71" s="4"/>
      <c r="FSM71" s="4"/>
      <c r="FSN71" s="4"/>
      <c r="FSO71" s="4"/>
      <c r="FSP71" s="4"/>
      <c r="FSQ71" s="4"/>
      <c r="FSR71" s="4"/>
      <c r="FSS71" s="4"/>
      <c r="FST71" s="4"/>
      <c r="FSU71" s="4"/>
      <c r="FSV71" s="4"/>
      <c r="FSW71" s="4"/>
      <c r="FSX71" s="4"/>
      <c r="FSY71" s="4"/>
      <c r="FSZ71" s="4"/>
      <c r="FTA71" s="4"/>
      <c r="FTB71" s="4"/>
      <c r="FTC71" s="4"/>
      <c r="FTD71" s="4"/>
      <c r="FTE71" s="4"/>
      <c r="FTF71" s="4"/>
      <c r="FTG71" s="4"/>
      <c r="FTH71" s="4"/>
      <c r="FTI71" s="4"/>
      <c r="FTJ71" s="4"/>
      <c r="FTK71" s="4"/>
      <c r="FTL71" s="4"/>
      <c r="FTM71" s="4"/>
      <c r="FTN71" s="4"/>
      <c r="FTO71" s="4"/>
      <c r="FTP71" s="4"/>
      <c r="FTQ71" s="4"/>
      <c r="FTR71" s="4"/>
      <c r="FTS71" s="4"/>
      <c r="FTT71" s="4"/>
      <c r="FTU71" s="4"/>
      <c r="FTV71" s="4"/>
      <c r="FTW71" s="4"/>
      <c r="FTX71" s="4"/>
      <c r="FTY71" s="4"/>
      <c r="FTZ71" s="4"/>
      <c r="FUA71" s="4"/>
      <c r="FUB71" s="4"/>
      <c r="FUC71" s="4"/>
      <c r="FUD71" s="4"/>
      <c r="FUE71" s="4"/>
      <c r="FUF71" s="4"/>
      <c r="FUG71" s="4"/>
      <c r="FUH71" s="4"/>
      <c r="FUI71" s="4"/>
      <c r="FUJ71" s="4"/>
      <c r="FUK71" s="4"/>
      <c r="FUL71" s="4"/>
      <c r="FUM71" s="4"/>
      <c r="FUN71" s="4"/>
      <c r="FUO71" s="4"/>
      <c r="FUP71" s="4"/>
      <c r="FUQ71" s="4"/>
      <c r="FUR71" s="4"/>
      <c r="FUS71" s="4"/>
      <c r="FUT71" s="4"/>
      <c r="FUU71" s="4"/>
      <c r="FUV71" s="4"/>
      <c r="FUW71" s="4"/>
      <c r="FUX71" s="4"/>
      <c r="FUY71" s="4"/>
      <c r="FUZ71" s="4"/>
      <c r="FVA71" s="4"/>
      <c r="FVB71" s="4"/>
      <c r="FVC71" s="4"/>
      <c r="FVD71" s="4"/>
      <c r="FVE71" s="4"/>
      <c r="FVF71" s="4"/>
      <c r="FVG71" s="4"/>
      <c r="FVH71" s="4"/>
      <c r="FVI71" s="4"/>
      <c r="FVJ71" s="4"/>
      <c r="FVK71" s="4"/>
      <c r="FVL71" s="4"/>
      <c r="FVM71" s="4"/>
      <c r="FVN71" s="4"/>
      <c r="FVO71" s="4"/>
      <c r="FVP71" s="4"/>
      <c r="FVQ71" s="4"/>
      <c r="FVR71" s="4"/>
      <c r="FVS71" s="4"/>
      <c r="FVT71" s="4"/>
      <c r="FVU71" s="4"/>
      <c r="FVV71" s="4"/>
      <c r="FVW71" s="4"/>
      <c r="FVX71" s="4"/>
      <c r="FVY71" s="4"/>
      <c r="FVZ71" s="4"/>
      <c r="FWA71" s="4"/>
      <c r="FWB71" s="4"/>
      <c r="FWC71" s="4"/>
      <c r="FWD71" s="4"/>
      <c r="FWE71" s="4"/>
      <c r="FWF71" s="4"/>
      <c r="FWG71" s="4"/>
      <c r="FWH71" s="4"/>
      <c r="FWI71" s="4"/>
      <c r="FWJ71" s="4"/>
      <c r="FWK71" s="4"/>
      <c r="FWL71" s="4"/>
      <c r="FWM71" s="4"/>
      <c r="FWN71" s="4"/>
      <c r="FWO71" s="4"/>
      <c r="FWP71" s="4"/>
      <c r="FWQ71" s="4"/>
      <c r="FWR71" s="4"/>
      <c r="FWS71" s="4"/>
      <c r="FWT71" s="4"/>
      <c r="FWU71" s="4"/>
      <c r="FWV71" s="4"/>
      <c r="FWW71" s="4"/>
      <c r="FWX71" s="4"/>
      <c r="FWY71" s="4"/>
      <c r="FWZ71" s="4"/>
      <c r="FXA71" s="4"/>
      <c r="FXB71" s="4"/>
      <c r="FXC71" s="4"/>
      <c r="FXD71" s="4"/>
      <c r="FXE71" s="4"/>
      <c r="FXF71" s="4"/>
      <c r="FXG71" s="4"/>
      <c r="FXH71" s="4"/>
      <c r="FXI71" s="4"/>
      <c r="FXJ71" s="4"/>
      <c r="FXK71" s="4"/>
      <c r="FXL71" s="4"/>
      <c r="FXM71" s="4"/>
      <c r="FXN71" s="4"/>
      <c r="FXO71" s="4"/>
      <c r="FXP71" s="4"/>
      <c r="FXQ71" s="4"/>
      <c r="FXR71" s="4"/>
      <c r="FXS71" s="4"/>
      <c r="FXT71" s="4"/>
      <c r="FXU71" s="4"/>
      <c r="FXV71" s="4"/>
      <c r="FXW71" s="4"/>
      <c r="FXX71" s="4"/>
      <c r="FXY71" s="4"/>
      <c r="FXZ71" s="4"/>
      <c r="FYA71" s="4"/>
      <c r="FYB71" s="4"/>
      <c r="FYC71" s="4"/>
      <c r="FYD71" s="4"/>
      <c r="FYE71" s="4"/>
      <c r="FYF71" s="4"/>
      <c r="FYG71" s="4"/>
      <c r="FYH71" s="4"/>
      <c r="FYI71" s="4"/>
      <c r="FYJ71" s="4"/>
      <c r="FYK71" s="4"/>
      <c r="FYL71" s="4"/>
      <c r="FYM71" s="4"/>
      <c r="FYN71" s="4"/>
      <c r="FYO71" s="4"/>
      <c r="FYP71" s="4"/>
      <c r="FYQ71" s="4"/>
      <c r="FYR71" s="4"/>
      <c r="FYS71" s="4"/>
      <c r="FYT71" s="4"/>
      <c r="FYU71" s="4"/>
      <c r="FYV71" s="4"/>
      <c r="FYW71" s="4"/>
      <c r="FYX71" s="4"/>
      <c r="FYY71" s="4"/>
      <c r="FYZ71" s="4"/>
      <c r="FZA71" s="4"/>
      <c r="FZB71" s="4"/>
      <c r="FZC71" s="4"/>
      <c r="FZD71" s="4"/>
      <c r="FZE71" s="4"/>
      <c r="FZF71" s="4"/>
      <c r="FZG71" s="4"/>
      <c r="FZH71" s="4"/>
      <c r="FZI71" s="4"/>
      <c r="FZJ71" s="4"/>
      <c r="FZK71" s="4"/>
      <c r="FZL71" s="4"/>
      <c r="FZM71" s="4"/>
      <c r="FZN71" s="4"/>
      <c r="FZO71" s="4"/>
      <c r="FZP71" s="4"/>
      <c r="FZQ71" s="4"/>
      <c r="FZR71" s="4"/>
      <c r="FZS71" s="4"/>
      <c r="FZT71" s="4"/>
      <c r="FZU71" s="4"/>
      <c r="FZV71" s="4"/>
      <c r="FZW71" s="4"/>
      <c r="FZX71" s="4"/>
      <c r="FZY71" s="4"/>
      <c r="FZZ71" s="4"/>
      <c r="GAA71" s="4"/>
      <c r="GAB71" s="4"/>
      <c r="GAC71" s="4"/>
      <c r="GAD71" s="4"/>
      <c r="GAE71" s="4"/>
      <c r="GAF71" s="4"/>
      <c r="GAG71" s="4"/>
      <c r="GAH71" s="4"/>
      <c r="GAI71" s="4"/>
      <c r="GAJ71" s="4"/>
      <c r="GAK71" s="4"/>
      <c r="GAL71" s="4"/>
      <c r="GAM71" s="4"/>
      <c r="GAN71" s="4"/>
      <c r="GAO71" s="4"/>
      <c r="GAP71" s="4"/>
      <c r="GAQ71" s="4"/>
      <c r="GAR71" s="4"/>
      <c r="GAS71" s="4"/>
      <c r="GAT71" s="4"/>
      <c r="GAU71" s="4"/>
      <c r="GAV71" s="4"/>
      <c r="GAW71" s="4"/>
      <c r="GAX71" s="4"/>
      <c r="GAY71" s="4"/>
      <c r="GAZ71" s="4"/>
      <c r="GBA71" s="4"/>
      <c r="GBB71" s="4"/>
      <c r="GBC71" s="4"/>
      <c r="GBD71" s="4"/>
      <c r="GBE71" s="4"/>
      <c r="GBF71" s="4"/>
      <c r="GBG71" s="4"/>
      <c r="GBH71" s="4"/>
      <c r="GBI71" s="4"/>
      <c r="GBJ71" s="4"/>
      <c r="GBK71" s="4"/>
      <c r="GBL71" s="4"/>
      <c r="GBM71" s="4"/>
      <c r="GBN71" s="4"/>
      <c r="GBO71" s="4"/>
      <c r="GBP71" s="4"/>
      <c r="GBQ71" s="4"/>
      <c r="GBR71" s="4"/>
      <c r="GBS71" s="4"/>
      <c r="GBT71" s="4"/>
      <c r="GBU71" s="4"/>
      <c r="GBV71" s="4"/>
      <c r="GBW71" s="4"/>
      <c r="GBX71" s="4"/>
      <c r="GBY71" s="4"/>
      <c r="GBZ71" s="4"/>
      <c r="GCA71" s="4"/>
      <c r="GCB71" s="4"/>
      <c r="GCC71" s="4"/>
      <c r="GCD71" s="4"/>
      <c r="GCE71" s="4"/>
      <c r="GCF71" s="4"/>
      <c r="GCG71" s="4"/>
      <c r="GCH71" s="4"/>
      <c r="GCI71" s="4"/>
      <c r="GCJ71" s="4"/>
      <c r="GCK71" s="4"/>
      <c r="GCL71" s="4"/>
      <c r="GCM71" s="4"/>
      <c r="GCN71" s="4"/>
      <c r="GCO71" s="4"/>
      <c r="GCP71" s="4"/>
      <c r="GCQ71" s="4"/>
      <c r="GCR71" s="4"/>
      <c r="GCS71" s="4"/>
      <c r="GCT71" s="4"/>
      <c r="GCU71" s="4"/>
      <c r="GCV71" s="4"/>
      <c r="GCW71" s="4"/>
      <c r="GCX71" s="4"/>
      <c r="GCY71" s="4"/>
      <c r="GCZ71" s="4"/>
      <c r="GDA71" s="4"/>
      <c r="GDB71" s="4"/>
      <c r="GDC71" s="4"/>
      <c r="GDD71" s="4"/>
      <c r="GDE71" s="4"/>
      <c r="GDF71" s="4"/>
      <c r="GDG71" s="4"/>
      <c r="GDH71" s="4"/>
      <c r="GDI71" s="4"/>
      <c r="GDJ71" s="4"/>
      <c r="GDK71" s="4"/>
      <c r="GDL71" s="4"/>
      <c r="GDM71" s="4"/>
      <c r="GDN71" s="4"/>
      <c r="GDO71" s="4"/>
      <c r="GDP71" s="4"/>
      <c r="GDQ71" s="4"/>
      <c r="GDR71" s="4"/>
      <c r="GDS71" s="4"/>
      <c r="GDT71" s="4"/>
      <c r="GDU71" s="4"/>
      <c r="GDV71" s="4"/>
      <c r="GDW71" s="4"/>
      <c r="GDX71" s="4"/>
      <c r="GDY71" s="4"/>
      <c r="GDZ71" s="4"/>
      <c r="GEA71" s="4"/>
      <c r="GEB71" s="4"/>
      <c r="GEC71" s="4"/>
      <c r="GED71" s="4"/>
      <c r="GEE71" s="4"/>
      <c r="GEF71" s="4"/>
      <c r="GEG71" s="4"/>
      <c r="GEH71" s="4"/>
      <c r="GEI71" s="4"/>
      <c r="GEJ71" s="4"/>
      <c r="GEK71" s="4"/>
      <c r="GEL71" s="4"/>
      <c r="GEM71" s="4"/>
      <c r="GEN71" s="4"/>
      <c r="GEO71" s="4"/>
      <c r="GEP71" s="4"/>
      <c r="GEQ71" s="4"/>
      <c r="GER71" s="4"/>
      <c r="GES71" s="4"/>
      <c r="GET71" s="4"/>
      <c r="GEU71" s="4"/>
      <c r="GEV71" s="4"/>
      <c r="GEW71" s="4"/>
      <c r="GEX71" s="4"/>
      <c r="GEY71" s="4"/>
      <c r="GEZ71" s="4"/>
      <c r="GFA71" s="4"/>
      <c r="GFB71" s="4"/>
      <c r="GFC71" s="4"/>
      <c r="GFD71" s="4"/>
      <c r="GFE71" s="4"/>
      <c r="GFF71" s="4"/>
      <c r="GFG71" s="4"/>
      <c r="GFH71" s="4"/>
      <c r="GFI71" s="4"/>
      <c r="GFJ71" s="4"/>
      <c r="GFK71" s="4"/>
      <c r="GFL71" s="4"/>
      <c r="GFM71" s="4"/>
      <c r="GFN71" s="4"/>
      <c r="GFO71" s="4"/>
      <c r="GFP71" s="4"/>
      <c r="GFQ71" s="4"/>
      <c r="GFR71" s="4"/>
      <c r="GFS71" s="4"/>
      <c r="GFT71" s="4"/>
      <c r="GFU71" s="4"/>
      <c r="GFV71" s="4"/>
      <c r="GFW71" s="4"/>
      <c r="GFX71" s="4"/>
      <c r="GFY71" s="4"/>
      <c r="GFZ71" s="4"/>
      <c r="GGA71" s="4"/>
      <c r="GGB71" s="4"/>
      <c r="GGC71" s="4"/>
      <c r="GGD71" s="4"/>
      <c r="GGE71" s="4"/>
      <c r="GGF71" s="4"/>
      <c r="GGG71" s="4"/>
      <c r="GGH71" s="4"/>
      <c r="GGI71" s="4"/>
      <c r="GGJ71" s="4"/>
      <c r="GGK71" s="4"/>
      <c r="GGL71" s="4"/>
      <c r="GGM71" s="4"/>
      <c r="GGN71" s="4"/>
      <c r="GGO71" s="4"/>
      <c r="GGP71" s="4"/>
      <c r="GGQ71" s="4"/>
      <c r="GGR71" s="4"/>
      <c r="GGS71" s="4"/>
      <c r="GGT71" s="4"/>
      <c r="GGU71" s="4"/>
      <c r="GGV71" s="4"/>
      <c r="GGW71" s="4"/>
      <c r="GGX71" s="4"/>
      <c r="GGY71" s="4"/>
      <c r="GGZ71" s="4"/>
      <c r="GHA71" s="4"/>
      <c r="GHB71" s="4"/>
      <c r="GHC71" s="4"/>
      <c r="GHD71" s="4"/>
      <c r="GHE71" s="4"/>
      <c r="GHF71" s="4"/>
      <c r="GHG71" s="4"/>
      <c r="GHH71" s="4"/>
      <c r="GHI71" s="4"/>
      <c r="GHJ71" s="4"/>
      <c r="GHK71" s="4"/>
      <c r="GHL71" s="4"/>
      <c r="GHM71" s="4"/>
      <c r="GHN71" s="4"/>
      <c r="GHO71" s="4"/>
      <c r="GHP71" s="4"/>
      <c r="GHQ71" s="4"/>
      <c r="GHR71" s="4"/>
      <c r="GHS71" s="4"/>
      <c r="GHT71" s="4"/>
      <c r="GHU71" s="4"/>
      <c r="GHV71" s="4"/>
      <c r="GHW71" s="4"/>
      <c r="GHX71" s="4"/>
      <c r="GHY71" s="4"/>
      <c r="GHZ71" s="4"/>
      <c r="GIA71" s="4"/>
      <c r="GIB71" s="4"/>
      <c r="GIC71" s="4"/>
      <c r="GID71" s="4"/>
      <c r="GIE71" s="4"/>
      <c r="GIF71" s="4"/>
      <c r="GIG71" s="4"/>
      <c r="GIH71" s="4"/>
      <c r="GII71" s="4"/>
      <c r="GIJ71" s="4"/>
      <c r="GIK71" s="4"/>
      <c r="GIL71" s="4"/>
      <c r="GIM71" s="4"/>
      <c r="GIN71" s="4"/>
      <c r="GIO71" s="4"/>
      <c r="GIP71" s="4"/>
      <c r="GIQ71" s="4"/>
      <c r="GIR71" s="4"/>
      <c r="GIS71" s="4"/>
      <c r="GIT71" s="4"/>
      <c r="GIU71" s="4"/>
      <c r="GIV71" s="4"/>
      <c r="GIW71" s="4"/>
      <c r="GIX71" s="4"/>
      <c r="GIY71" s="4"/>
      <c r="GIZ71" s="4"/>
      <c r="GJA71" s="4"/>
      <c r="GJB71" s="4"/>
      <c r="GJC71" s="4"/>
      <c r="GJD71" s="4"/>
      <c r="GJE71" s="4"/>
      <c r="GJF71" s="4"/>
      <c r="GJG71" s="4"/>
      <c r="GJH71" s="4"/>
      <c r="GJI71" s="4"/>
      <c r="GJJ71" s="4"/>
      <c r="GJK71" s="4"/>
      <c r="GJL71" s="4"/>
      <c r="GJM71" s="4"/>
      <c r="GJN71" s="4"/>
      <c r="GJO71" s="4"/>
      <c r="GJP71" s="4"/>
      <c r="GJQ71" s="4"/>
      <c r="GJR71" s="4"/>
      <c r="GJS71" s="4"/>
      <c r="GJT71" s="4"/>
      <c r="GJU71" s="4"/>
      <c r="GJV71" s="4"/>
      <c r="GJW71" s="4"/>
      <c r="GJX71" s="4"/>
      <c r="GJY71" s="4"/>
      <c r="GJZ71" s="4"/>
      <c r="GKA71" s="4"/>
      <c r="GKB71" s="4"/>
      <c r="GKC71" s="4"/>
      <c r="GKD71" s="4"/>
      <c r="GKE71" s="4"/>
      <c r="GKF71" s="4"/>
      <c r="GKG71" s="4"/>
      <c r="GKH71" s="4"/>
      <c r="GKI71" s="4"/>
      <c r="GKJ71" s="4"/>
      <c r="GKK71" s="4"/>
      <c r="GKL71" s="4"/>
      <c r="GKM71" s="4"/>
      <c r="GKN71" s="4"/>
      <c r="GKO71" s="4"/>
      <c r="GKP71" s="4"/>
      <c r="GKQ71" s="4"/>
      <c r="GKR71" s="4"/>
      <c r="GKS71" s="4"/>
      <c r="GKT71" s="4"/>
      <c r="GKU71" s="4"/>
      <c r="GKV71" s="4"/>
      <c r="GKW71" s="4"/>
      <c r="GKX71" s="4"/>
      <c r="GKY71" s="4"/>
      <c r="GKZ71" s="4"/>
      <c r="GLA71" s="4"/>
      <c r="GLB71" s="4"/>
      <c r="GLC71" s="4"/>
      <c r="GLD71" s="4"/>
      <c r="GLE71" s="4"/>
      <c r="GLF71" s="4"/>
      <c r="GLG71" s="4"/>
      <c r="GLH71" s="4"/>
      <c r="GLI71" s="4"/>
      <c r="GLJ71" s="4"/>
      <c r="GLK71" s="4"/>
      <c r="GLL71" s="4"/>
      <c r="GLM71" s="4"/>
      <c r="GLN71" s="4"/>
      <c r="GLO71" s="4"/>
      <c r="GLP71" s="4"/>
      <c r="GLQ71" s="4"/>
      <c r="GLR71" s="4"/>
      <c r="GLS71" s="4"/>
      <c r="GLT71" s="4"/>
      <c r="GLU71" s="4"/>
      <c r="GLV71" s="4"/>
      <c r="GLW71" s="4"/>
      <c r="GLX71" s="4"/>
      <c r="GLY71" s="4"/>
      <c r="GLZ71" s="4"/>
      <c r="GMA71" s="4"/>
      <c r="GMB71" s="4"/>
      <c r="GMC71" s="4"/>
      <c r="GMD71" s="4"/>
      <c r="GME71" s="4"/>
      <c r="GMF71" s="4"/>
      <c r="GMG71" s="4"/>
      <c r="GMH71" s="4"/>
      <c r="GMI71" s="4"/>
      <c r="GMJ71" s="4"/>
      <c r="GMK71" s="4"/>
      <c r="GML71" s="4"/>
      <c r="GMM71" s="4"/>
      <c r="GMN71" s="4"/>
      <c r="GMO71" s="4"/>
      <c r="GMP71" s="4"/>
      <c r="GMQ71" s="4"/>
      <c r="GMR71" s="4"/>
      <c r="GMS71" s="4"/>
      <c r="GMT71" s="4"/>
      <c r="GMU71" s="4"/>
      <c r="GMV71" s="4"/>
      <c r="GMW71" s="4"/>
      <c r="GMX71" s="4"/>
      <c r="GMY71" s="4"/>
      <c r="GMZ71" s="4"/>
      <c r="GNA71" s="4"/>
      <c r="GNB71" s="4"/>
      <c r="GNC71" s="4"/>
      <c r="GND71" s="4"/>
      <c r="GNE71" s="4"/>
      <c r="GNF71" s="4"/>
      <c r="GNG71" s="4"/>
      <c r="GNH71" s="4"/>
      <c r="GNI71" s="4"/>
      <c r="GNJ71" s="4"/>
      <c r="GNK71" s="4"/>
      <c r="GNL71" s="4"/>
      <c r="GNM71" s="4"/>
      <c r="GNN71" s="4"/>
      <c r="GNO71" s="4"/>
      <c r="GNP71" s="4"/>
      <c r="GNQ71" s="4"/>
      <c r="GNR71" s="4"/>
      <c r="GNS71" s="4"/>
      <c r="GNT71" s="4"/>
      <c r="GNU71" s="4"/>
      <c r="GNV71" s="4"/>
      <c r="GNW71" s="4"/>
      <c r="GNX71" s="4"/>
      <c r="GNY71" s="4"/>
      <c r="GNZ71" s="4"/>
      <c r="GOA71" s="4"/>
      <c r="GOB71" s="4"/>
      <c r="GOC71" s="4"/>
      <c r="GOD71" s="4"/>
      <c r="GOE71" s="4"/>
      <c r="GOF71" s="4"/>
      <c r="GOG71" s="4"/>
      <c r="GOH71" s="4"/>
      <c r="GOI71" s="4"/>
      <c r="GOJ71" s="4"/>
      <c r="GOK71" s="4"/>
      <c r="GOL71" s="4"/>
      <c r="GOM71" s="4"/>
      <c r="GON71" s="4"/>
      <c r="GOO71" s="4"/>
      <c r="GOP71" s="4"/>
      <c r="GOQ71" s="4"/>
      <c r="GOR71" s="4"/>
      <c r="GOS71" s="4"/>
      <c r="GOT71" s="4"/>
      <c r="GOU71" s="4"/>
      <c r="GOV71" s="4"/>
      <c r="GOW71" s="4"/>
      <c r="GOX71" s="4"/>
      <c r="GOY71" s="4"/>
      <c r="GOZ71" s="4"/>
      <c r="GPA71" s="4"/>
      <c r="GPB71" s="4"/>
      <c r="GPC71" s="4"/>
      <c r="GPD71" s="4"/>
      <c r="GPE71" s="4"/>
      <c r="GPF71" s="4"/>
      <c r="GPG71" s="4"/>
      <c r="GPH71" s="4"/>
      <c r="GPI71" s="4"/>
      <c r="GPJ71" s="4"/>
      <c r="GPK71" s="4"/>
      <c r="GPL71" s="4"/>
      <c r="GPM71" s="4"/>
      <c r="GPN71" s="4"/>
      <c r="GPO71" s="4"/>
      <c r="GPP71" s="4"/>
      <c r="GPQ71" s="4"/>
      <c r="GPR71" s="4"/>
      <c r="GPS71" s="4"/>
      <c r="GPT71" s="4"/>
      <c r="GPU71" s="4"/>
      <c r="GPV71" s="4"/>
      <c r="GPW71" s="4"/>
      <c r="GPX71" s="4"/>
      <c r="GPY71" s="4"/>
      <c r="GPZ71" s="4"/>
      <c r="GQA71" s="4"/>
      <c r="GQB71" s="4"/>
      <c r="GQC71" s="4"/>
      <c r="GQD71" s="4"/>
      <c r="GQE71" s="4"/>
      <c r="GQF71" s="4"/>
      <c r="GQG71" s="4"/>
      <c r="GQH71" s="4"/>
      <c r="GQI71" s="4"/>
      <c r="GQJ71" s="4"/>
      <c r="GQK71" s="4"/>
      <c r="GQL71" s="4"/>
      <c r="GQM71" s="4"/>
      <c r="GQN71" s="4"/>
      <c r="GQO71" s="4"/>
      <c r="GQP71" s="4"/>
      <c r="GQQ71" s="4"/>
      <c r="GQR71" s="4"/>
      <c r="GQS71" s="4"/>
      <c r="GQT71" s="4"/>
      <c r="GQU71" s="4"/>
      <c r="GQV71" s="4"/>
      <c r="GQW71" s="4"/>
      <c r="GQX71" s="4"/>
      <c r="GQY71" s="4"/>
      <c r="GQZ71" s="4"/>
      <c r="GRA71" s="4"/>
      <c r="GRB71" s="4"/>
      <c r="GRC71" s="4"/>
      <c r="GRD71" s="4"/>
      <c r="GRE71" s="4"/>
      <c r="GRF71" s="4"/>
      <c r="GRG71" s="4"/>
      <c r="GRH71" s="4"/>
      <c r="GRI71" s="4"/>
      <c r="GRJ71" s="4"/>
      <c r="GRK71" s="4"/>
      <c r="GRL71" s="4"/>
      <c r="GRM71" s="4"/>
      <c r="GRN71" s="4"/>
      <c r="GRO71" s="4"/>
      <c r="GRP71" s="4"/>
      <c r="GRQ71" s="4"/>
      <c r="GRR71" s="4"/>
      <c r="GRS71" s="4"/>
      <c r="GRT71" s="4"/>
      <c r="GRU71" s="4"/>
      <c r="GRV71" s="4"/>
      <c r="GRW71" s="4"/>
      <c r="GRX71" s="4"/>
      <c r="GRY71" s="4"/>
      <c r="GRZ71" s="4"/>
      <c r="GSA71" s="4"/>
      <c r="GSB71" s="4"/>
      <c r="GSC71" s="4"/>
      <c r="GSD71" s="4"/>
      <c r="GSE71" s="4"/>
      <c r="GSF71" s="4"/>
      <c r="GSG71" s="4"/>
      <c r="GSH71" s="4"/>
      <c r="GSI71" s="4"/>
      <c r="GSJ71" s="4"/>
      <c r="GSK71" s="4"/>
      <c r="GSL71" s="4"/>
      <c r="GSM71" s="4"/>
      <c r="GSN71" s="4"/>
      <c r="GSO71" s="4"/>
      <c r="GSP71" s="4"/>
      <c r="GSQ71" s="4"/>
      <c r="GSR71" s="4"/>
      <c r="GSS71" s="4"/>
      <c r="GST71" s="4"/>
      <c r="GSU71" s="4"/>
      <c r="GSV71" s="4"/>
      <c r="GSW71" s="4"/>
      <c r="GSX71" s="4"/>
      <c r="GSY71" s="4"/>
      <c r="GSZ71" s="4"/>
      <c r="GTA71" s="4"/>
      <c r="GTB71" s="4"/>
      <c r="GTC71" s="4"/>
      <c r="GTD71" s="4"/>
      <c r="GTE71" s="4"/>
      <c r="GTF71" s="4"/>
      <c r="GTG71" s="4"/>
      <c r="GTH71" s="4"/>
      <c r="GTI71" s="4"/>
      <c r="GTJ71" s="4"/>
      <c r="GTK71" s="4"/>
      <c r="GTL71" s="4"/>
      <c r="GTM71" s="4"/>
      <c r="GTN71" s="4"/>
      <c r="GTO71" s="4"/>
      <c r="GTP71" s="4"/>
      <c r="GTQ71" s="4"/>
      <c r="GTR71" s="4"/>
      <c r="GTS71" s="4"/>
      <c r="GTT71" s="4"/>
      <c r="GTU71" s="4"/>
      <c r="GTV71" s="4"/>
      <c r="GTW71" s="4"/>
      <c r="GTX71" s="4"/>
      <c r="GTY71" s="4"/>
      <c r="GTZ71" s="4"/>
      <c r="GUA71" s="4"/>
      <c r="GUB71" s="4"/>
      <c r="GUC71" s="4"/>
      <c r="GUD71" s="4"/>
      <c r="GUE71" s="4"/>
      <c r="GUF71" s="4"/>
      <c r="GUG71" s="4"/>
      <c r="GUH71" s="4"/>
      <c r="GUI71" s="4"/>
      <c r="GUJ71" s="4"/>
      <c r="GUK71" s="4"/>
      <c r="GUL71" s="4"/>
      <c r="GUM71" s="4"/>
      <c r="GUN71" s="4"/>
      <c r="GUO71" s="4"/>
      <c r="GUP71" s="4"/>
      <c r="GUQ71" s="4"/>
      <c r="GUR71" s="4"/>
      <c r="GUS71" s="4"/>
      <c r="GUT71" s="4"/>
      <c r="GUU71" s="4"/>
      <c r="GUV71" s="4"/>
      <c r="GUW71" s="4"/>
      <c r="GUX71" s="4"/>
      <c r="GUY71" s="4"/>
      <c r="GUZ71" s="4"/>
      <c r="GVA71" s="4"/>
      <c r="GVB71" s="4"/>
      <c r="GVC71" s="4"/>
      <c r="GVD71" s="4"/>
      <c r="GVE71" s="4"/>
      <c r="GVF71" s="4"/>
      <c r="GVG71" s="4"/>
      <c r="GVH71" s="4"/>
      <c r="GVI71" s="4"/>
      <c r="GVJ71" s="4"/>
      <c r="GVK71" s="4"/>
      <c r="GVL71" s="4"/>
      <c r="GVM71" s="4"/>
      <c r="GVN71" s="4"/>
      <c r="GVO71" s="4"/>
      <c r="GVP71" s="4"/>
      <c r="GVQ71" s="4"/>
      <c r="GVR71" s="4"/>
      <c r="GVS71" s="4"/>
      <c r="GVT71" s="4"/>
      <c r="GVU71" s="4"/>
      <c r="GVV71" s="4"/>
      <c r="GVW71" s="4"/>
      <c r="GVX71" s="4"/>
      <c r="GVY71" s="4"/>
      <c r="GVZ71" s="4"/>
      <c r="GWA71" s="4"/>
      <c r="GWB71" s="4"/>
      <c r="GWC71" s="4"/>
      <c r="GWD71" s="4"/>
      <c r="GWE71" s="4"/>
      <c r="GWF71" s="4"/>
      <c r="GWG71" s="4"/>
      <c r="GWH71" s="4"/>
      <c r="GWI71" s="4"/>
      <c r="GWJ71" s="4"/>
      <c r="GWK71" s="4"/>
      <c r="GWL71" s="4"/>
      <c r="GWM71" s="4"/>
      <c r="GWN71" s="4"/>
      <c r="GWO71" s="4"/>
      <c r="GWP71" s="4"/>
      <c r="GWQ71" s="4"/>
      <c r="GWR71" s="4"/>
      <c r="GWS71" s="4"/>
      <c r="GWT71" s="4"/>
      <c r="GWU71" s="4"/>
      <c r="GWV71" s="4"/>
      <c r="GWW71" s="4"/>
      <c r="GWX71" s="4"/>
      <c r="GWY71" s="4"/>
      <c r="GWZ71" s="4"/>
      <c r="GXA71" s="4"/>
      <c r="GXB71" s="4"/>
      <c r="GXC71" s="4"/>
      <c r="GXD71" s="4"/>
      <c r="GXE71" s="4"/>
      <c r="GXF71" s="4"/>
      <c r="GXG71" s="4"/>
      <c r="GXH71" s="4"/>
      <c r="GXI71" s="4"/>
      <c r="GXJ71" s="4"/>
      <c r="GXK71" s="4"/>
      <c r="GXL71" s="4"/>
      <c r="GXM71" s="4"/>
      <c r="GXN71" s="4"/>
      <c r="GXO71" s="4"/>
      <c r="GXP71" s="4"/>
      <c r="GXQ71" s="4"/>
      <c r="GXR71" s="4"/>
      <c r="GXS71" s="4"/>
      <c r="GXT71" s="4"/>
      <c r="GXU71" s="4"/>
      <c r="GXV71" s="4"/>
      <c r="GXW71" s="4"/>
      <c r="GXX71" s="4"/>
      <c r="GXY71" s="4"/>
      <c r="GXZ71" s="4"/>
      <c r="GYA71" s="4"/>
      <c r="GYB71" s="4"/>
      <c r="GYC71" s="4"/>
      <c r="GYD71" s="4"/>
      <c r="GYE71" s="4"/>
      <c r="GYF71" s="4"/>
      <c r="GYG71" s="4"/>
      <c r="GYH71" s="4"/>
      <c r="GYI71" s="4"/>
      <c r="GYJ71" s="4"/>
      <c r="GYK71" s="4"/>
      <c r="GYL71" s="4"/>
      <c r="GYM71" s="4"/>
      <c r="GYN71" s="4"/>
      <c r="GYO71" s="4"/>
      <c r="GYP71" s="4"/>
      <c r="GYQ71" s="4"/>
      <c r="GYR71" s="4"/>
      <c r="GYS71" s="4"/>
      <c r="GYT71" s="4"/>
      <c r="GYU71" s="4"/>
      <c r="GYV71" s="4"/>
      <c r="GYW71" s="4"/>
      <c r="GYX71" s="4"/>
      <c r="GYY71" s="4"/>
      <c r="GYZ71" s="4"/>
      <c r="GZA71" s="4"/>
      <c r="GZB71" s="4"/>
      <c r="GZC71" s="4"/>
      <c r="GZD71" s="4"/>
      <c r="GZE71" s="4"/>
      <c r="GZF71" s="4"/>
      <c r="GZG71" s="4"/>
      <c r="GZH71" s="4"/>
      <c r="GZI71" s="4"/>
      <c r="GZJ71" s="4"/>
      <c r="GZK71" s="4"/>
      <c r="GZL71" s="4"/>
      <c r="GZM71" s="4"/>
      <c r="GZN71" s="4"/>
      <c r="GZO71" s="4"/>
      <c r="GZP71" s="4"/>
      <c r="GZQ71" s="4"/>
      <c r="GZR71" s="4"/>
      <c r="GZS71" s="4"/>
      <c r="GZT71" s="4"/>
      <c r="GZU71" s="4"/>
      <c r="GZV71" s="4"/>
      <c r="GZW71" s="4"/>
      <c r="GZX71" s="4"/>
      <c r="GZY71" s="4"/>
      <c r="GZZ71" s="4"/>
      <c r="HAA71" s="4"/>
      <c r="HAB71" s="4"/>
      <c r="HAC71" s="4"/>
      <c r="HAD71" s="4"/>
      <c r="HAE71" s="4"/>
      <c r="HAF71" s="4"/>
      <c r="HAG71" s="4"/>
      <c r="HAH71" s="4"/>
      <c r="HAI71" s="4"/>
      <c r="HAJ71" s="4"/>
      <c r="HAK71" s="4"/>
      <c r="HAL71" s="4"/>
      <c r="HAM71" s="4"/>
      <c r="HAN71" s="4"/>
      <c r="HAO71" s="4"/>
      <c r="HAP71" s="4"/>
      <c r="HAQ71" s="4"/>
      <c r="HAR71" s="4"/>
      <c r="HAS71" s="4"/>
      <c r="HAT71" s="4"/>
      <c r="HAU71" s="4"/>
      <c r="HAV71" s="4"/>
      <c r="HAW71" s="4"/>
      <c r="HAX71" s="4"/>
      <c r="HAY71" s="4"/>
      <c r="HAZ71" s="4"/>
      <c r="HBA71" s="4"/>
      <c r="HBB71" s="4"/>
      <c r="HBC71" s="4"/>
      <c r="HBD71" s="4"/>
      <c r="HBE71" s="4"/>
      <c r="HBF71" s="4"/>
      <c r="HBG71" s="4"/>
      <c r="HBH71" s="4"/>
      <c r="HBI71" s="4"/>
      <c r="HBJ71" s="4"/>
      <c r="HBK71" s="4"/>
      <c r="HBL71" s="4"/>
      <c r="HBM71" s="4"/>
      <c r="HBN71" s="4"/>
      <c r="HBO71" s="4"/>
      <c r="HBP71" s="4"/>
      <c r="HBQ71" s="4"/>
      <c r="HBR71" s="4"/>
      <c r="HBS71" s="4"/>
      <c r="HBT71" s="4"/>
      <c r="HBU71" s="4"/>
      <c r="HBV71" s="4"/>
      <c r="HBW71" s="4"/>
      <c r="HBX71" s="4"/>
      <c r="HBY71" s="4"/>
      <c r="HBZ71" s="4"/>
      <c r="HCA71" s="4"/>
      <c r="HCB71" s="4"/>
      <c r="HCC71" s="4"/>
      <c r="HCD71" s="4"/>
      <c r="HCE71" s="4"/>
      <c r="HCF71" s="4"/>
      <c r="HCG71" s="4"/>
      <c r="HCH71" s="4"/>
      <c r="HCI71" s="4"/>
      <c r="HCJ71" s="4"/>
      <c r="HCK71" s="4"/>
      <c r="HCL71" s="4"/>
      <c r="HCM71" s="4"/>
      <c r="HCN71" s="4"/>
      <c r="HCO71" s="4"/>
      <c r="HCP71" s="4"/>
      <c r="HCQ71" s="4"/>
      <c r="HCR71" s="4"/>
      <c r="HCS71" s="4"/>
      <c r="HCT71" s="4"/>
      <c r="HCU71" s="4"/>
      <c r="HCV71" s="4"/>
      <c r="HCW71" s="4"/>
      <c r="HCX71" s="4"/>
      <c r="HCY71" s="4"/>
      <c r="HCZ71" s="4"/>
      <c r="HDA71" s="4"/>
      <c r="HDB71" s="4"/>
      <c r="HDC71" s="4"/>
      <c r="HDD71" s="4"/>
      <c r="HDE71" s="4"/>
      <c r="HDF71" s="4"/>
      <c r="HDG71" s="4"/>
      <c r="HDH71" s="4"/>
      <c r="HDI71" s="4"/>
      <c r="HDJ71" s="4"/>
      <c r="HDK71" s="4"/>
      <c r="HDL71" s="4"/>
      <c r="HDM71" s="4"/>
      <c r="HDN71" s="4"/>
      <c r="HDO71" s="4"/>
      <c r="HDP71" s="4"/>
      <c r="HDQ71" s="4"/>
      <c r="HDR71" s="4"/>
      <c r="HDS71" s="4"/>
      <c r="HDT71" s="4"/>
      <c r="HDU71" s="4"/>
      <c r="HDV71" s="4"/>
      <c r="HDW71" s="4"/>
      <c r="HDX71" s="4"/>
      <c r="HDY71" s="4"/>
      <c r="HDZ71" s="4"/>
      <c r="HEA71" s="4"/>
      <c r="HEB71" s="4"/>
      <c r="HEC71" s="4"/>
      <c r="HED71" s="4"/>
      <c r="HEE71" s="4"/>
      <c r="HEF71" s="4"/>
      <c r="HEG71" s="4"/>
      <c r="HEH71" s="4"/>
      <c r="HEI71" s="4"/>
      <c r="HEJ71" s="4"/>
      <c r="HEK71" s="4"/>
      <c r="HEL71" s="4"/>
      <c r="HEM71" s="4"/>
      <c r="HEN71" s="4"/>
      <c r="HEO71" s="4"/>
      <c r="HEP71" s="4"/>
      <c r="HEQ71" s="4"/>
      <c r="HER71" s="4"/>
      <c r="HES71" s="4"/>
      <c r="HET71" s="4"/>
      <c r="HEU71" s="4"/>
      <c r="HEV71" s="4"/>
      <c r="HEW71" s="4"/>
      <c r="HEX71" s="4"/>
      <c r="HEY71" s="4"/>
      <c r="HEZ71" s="4"/>
      <c r="HFA71" s="4"/>
      <c r="HFB71" s="4"/>
      <c r="HFC71" s="4"/>
      <c r="HFD71" s="4"/>
      <c r="HFE71" s="4"/>
      <c r="HFF71" s="4"/>
      <c r="HFG71" s="4"/>
      <c r="HFH71" s="4"/>
      <c r="HFI71" s="4"/>
      <c r="HFJ71" s="4"/>
      <c r="HFK71" s="4"/>
      <c r="HFL71" s="4"/>
      <c r="HFM71" s="4"/>
      <c r="HFN71" s="4"/>
      <c r="HFO71" s="4"/>
      <c r="HFP71" s="4"/>
      <c r="HFQ71" s="4"/>
      <c r="HFR71" s="4"/>
      <c r="HFS71" s="4"/>
      <c r="HFT71" s="4"/>
      <c r="HFU71" s="4"/>
      <c r="HFV71" s="4"/>
      <c r="HFW71" s="4"/>
      <c r="HFX71" s="4"/>
      <c r="HFY71" s="4"/>
      <c r="HFZ71" s="4"/>
      <c r="HGA71" s="4"/>
      <c r="HGB71" s="4"/>
      <c r="HGC71" s="4"/>
      <c r="HGD71" s="4"/>
      <c r="HGE71" s="4"/>
      <c r="HGF71" s="4"/>
      <c r="HGG71" s="4"/>
      <c r="HGH71" s="4"/>
      <c r="HGI71" s="4"/>
      <c r="HGJ71" s="4"/>
      <c r="HGK71" s="4"/>
      <c r="HGL71" s="4"/>
      <c r="HGM71" s="4"/>
      <c r="HGN71" s="4"/>
      <c r="HGO71" s="4"/>
      <c r="HGP71" s="4"/>
      <c r="HGQ71" s="4"/>
      <c r="HGR71" s="4"/>
      <c r="HGS71" s="4"/>
      <c r="HGT71" s="4"/>
      <c r="HGU71" s="4"/>
      <c r="HGV71" s="4"/>
      <c r="HGW71" s="4"/>
      <c r="HGX71" s="4"/>
      <c r="HGY71" s="4"/>
      <c r="HGZ71" s="4"/>
      <c r="HHA71" s="4"/>
      <c r="HHB71" s="4"/>
      <c r="HHC71" s="4"/>
      <c r="HHD71" s="4"/>
      <c r="HHE71" s="4"/>
      <c r="HHF71" s="4"/>
      <c r="HHG71" s="4"/>
      <c r="HHH71" s="4"/>
      <c r="HHI71" s="4"/>
      <c r="HHJ71" s="4"/>
      <c r="HHK71" s="4"/>
      <c r="HHL71" s="4"/>
      <c r="HHM71" s="4"/>
      <c r="HHN71" s="4"/>
      <c r="HHO71" s="4"/>
      <c r="HHP71" s="4"/>
      <c r="HHQ71" s="4"/>
      <c r="HHR71" s="4"/>
      <c r="HHS71" s="4"/>
      <c r="HHT71" s="4"/>
      <c r="HHU71" s="4"/>
      <c r="HHV71" s="4"/>
      <c r="HHW71" s="4"/>
      <c r="HHX71" s="4"/>
      <c r="HHY71" s="4"/>
      <c r="HHZ71" s="4"/>
      <c r="HIA71" s="4"/>
      <c r="HIB71" s="4"/>
      <c r="HIC71" s="4"/>
      <c r="HID71" s="4"/>
      <c r="HIE71" s="4"/>
      <c r="HIF71" s="4"/>
      <c r="HIG71" s="4"/>
      <c r="HIH71" s="4"/>
      <c r="HII71" s="4"/>
      <c r="HIJ71" s="4"/>
      <c r="HIK71" s="4"/>
      <c r="HIL71" s="4"/>
      <c r="HIM71" s="4"/>
      <c r="HIN71" s="4"/>
      <c r="HIO71" s="4"/>
      <c r="HIP71" s="4"/>
      <c r="HIQ71" s="4"/>
      <c r="HIR71" s="4"/>
      <c r="HIS71" s="4"/>
      <c r="HIT71" s="4"/>
      <c r="HIU71" s="4"/>
      <c r="HIV71" s="4"/>
      <c r="HIW71" s="4"/>
      <c r="HIX71" s="4"/>
      <c r="HIY71" s="4"/>
      <c r="HIZ71" s="4"/>
      <c r="HJA71" s="4"/>
      <c r="HJB71" s="4"/>
      <c r="HJC71" s="4"/>
      <c r="HJD71" s="4"/>
      <c r="HJE71" s="4"/>
      <c r="HJF71" s="4"/>
      <c r="HJG71" s="4"/>
      <c r="HJH71" s="4"/>
      <c r="HJI71" s="4"/>
      <c r="HJJ71" s="4"/>
      <c r="HJK71" s="4"/>
      <c r="HJL71" s="4"/>
      <c r="HJM71" s="4"/>
      <c r="HJN71" s="4"/>
      <c r="HJO71" s="4"/>
      <c r="HJP71" s="4"/>
      <c r="HJQ71" s="4"/>
      <c r="HJR71" s="4"/>
      <c r="HJS71" s="4"/>
      <c r="HJT71" s="4"/>
      <c r="HJU71" s="4"/>
      <c r="HJV71" s="4"/>
      <c r="HJW71" s="4"/>
      <c r="HJX71" s="4"/>
      <c r="HJY71" s="4"/>
      <c r="HJZ71" s="4"/>
      <c r="HKA71" s="4"/>
      <c r="HKB71" s="4"/>
      <c r="HKC71" s="4"/>
      <c r="HKD71" s="4"/>
      <c r="HKE71" s="4"/>
      <c r="HKF71" s="4"/>
      <c r="HKG71" s="4"/>
      <c r="HKH71" s="4"/>
      <c r="HKI71" s="4"/>
      <c r="HKJ71" s="4"/>
      <c r="HKK71" s="4"/>
      <c r="HKL71" s="4"/>
      <c r="HKM71" s="4"/>
      <c r="HKN71" s="4"/>
      <c r="HKO71" s="4"/>
      <c r="HKP71" s="4"/>
      <c r="HKQ71" s="4"/>
      <c r="HKR71" s="4"/>
      <c r="HKS71" s="4"/>
      <c r="HKT71" s="4"/>
      <c r="HKU71" s="4"/>
      <c r="HKV71" s="4"/>
      <c r="HKW71" s="4"/>
      <c r="HKX71" s="4"/>
      <c r="HKY71" s="4"/>
      <c r="HKZ71" s="4"/>
      <c r="HLA71" s="4"/>
      <c r="HLB71" s="4"/>
      <c r="HLC71" s="4"/>
      <c r="HLD71" s="4"/>
      <c r="HLE71" s="4"/>
      <c r="HLF71" s="4"/>
      <c r="HLG71" s="4"/>
      <c r="HLH71" s="4"/>
      <c r="HLI71" s="4"/>
      <c r="HLJ71" s="4"/>
      <c r="HLK71" s="4"/>
      <c r="HLL71" s="4"/>
      <c r="HLM71" s="4"/>
      <c r="HLN71" s="4"/>
      <c r="HLO71" s="4"/>
      <c r="HLP71" s="4"/>
      <c r="HLQ71" s="4"/>
      <c r="HLR71" s="4"/>
      <c r="HLS71" s="4"/>
      <c r="HLT71" s="4"/>
      <c r="HLU71" s="4"/>
      <c r="HLV71" s="4"/>
      <c r="HLW71" s="4"/>
      <c r="HLX71" s="4"/>
      <c r="HLY71" s="4"/>
      <c r="HLZ71" s="4"/>
      <c r="HMA71" s="4"/>
      <c r="HMB71" s="4"/>
      <c r="HMC71" s="4"/>
      <c r="HMD71" s="4"/>
      <c r="HME71" s="4"/>
      <c r="HMF71" s="4"/>
      <c r="HMG71" s="4"/>
      <c r="HMH71" s="4"/>
      <c r="HMI71" s="4"/>
      <c r="HMJ71" s="4"/>
      <c r="HMK71" s="4"/>
      <c r="HML71" s="4"/>
      <c r="HMM71" s="4"/>
      <c r="HMN71" s="4"/>
      <c r="HMO71" s="4"/>
      <c r="HMP71" s="4"/>
      <c r="HMQ71" s="4"/>
      <c r="HMR71" s="4"/>
      <c r="HMS71" s="4"/>
      <c r="HMT71" s="4"/>
      <c r="HMU71" s="4"/>
      <c r="HMV71" s="4"/>
      <c r="HMW71" s="4"/>
      <c r="HMX71" s="4"/>
      <c r="HMY71" s="4"/>
      <c r="HMZ71" s="4"/>
      <c r="HNA71" s="4"/>
      <c r="HNB71" s="4"/>
      <c r="HNC71" s="4"/>
      <c r="HND71" s="4"/>
      <c r="HNE71" s="4"/>
      <c r="HNF71" s="4"/>
      <c r="HNG71" s="4"/>
      <c r="HNH71" s="4"/>
      <c r="HNI71" s="4"/>
      <c r="HNJ71" s="4"/>
      <c r="HNK71" s="4"/>
      <c r="HNL71" s="4"/>
      <c r="HNM71" s="4"/>
      <c r="HNN71" s="4"/>
      <c r="HNO71" s="4"/>
      <c r="HNP71" s="4"/>
      <c r="HNQ71" s="4"/>
      <c r="HNR71" s="4"/>
      <c r="HNS71" s="4"/>
      <c r="HNT71" s="4"/>
      <c r="HNU71" s="4"/>
      <c r="HNV71" s="4"/>
      <c r="HNW71" s="4"/>
      <c r="HNX71" s="4"/>
      <c r="HNY71" s="4"/>
      <c r="HNZ71" s="4"/>
      <c r="HOA71" s="4"/>
      <c r="HOB71" s="4"/>
      <c r="HOC71" s="4"/>
      <c r="HOD71" s="4"/>
      <c r="HOE71" s="4"/>
      <c r="HOF71" s="4"/>
      <c r="HOG71" s="4"/>
      <c r="HOH71" s="4"/>
      <c r="HOI71" s="4"/>
      <c r="HOJ71" s="4"/>
      <c r="HOK71" s="4"/>
      <c r="HOL71" s="4"/>
      <c r="HOM71" s="4"/>
      <c r="HON71" s="4"/>
      <c r="HOO71" s="4"/>
      <c r="HOP71" s="4"/>
      <c r="HOQ71" s="4"/>
      <c r="HOR71" s="4"/>
      <c r="HOS71" s="4"/>
      <c r="HOT71" s="4"/>
      <c r="HOU71" s="4"/>
      <c r="HOV71" s="4"/>
      <c r="HOW71" s="4"/>
      <c r="HOX71" s="4"/>
      <c r="HOY71" s="4"/>
      <c r="HOZ71" s="4"/>
      <c r="HPA71" s="4"/>
      <c r="HPB71" s="4"/>
      <c r="HPC71" s="4"/>
      <c r="HPD71" s="4"/>
      <c r="HPE71" s="4"/>
      <c r="HPF71" s="4"/>
      <c r="HPG71" s="4"/>
      <c r="HPH71" s="4"/>
      <c r="HPI71" s="4"/>
      <c r="HPJ71" s="4"/>
      <c r="HPK71" s="4"/>
      <c r="HPL71" s="4"/>
      <c r="HPM71" s="4"/>
      <c r="HPN71" s="4"/>
      <c r="HPO71" s="4"/>
      <c r="HPP71" s="4"/>
      <c r="HPQ71" s="4"/>
      <c r="HPR71" s="4"/>
      <c r="HPS71" s="4"/>
      <c r="HPT71" s="4"/>
      <c r="HPU71" s="4"/>
      <c r="HPV71" s="4"/>
      <c r="HPW71" s="4"/>
      <c r="HPX71" s="4"/>
      <c r="HPY71" s="4"/>
      <c r="HPZ71" s="4"/>
      <c r="HQA71" s="4"/>
      <c r="HQB71" s="4"/>
      <c r="HQC71" s="4"/>
      <c r="HQD71" s="4"/>
      <c r="HQE71" s="4"/>
      <c r="HQF71" s="4"/>
      <c r="HQG71" s="4"/>
      <c r="HQH71" s="4"/>
      <c r="HQI71" s="4"/>
      <c r="HQJ71" s="4"/>
      <c r="HQK71" s="4"/>
      <c r="HQL71" s="4"/>
      <c r="HQM71" s="4"/>
      <c r="HQN71" s="4"/>
      <c r="HQO71" s="4"/>
      <c r="HQP71" s="4"/>
      <c r="HQQ71" s="4"/>
      <c r="HQR71" s="4"/>
      <c r="HQS71" s="4"/>
      <c r="HQT71" s="4"/>
      <c r="HQU71" s="4"/>
      <c r="HQV71" s="4"/>
      <c r="HQW71" s="4"/>
      <c r="HQX71" s="4"/>
      <c r="HQY71" s="4"/>
      <c r="HQZ71" s="4"/>
      <c r="HRA71" s="4"/>
      <c r="HRB71" s="4"/>
      <c r="HRC71" s="4"/>
      <c r="HRD71" s="4"/>
      <c r="HRE71" s="4"/>
      <c r="HRF71" s="4"/>
      <c r="HRG71" s="4"/>
      <c r="HRH71" s="4"/>
      <c r="HRI71" s="4"/>
      <c r="HRJ71" s="4"/>
      <c r="HRK71" s="4"/>
      <c r="HRL71" s="4"/>
      <c r="HRM71" s="4"/>
      <c r="HRN71" s="4"/>
      <c r="HRO71" s="4"/>
      <c r="HRP71" s="4"/>
      <c r="HRQ71" s="4"/>
      <c r="HRR71" s="4"/>
      <c r="HRS71" s="4"/>
      <c r="HRT71" s="4"/>
      <c r="HRU71" s="4"/>
      <c r="HRV71" s="4"/>
      <c r="HRW71" s="4"/>
      <c r="HRX71" s="4"/>
      <c r="HRY71" s="4"/>
      <c r="HRZ71" s="4"/>
      <c r="HSA71" s="4"/>
      <c r="HSB71" s="4"/>
      <c r="HSC71" s="4"/>
      <c r="HSD71" s="4"/>
      <c r="HSE71" s="4"/>
      <c r="HSF71" s="4"/>
      <c r="HSG71" s="4"/>
      <c r="HSH71" s="4"/>
      <c r="HSI71" s="4"/>
      <c r="HSJ71" s="4"/>
      <c r="HSK71" s="4"/>
      <c r="HSL71" s="4"/>
      <c r="HSM71" s="4"/>
      <c r="HSN71" s="4"/>
      <c r="HSO71" s="4"/>
      <c r="HSP71" s="4"/>
      <c r="HSQ71" s="4"/>
      <c r="HSR71" s="4"/>
      <c r="HSS71" s="4"/>
      <c r="HST71" s="4"/>
      <c r="HSU71" s="4"/>
      <c r="HSV71" s="4"/>
      <c r="HSW71" s="4"/>
      <c r="HSX71" s="4"/>
      <c r="HSY71" s="4"/>
      <c r="HSZ71" s="4"/>
      <c r="HTA71" s="4"/>
      <c r="HTB71" s="4"/>
      <c r="HTC71" s="4"/>
      <c r="HTD71" s="4"/>
      <c r="HTE71" s="4"/>
      <c r="HTF71" s="4"/>
      <c r="HTG71" s="4"/>
      <c r="HTH71" s="4"/>
      <c r="HTI71" s="4"/>
      <c r="HTJ71" s="4"/>
      <c r="HTK71" s="4"/>
      <c r="HTL71" s="4"/>
      <c r="HTM71" s="4"/>
      <c r="HTN71" s="4"/>
      <c r="HTO71" s="4"/>
      <c r="HTP71" s="4"/>
      <c r="HTQ71" s="4"/>
      <c r="HTR71" s="4"/>
      <c r="HTS71" s="4"/>
      <c r="HTT71" s="4"/>
      <c r="HTU71" s="4"/>
      <c r="HTV71" s="4"/>
      <c r="HTW71" s="4"/>
      <c r="HTX71" s="4"/>
      <c r="HTY71" s="4"/>
      <c r="HTZ71" s="4"/>
      <c r="HUA71" s="4"/>
      <c r="HUB71" s="4"/>
      <c r="HUC71" s="4"/>
      <c r="HUD71" s="4"/>
      <c r="HUE71" s="4"/>
      <c r="HUF71" s="4"/>
      <c r="HUG71" s="4"/>
      <c r="HUH71" s="4"/>
      <c r="HUI71" s="4"/>
      <c r="HUJ71" s="4"/>
      <c r="HUK71" s="4"/>
      <c r="HUL71" s="4"/>
      <c r="HUM71" s="4"/>
      <c r="HUN71" s="4"/>
      <c r="HUO71" s="4"/>
      <c r="HUP71" s="4"/>
      <c r="HUQ71" s="4"/>
      <c r="HUR71" s="4"/>
      <c r="HUS71" s="4"/>
      <c r="HUT71" s="4"/>
      <c r="HUU71" s="4"/>
      <c r="HUV71" s="4"/>
      <c r="HUW71" s="4"/>
      <c r="HUX71" s="4"/>
      <c r="HUY71" s="4"/>
      <c r="HUZ71" s="4"/>
      <c r="HVA71" s="4"/>
      <c r="HVB71" s="4"/>
      <c r="HVC71" s="4"/>
      <c r="HVD71" s="4"/>
      <c r="HVE71" s="4"/>
      <c r="HVF71" s="4"/>
      <c r="HVG71" s="4"/>
      <c r="HVH71" s="4"/>
      <c r="HVI71" s="4"/>
      <c r="HVJ71" s="4"/>
      <c r="HVK71" s="4"/>
      <c r="HVL71" s="4"/>
      <c r="HVM71" s="4"/>
      <c r="HVN71" s="4"/>
      <c r="HVO71" s="4"/>
      <c r="HVP71" s="4"/>
      <c r="HVQ71" s="4"/>
      <c r="HVR71" s="4"/>
      <c r="HVS71" s="4"/>
      <c r="HVT71" s="4"/>
      <c r="HVU71" s="4"/>
      <c r="HVV71" s="4"/>
      <c r="HVW71" s="4"/>
      <c r="HVX71" s="4"/>
      <c r="HVY71" s="4"/>
      <c r="HVZ71" s="4"/>
      <c r="HWA71" s="4"/>
      <c r="HWB71" s="4"/>
      <c r="HWC71" s="4"/>
      <c r="HWD71" s="4"/>
      <c r="HWE71" s="4"/>
      <c r="HWF71" s="4"/>
      <c r="HWG71" s="4"/>
      <c r="HWH71" s="4"/>
      <c r="HWI71" s="4"/>
      <c r="HWJ71" s="4"/>
      <c r="HWK71" s="4"/>
      <c r="HWL71" s="4"/>
      <c r="HWM71" s="4"/>
      <c r="HWN71" s="4"/>
      <c r="HWO71" s="4"/>
      <c r="HWP71" s="4"/>
      <c r="HWQ71" s="4"/>
      <c r="HWR71" s="4"/>
      <c r="HWS71" s="4"/>
      <c r="HWT71" s="4"/>
      <c r="HWU71" s="4"/>
      <c r="HWV71" s="4"/>
      <c r="HWW71" s="4"/>
      <c r="HWX71" s="4"/>
      <c r="HWY71" s="4"/>
      <c r="HWZ71" s="4"/>
      <c r="HXA71" s="4"/>
      <c r="HXB71" s="4"/>
      <c r="HXC71" s="4"/>
      <c r="HXD71" s="4"/>
      <c r="HXE71" s="4"/>
      <c r="HXF71" s="4"/>
      <c r="HXG71" s="4"/>
      <c r="HXH71" s="4"/>
      <c r="HXI71" s="4"/>
      <c r="HXJ71" s="4"/>
      <c r="HXK71" s="4"/>
      <c r="HXL71" s="4"/>
      <c r="HXM71" s="4"/>
      <c r="HXN71" s="4"/>
      <c r="HXO71" s="4"/>
      <c r="HXP71" s="4"/>
      <c r="HXQ71" s="4"/>
      <c r="HXR71" s="4"/>
      <c r="HXS71" s="4"/>
      <c r="HXT71" s="4"/>
      <c r="HXU71" s="4"/>
      <c r="HXV71" s="4"/>
      <c r="HXW71" s="4"/>
      <c r="HXX71" s="4"/>
      <c r="HXY71" s="4"/>
      <c r="HXZ71" s="4"/>
      <c r="HYA71" s="4"/>
      <c r="HYB71" s="4"/>
      <c r="HYC71" s="4"/>
      <c r="HYD71" s="4"/>
      <c r="HYE71" s="4"/>
      <c r="HYF71" s="4"/>
      <c r="HYG71" s="4"/>
      <c r="HYH71" s="4"/>
      <c r="HYI71" s="4"/>
      <c r="HYJ71" s="4"/>
      <c r="HYK71" s="4"/>
      <c r="HYL71" s="4"/>
      <c r="HYM71" s="4"/>
      <c r="HYN71" s="4"/>
      <c r="HYO71" s="4"/>
      <c r="HYP71" s="4"/>
      <c r="HYQ71" s="4"/>
      <c r="HYR71" s="4"/>
      <c r="HYS71" s="4"/>
      <c r="HYT71" s="4"/>
      <c r="HYU71" s="4"/>
      <c r="HYV71" s="4"/>
      <c r="HYW71" s="4"/>
      <c r="HYX71" s="4"/>
      <c r="HYY71" s="4"/>
      <c r="HYZ71" s="4"/>
      <c r="HZA71" s="4"/>
      <c r="HZB71" s="4"/>
      <c r="HZC71" s="4"/>
      <c r="HZD71" s="4"/>
      <c r="HZE71" s="4"/>
      <c r="HZF71" s="4"/>
      <c r="HZG71" s="4"/>
      <c r="HZH71" s="4"/>
      <c r="HZI71" s="4"/>
      <c r="HZJ71" s="4"/>
      <c r="HZK71" s="4"/>
      <c r="HZL71" s="4"/>
      <c r="HZM71" s="4"/>
      <c r="HZN71" s="4"/>
      <c r="HZO71" s="4"/>
      <c r="HZP71" s="4"/>
      <c r="HZQ71" s="4"/>
      <c r="HZR71" s="4"/>
      <c r="HZS71" s="4"/>
      <c r="HZT71" s="4"/>
      <c r="HZU71" s="4"/>
      <c r="HZV71" s="4"/>
      <c r="HZW71" s="4"/>
      <c r="HZX71" s="4"/>
      <c r="HZY71" s="4"/>
      <c r="HZZ71" s="4"/>
      <c r="IAA71" s="4"/>
      <c r="IAB71" s="4"/>
      <c r="IAC71" s="4"/>
      <c r="IAD71" s="4"/>
      <c r="IAE71" s="4"/>
      <c r="IAF71" s="4"/>
      <c r="IAG71" s="4"/>
      <c r="IAH71" s="4"/>
      <c r="IAI71" s="4"/>
      <c r="IAJ71" s="4"/>
      <c r="IAK71" s="4"/>
      <c r="IAL71" s="4"/>
      <c r="IAM71" s="4"/>
      <c r="IAN71" s="4"/>
      <c r="IAO71" s="4"/>
      <c r="IAP71" s="4"/>
      <c r="IAQ71" s="4"/>
      <c r="IAR71" s="4"/>
      <c r="IAS71" s="4"/>
      <c r="IAT71" s="4"/>
      <c r="IAU71" s="4"/>
      <c r="IAV71" s="4"/>
      <c r="IAW71" s="4"/>
      <c r="IAX71" s="4"/>
      <c r="IAY71" s="4"/>
      <c r="IAZ71" s="4"/>
      <c r="IBA71" s="4"/>
      <c r="IBB71" s="4"/>
      <c r="IBC71" s="4"/>
      <c r="IBD71" s="4"/>
      <c r="IBE71" s="4"/>
      <c r="IBF71" s="4"/>
      <c r="IBG71" s="4"/>
      <c r="IBH71" s="4"/>
      <c r="IBI71" s="4"/>
      <c r="IBJ71" s="4"/>
      <c r="IBK71" s="4"/>
      <c r="IBL71" s="4"/>
      <c r="IBM71" s="4"/>
      <c r="IBN71" s="4"/>
      <c r="IBO71" s="4"/>
      <c r="IBP71" s="4"/>
      <c r="IBQ71" s="4"/>
      <c r="IBR71" s="4"/>
      <c r="IBS71" s="4"/>
      <c r="IBT71" s="4"/>
      <c r="IBU71" s="4"/>
      <c r="IBV71" s="4"/>
      <c r="IBW71" s="4"/>
      <c r="IBX71" s="4"/>
      <c r="IBY71" s="4"/>
      <c r="IBZ71" s="4"/>
      <c r="ICA71" s="4"/>
      <c r="ICB71" s="4"/>
      <c r="ICC71" s="4"/>
      <c r="ICD71" s="4"/>
      <c r="ICE71" s="4"/>
      <c r="ICF71" s="4"/>
      <c r="ICG71" s="4"/>
      <c r="ICH71" s="4"/>
      <c r="ICI71" s="4"/>
      <c r="ICJ71" s="4"/>
      <c r="ICK71" s="4"/>
      <c r="ICL71" s="4"/>
      <c r="ICM71" s="4"/>
      <c r="ICN71" s="4"/>
      <c r="ICO71" s="4"/>
      <c r="ICP71" s="4"/>
      <c r="ICQ71" s="4"/>
      <c r="ICR71" s="4"/>
      <c r="ICS71" s="4"/>
      <c r="ICT71" s="4"/>
      <c r="ICU71" s="4"/>
      <c r="ICV71" s="4"/>
      <c r="ICW71" s="4"/>
      <c r="ICX71" s="4"/>
      <c r="ICY71" s="4"/>
      <c r="ICZ71" s="4"/>
      <c r="IDA71" s="4"/>
      <c r="IDB71" s="4"/>
      <c r="IDC71" s="4"/>
      <c r="IDD71" s="4"/>
      <c r="IDE71" s="4"/>
      <c r="IDF71" s="4"/>
      <c r="IDG71" s="4"/>
      <c r="IDH71" s="4"/>
      <c r="IDI71" s="4"/>
      <c r="IDJ71" s="4"/>
      <c r="IDK71" s="4"/>
      <c r="IDL71" s="4"/>
      <c r="IDM71" s="4"/>
      <c r="IDN71" s="4"/>
      <c r="IDO71" s="4"/>
      <c r="IDP71" s="4"/>
      <c r="IDQ71" s="4"/>
      <c r="IDR71" s="4"/>
      <c r="IDS71" s="4"/>
      <c r="IDT71" s="4"/>
      <c r="IDU71" s="4"/>
      <c r="IDV71" s="4"/>
      <c r="IDW71" s="4"/>
      <c r="IDX71" s="4"/>
      <c r="IDY71" s="4"/>
      <c r="IDZ71" s="4"/>
      <c r="IEA71" s="4"/>
      <c r="IEB71" s="4"/>
      <c r="IEC71" s="4"/>
      <c r="IED71" s="4"/>
      <c r="IEE71" s="4"/>
      <c r="IEF71" s="4"/>
      <c r="IEG71" s="4"/>
      <c r="IEH71" s="4"/>
      <c r="IEI71" s="4"/>
      <c r="IEJ71" s="4"/>
      <c r="IEK71" s="4"/>
      <c r="IEL71" s="4"/>
      <c r="IEM71" s="4"/>
      <c r="IEN71" s="4"/>
      <c r="IEO71" s="4"/>
      <c r="IEP71" s="4"/>
      <c r="IEQ71" s="4"/>
      <c r="IER71" s="4"/>
      <c r="IES71" s="4"/>
      <c r="IET71" s="4"/>
      <c r="IEU71" s="4"/>
      <c r="IEV71" s="4"/>
      <c r="IEW71" s="4"/>
      <c r="IEX71" s="4"/>
      <c r="IEY71" s="4"/>
      <c r="IEZ71" s="4"/>
      <c r="IFA71" s="4"/>
      <c r="IFB71" s="4"/>
      <c r="IFC71" s="4"/>
      <c r="IFD71" s="4"/>
      <c r="IFE71" s="4"/>
      <c r="IFF71" s="4"/>
      <c r="IFG71" s="4"/>
      <c r="IFH71" s="4"/>
      <c r="IFI71" s="4"/>
      <c r="IFJ71" s="4"/>
      <c r="IFK71" s="4"/>
      <c r="IFL71" s="4"/>
      <c r="IFM71" s="4"/>
      <c r="IFN71" s="4"/>
      <c r="IFO71" s="4"/>
      <c r="IFP71" s="4"/>
      <c r="IFQ71" s="4"/>
      <c r="IFR71" s="4"/>
      <c r="IFS71" s="4"/>
      <c r="IFT71" s="4"/>
      <c r="IFU71" s="4"/>
      <c r="IFV71" s="4"/>
      <c r="IFW71" s="4"/>
      <c r="IFX71" s="4"/>
      <c r="IFY71" s="4"/>
      <c r="IFZ71" s="4"/>
      <c r="IGA71" s="4"/>
      <c r="IGB71" s="4"/>
      <c r="IGC71" s="4"/>
      <c r="IGD71" s="4"/>
      <c r="IGE71" s="4"/>
      <c r="IGF71" s="4"/>
      <c r="IGG71" s="4"/>
      <c r="IGH71" s="4"/>
      <c r="IGI71" s="4"/>
      <c r="IGJ71" s="4"/>
      <c r="IGK71" s="4"/>
      <c r="IGL71" s="4"/>
      <c r="IGM71" s="4"/>
      <c r="IGN71" s="4"/>
      <c r="IGO71" s="4"/>
      <c r="IGP71" s="4"/>
      <c r="IGQ71" s="4"/>
      <c r="IGR71" s="4"/>
      <c r="IGS71" s="4"/>
      <c r="IGT71" s="4"/>
      <c r="IGU71" s="4"/>
      <c r="IGV71" s="4"/>
      <c r="IGW71" s="4"/>
      <c r="IGX71" s="4"/>
      <c r="IGY71" s="4"/>
      <c r="IGZ71" s="4"/>
      <c r="IHA71" s="4"/>
      <c r="IHB71" s="4"/>
      <c r="IHC71" s="4"/>
      <c r="IHD71" s="4"/>
      <c r="IHE71" s="4"/>
      <c r="IHF71" s="4"/>
      <c r="IHG71" s="4"/>
      <c r="IHH71" s="4"/>
      <c r="IHI71" s="4"/>
      <c r="IHJ71" s="4"/>
      <c r="IHK71" s="4"/>
      <c r="IHL71" s="4"/>
      <c r="IHM71" s="4"/>
      <c r="IHN71" s="4"/>
      <c r="IHO71" s="4"/>
      <c r="IHP71" s="4"/>
      <c r="IHQ71" s="4"/>
      <c r="IHR71" s="4"/>
      <c r="IHS71" s="4"/>
      <c r="IHT71" s="4"/>
      <c r="IHU71" s="4"/>
      <c r="IHV71" s="4"/>
      <c r="IHW71" s="4"/>
      <c r="IHX71" s="4"/>
      <c r="IHY71" s="4"/>
      <c r="IHZ71" s="4"/>
      <c r="IIA71" s="4"/>
      <c r="IIB71" s="4"/>
      <c r="IIC71" s="4"/>
      <c r="IID71" s="4"/>
      <c r="IIE71" s="4"/>
      <c r="IIF71" s="4"/>
      <c r="IIG71" s="4"/>
      <c r="IIH71" s="4"/>
      <c r="III71" s="4"/>
      <c r="IIJ71" s="4"/>
      <c r="IIK71" s="4"/>
      <c r="IIL71" s="4"/>
      <c r="IIM71" s="4"/>
      <c r="IIN71" s="4"/>
      <c r="IIO71" s="4"/>
      <c r="IIP71" s="4"/>
      <c r="IIQ71" s="4"/>
      <c r="IIR71" s="4"/>
      <c r="IIS71" s="4"/>
      <c r="IIT71" s="4"/>
      <c r="IIU71" s="4"/>
      <c r="IIV71" s="4"/>
      <c r="IIW71" s="4"/>
      <c r="IIX71" s="4"/>
      <c r="IIY71" s="4"/>
      <c r="IIZ71" s="4"/>
      <c r="IJA71" s="4"/>
      <c r="IJB71" s="4"/>
      <c r="IJC71" s="4"/>
      <c r="IJD71" s="4"/>
      <c r="IJE71" s="4"/>
      <c r="IJF71" s="4"/>
      <c r="IJG71" s="4"/>
      <c r="IJH71" s="4"/>
      <c r="IJI71" s="4"/>
      <c r="IJJ71" s="4"/>
      <c r="IJK71" s="4"/>
      <c r="IJL71" s="4"/>
      <c r="IJM71" s="4"/>
      <c r="IJN71" s="4"/>
      <c r="IJO71" s="4"/>
      <c r="IJP71" s="4"/>
      <c r="IJQ71" s="4"/>
      <c r="IJR71" s="4"/>
      <c r="IJS71" s="4"/>
      <c r="IJT71" s="4"/>
      <c r="IJU71" s="4"/>
      <c r="IJV71" s="4"/>
      <c r="IJW71" s="4"/>
      <c r="IJX71" s="4"/>
      <c r="IJY71" s="4"/>
      <c r="IJZ71" s="4"/>
      <c r="IKA71" s="4"/>
      <c r="IKB71" s="4"/>
      <c r="IKC71" s="4"/>
      <c r="IKD71" s="4"/>
      <c r="IKE71" s="4"/>
      <c r="IKF71" s="4"/>
      <c r="IKG71" s="4"/>
      <c r="IKH71" s="4"/>
      <c r="IKI71" s="4"/>
      <c r="IKJ71" s="4"/>
      <c r="IKK71" s="4"/>
      <c r="IKL71" s="4"/>
      <c r="IKM71" s="4"/>
      <c r="IKN71" s="4"/>
      <c r="IKO71" s="4"/>
      <c r="IKP71" s="4"/>
      <c r="IKQ71" s="4"/>
      <c r="IKR71" s="4"/>
      <c r="IKS71" s="4"/>
      <c r="IKT71" s="4"/>
      <c r="IKU71" s="4"/>
      <c r="IKV71" s="4"/>
      <c r="IKW71" s="4"/>
      <c r="IKX71" s="4"/>
      <c r="IKY71" s="4"/>
      <c r="IKZ71" s="4"/>
      <c r="ILA71" s="4"/>
      <c r="ILB71" s="4"/>
      <c r="ILC71" s="4"/>
      <c r="ILD71" s="4"/>
      <c r="ILE71" s="4"/>
      <c r="ILF71" s="4"/>
      <c r="ILG71" s="4"/>
      <c r="ILH71" s="4"/>
      <c r="ILI71" s="4"/>
      <c r="ILJ71" s="4"/>
      <c r="ILK71" s="4"/>
      <c r="ILL71" s="4"/>
      <c r="ILM71" s="4"/>
      <c r="ILN71" s="4"/>
      <c r="ILO71" s="4"/>
      <c r="ILP71" s="4"/>
      <c r="ILQ71" s="4"/>
      <c r="ILR71" s="4"/>
      <c r="ILS71" s="4"/>
      <c r="ILT71" s="4"/>
      <c r="ILU71" s="4"/>
      <c r="ILV71" s="4"/>
      <c r="ILW71" s="4"/>
      <c r="ILX71" s="4"/>
      <c r="ILY71" s="4"/>
      <c r="ILZ71" s="4"/>
      <c r="IMA71" s="4"/>
      <c r="IMB71" s="4"/>
      <c r="IMC71" s="4"/>
      <c r="IMD71" s="4"/>
      <c r="IME71" s="4"/>
      <c r="IMF71" s="4"/>
      <c r="IMG71" s="4"/>
      <c r="IMH71" s="4"/>
      <c r="IMI71" s="4"/>
      <c r="IMJ71" s="4"/>
      <c r="IMK71" s="4"/>
      <c r="IML71" s="4"/>
      <c r="IMM71" s="4"/>
      <c r="IMN71" s="4"/>
      <c r="IMO71" s="4"/>
      <c r="IMP71" s="4"/>
      <c r="IMQ71" s="4"/>
      <c r="IMR71" s="4"/>
      <c r="IMS71" s="4"/>
      <c r="IMT71" s="4"/>
      <c r="IMU71" s="4"/>
      <c r="IMV71" s="4"/>
      <c r="IMW71" s="4"/>
      <c r="IMX71" s="4"/>
      <c r="IMY71" s="4"/>
      <c r="IMZ71" s="4"/>
      <c r="INA71" s="4"/>
      <c r="INB71" s="4"/>
      <c r="INC71" s="4"/>
      <c r="IND71" s="4"/>
      <c r="INE71" s="4"/>
      <c r="INF71" s="4"/>
      <c r="ING71" s="4"/>
      <c r="INH71" s="4"/>
      <c r="INI71" s="4"/>
      <c r="INJ71" s="4"/>
      <c r="INK71" s="4"/>
      <c r="INL71" s="4"/>
      <c r="INM71" s="4"/>
      <c r="INN71" s="4"/>
      <c r="INO71" s="4"/>
      <c r="INP71" s="4"/>
      <c r="INQ71" s="4"/>
      <c r="INR71" s="4"/>
      <c r="INS71" s="4"/>
      <c r="INT71" s="4"/>
      <c r="INU71" s="4"/>
      <c r="INV71" s="4"/>
      <c r="INW71" s="4"/>
      <c r="INX71" s="4"/>
      <c r="INY71" s="4"/>
      <c r="INZ71" s="4"/>
      <c r="IOA71" s="4"/>
      <c r="IOB71" s="4"/>
      <c r="IOC71" s="4"/>
      <c r="IOD71" s="4"/>
      <c r="IOE71" s="4"/>
      <c r="IOF71" s="4"/>
      <c r="IOG71" s="4"/>
      <c r="IOH71" s="4"/>
      <c r="IOI71" s="4"/>
      <c r="IOJ71" s="4"/>
      <c r="IOK71" s="4"/>
      <c r="IOL71" s="4"/>
      <c r="IOM71" s="4"/>
      <c r="ION71" s="4"/>
      <c r="IOO71" s="4"/>
      <c r="IOP71" s="4"/>
      <c r="IOQ71" s="4"/>
      <c r="IOR71" s="4"/>
      <c r="IOS71" s="4"/>
      <c r="IOT71" s="4"/>
      <c r="IOU71" s="4"/>
      <c r="IOV71" s="4"/>
      <c r="IOW71" s="4"/>
      <c r="IOX71" s="4"/>
      <c r="IOY71" s="4"/>
      <c r="IOZ71" s="4"/>
      <c r="IPA71" s="4"/>
      <c r="IPB71" s="4"/>
      <c r="IPC71" s="4"/>
      <c r="IPD71" s="4"/>
      <c r="IPE71" s="4"/>
      <c r="IPF71" s="4"/>
      <c r="IPG71" s="4"/>
      <c r="IPH71" s="4"/>
      <c r="IPI71" s="4"/>
      <c r="IPJ71" s="4"/>
      <c r="IPK71" s="4"/>
      <c r="IPL71" s="4"/>
      <c r="IPM71" s="4"/>
      <c r="IPN71" s="4"/>
      <c r="IPO71" s="4"/>
      <c r="IPP71" s="4"/>
      <c r="IPQ71" s="4"/>
      <c r="IPR71" s="4"/>
      <c r="IPS71" s="4"/>
      <c r="IPT71" s="4"/>
      <c r="IPU71" s="4"/>
      <c r="IPV71" s="4"/>
      <c r="IPW71" s="4"/>
      <c r="IPX71" s="4"/>
      <c r="IPY71" s="4"/>
      <c r="IPZ71" s="4"/>
      <c r="IQA71" s="4"/>
      <c r="IQB71" s="4"/>
      <c r="IQC71" s="4"/>
      <c r="IQD71" s="4"/>
      <c r="IQE71" s="4"/>
      <c r="IQF71" s="4"/>
      <c r="IQG71" s="4"/>
      <c r="IQH71" s="4"/>
      <c r="IQI71" s="4"/>
      <c r="IQJ71" s="4"/>
      <c r="IQK71" s="4"/>
      <c r="IQL71" s="4"/>
      <c r="IQM71" s="4"/>
      <c r="IQN71" s="4"/>
      <c r="IQO71" s="4"/>
      <c r="IQP71" s="4"/>
      <c r="IQQ71" s="4"/>
      <c r="IQR71" s="4"/>
      <c r="IQS71" s="4"/>
      <c r="IQT71" s="4"/>
      <c r="IQU71" s="4"/>
      <c r="IQV71" s="4"/>
      <c r="IQW71" s="4"/>
      <c r="IQX71" s="4"/>
      <c r="IQY71" s="4"/>
      <c r="IQZ71" s="4"/>
      <c r="IRA71" s="4"/>
      <c r="IRB71" s="4"/>
      <c r="IRC71" s="4"/>
      <c r="IRD71" s="4"/>
      <c r="IRE71" s="4"/>
      <c r="IRF71" s="4"/>
      <c r="IRG71" s="4"/>
      <c r="IRH71" s="4"/>
      <c r="IRI71" s="4"/>
      <c r="IRJ71" s="4"/>
      <c r="IRK71" s="4"/>
      <c r="IRL71" s="4"/>
      <c r="IRM71" s="4"/>
      <c r="IRN71" s="4"/>
      <c r="IRO71" s="4"/>
      <c r="IRP71" s="4"/>
      <c r="IRQ71" s="4"/>
      <c r="IRR71" s="4"/>
      <c r="IRS71" s="4"/>
      <c r="IRT71" s="4"/>
      <c r="IRU71" s="4"/>
      <c r="IRV71" s="4"/>
      <c r="IRW71" s="4"/>
      <c r="IRX71" s="4"/>
      <c r="IRY71" s="4"/>
      <c r="IRZ71" s="4"/>
      <c r="ISA71" s="4"/>
      <c r="ISB71" s="4"/>
      <c r="ISC71" s="4"/>
      <c r="ISD71" s="4"/>
      <c r="ISE71" s="4"/>
      <c r="ISF71" s="4"/>
      <c r="ISG71" s="4"/>
      <c r="ISH71" s="4"/>
      <c r="ISI71" s="4"/>
      <c r="ISJ71" s="4"/>
      <c r="ISK71" s="4"/>
      <c r="ISL71" s="4"/>
      <c r="ISM71" s="4"/>
      <c r="ISN71" s="4"/>
      <c r="ISO71" s="4"/>
      <c r="ISP71" s="4"/>
      <c r="ISQ71" s="4"/>
      <c r="ISR71" s="4"/>
      <c r="ISS71" s="4"/>
      <c r="IST71" s="4"/>
      <c r="ISU71" s="4"/>
      <c r="ISV71" s="4"/>
      <c r="ISW71" s="4"/>
      <c r="ISX71" s="4"/>
      <c r="ISY71" s="4"/>
      <c r="ISZ71" s="4"/>
      <c r="ITA71" s="4"/>
      <c r="ITB71" s="4"/>
      <c r="ITC71" s="4"/>
      <c r="ITD71" s="4"/>
      <c r="ITE71" s="4"/>
      <c r="ITF71" s="4"/>
      <c r="ITG71" s="4"/>
      <c r="ITH71" s="4"/>
      <c r="ITI71" s="4"/>
      <c r="ITJ71" s="4"/>
      <c r="ITK71" s="4"/>
      <c r="ITL71" s="4"/>
      <c r="ITM71" s="4"/>
      <c r="ITN71" s="4"/>
      <c r="ITO71" s="4"/>
      <c r="ITP71" s="4"/>
      <c r="ITQ71" s="4"/>
      <c r="ITR71" s="4"/>
      <c r="ITS71" s="4"/>
      <c r="ITT71" s="4"/>
      <c r="ITU71" s="4"/>
      <c r="ITV71" s="4"/>
      <c r="ITW71" s="4"/>
      <c r="ITX71" s="4"/>
      <c r="ITY71" s="4"/>
      <c r="ITZ71" s="4"/>
      <c r="IUA71" s="4"/>
      <c r="IUB71" s="4"/>
      <c r="IUC71" s="4"/>
      <c r="IUD71" s="4"/>
      <c r="IUE71" s="4"/>
      <c r="IUF71" s="4"/>
      <c r="IUG71" s="4"/>
      <c r="IUH71" s="4"/>
      <c r="IUI71" s="4"/>
      <c r="IUJ71" s="4"/>
      <c r="IUK71" s="4"/>
      <c r="IUL71" s="4"/>
      <c r="IUM71" s="4"/>
      <c r="IUN71" s="4"/>
      <c r="IUO71" s="4"/>
      <c r="IUP71" s="4"/>
      <c r="IUQ71" s="4"/>
      <c r="IUR71" s="4"/>
      <c r="IUS71" s="4"/>
      <c r="IUT71" s="4"/>
      <c r="IUU71" s="4"/>
      <c r="IUV71" s="4"/>
      <c r="IUW71" s="4"/>
      <c r="IUX71" s="4"/>
      <c r="IUY71" s="4"/>
      <c r="IUZ71" s="4"/>
      <c r="IVA71" s="4"/>
      <c r="IVB71" s="4"/>
      <c r="IVC71" s="4"/>
      <c r="IVD71" s="4"/>
      <c r="IVE71" s="4"/>
      <c r="IVF71" s="4"/>
      <c r="IVG71" s="4"/>
      <c r="IVH71" s="4"/>
      <c r="IVI71" s="4"/>
      <c r="IVJ71" s="4"/>
      <c r="IVK71" s="4"/>
      <c r="IVL71" s="4"/>
      <c r="IVM71" s="4"/>
      <c r="IVN71" s="4"/>
      <c r="IVO71" s="4"/>
      <c r="IVP71" s="4"/>
      <c r="IVQ71" s="4"/>
      <c r="IVR71" s="4"/>
      <c r="IVS71" s="4"/>
      <c r="IVT71" s="4"/>
      <c r="IVU71" s="4"/>
      <c r="IVV71" s="4"/>
      <c r="IVW71" s="4"/>
      <c r="IVX71" s="4"/>
      <c r="IVY71" s="4"/>
      <c r="IVZ71" s="4"/>
      <c r="IWA71" s="4"/>
      <c r="IWB71" s="4"/>
      <c r="IWC71" s="4"/>
      <c r="IWD71" s="4"/>
      <c r="IWE71" s="4"/>
      <c r="IWF71" s="4"/>
      <c r="IWG71" s="4"/>
      <c r="IWH71" s="4"/>
      <c r="IWI71" s="4"/>
      <c r="IWJ71" s="4"/>
      <c r="IWK71" s="4"/>
      <c r="IWL71" s="4"/>
      <c r="IWM71" s="4"/>
      <c r="IWN71" s="4"/>
      <c r="IWO71" s="4"/>
      <c r="IWP71" s="4"/>
      <c r="IWQ71" s="4"/>
      <c r="IWR71" s="4"/>
      <c r="IWS71" s="4"/>
      <c r="IWT71" s="4"/>
      <c r="IWU71" s="4"/>
      <c r="IWV71" s="4"/>
      <c r="IWW71" s="4"/>
      <c r="IWX71" s="4"/>
      <c r="IWY71" s="4"/>
      <c r="IWZ71" s="4"/>
      <c r="IXA71" s="4"/>
      <c r="IXB71" s="4"/>
      <c r="IXC71" s="4"/>
      <c r="IXD71" s="4"/>
      <c r="IXE71" s="4"/>
      <c r="IXF71" s="4"/>
      <c r="IXG71" s="4"/>
      <c r="IXH71" s="4"/>
      <c r="IXI71" s="4"/>
      <c r="IXJ71" s="4"/>
      <c r="IXK71" s="4"/>
      <c r="IXL71" s="4"/>
      <c r="IXM71" s="4"/>
      <c r="IXN71" s="4"/>
      <c r="IXO71" s="4"/>
      <c r="IXP71" s="4"/>
      <c r="IXQ71" s="4"/>
      <c r="IXR71" s="4"/>
      <c r="IXS71" s="4"/>
      <c r="IXT71" s="4"/>
      <c r="IXU71" s="4"/>
      <c r="IXV71" s="4"/>
      <c r="IXW71" s="4"/>
      <c r="IXX71" s="4"/>
      <c r="IXY71" s="4"/>
      <c r="IXZ71" s="4"/>
      <c r="IYA71" s="4"/>
      <c r="IYB71" s="4"/>
      <c r="IYC71" s="4"/>
      <c r="IYD71" s="4"/>
      <c r="IYE71" s="4"/>
      <c r="IYF71" s="4"/>
      <c r="IYG71" s="4"/>
      <c r="IYH71" s="4"/>
      <c r="IYI71" s="4"/>
      <c r="IYJ71" s="4"/>
      <c r="IYK71" s="4"/>
      <c r="IYL71" s="4"/>
      <c r="IYM71" s="4"/>
      <c r="IYN71" s="4"/>
      <c r="IYO71" s="4"/>
      <c r="IYP71" s="4"/>
      <c r="IYQ71" s="4"/>
      <c r="IYR71" s="4"/>
      <c r="IYS71" s="4"/>
      <c r="IYT71" s="4"/>
      <c r="IYU71" s="4"/>
      <c r="IYV71" s="4"/>
      <c r="IYW71" s="4"/>
      <c r="IYX71" s="4"/>
      <c r="IYY71" s="4"/>
      <c r="IYZ71" s="4"/>
      <c r="IZA71" s="4"/>
      <c r="IZB71" s="4"/>
      <c r="IZC71" s="4"/>
      <c r="IZD71" s="4"/>
      <c r="IZE71" s="4"/>
      <c r="IZF71" s="4"/>
      <c r="IZG71" s="4"/>
      <c r="IZH71" s="4"/>
      <c r="IZI71" s="4"/>
      <c r="IZJ71" s="4"/>
      <c r="IZK71" s="4"/>
      <c r="IZL71" s="4"/>
      <c r="IZM71" s="4"/>
      <c r="IZN71" s="4"/>
      <c r="IZO71" s="4"/>
      <c r="IZP71" s="4"/>
      <c r="IZQ71" s="4"/>
      <c r="IZR71" s="4"/>
      <c r="IZS71" s="4"/>
      <c r="IZT71" s="4"/>
      <c r="IZU71" s="4"/>
      <c r="IZV71" s="4"/>
      <c r="IZW71" s="4"/>
      <c r="IZX71" s="4"/>
      <c r="IZY71" s="4"/>
      <c r="IZZ71" s="4"/>
      <c r="JAA71" s="4"/>
      <c r="JAB71" s="4"/>
      <c r="JAC71" s="4"/>
      <c r="JAD71" s="4"/>
      <c r="JAE71" s="4"/>
      <c r="JAF71" s="4"/>
      <c r="JAG71" s="4"/>
      <c r="JAH71" s="4"/>
      <c r="JAI71" s="4"/>
      <c r="JAJ71" s="4"/>
      <c r="JAK71" s="4"/>
      <c r="JAL71" s="4"/>
      <c r="JAM71" s="4"/>
      <c r="JAN71" s="4"/>
      <c r="JAO71" s="4"/>
      <c r="JAP71" s="4"/>
      <c r="JAQ71" s="4"/>
      <c r="JAR71" s="4"/>
      <c r="JAS71" s="4"/>
      <c r="JAT71" s="4"/>
      <c r="JAU71" s="4"/>
      <c r="JAV71" s="4"/>
      <c r="JAW71" s="4"/>
      <c r="JAX71" s="4"/>
      <c r="JAY71" s="4"/>
      <c r="JAZ71" s="4"/>
      <c r="JBA71" s="4"/>
      <c r="JBB71" s="4"/>
      <c r="JBC71" s="4"/>
      <c r="JBD71" s="4"/>
      <c r="JBE71" s="4"/>
      <c r="JBF71" s="4"/>
      <c r="JBG71" s="4"/>
      <c r="JBH71" s="4"/>
      <c r="JBI71" s="4"/>
      <c r="JBJ71" s="4"/>
      <c r="JBK71" s="4"/>
      <c r="JBL71" s="4"/>
      <c r="JBM71" s="4"/>
      <c r="JBN71" s="4"/>
      <c r="JBO71" s="4"/>
      <c r="JBP71" s="4"/>
      <c r="JBQ71" s="4"/>
      <c r="JBR71" s="4"/>
      <c r="JBS71" s="4"/>
      <c r="JBT71" s="4"/>
      <c r="JBU71" s="4"/>
      <c r="JBV71" s="4"/>
      <c r="JBW71" s="4"/>
      <c r="JBX71" s="4"/>
      <c r="JBY71" s="4"/>
      <c r="JBZ71" s="4"/>
      <c r="JCA71" s="4"/>
      <c r="JCB71" s="4"/>
      <c r="JCC71" s="4"/>
      <c r="JCD71" s="4"/>
      <c r="JCE71" s="4"/>
      <c r="JCF71" s="4"/>
      <c r="JCG71" s="4"/>
      <c r="JCH71" s="4"/>
      <c r="JCI71" s="4"/>
      <c r="JCJ71" s="4"/>
      <c r="JCK71" s="4"/>
      <c r="JCL71" s="4"/>
      <c r="JCM71" s="4"/>
      <c r="JCN71" s="4"/>
      <c r="JCO71" s="4"/>
      <c r="JCP71" s="4"/>
      <c r="JCQ71" s="4"/>
      <c r="JCR71" s="4"/>
      <c r="JCS71" s="4"/>
      <c r="JCT71" s="4"/>
      <c r="JCU71" s="4"/>
      <c r="JCV71" s="4"/>
      <c r="JCW71" s="4"/>
      <c r="JCX71" s="4"/>
      <c r="JCY71" s="4"/>
      <c r="JCZ71" s="4"/>
      <c r="JDA71" s="4"/>
      <c r="JDB71" s="4"/>
      <c r="JDC71" s="4"/>
      <c r="JDD71" s="4"/>
      <c r="JDE71" s="4"/>
      <c r="JDF71" s="4"/>
      <c r="JDG71" s="4"/>
      <c r="JDH71" s="4"/>
      <c r="JDI71" s="4"/>
      <c r="JDJ71" s="4"/>
      <c r="JDK71" s="4"/>
      <c r="JDL71" s="4"/>
      <c r="JDM71" s="4"/>
      <c r="JDN71" s="4"/>
      <c r="JDO71" s="4"/>
      <c r="JDP71" s="4"/>
      <c r="JDQ71" s="4"/>
      <c r="JDR71" s="4"/>
      <c r="JDS71" s="4"/>
      <c r="JDT71" s="4"/>
      <c r="JDU71" s="4"/>
      <c r="JDV71" s="4"/>
      <c r="JDW71" s="4"/>
      <c r="JDX71" s="4"/>
      <c r="JDY71" s="4"/>
      <c r="JDZ71" s="4"/>
      <c r="JEA71" s="4"/>
      <c r="JEB71" s="4"/>
      <c r="JEC71" s="4"/>
      <c r="JED71" s="4"/>
      <c r="JEE71" s="4"/>
      <c r="JEF71" s="4"/>
      <c r="JEG71" s="4"/>
      <c r="JEH71" s="4"/>
      <c r="JEI71" s="4"/>
      <c r="JEJ71" s="4"/>
      <c r="JEK71" s="4"/>
      <c r="JEL71" s="4"/>
      <c r="JEM71" s="4"/>
      <c r="JEN71" s="4"/>
      <c r="JEO71" s="4"/>
      <c r="JEP71" s="4"/>
      <c r="JEQ71" s="4"/>
      <c r="JER71" s="4"/>
      <c r="JES71" s="4"/>
      <c r="JET71" s="4"/>
      <c r="JEU71" s="4"/>
      <c r="JEV71" s="4"/>
      <c r="JEW71" s="4"/>
      <c r="JEX71" s="4"/>
      <c r="JEY71" s="4"/>
      <c r="JEZ71" s="4"/>
      <c r="JFA71" s="4"/>
      <c r="JFB71" s="4"/>
      <c r="JFC71" s="4"/>
      <c r="JFD71" s="4"/>
      <c r="JFE71" s="4"/>
      <c r="JFF71" s="4"/>
      <c r="JFG71" s="4"/>
      <c r="JFH71" s="4"/>
      <c r="JFI71" s="4"/>
      <c r="JFJ71" s="4"/>
      <c r="JFK71" s="4"/>
      <c r="JFL71" s="4"/>
      <c r="JFM71" s="4"/>
      <c r="JFN71" s="4"/>
      <c r="JFO71" s="4"/>
      <c r="JFP71" s="4"/>
      <c r="JFQ71" s="4"/>
      <c r="JFR71" s="4"/>
      <c r="JFS71" s="4"/>
      <c r="JFT71" s="4"/>
      <c r="JFU71" s="4"/>
      <c r="JFV71" s="4"/>
      <c r="JFW71" s="4"/>
      <c r="JFX71" s="4"/>
      <c r="JFY71" s="4"/>
      <c r="JFZ71" s="4"/>
      <c r="JGA71" s="4"/>
      <c r="JGB71" s="4"/>
      <c r="JGC71" s="4"/>
      <c r="JGD71" s="4"/>
      <c r="JGE71" s="4"/>
      <c r="JGF71" s="4"/>
      <c r="JGG71" s="4"/>
      <c r="JGH71" s="4"/>
      <c r="JGI71" s="4"/>
      <c r="JGJ71" s="4"/>
      <c r="JGK71" s="4"/>
      <c r="JGL71" s="4"/>
      <c r="JGM71" s="4"/>
      <c r="JGN71" s="4"/>
      <c r="JGO71" s="4"/>
      <c r="JGP71" s="4"/>
      <c r="JGQ71" s="4"/>
      <c r="JGR71" s="4"/>
      <c r="JGS71" s="4"/>
      <c r="JGT71" s="4"/>
      <c r="JGU71" s="4"/>
      <c r="JGV71" s="4"/>
      <c r="JGW71" s="4"/>
      <c r="JGX71" s="4"/>
      <c r="JGY71" s="4"/>
      <c r="JGZ71" s="4"/>
      <c r="JHA71" s="4"/>
      <c r="JHB71" s="4"/>
      <c r="JHC71" s="4"/>
      <c r="JHD71" s="4"/>
      <c r="JHE71" s="4"/>
      <c r="JHF71" s="4"/>
      <c r="JHG71" s="4"/>
      <c r="JHH71" s="4"/>
      <c r="JHI71" s="4"/>
      <c r="JHJ71" s="4"/>
      <c r="JHK71" s="4"/>
      <c r="JHL71" s="4"/>
      <c r="JHM71" s="4"/>
      <c r="JHN71" s="4"/>
      <c r="JHO71" s="4"/>
      <c r="JHP71" s="4"/>
      <c r="JHQ71" s="4"/>
      <c r="JHR71" s="4"/>
      <c r="JHS71" s="4"/>
      <c r="JHT71" s="4"/>
      <c r="JHU71" s="4"/>
      <c r="JHV71" s="4"/>
      <c r="JHW71" s="4"/>
      <c r="JHX71" s="4"/>
      <c r="JHY71" s="4"/>
      <c r="JHZ71" s="4"/>
      <c r="JIA71" s="4"/>
      <c r="JIB71" s="4"/>
      <c r="JIC71" s="4"/>
      <c r="JID71" s="4"/>
      <c r="JIE71" s="4"/>
      <c r="JIF71" s="4"/>
      <c r="JIG71" s="4"/>
      <c r="JIH71" s="4"/>
      <c r="JII71" s="4"/>
      <c r="JIJ71" s="4"/>
      <c r="JIK71" s="4"/>
      <c r="JIL71" s="4"/>
      <c r="JIM71" s="4"/>
      <c r="JIN71" s="4"/>
      <c r="JIO71" s="4"/>
      <c r="JIP71" s="4"/>
      <c r="JIQ71" s="4"/>
      <c r="JIR71" s="4"/>
      <c r="JIS71" s="4"/>
      <c r="JIT71" s="4"/>
      <c r="JIU71" s="4"/>
      <c r="JIV71" s="4"/>
      <c r="JIW71" s="4"/>
      <c r="JIX71" s="4"/>
      <c r="JIY71" s="4"/>
      <c r="JIZ71" s="4"/>
      <c r="JJA71" s="4"/>
      <c r="JJB71" s="4"/>
      <c r="JJC71" s="4"/>
      <c r="JJD71" s="4"/>
      <c r="JJE71" s="4"/>
      <c r="JJF71" s="4"/>
      <c r="JJG71" s="4"/>
      <c r="JJH71" s="4"/>
      <c r="JJI71" s="4"/>
      <c r="JJJ71" s="4"/>
      <c r="JJK71" s="4"/>
      <c r="JJL71" s="4"/>
      <c r="JJM71" s="4"/>
      <c r="JJN71" s="4"/>
      <c r="JJO71" s="4"/>
      <c r="JJP71" s="4"/>
      <c r="JJQ71" s="4"/>
      <c r="JJR71" s="4"/>
      <c r="JJS71" s="4"/>
      <c r="JJT71" s="4"/>
      <c r="JJU71" s="4"/>
      <c r="JJV71" s="4"/>
      <c r="JJW71" s="4"/>
      <c r="JJX71" s="4"/>
      <c r="JJY71" s="4"/>
      <c r="JJZ71" s="4"/>
      <c r="JKA71" s="4"/>
      <c r="JKB71" s="4"/>
      <c r="JKC71" s="4"/>
      <c r="JKD71" s="4"/>
      <c r="JKE71" s="4"/>
      <c r="JKF71" s="4"/>
      <c r="JKG71" s="4"/>
      <c r="JKH71" s="4"/>
      <c r="JKI71" s="4"/>
      <c r="JKJ71" s="4"/>
      <c r="JKK71" s="4"/>
      <c r="JKL71" s="4"/>
      <c r="JKM71" s="4"/>
      <c r="JKN71" s="4"/>
      <c r="JKO71" s="4"/>
      <c r="JKP71" s="4"/>
      <c r="JKQ71" s="4"/>
      <c r="JKR71" s="4"/>
      <c r="JKS71" s="4"/>
      <c r="JKT71" s="4"/>
      <c r="JKU71" s="4"/>
      <c r="JKV71" s="4"/>
      <c r="JKW71" s="4"/>
      <c r="JKX71" s="4"/>
      <c r="JKY71" s="4"/>
      <c r="JKZ71" s="4"/>
      <c r="JLA71" s="4"/>
      <c r="JLB71" s="4"/>
      <c r="JLC71" s="4"/>
      <c r="JLD71" s="4"/>
      <c r="JLE71" s="4"/>
      <c r="JLF71" s="4"/>
      <c r="JLG71" s="4"/>
      <c r="JLH71" s="4"/>
      <c r="JLI71" s="4"/>
      <c r="JLJ71" s="4"/>
      <c r="JLK71" s="4"/>
      <c r="JLL71" s="4"/>
      <c r="JLM71" s="4"/>
      <c r="JLN71" s="4"/>
      <c r="JLO71" s="4"/>
      <c r="JLP71" s="4"/>
      <c r="JLQ71" s="4"/>
      <c r="JLR71" s="4"/>
      <c r="JLS71" s="4"/>
      <c r="JLT71" s="4"/>
      <c r="JLU71" s="4"/>
      <c r="JLV71" s="4"/>
      <c r="JLW71" s="4"/>
      <c r="JLX71" s="4"/>
      <c r="JLY71" s="4"/>
      <c r="JLZ71" s="4"/>
      <c r="JMA71" s="4"/>
      <c r="JMB71" s="4"/>
      <c r="JMC71" s="4"/>
      <c r="JMD71" s="4"/>
      <c r="JME71" s="4"/>
      <c r="JMF71" s="4"/>
      <c r="JMG71" s="4"/>
      <c r="JMH71" s="4"/>
      <c r="JMI71" s="4"/>
      <c r="JMJ71" s="4"/>
      <c r="JMK71" s="4"/>
      <c r="JML71" s="4"/>
      <c r="JMM71" s="4"/>
      <c r="JMN71" s="4"/>
      <c r="JMO71" s="4"/>
      <c r="JMP71" s="4"/>
      <c r="JMQ71" s="4"/>
      <c r="JMR71" s="4"/>
      <c r="JMS71" s="4"/>
      <c r="JMT71" s="4"/>
      <c r="JMU71" s="4"/>
      <c r="JMV71" s="4"/>
      <c r="JMW71" s="4"/>
      <c r="JMX71" s="4"/>
      <c r="JMY71" s="4"/>
      <c r="JMZ71" s="4"/>
      <c r="JNA71" s="4"/>
      <c r="JNB71" s="4"/>
      <c r="JNC71" s="4"/>
      <c r="JND71" s="4"/>
      <c r="JNE71" s="4"/>
      <c r="JNF71" s="4"/>
      <c r="JNG71" s="4"/>
      <c r="JNH71" s="4"/>
      <c r="JNI71" s="4"/>
      <c r="JNJ71" s="4"/>
      <c r="JNK71" s="4"/>
      <c r="JNL71" s="4"/>
      <c r="JNM71" s="4"/>
      <c r="JNN71" s="4"/>
      <c r="JNO71" s="4"/>
      <c r="JNP71" s="4"/>
      <c r="JNQ71" s="4"/>
      <c r="JNR71" s="4"/>
      <c r="JNS71" s="4"/>
      <c r="JNT71" s="4"/>
      <c r="JNU71" s="4"/>
      <c r="JNV71" s="4"/>
      <c r="JNW71" s="4"/>
      <c r="JNX71" s="4"/>
      <c r="JNY71" s="4"/>
      <c r="JNZ71" s="4"/>
      <c r="JOA71" s="4"/>
      <c r="JOB71" s="4"/>
      <c r="JOC71" s="4"/>
      <c r="JOD71" s="4"/>
      <c r="JOE71" s="4"/>
      <c r="JOF71" s="4"/>
      <c r="JOG71" s="4"/>
      <c r="JOH71" s="4"/>
      <c r="JOI71" s="4"/>
      <c r="JOJ71" s="4"/>
      <c r="JOK71" s="4"/>
      <c r="JOL71" s="4"/>
      <c r="JOM71" s="4"/>
      <c r="JON71" s="4"/>
      <c r="JOO71" s="4"/>
      <c r="JOP71" s="4"/>
      <c r="JOQ71" s="4"/>
      <c r="JOR71" s="4"/>
      <c r="JOS71" s="4"/>
      <c r="JOT71" s="4"/>
      <c r="JOU71" s="4"/>
      <c r="JOV71" s="4"/>
      <c r="JOW71" s="4"/>
      <c r="JOX71" s="4"/>
      <c r="JOY71" s="4"/>
      <c r="JOZ71" s="4"/>
      <c r="JPA71" s="4"/>
      <c r="JPB71" s="4"/>
      <c r="JPC71" s="4"/>
      <c r="JPD71" s="4"/>
      <c r="JPE71" s="4"/>
      <c r="JPF71" s="4"/>
      <c r="JPG71" s="4"/>
      <c r="JPH71" s="4"/>
      <c r="JPI71" s="4"/>
      <c r="JPJ71" s="4"/>
      <c r="JPK71" s="4"/>
      <c r="JPL71" s="4"/>
      <c r="JPM71" s="4"/>
      <c r="JPN71" s="4"/>
      <c r="JPO71" s="4"/>
      <c r="JPP71" s="4"/>
      <c r="JPQ71" s="4"/>
      <c r="JPR71" s="4"/>
      <c r="JPS71" s="4"/>
      <c r="JPT71" s="4"/>
      <c r="JPU71" s="4"/>
      <c r="JPV71" s="4"/>
      <c r="JPW71" s="4"/>
      <c r="JPX71" s="4"/>
      <c r="JPY71" s="4"/>
      <c r="JPZ71" s="4"/>
      <c r="JQA71" s="4"/>
      <c r="JQB71" s="4"/>
      <c r="JQC71" s="4"/>
      <c r="JQD71" s="4"/>
      <c r="JQE71" s="4"/>
      <c r="JQF71" s="4"/>
      <c r="JQG71" s="4"/>
      <c r="JQH71" s="4"/>
      <c r="JQI71" s="4"/>
      <c r="JQJ71" s="4"/>
      <c r="JQK71" s="4"/>
      <c r="JQL71" s="4"/>
      <c r="JQM71" s="4"/>
      <c r="JQN71" s="4"/>
      <c r="JQO71" s="4"/>
      <c r="JQP71" s="4"/>
      <c r="JQQ71" s="4"/>
      <c r="JQR71" s="4"/>
      <c r="JQS71" s="4"/>
      <c r="JQT71" s="4"/>
      <c r="JQU71" s="4"/>
      <c r="JQV71" s="4"/>
      <c r="JQW71" s="4"/>
      <c r="JQX71" s="4"/>
      <c r="JQY71" s="4"/>
      <c r="JQZ71" s="4"/>
      <c r="JRA71" s="4"/>
      <c r="JRB71" s="4"/>
      <c r="JRC71" s="4"/>
      <c r="JRD71" s="4"/>
      <c r="JRE71" s="4"/>
      <c r="JRF71" s="4"/>
      <c r="JRG71" s="4"/>
      <c r="JRH71" s="4"/>
      <c r="JRI71" s="4"/>
      <c r="JRJ71" s="4"/>
      <c r="JRK71" s="4"/>
      <c r="JRL71" s="4"/>
      <c r="JRM71" s="4"/>
      <c r="JRN71" s="4"/>
      <c r="JRO71" s="4"/>
      <c r="JRP71" s="4"/>
      <c r="JRQ71" s="4"/>
      <c r="JRR71" s="4"/>
      <c r="JRS71" s="4"/>
      <c r="JRT71" s="4"/>
      <c r="JRU71" s="4"/>
      <c r="JRV71" s="4"/>
      <c r="JRW71" s="4"/>
      <c r="JRX71" s="4"/>
      <c r="JRY71" s="4"/>
      <c r="JRZ71" s="4"/>
      <c r="JSA71" s="4"/>
      <c r="JSB71" s="4"/>
      <c r="JSC71" s="4"/>
      <c r="JSD71" s="4"/>
      <c r="JSE71" s="4"/>
      <c r="JSF71" s="4"/>
      <c r="JSG71" s="4"/>
      <c r="JSH71" s="4"/>
      <c r="JSI71" s="4"/>
      <c r="JSJ71" s="4"/>
      <c r="JSK71" s="4"/>
      <c r="JSL71" s="4"/>
      <c r="JSM71" s="4"/>
      <c r="JSN71" s="4"/>
      <c r="JSO71" s="4"/>
      <c r="JSP71" s="4"/>
      <c r="JSQ71" s="4"/>
      <c r="JSR71" s="4"/>
      <c r="JSS71" s="4"/>
      <c r="JST71" s="4"/>
      <c r="JSU71" s="4"/>
      <c r="JSV71" s="4"/>
      <c r="JSW71" s="4"/>
      <c r="JSX71" s="4"/>
      <c r="JSY71" s="4"/>
      <c r="JSZ71" s="4"/>
      <c r="JTA71" s="4"/>
      <c r="JTB71" s="4"/>
      <c r="JTC71" s="4"/>
      <c r="JTD71" s="4"/>
      <c r="JTE71" s="4"/>
      <c r="JTF71" s="4"/>
      <c r="JTG71" s="4"/>
      <c r="JTH71" s="4"/>
      <c r="JTI71" s="4"/>
      <c r="JTJ71" s="4"/>
      <c r="JTK71" s="4"/>
      <c r="JTL71" s="4"/>
      <c r="JTM71" s="4"/>
      <c r="JTN71" s="4"/>
      <c r="JTO71" s="4"/>
      <c r="JTP71" s="4"/>
      <c r="JTQ71" s="4"/>
      <c r="JTR71" s="4"/>
      <c r="JTS71" s="4"/>
      <c r="JTT71" s="4"/>
      <c r="JTU71" s="4"/>
      <c r="JTV71" s="4"/>
      <c r="JTW71" s="4"/>
      <c r="JTX71" s="4"/>
      <c r="JTY71" s="4"/>
      <c r="JTZ71" s="4"/>
      <c r="JUA71" s="4"/>
      <c r="JUB71" s="4"/>
      <c r="JUC71" s="4"/>
      <c r="JUD71" s="4"/>
      <c r="JUE71" s="4"/>
      <c r="JUF71" s="4"/>
      <c r="JUG71" s="4"/>
      <c r="JUH71" s="4"/>
      <c r="JUI71" s="4"/>
      <c r="JUJ71" s="4"/>
      <c r="JUK71" s="4"/>
      <c r="JUL71" s="4"/>
      <c r="JUM71" s="4"/>
      <c r="JUN71" s="4"/>
      <c r="JUO71" s="4"/>
      <c r="JUP71" s="4"/>
      <c r="JUQ71" s="4"/>
      <c r="JUR71" s="4"/>
      <c r="JUS71" s="4"/>
      <c r="JUT71" s="4"/>
      <c r="JUU71" s="4"/>
      <c r="JUV71" s="4"/>
      <c r="JUW71" s="4"/>
      <c r="JUX71" s="4"/>
      <c r="JUY71" s="4"/>
      <c r="JUZ71" s="4"/>
      <c r="JVA71" s="4"/>
      <c r="JVB71" s="4"/>
      <c r="JVC71" s="4"/>
      <c r="JVD71" s="4"/>
      <c r="JVE71" s="4"/>
      <c r="JVF71" s="4"/>
      <c r="JVG71" s="4"/>
      <c r="JVH71" s="4"/>
      <c r="JVI71" s="4"/>
      <c r="JVJ71" s="4"/>
      <c r="JVK71" s="4"/>
      <c r="JVL71" s="4"/>
      <c r="JVM71" s="4"/>
      <c r="JVN71" s="4"/>
      <c r="JVO71" s="4"/>
      <c r="JVP71" s="4"/>
      <c r="JVQ71" s="4"/>
      <c r="JVR71" s="4"/>
      <c r="JVS71" s="4"/>
      <c r="JVT71" s="4"/>
      <c r="JVU71" s="4"/>
      <c r="JVV71" s="4"/>
      <c r="JVW71" s="4"/>
      <c r="JVX71" s="4"/>
      <c r="JVY71" s="4"/>
      <c r="JVZ71" s="4"/>
      <c r="JWA71" s="4"/>
      <c r="JWB71" s="4"/>
      <c r="JWC71" s="4"/>
      <c r="JWD71" s="4"/>
      <c r="JWE71" s="4"/>
      <c r="JWF71" s="4"/>
      <c r="JWG71" s="4"/>
      <c r="JWH71" s="4"/>
      <c r="JWI71" s="4"/>
      <c r="JWJ71" s="4"/>
      <c r="JWK71" s="4"/>
      <c r="JWL71" s="4"/>
      <c r="JWM71" s="4"/>
      <c r="JWN71" s="4"/>
      <c r="JWO71" s="4"/>
      <c r="JWP71" s="4"/>
      <c r="JWQ71" s="4"/>
      <c r="JWR71" s="4"/>
      <c r="JWS71" s="4"/>
      <c r="JWT71" s="4"/>
      <c r="JWU71" s="4"/>
      <c r="JWV71" s="4"/>
      <c r="JWW71" s="4"/>
      <c r="JWX71" s="4"/>
      <c r="JWY71" s="4"/>
      <c r="JWZ71" s="4"/>
      <c r="JXA71" s="4"/>
      <c r="JXB71" s="4"/>
      <c r="JXC71" s="4"/>
      <c r="JXD71" s="4"/>
      <c r="JXE71" s="4"/>
      <c r="JXF71" s="4"/>
      <c r="JXG71" s="4"/>
      <c r="JXH71" s="4"/>
      <c r="JXI71" s="4"/>
      <c r="JXJ71" s="4"/>
      <c r="JXK71" s="4"/>
      <c r="JXL71" s="4"/>
      <c r="JXM71" s="4"/>
      <c r="JXN71" s="4"/>
      <c r="JXO71" s="4"/>
      <c r="JXP71" s="4"/>
      <c r="JXQ71" s="4"/>
      <c r="JXR71" s="4"/>
      <c r="JXS71" s="4"/>
      <c r="JXT71" s="4"/>
      <c r="JXU71" s="4"/>
      <c r="JXV71" s="4"/>
      <c r="JXW71" s="4"/>
      <c r="JXX71" s="4"/>
      <c r="JXY71" s="4"/>
      <c r="JXZ71" s="4"/>
      <c r="JYA71" s="4"/>
      <c r="JYB71" s="4"/>
      <c r="JYC71" s="4"/>
      <c r="JYD71" s="4"/>
      <c r="JYE71" s="4"/>
      <c r="JYF71" s="4"/>
      <c r="JYG71" s="4"/>
      <c r="JYH71" s="4"/>
      <c r="JYI71" s="4"/>
      <c r="JYJ71" s="4"/>
      <c r="JYK71" s="4"/>
      <c r="JYL71" s="4"/>
      <c r="JYM71" s="4"/>
      <c r="JYN71" s="4"/>
      <c r="JYO71" s="4"/>
      <c r="JYP71" s="4"/>
      <c r="JYQ71" s="4"/>
      <c r="JYR71" s="4"/>
      <c r="JYS71" s="4"/>
      <c r="JYT71" s="4"/>
      <c r="JYU71" s="4"/>
      <c r="JYV71" s="4"/>
      <c r="JYW71" s="4"/>
      <c r="JYX71" s="4"/>
      <c r="JYY71" s="4"/>
      <c r="JYZ71" s="4"/>
      <c r="JZA71" s="4"/>
      <c r="JZB71" s="4"/>
      <c r="JZC71" s="4"/>
      <c r="JZD71" s="4"/>
      <c r="JZE71" s="4"/>
      <c r="JZF71" s="4"/>
      <c r="JZG71" s="4"/>
      <c r="JZH71" s="4"/>
      <c r="JZI71" s="4"/>
      <c r="JZJ71" s="4"/>
      <c r="JZK71" s="4"/>
      <c r="JZL71" s="4"/>
      <c r="JZM71" s="4"/>
      <c r="JZN71" s="4"/>
      <c r="JZO71" s="4"/>
      <c r="JZP71" s="4"/>
      <c r="JZQ71" s="4"/>
      <c r="JZR71" s="4"/>
      <c r="JZS71" s="4"/>
      <c r="JZT71" s="4"/>
      <c r="JZU71" s="4"/>
      <c r="JZV71" s="4"/>
      <c r="JZW71" s="4"/>
      <c r="JZX71" s="4"/>
      <c r="JZY71" s="4"/>
      <c r="JZZ71" s="4"/>
      <c r="KAA71" s="4"/>
      <c r="KAB71" s="4"/>
      <c r="KAC71" s="4"/>
      <c r="KAD71" s="4"/>
      <c r="KAE71" s="4"/>
      <c r="KAF71" s="4"/>
      <c r="KAG71" s="4"/>
      <c r="KAH71" s="4"/>
      <c r="KAI71" s="4"/>
      <c r="KAJ71" s="4"/>
      <c r="KAK71" s="4"/>
      <c r="KAL71" s="4"/>
      <c r="KAM71" s="4"/>
      <c r="KAN71" s="4"/>
      <c r="KAO71" s="4"/>
      <c r="KAP71" s="4"/>
      <c r="KAQ71" s="4"/>
      <c r="KAR71" s="4"/>
      <c r="KAS71" s="4"/>
      <c r="KAT71" s="4"/>
      <c r="KAU71" s="4"/>
      <c r="KAV71" s="4"/>
      <c r="KAW71" s="4"/>
      <c r="KAX71" s="4"/>
      <c r="KAY71" s="4"/>
      <c r="KAZ71" s="4"/>
      <c r="KBA71" s="4"/>
      <c r="KBB71" s="4"/>
      <c r="KBC71" s="4"/>
      <c r="KBD71" s="4"/>
      <c r="KBE71" s="4"/>
      <c r="KBF71" s="4"/>
      <c r="KBG71" s="4"/>
      <c r="KBH71" s="4"/>
      <c r="KBI71" s="4"/>
      <c r="KBJ71" s="4"/>
      <c r="KBK71" s="4"/>
      <c r="KBL71" s="4"/>
      <c r="KBM71" s="4"/>
      <c r="KBN71" s="4"/>
      <c r="KBO71" s="4"/>
      <c r="KBP71" s="4"/>
      <c r="KBQ71" s="4"/>
      <c r="KBR71" s="4"/>
      <c r="KBS71" s="4"/>
      <c r="KBT71" s="4"/>
      <c r="KBU71" s="4"/>
      <c r="KBV71" s="4"/>
      <c r="KBW71" s="4"/>
      <c r="KBX71" s="4"/>
      <c r="KBY71" s="4"/>
      <c r="KBZ71" s="4"/>
      <c r="KCA71" s="4"/>
      <c r="KCB71" s="4"/>
      <c r="KCC71" s="4"/>
      <c r="KCD71" s="4"/>
      <c r="KCE71" s="4"/>
      <c r="KCF71" s="4"/>
      <c r="KCG71" s="4"/>
      <c r="KCH71" s="4"/>
      <c r="KCI71" s="4"/>
      <c r="KCJ71" s="4"/>
      <c r="KCK71" s="4"/>
      <c r="KCL71" s="4"/>
      <c r="KCM71" s="4"/>
      <c r="KCN71" s="4"/>
      <c r="KCO71" s="4"/>
      <c r="KCP71" s="4"/>
      <c r="KCQ71" s="4"/>
      <c r="KCR71" s="4"/>
      <c r="KCS71" s="4"/>
      <c r="KCT71" s="4"/>
      <c r="KCU71" s="4"/>
      <c r="KCV71" s="4"/>
      <c r="KCW71" s="4"/>
      <c r="KCX71" s="4"/>
      <c r="KCY71" s="4"/>
      <c r="KCZ71" s="4"/>
      <c r="KDA71" s="4"/>
      <c r="KDB71" s="4"/>
      <c r="KDC71" s="4"/>
      <c r="KDD71" s="4"/>
      <c r="KDE71" s="4"/>
      <c r="KDF71" s="4"/>
      <c r="KDG71" s="4"/>
      <c r="KDH71" s="4"/>
      <c r="KDI71" s="4"/>
      <c r="KDJ71" s="4"/>
      <c r="KDK71" s="4"/>
      <c r="KDL71" s="4"/>
      <c r="KDM71" s="4"/>
      <c r="KDN71" s="4"/>
      <c r="KDO71" s="4"/>
      <c r="KDP71" s="4"/>
      <c r="KDQ71" s="4"/>
      <c r="KDR71" s="4"/>
      <c r="KDS71" s="4"/>
      <c r="KDT71" s="4"/>
      <c r="KDU71" s="4"/>
      <c r="KDV71" s="4"/>
      <c r="KDW71" s="4"/>
      <c r="KDX71" s="4"/>
      <c r="KDY71" s="4"/>
      <c r="KDZ71" s="4"/>
      <c r="KEA71" s="4"/>
      <c r="KEB71" s="4"/>
      <c r="KEC71" s="4"/>
      <c r="KED71" s="4"/>
      <c r="KEE71" s="4"/>
      <c r="KEF71" s="4"/>
      <c r="KEG71" s="4"/>
      <c r="KEH71" s="4"/>
      <c r="KEI71" s="4"/>
      <c r="KEJ71" s="4"/>
      <c r="KEK71" s="4"/>
      <c r="KEL71" s="4"/>
      <c r="KEM71" s="4"/>
      <c r="KEN71" s="4"/>
      <c r="KEO71" s="4"/>
      <c r="KEP71" s="4"/>
      <c r="KEQ71" s="4"/>
      <c r="KER71" s="4"/>
      <c r="KES71" s="4"/>
      <c r="KET71" s="4"/>
      <c r="KEU71" s="4"/>
      <c r="KEV71" s="4"/>
      <c r="KEW71" s="4"/>
      <c r="KEX71" s="4"/>
      <c r="KEY71" s="4"/>
      <c r="KEZ71" s="4"/>
      <c r="KFA71" s="4"/>
      <c r="KFB71" s="4"/>
      <c r="KFC71" s="4"/>
      <c r="KFD71" s="4"/>
      <c r="KFE71" s="4"/>
      <c r="KFF71" s="4"/>
      <c r="KFG71" s="4"/>
      <c r="KFH71" s="4"/>
      <c r="KFI71" s="4"/>
      <c r="KFJ71" s="4"/>
      <c r="KFK71" s="4"/>
      <c r="KFL71" s="4"/>
      <c r="KFM71" s="4"/>
      <c r="KFN71" s="4"/>
      <c r="KFO71" s="4"/>
      <c r="KFP71" s="4"/>
      <c r="KFQ71" s="4"/>
      <c r="KFR71" s="4"/>
      <c r="KFS71" s="4"/>
      <c r="KFT71" s="4"/>
      <c r="KFU71" s="4"/>
      <c r="KFV71" s="4"/>
      <c r="KFW71" s="4"/>
      <c r="KFX71" s="4"/>
      <c r="KFY71" s="4"/>
      <c r="KFZ71" s="4"/>
      <c r="KGA71" s="4"/>
      <c r="KGB71" s="4"/>
      <c r="KGC71" s="4"/>
      <c r="KGD71" s="4"/>
      <c r="KGE71" s="4"/>
      <c r="KGF71" s="4"/>
      <c r="KGG71" s="4"/>
      <c r="KGH71" s="4"/>
      <c r="KGI71" s="4"/>
      <c r="KGJ71" s="4"/>
      <c r="KGK71" s="4"/>
      <c r="KGL71" s="4"/>
      <c r="KGM71" s="4"/>
      <c r="KGN71" s="4"/>
      <c r="KGO71" s="4"/>
      <c r="KGP71" s="4"/>
      <c r="KGQ71" s="4"/>
      <c r="KGR71" s="4"/>
      <c r="KGS71" s="4"/>
      <c r="KGT71" s="4"/>
      <c r="KGU71" s="4"/>
      <c r="KGV71" s="4"/>
      <c r="KGW71" s="4"/>
      <c r="KGX71" s="4"/>
      <c r="KGY71" s="4"/>
      <c r="KGZ71" s="4"/>
      <c r="KHA71" s="4"/>
      <c r="KHB71" s="4"/>
      <c r="KHC71" s="4"/>
      <c r="KHD71" s="4"/>
      <c r="KHE71" s="4"/>
      <c r="KHF71" s="4"/>
      <c r="KHG71" s="4"/>
      <c r="KHH71" s="4"/>
      <c r="KHI71" s="4"/>
      <c r="KHJ71" s="4"/>
      <c r="KHK71" s="4"/>
      <c r="KHL71" s="4"/>
      <c r="KHM71" s="4"/>
      <c r="KHN71" s="4"/>
      <c r="KHO71" s="4"/>
      <c r="KHP71" s="4"/>
      <c r="KHQ71" s="4"/>
      <c r="KHR71" s="4"/>
      <c r="KHS71" s="4"/>
      <c r="KHT71" s="4"/>
      <c r="KHU71" s="4"/>
      <c r="KHV71" s="4"/>
      <c r="KHW71" s="4"/>
      <c r="KHX71" s="4"/>
      <c r="KHY71" s="4"/>
      <c r="KHZ71" s="4"/>
      <c r="KIA71" s="4"/>
      <c r="KIB71" s="4"/>
      <c r="KIC71" s="4"/>
      <c r="KID71" s="4"/>
      <c r="KIE71" s="4"/>
      <c r="KIF71" s="4"/>
      <c r="KIG71" s="4"/>
      <c r="KIH71" s="4"/>
      <c r="KII71" s="4"/>
      <c r="KIJ71" s="4"/>
      <c r="KIK71" s="4"/>
      <c r="KIL71" s="4"/>
      <c r="KIM71" s="4"/>
      <c r="KIN71" s="4"/>
      <c r="KIO71" s="4"/>
      <c r="KIP71" s="4"/>
      <c r="KIQ71" s="4"/>
      <c r="KIR71" s="4"/>
      <c r="KIS71" s="4"/>
      <c r="KIT71" s="4"/>
      <c r="KIU71" s="4"/>
      <c r="KIV71" s="4"/>
      <c r="KIW71" s="4"/>
      <c r="KIX71" s="4"/>
      <c r="KIY71" s="4"/>
      <c r="KIZ71" s="4"/>
      <c r="KJA71" s="4"/>
      <c r="KJB71" s="4"/>
      <c r="KJC71" s="4"/>
      <c r="KJD71" s="4"/>
      <c r="KJE71" s="4"/>
      <c r="KJF71" s="4"/>
      <c r="KJG71" s="4"/>
      <c r="KJH71" s="4"/>
      <c r="KJI71" s="4"/>
      <c r="KJJ71" s="4"/>
      <c r="KJK71" s="4"/>
      <c r="KJL71" s="4"/>
      <c r="KJM71" s="4"/>
      <c r="KJN71" s="4"/>
      <c r="KJO71" s="4"/>
      <c r="KJP71" s="4"/>
      <c r="KJQ71" s="4"/>
      <c r="KJR71" s="4"/>
      <c r="KJS71" s="4"/>
      <c r="KJT71" s="4"/>
      <c r="KJU71" s="4"/>
      <c r="KJV71" s="4"/>
      <c r="KJW71" s="4"/>
      <c r="KJX71" s="4"/>
      <c r="KJY71" s="4"/>
      <c r="KJZ71" s="4"/>
      <c r="KKA71" s="4"/>
      <c r="KKB71" s="4"/>
      <c r="KKC71" s="4"/>
      <c r="KKD71" s="4"/>
      <c r="KKE71" s="4"/>
      <c r="KKF71" s="4"/>
      <c r="KKG71" s="4"/>
      <c r="KKH71" s="4"/>
      <c r="KKI71" s="4"/>
      <c r="KKJ71" s="4"/>
      <c r="KKK71" s="4"/>
      <c r="KKL71" s="4"/>
      <c r="KKM71" s="4"/>
      <c r="KKN71" s="4"/>
      <c r="KKO71" s="4"/>
      <c r="KKP71" s="4"/>
      <c r="KKQ71" s="4"/>
      <c r="KKR71" s="4"/>
      <c r="KKS71" s="4"/>
      <c r="KKT71" s="4"/>
      <c r="KKU71" s="4"/>
      <c r="KKV71" s="4"/>
      <c r="KKW71" s="4"/>
      <c r="KKX71" s="4"/>
      <c r="KKY71" s="4"/>
      <c r="KKZ71" s="4"/>
      <c r="KLA71" s="4"/>
      <c r="KLB71" s="4"/>
      <c r="KLC71" s="4"/>
      <c r="KLD71" s="4"/>
      <c r="KLE71" s="4"/>
      <c r="KLF71" s="4"/>
      <c r="KLG71" s="4"/>
      <c r="KLH71" s="4"/>
      <c r="KLI71" s="4"/>
      <c r="KLJ71" s="4"/>
      <c r="KLK71" s="4"/>
      <c r="KLL71" s="4"/>
      <c r="KLM71" s="4"/>
      <c r="KLN71" s="4"/>
      <c r="KLO71" s="4"/>
      <c r="KLP71" s="4"/>
      <c r="KLQ71" s="4"/>
      <c r="KLR71" s="4"/>
      <c r="KLS71" s="4"/>
      <c r="KLT71" s="4"/>
      <c r="KLU71" s="4"/>
      <c r="KLV71" s="4"/>
      <c r="KLW71" s="4"/>
      <c r="KLX71" s="4"/>
      <c r="KLY71" s="4"/>
      <c r="KLZ71" s="4"/>
      <c r="KMA71" s="4"/>
      <c r="KMB71" s="4"/>
      <c r="KMC71" s="4"/>
      <c r="KMD71" s="4"/>
      <c r="KME71" s="4"/>
      <c r="KMF71" s="4"/>
      <c r="KMG71" s="4"/>
      <c r="KMH71" s="4"/>
      <c r="KMI71" s="4"/>
      <c r="KMJ71" s="4"/>
      <c r="KMK71" s="4"/>
      <c r="KML71" s="4"/>
      <c r="KMM71" s="4"/>
      <c r="KMN71" s="4"/>
      <c r="KMO71" s="4"/>
      <c r="KMP71" s="4"/>
      <c r="KMQ71" s="4"/>
      <c r="KMR71" s="4"/>
      <c r="KMS71" s="4"/>
      <c r="KMT71" s="4"/>
      <c r="KMU71" s="4"/>
      <c r="KMV71" s="4"/>
      <c r="KMW71" s="4"/>
      <c r="KMX71" s="4"/>
      <c r="KMY71" s="4"/>
      <c r="KMZ71" s="4"/>
      <c r="KNA71" s="4"/>
      <c r="KNB71" s="4"/>
      <c r="KNC71" s="4"/>
      <c r="KND71" s="4"/>
      <c r="KNE71" s="4"/>
      <c r="KNF71" s="4"/>
      <c r="KNG71" s="4"/>
      <c r="KNH71" s="4"/>
      <c r="KNI71" s="4"/>
      <c r="KNJ71" s="4"/>
      <c r="KNK71" s="4"/>
      <c r="KNL71" s="4"/>
      <c r="KNM71" s="4"/>
      <c r="KNN71" s="4"/>
      <c r="KNO71" s="4"/>
      <c r="KNP71" s="4"/>
      <c r="KNQ71" s="4"/>
      <c r="KNR71" s="4"/>
      <c r="KNS71" s="4"/>
      <c r="KNT71" s="4"/>
      <c r="KNU71" s="4"/>
      <c r="KNV71" s="4"/>
      <c r="KNW71" s="4"/>
      <c r="KNX71" s="4"/>
      <c r="KNY71" s="4"/>
      <c r="KNZ71" s="4"/>
      <c r="KOA71" s="4"/>
      <c r="KOB71" s="4"/>
      <c r="KOC71" s="4"/>
      <c r="KOD71" s="4"/>
      <c r="KOE71" s="4"/>
      <c r="KOF71" s="4"/>
      <c r="KOG71" s="4"/>
      <c r="KOH71" s="4"/>
      <c r="KOI71" s="4"/>
      <c r="KOJ71" s="4"/>
      <c r="KOK71" s="4"/>
      <c r="KOL71" s="4"/>
      <c r="KOM71" s="4"/>
      <c r="KON71" s="4"/>
      <c r="KOO71" s="4"/>
      <c r="KOP71" s="4"/>
      <c r="KOQ71" s="4"/>
      <c r="KOR71" s="4"/>
      <c r="KOS71" s="4"/>
      <c r="KOT71" s="4"/>
      <c r="KOU71" s="4"/>
      <c r="KOV71" s="4"/>
      <c r="KOW71" s="4"/>
      <c r="KOX71" s="4"/>
      <c r="KOY71" s="4"/>
      <c r="KOZ71" s="4"/>
      <c r="KPA71" s="4"/>
      <c r="KPB71" s="4"/>
      <c r="KPC71" s="4"/>
      <c r="KPD71" s="4"/>
      <c r="KPE71" s="4"/>
      <c r="KPF71" s="4"/>
      <c r="KPG71" s="4"/>
      <c r="KPH71" s="4"/>
      <c r="KPI71" s="4"/>
      <c r="KPJ71" s="4"/>
      <c r="KPK71" s="4"/>
      <c r="KPL71" s="4"/>
      <c r="KPM71" s="4"/>
      <c r="KPN71" s="4"/>
      <c r="KPO71" s="4"/>
      <c r="KPP71" s="4"/>
      <c r="KPQ71" s="4"/>
      <c r="KPR71" s="4"/>
      <c r="KPS71" s="4"/>
      <c r="KPT71" s="4"/>
      <c r="KPU71" s="4"/>
      <c r="KPV71" s="4"/>
      <c r="KPW71" s="4"/>
      <c r="KPX71" s="4"/>
      <c r="KPY71" s="4"/>
      <c r="KPZ71" s="4"/>
      <c r="KQA71" s="4"/>
      <c r="KQB71" s="4"/>
      <c r="KQC71" s="4"/>
      <c r="KQD71" s="4"/>
      <c r="KQE71" s="4"/>
      <c r="KQF71" s="4"/>
      <c r="KQG71" s="4"/>
      <c r="KQH71" s="4"/>
      <c r="KQI71" s="4"/>
      <c r="KQJ71" s="4"/>
      <c r="KQK71" s="4"/>
      <c r="KQL71" s="4"/>
      <c r="KQM71" s="4"/>
      <c r="KQN71" s="4"/>
      <c r="KQO71" s="4"/>
      <c r="KQP71" s="4"/>
      <c r="KQQ71" s="4"/>
      <c r="KQR71" s="4"/>
      <c r="KQS71" s="4"/>
      <c r="KQT71" s="4"/>
      <c r="KQU71" s="4"/>
      <c r="KQV71" s="4"/>
      <c r="KQW71" s="4"/>
      <c r="KQX71" s="4"/>
      <c r="KQY71" s="4"/>
      <c r="KQZ71" s="4"/>
      <c r="KRA71" s="4"/>
      <c r="KRB71" s="4"/>
      <c r="KRC71" s="4"/>
      <c r="KRD71" s="4"/>
      <c r="KRE71" s="4"/>
      <c r="KRF71" s="4"/>
      <c r="KRG71" s="4"/>
      <c r="KRH71" s="4"/>
      <c r="KRI71" s="4"/>
      <c r="KRJ71" s="4"/>
      <c r="KRK71" s="4"/>
      <c r="KRL71" s="4"/>
      <c r="KRM71" s="4"/>
      <c r="KRN71" s="4"/>
      <c r="KRO71" s="4"/>
      <c r="KRP71" s="4"/>
      <c r="KRQ71" s="4"/>
      <c r="KRR71" s="4"/>
      <c r="KRS71" s="4"/>
      <c r="KRT71" s="4"/>
      <c r="KRU71" s="4"/>
      <c r="KRV71" s="4"/>
      <c r="KRW71" s="4"/>
      <c r="KRX71" s="4"/>
      <c r="KRY71" s="4"/>
      <c r="KRZ71" s="4"/>
      <c r="KSA71" s="4"/>
      <c r="KSB71" s="4"/>
      <c r="KSC71" s="4"/>
      <c r="KSD71" s="4"/>
      <c r="KSE71" s="4"/>
      <c r="KSF71" s="4"/>
      <c r="KSG71" s="4"/>
      <c r="KSH71" s="4"/>
      <c r="KSI71" s="4"/>
      <c r="KSJ71" s="4"/>
      <c r="KSK71" s="4"/>
      <c r="KSL71" s="4"/>
      <c r="KSM71" s="4"/>
      <c r="KSN71" s="4"/>
      <c r="KSO71" s="4"/>
      <c r="KSP71" s="4"/>
      <c r="KSQ71" s="4"/>
      <c r="KSR71" s="4"/>
      <c r="KSS71" s="4"/>
      <c r="KST71" s="4"/>
      <c r="KSU71" s="4"/>
      <c r="KSV71" s="4"/>
      <c r="KSW71" s="4"/>
      <c r="KSX71" s="4"/>
      <c r="KSY71" s="4"/>
      <c r="KSZ71" s="4"/>
      <c r="KTA71" s="4"/>
      <c r="KTB71" s="4"/>
      <c r="KTC71" s="4"/>
      <c r="KTD71" s="4"/>
      <c r="KTE71" s="4"/>
      <c r="KTF71" s="4"/>
      <c r="KTG71" s="4"/>
      <c r="KTH71" s="4"/>
      <c r="KTI71" s="4"/>
      <c r="KTJ71" s="4"/>
      <c r="KTK71" s="4"/>
      <c r="KTL71" s="4"/>
      <c r="KTM71" s="4"/>
      <c r="KTN71" s="4"/>
      <c r="KTO71" s="4"/>
      <c r="KTP71" s="4"/>
      <c r="KTQ71" s="4"/>
      <c r="KTR71" s="4"/>
      <c r="KTS71" s="4"/>
      <c r="KTT71" s="4"/>
      <c r="KTU71" s="4"/>
      <c r="KTV71" s="4"/>
      <c r="KTW71" s="4"/>
      <c r="KTX71" s="4"/>
      <c r="KTY71" s="4"/>
      <c r="KTZ71" s="4"/>
      <c r="KUA71" s="4"/>
      <c r="KUB71" s="4"/>
      <c r="KUC71" s="4"/>
      <c r="KUD71" s="4"/>
      <c r="KUE71" s="4"/>
      <c r="KUF71" s="4"/>
      <c r="KUG71" s="4"/>
      <c r="KUH71" s="4"/>
      <c r="KUI71" s="4"/>
      <c r="KUJ71" s="4"/>
      <c r="KUK71" s="4"/>
      <c r="KUL71" s="4"/>
      <c r="KUM71" s="4"/>
      <c r="KUN71" s="4"/>
      <c r="KUO71" s="4"/>
      <c r="KUP71" s="4"/>
      <c r="KUQ71" s="4"/>
      <c r="KUR71" s="4"/>
      <c r="KUS71" s="4"/>
      <c r="KUT71" s="4"/>
      <c r="KUU71" s="4"/>
      <c r="KUV71" s="4"/>
      <c r="KUW71" s="4"/>
      <c r="KUX71" s="4"/>
      <c r="KUY71" s="4"/>
      <c r="KUZ71" s="4"/>
      <c r="KVA71" s="4"/>
      <c r="KVB71" s="4"/>
      <c r="KVC71" s="4"/>
      <c r="KVD71" s="4"/>
      <c r="KVE71" s="4"/>
      <c r="KVF71" s="4"/>
      <c r="KVG71" s="4"/>
      <c r="KVH71" s="4"/>
      <c r="KVI71" s="4"/>
      <c r="KVJ71" s="4"/>
      <c r="KVK71" s="4"/>
      <c r="KVL71" s="4"/>
      <c r="KVM71" s="4"/>
      <c r="KVN71" s="4"/>
      <c r="KVO71" s="4"/>
      <c r="KVP71" s="4"/>
      <c r="KVQ71" s="4"/>
      <c r="KVR71" s="4"/>
      <c r="KVS71" s="4"/>
      <c r="KVT71" s="4"/>
      <c r="KVU71" s="4"/>
      <c r="KVV71" s="4"/>
      <c r="KVW71" s="4"/>
      <c r="KVX71" s="4"/>
      <c r="KVY71" s="4"/>
      <c r="KVZ71" s="4"/>
      <c r="KWA71" s="4"/>
      <c r="KWB71" s="4"/>
      <c r="KWC71" s="4"/>
      <c r="KWD71" s="4"/>
      <c r="KWE71" s="4"/>
      <c r="KWF71" s="4"/>
      <c r="KWG71" s="4"/>
      <c r="KWH71" s="4"/>
      <c r="KWI71" s="4"/>
      <c r="KWJ71" s="4"/>
      <c r="KWK71" s="4"/>
      <c r="KWL71" s="4"/>
      <c r="KWM71" s="4"/>
      <c r="KWN71" s="4"/>
      <c r="KWO71" s="4"/>
      <c r="KWP71" s="4"/>
      <c r="KWQ71" s="4"/>
      <c r="KWR71" s="4"/>
      <c r="KWS71" s="4"/>
      <c r="KWT71" s="4"/>
      <c r="KWU71" s="4"/>
      <c r="KWV71" s="4"/>
      <c r="KWW71" s="4"/>
      <c r="KWX71" s="4"/>
      <c r="KWY71" s="4"/>
      <c r="KWZ71" s="4"/>
      <c r="KXA71" s="4"/>
      <c r="KXB71" s="4"/>
      <c r="KXC71" s="4"/>
      <c r="KXD71" s="4"/>
      <c r="KXE71" s="4"/>
      <c r="KXF71" s="4"/>
      <c r="KXG71" s="4"/>
      <c r="KXH71" s="4"/>
      <c r="KXI71" s="4"/>
      <c r="KXJ71" s="4"/>
      <c r="KXK71" s="4"/>
      <c r="KXL71" s="4"/>
      <c r="KXM71" s="4"/>
      <c r="KXN71" s="4"/>
      <c r="KXO71" s="4"/>
      <c r="KXP71" s="4"/>
      <c r="KXQ71" s="4"/>
      <c r="KXR71" s="4"/>
      <c r="KXS71" s="4"/>
      <c r="KXT71" s="4"/>
      <c r="KXU71" s="4"/>
      <c r="KXV71" s="4"/>
      <c r="KXW71" s="4"/>
      <c r="KXX71" s="4"/>
      <c r="KXY71" s="4"/>
      <c r="KXZ71" s="4"/>
      <c r="KYA71" s="4"/>
      <c r="KYB71" s="4"/>
      <c r="KYC71" s="4"/>
      <c r="KYD71" s="4"/>
      <c r="KYE71" s="4"/>
      <c r="KYF71" s="4"/>
      <c r="KYG71" s="4"/>
      <c r="KYH71" s="4"/>
      <c r="KYI71" s="4"/>
      <c r="KYJ71" s="4"/>
      <c r="KYK71" s="4"/>
      <c r="KYL71" s="4"/>
      <c r="KYM71" s="4"/>
      <c r="KYN71" s="4"/>
      <c r="KYO71" s="4"/>
      <c r="KYP71" s="4"/>
      <c r="KYQ71" s="4"/>
      <c r="KYR71" s="4"/>
      <c r="KYS71" s="4"/>
      <c r="KYT71" s="4"/>
      <c r="KYU71" s="4"/>
      <c r="KYV71" s="4"/>
      <c r="KYW71" s="4"/>
      <c r="KYX71" s="4"/>
      <c r="KYY71" s="4"/>
      <c r="KYZ71" s="4"/>
      <c r="KZA71" s="4"/>
      <c r="KZB71" s="4"/>
      <c r="KZC71" s="4"/>
      <c r="KZD71" s="4"/>
      <c r="KZE71" s="4"/>
      <c r="KZF71" s="4"/>
      <c r="KZG71" s="4"/>
      <c r="KZH71" s="4"/>
      <c r="KZI71" s="4"/>
      <c r="KZJ71" s="4"/>
      <c r="KZK71" s="4"/>
      <c r="KZL71" s="4"/>
      <c r="KZM71" s="4"/>
      <c r="KZN71" s="4"/>
      <c r="KZO71" s="4"/>
      <c r="KZP71" s="4"/>
      <c r="KZQ71" s="4"/>
      <c r="KZR71" s="4"/>
      <c r="KZS71" s="4"/>
      <c r="KZT71" s="4"/>
      <c r="KZU71" s="4"/>
      <c r="KZV71" s="4"/>
      <c r="KZW71" s="4"/>
      <c r="KZX71" s="4"/>
      <c r="KZY71" s="4"/>
      <c r="KZZ71" s="4"/>
      <c r="LAA71" s="4"/>
      <c r="LAB71" s="4"/>
      <c r="LAC71" s="4"/>
      <c r="LAD71" s="4"/>
      <c r="LAE71" s="4"/>
      <c r="LAF71" s="4"/>
      <c r="LAG71" s="4"/>
      <c r="LAH71" s="4"/>
      <c r="LAI71" s="4"/>
      <c r="LAJ71" s="4"/>
      <c r="LAK71" s="4"/>
      <c r="LAL71" s="4"/>
      <c r="LAM71" s="4"/>
      <c r="LAN71" s="4"/>
      <c r="LAO71" s="4"/>
      <c r="LAP71" s="4"/>
      <c r="LAQ71" s="4"/>
      <c r="LAR71" s="4"/>
      <c r="LAS71" s="4"/>
      <c r="LAT71" s="4"/>
      <c r="LAU71" s="4"/>
      <c r="LAV71" s="4"/>
      <c r="LAW71" s="4"/>
      <c r="LAX71" s="4"/>
      <c r="LAY71" s="4"/>
      <c r="LAZ71" s="4"/>
      <c r="LBA71" s="4"/>
      <c r="LBB71" s="4"/>
      <c r="LBC71" s="4"/>
      <c r="LBD71" s="4"/>
      <c r="LBE71" s="4"/>
      <c r="LBF71" s="4"/>
      <c r="LBG71" s="4"/>
      <c r="LBH71" s="4"/>
      <c r="LBI71" s="4"/>
      <c r="LBJ71" s="4"/>
      <c r="LBK71" s="4"/>
      <c r="LBL71" s="4"/>
      <c r="LBM71" s="4"/>
      <c r="LBN71" s="4"/>
      <c r="LBO71" s="4"/>
      <c r="LBP71" s="4"/>
      <c r="LBQ71" s="4"/>
      <c r="LBR71" s="4"/>
      <c r="LBS71" s="4"/>
      <c r="LBT71" s="4"/>
      <c r="LBU71" s="4"/>
      <c r="LBV71" s="4"/>
      <c r="LBW71" s="4"/>
      <c r="LBX71" s="4"/>
      <c r="LBY71" s="4"/>
      <c r="LBZ71" s="4"/>
      <c r="LCA71" s="4"/>
      <c r="LCB71" s="4"/>
      <c r="LCC71" s="4"/>
      <c r="LCD71" s="4"/>
      <c r="LCE71" s="4"/>
      <c r="LCF71" s="4"/>
      <c r="LCG71" s="4"/>
      <c r="LCH71" s="4"/>
      <c r="LCI71" s="4"/>
      <c r="LCJ71" s="4"/>
      <c r="LCK71" s="4"/>
      <c r="LCL71" s="4"/>
      <c r="LCM71" s="4"/>
      <c r="LCN71" s="4"/>
      <c r="LCO71" s="4"/>
      <c r="LCP71" s="4"/>
      <c r="LCQ71" s="4"/>
      <c r="LCR71" s="4"/>
      <c r="LCS71" s="4"/>
      <c r="LCT71" s="4"/>
      <c r="LCU71" s="4"/>
      <c r="LCV71" s="4"/>
      <c r="LCW71" s="4"/>
      <c r="LCX71" s="4"/>
      <c r="LCY71" s="4"/>
      <c r="LCZ71" s="4"/>
      <c r="LDA71" s="4"/>
      <c r="LDB71" s="4"/>
      <c r="LDC71" s="4"/>
      <c r="LDD71" s="4"/>
      <c r="LDE71" s="4"/>
      <c r="LDF71" s="4"/>
      <c r="LDG71" s="4"/>
      <c r="LDH71" s="4"/>
      <c r="LDI71" s="4"/>
      <c r="LDJ71" s="4"/>
      <c r="LDK71" s="4"/>
      <c r="LDL71" s="4"/>
      <c r="LDM71" s="4"/>
      <c r="LDN71" s="4"/>
      <c r="LDO71" s="4"/>
      <c r="LDP71" s="4"/>
      <c r="LDQ71" s="4"/>
      <c r="LDR71" s="4"/>
      <c r="LDS71" s="4"/>
      <c r="LDT71" s="4"/>
      <c r="LDU71" s="4"/>
      <c r="LDV71" s="4"/>
      <c r="LDW71" s="4"/>
      <c r="LDX71" s="4"/>
      <c r="LDY71" s="4"/>
      <c r="LDZ71" s="4"/>
      <c r="LEA71" s="4"/>
      <c r="LEB71" s="4"/>
      <c r="LEC71" s="4"/>
      <c r="LED71" s="4"/>
      <c r="LEE71" s="4"/>
      <c r="LEF71" s="4"/>
      <c r="LEG71" s="4"/>
      <c r="LEH71" s="4"/>
      <c r="LEI71" s="4"/>
      <c r="LEJ71" s="4"/>
      <c r="LEK71" s="4"/>
      <c r="LEL71" s="4"/>
      <c r="LEM71" s="4"/>
      <c r="LEN71" s="4"/>
      <c r="LEO71" s="4"/>
      <c r="LEP71" s="4"/>
      <c r="LEQ71" s="4"/>
      <c r="LER71" s="4"/>
      <c r="LES71" s="4"/>
      <c r="LET71" s="4"/>
      <c r="LEU71" s="4"/>
      <c r="LEV71" s="4"/>
      <c r="LEW71" s="4"/>
      <c r="LEX71" s="4"/>
      <c r="LEY71" s="4"/>
      <c r="LEZ71" s="4"/>
      <c r="LFA71" s="4"/>
      <c r="LFB71" s="4"/>
      <c r="LFC71" s="4"/>
      <c r="LFD71" s="4"/>
      <c r="LFE71" s="4"/>
      <c r="LFF71" s="4"/>
      <c r="LFG71" s="4"/>
      <c r="LFH71" s="4"/>
      <c r="LFI71" s="4"/>
      <c r="LFJ71" s="4"/>
      <c r="LFK71" s="4"/>
      <c r="LFL71" s="4"/>
      <c r="LFM71" s="4"/>
      <c r="LFN71" s="4"/>
      <c r="LFO71" s="4"/>
      <c r="LFP71" s="4"/>
      <c r="LFQ71" s="4"/>
      <c r="LFR71" s="4"/>
      <c r="LFS71" s="4"/>
      <c r="LFT71" s="4"/>
      <c r="LFU71" s="4"/>
      <c r="LFV71" s="4"/>
      <c r="LFW71" s="4"/>
      <c r="LFX71" s="4"/>
      <c r="LFY71" s="4"/>
      <c r="LFZ71" s="4"/>
      <c r="LGA71" s="4"/>
      <c r="LGB71" s="4"/>
      <c r="LGC71" s="4"/>
      <c r="LGD71" s="4"/>
      <c r="LGE71" s="4"/>
      <c r="LGF71" s="4"/>
      <c r="LGG71" s="4"/>
      <c r="LGH71" s="4"/>
      <c r="LGI71" s="4"/>
      <c r="LGJ71" s="4"/>
      <c r="LGK71" s="4"/>
      <c r="LGL71" s="4"/>
      <c r="LGM71" s="4"/>
      <c r="LGN71" s="4"/>
      <c r="LGO71" s="4"/>
      <c r="LGP71" s="4"/>
      <c r="LGQ71" s="4"/>
      <c r="LGR71" s="4"/>
      <c r="LGS71" s="4"/>
      <c r="LGT71" s="4"/>
      <c r="LGU71" s="4"/>
      <c r="LGV71" s="4"/>
      <c r="LGW71" s="4"/>
      <c r="LGX71" s="4"/>
      <c r="LGY71" s="4"/>
      <c r="LGZ71" s="4"/>
      <c r="LHA71" s="4"/>
      <c r="LHB71" s="4"/>
      <c r="LHC71" s="4"/>
      <c r="LHD71" s="4"/>
      <c r="LHE71" s="4"/>
      <c r="LHF71" s="4"/>
      <c r="LHG71" s="4"/>
      <c r="LHH71" s="4"/>
      <c r="LHI71" s="4"/>
      <c r="LHJ71" s="4"/>
      <c r="LHK71" s="4"/>
      <c r="LHL71" s="4"/>
      <c r="LHM71" s="4"/>
      <c r="LHN71" s="4"/>
      <c r="LHO71" s="4"/>
      <c r="LHP71" s="4"/>
      <c r="LHQ71" s="4"/>
      <c r="LHR71" s="4"/>
      <c r="LHS71" s="4"/>
      <c r="LHT71" s="4"/>
      <c r="LHU71" s="4"/>
      <c r="LHV71" s="4"/>
      <c r="LHW71" s="4"/>
      <c r="LHX71" s="4"/>
      <c r="LHY71" s="4"/>
      <c r="LHZ71" s="4"/>
      <c r="LIA71" s="4"/>
      <c r="LIB71" s="4"/>
      <c r="LIC71" s="4"/>
      <c r="LID71" s="4"/>
      <c r="LIE71" s="4"/>
      <c r="LIF71" s="4"/>
      <c r="LIG71" s="4"/>
      <c r="LIH71" s="4"/>
      <c r="LII71" s="4"/>
      <c r="LIJ71" s="4"/>
      <c r="LIK71" s="4"/>
      <c r="LIL71" s="4"/>
      <c r="LIM71" s="4"/>
      <c r="LIN71" s="4"/>
      <c r="LIO71" s="4"/>
      <c r="LIP71" s="4"/>
      <c r="LIQ71" s="4"/>
      <c r="LIR71" s="4"/>
      <c r="LIS71" s="4"/>
      <c r="LIT71" s="4"/>
      <c r="LIU71" s="4"/>
      <c r="LIV71" s="4"/>
      <c r="LIW71" s="4"/>
      <c r="LIX71" s="4"/>
      <c r="LIY71" s="4"/>
      <c r="LIZ71" s="4"/>
      <c r="LJA71" s="4"/>
      <c r="LJB71" s="4"/>
      <c r="LJC71" s="4"/>
      <c r="LJD71" s="4"/>
      <c r="LJE71" s="4"/>
      <c r="LJF71" s="4"/>
      <c r="LJG71" s="4"/>
      <c r="LJH71" s="4"/>
      <c r="LJI71" s="4"/>
      <c r="LJJ71" s="4"/>
      <c r="LJK71" s="4"/>
      <c r="LJL71" s="4"/>
      <c r="LJM71" s="4"/>
      <c r="LJN71" s="4"/>
      <c r="LJO71" s="4"/>
      <c r="LJP71" s="4"/>
      <c r="LJQ71" s="4"/>
      <c r="LJR71" s="4"/>
      <c r="LJS71" s="4"/>
      <c r="LJT71" s="4"/>
      <c r="LJU71" s="4"/>
      <c r="LJV71" s="4"/>
      <c r="LJW71" s="4"/>
      <c r="LJX71" s="4"/>
      <c r="LJY71" s="4"/>
      <c r="LJZ71" s="4"/>
      <c r="LKA71" s="4"/>
      <c r="LKB71" s="4"/>
      <c r="LKC71" s="4"/>
      <c r="LKD71" s="4"/>
      <c r="LKE71" s="4"/>
      <c r="LKF71" s="4"/>
      <c r="LKG71" s="4"/>
      <c r="LKH71" s="4"/>
      <c r="LKI71" s="4"/>
      <c r="LKJ71" s="4"/>
      <c r="LKK71" s="4"/>
      <c r="LKL71" s="4"/>
      <c r="LKM71" s="4"/>
      <c r="LKN71" s="4"/>
      <c r="LKO71" s="4"/>
      <c r="LKP71" s="4"/>
      <c r="LKQ71" s="4"/>
      <c r="LKR71" s="4"/>
      <c r="LKS71" s="4"/>
      <c r="LKT71" s="4"/>
      <c r="LKU71" s="4"/>
      <c r="LKV71" s="4"/>
      <c r="LKW71" s="4"/>
      <c r="LKX71" s="4"/>
      <c r="LKY71" s="4"/>
      <c r="LKZ71" s="4"/>
      <c r="LLA71" s="4"/>
      <c r="LLB71" s="4"/>
      <c r="LLC71" s="4"/>
      <c r="LLD71" s="4"/>
      <c r="LLE71" s="4"/>
      <c r="LLF71" s="4"/>
      <c r="LLG71" s="4"/>
      <c r="LLH71" s="4"/>
      <c r="LLI71" s="4"/>
      <c r="LLJ71" s="4"/>
      <c r="LLK71" s="4"/>
      <c r="LLL71" s="4"/>
      <c r="LLM71" s="4"/>
      <c r="LLN71" s="4"/>
      <c r="LLO71" s="4"/>
      <c r="LLP71" s="4"/>
      <c r="LLQ71" s="4"/>
      <c r="LLR71" s="4"/>
      <c r="LLS71" s="4"/>
      <c r="LLT71" s="4"/>
      <c r="LLU71" s="4"/>
      <c r="LLV71" s="4"/>
      <c r="LLW71" s="4"/>
      <c r="LLX71" s="4"/>
      <c r="LLY71" s="4"/>
      <c r="LLZ71" s="4"/>
      <c r="LMA71" s="4"/>
      <c r="LMB71" s="4"/>
      <c r="LMC71" s="4"/>
      <c r="LMD71" s="4"/>
      <c r="LME71" s="4"/>
      <c r="LMF71" s="4"/>
      <c r="LMG71" s="4"/>
      <c r="LMH71" s="4"/>
      <c r="LMI71" s="4"/>
      <c r="LMJ71" s="4"/>
      <c r="LMK71" s="4"/>
      <c r="LML71" s="4"/>
      <c r="LMM71" s="4"/>
      <c r="LMN71" s="4"/>
      <c r="LMO71" s="4"/>
      <c r="LMP71" s="4"/>
      <c r="LMQ71" s="4"/>
      <c r="LMR71" s="4"/>
      <c r="LMS71" s="4"/>
      <c r="LMT71" s="4"/>
      <c r="LMU71" s="4"/>
      <c r="LMV71" s="4"/>
      <c r="LMW71" s="4"/>
      <c r="LMX71" s="4"/>
      <c r="LMY71" s="4"/>
      <c r="LMZ71" s="4"/>
      <c r="LNA71" s="4"/>
      <c r="LNB71" s="4"/>
      <c r="LNC71" s="4"/>
      <c r="LND71" s="4"/>
      <c r="LNE71" s="4"/>
      <c r="LNF71" s="4"/>
      <c r="LNG71" s="4"/>
      <c r="LNH71" s="4"/>
      <c r="LNI71" s="4"/>
      <c r="LNJ71" s="4"/>
      <c r="LNK71" s="4"/>
      <c r="LNL71" s="4"/>
      <c r="LNM71" s="4"/>
      <c r="LNN71" s="4"/>
      <c r="LNO71" s="4"/>
      <c r="LNP71" s="4"/>
      <c r="LNQ71" s="4"/>
      <c r="LNR71" s="4"/>
      <c r="LNS71" s="4"/>
      <c r="LNT71" s="4"/>
      <c r="LNU71" s="4"/>
      <c r="LNV71" s="4"/>
      <c r="LNW71" s="4"/>
      <c r="LNX71" s="4"/>
      <c r="LNY71" s="4"/>
      <c r="LNZ71" s="4"/>
      <c r="LOA71" s="4"/>
      <c r="LOB71" s="4"/>
      <c r="LOC71" s="4"/>
      <c r="LOD71" s="4"/>
      <c r="LOE71" s="4"/>
      <c r="LOF71" s="4"/>
      <c r="LOG71" s="4"/>
      <c r="LOH71" s="4"/>
      <c r="LOI71" s="4"/>
      <c r="LOJ71" s="4"/>
      <c r="LOK71" s="4"/>
      <c r="LOL71" s="4"/>
      <c r="LOM71" s="4"/>
      <c r="LON71" s="4"/>
      <c r="LOO71" s="4"/>
      <c r="LOP71" s="4"/>
      <c r="LOQ71" s="4"/>
      <c r="LOR71" s="4"/>
      <c r="LOS71" s="4"/>
      <c r="LOT71" s="4"/>
      <c r="LOU71" s="4"/>
      <c r="LOV71" s="4"/>
      <c r="LOW71" s="4"/>
      <c r="LOX71" s="4"/>
      <c r="LOY71" s="4"/>
      <c r="LOZ71" s="4"/>
      <c r="LPA71" s="4"/>
      <c r="LPB71" s="4"/>
      <c r="LPC71" s="4"/>
      <c r="LPD71" s="4"/>
      <c r="LPE71" s="4"/>
      <c r="LPF71" s="4"/>
      <c r="LPG71" s="4"/>
      <c r="LPH71" s="4"/>
      <c r="LPI71" s="4"/>
      <c r="LPJ71" s="4"/>
      <c r="LPK71" s="4"/>
      <c r="LPL71" s="4"/>
      <c r="LPM71" s="4"/>
      <c r="LPN71" s="4"/>
      <c r="LPO71" s="4"/>
      <c r="LPP71" s="4"/>
      <c r="LPQ71" s="4"/>
      <c r="LPR71" s="4"/>
      <c r="LPS71" s="4"/>
      <c r="LPT71" s="4"/>
      <c r="LPU71" s="4"/>
      <c r="LPV71" s="4"/>
      <c r="LPW71" s="4"/>
      <c r="LPX71" s="4"/>
      <c r="LPY71" s="4"/>
      <c r="LPZ71" s="4"/>
      <c r="LQA71" s="4"/>
      <c r="LQB71" s="4"/>
      <c r="LQC71" s="4"/>
      <c r="LQD71" s="4"/>
      <c r="LQE71" s="4"/>
      <c r="LQF71" s="4"/>
      <c r="LQG71" s="4"/>
      <c r="LQH71" s="4"/>
      <c r="LQI71" s="4"/>
      <c r="LQJ71" s="4"/>
      <c r="LQK71" s="4"/>
      <c r="LQL71" s="4"/>
      <c r="LQM71" s="4"/>
      <c r="LQN71" s="4"/>
      <c r="LQO71" s="4"/>
      <c r="LQP71" s="4"/>
      <c r="LQQ71" s="4"/>
      <c r="LQR71" s="4"/>
      <c r="LQS71" s="4"/>
      <c r="LQT71" s="4"/>
      <c r="LQU71" s="4"/>
      <c r="LQV71" s="4"/>
      <c r="LQW71" s="4"/>
      <c r="LQX71" s="4"/>
      <c r="LQY71" s="4"/>
      <c r="LQZ71" s="4"/>
      <c r="LRA71" s="4"/>
      <c r="LRB71" s="4"/>
      <c r="LRC71" s="4"/>
      <c r="LRD71" s="4"/>
      <c r="LRE71" s="4"/>
      <c r="LRF71" s="4"/>
      <c r="LRG71" s="4"/>
      <c r="LRH71" s="4"/>
      <c r="LRI71" s="4"/>
      <c r="LRJ71" s="4"/>
      <c r="LRK71" s="4"/>
      <c r="LRL71" s="4"/>
      <c r="LRM71" s="4"/>
      <c r="LRN71" s="4"/>
      <c r="LRO71" s="4"/>
      <c r="LRP71" s="4"/>
      <c r="LRQ71" s="4"/>
      <c r="LRR71" s="4"/>
      <c r="LRS71" s="4"/>
      <c r="LRT71" s="4"/>
      <c r="LRU71" s="4"/>
      <c r="LRV71" s="4"/>
      <c r="LRW71" s="4"/>
      <c r="LRX71" s="4"/>
      <c r="LRY71" s="4"/>
      <c r="LRZ71" s="4"/>
      <c r="LSA71" s="4"/>
      <c r="LSB71" s="4"/>
      <c r="LSC71" s="4"/>
      <c r="LSD71" s="4"/>
      <c r="LSE71" s="4"/>
      <c r="LSF71" s="4"/>
      <c r="LSG71" s="4"/>
      <c r="LSH71" s="4"/>
      <c r="LSI71" s="4"/>
      <c r="LSJ71" s="4"/>
      <c r="LSK71" s="4"/>
      <c r="LSL71" s="4"/>
      <c r="LSM71" s="4"/>
      <c r="LSN71" s="4"/>
      <c r="LSO71" s="4"/>
      <c r="LSP71" s="4"/>
      <c r="LSQ71" s="4"/>
      <c r="LSR71" s="4"/>
      <c r="LSS71" s="4"/>
      <c r="LST71" s="4"/>
      <c r="LSU71" s="4"/>
      <c r="LSV71" s="4"/>
      <c r="LSW71" s="4"/>
      <c r="LSX71" s="4"/>
      <c r="LSY71" s="4"/>
      <c r="LSZ71" s="4"/>
      <c r="LTA71" s="4"/>
      <c r="LTB71" s="4"/>
      <c r="LTC71" s="4"/>
      <c r="LTD71" s="4"/>
      <c r="LTE71" s="4"/>
      <c r="LTF71" s="4"/>
      <c r="LTG71" s="4"/>
      <c r="LTH71" s="4"/>
      <c r="LTI71" s="4"/>
      <c r="LTJ71" s="4"/>
      <c r="LTK71" s="4"/>
      <c r="LTL71" s="4"/>
      <c r="LTM71" s="4"/>
      <c r="LTN71" s="4"/>
      <c r="LTO71" s="4"/>
      <c r="LTP71" s="4"/>
      <c r="LTQ71" s="4"/>
      <c r="LTR71" s="4"/>
      <c r="LTS71" s="4"/>
      <c r="LTT71" s="4"/>
      <c r="LTU71" s="4"/>
      <c r="LTV71" s="4"/>
      <c r="LTW71" s="4"/>
      <c r="LTX71" s="4"/>
      <c r="LTY71" s="4"/>
      <c r="LTZ71" s="4"/>
      <c r="LUA71" s="4"/>
      <c r="LUB71" s="4"/>
      <c r="LUC71" s="4"/>
      <c r="LUD71" s="4"/>
      <c r="LUE71" s="4"/>
      <c r="LUF71" s="4"/>
      <c r="LUG71" s="4"/>
      <c r="LUH71" s="4"/>
      <c r="LUI71" s="4"/>
      <c r="LUJ71" s="4"/>
      <c r="LUK71" s="4"/>
      <c r="LUL71" s="4"/>
      <c r="LUM71" s="4"/>
      <c r="LUN71" s="4"/>
      <c r="LUO71" s="4"/>
      <c r="LUP71" s="4"/>
      <c r="LUQ71" s="4"/>
      <c r="LUR71" s="4"/>
      <c r="LUS71" s="4"/>
      <c r="LUT71" s="4"/>
      <c r="LUU71" s="4"/>
      <c r="LUV71" s="4"/>
      <c r="LUW71" s="4"/>
      <c r="LUX71" s="4"/>
      <c r="LUY71" s="4"/>
      <c r="LUZ71" s="4"/>
      <c r="LVA71" s="4"/>
      <c r="LVB71" s="4"/>
      <c r="LVC71" s="4"/>
      <c r="LVD71" s="4"/>
      <c r="LVE71" s="4"/>
      <c r="LVF71" s="4"/>
      <c r="LVG71" s="4"/>
      <c r="LVH71" s="4"/>
      <c r="LVI71" s="4"/>
      <c r="LVJ71" s="4"/>
      <c r="LVK71" s="4"/>
      <c r="LVL71" s="4"/>
      <c r="LVM71" s="4"/>
      <c r="LVN71" s="4"/>
      <c r="LVO71" s="4"/>
      <c r="LVP71" s="4"/>
      <c r="LVQ71" s="4"/>
      <c r="LVR71" s="4"/>
      <c r="LVS71" s="4"/>
      <c r="LVT71" s="4"/>
      <c r="LVU71" s="4"/>
      <c r="LVV71" s="4"/>
      <c r="LVW71" s="4"/>
      <c r="LVX71" s="4"/>
      <c r="LVY71" s="4"/>
      <c r="LVZ71" s="4"/>
      <c r="LWA71" s="4"/>
      <c r="LWB71" s="4"/>
      <c r="LWC71" s="4"/>
      <c r="LWD71" s="4"/>
      <c r="LWE71" s="4"/>
      <c r="LWF71" s="4"/>
      <c r="LWG71" s="4"/>
      <c r="LWH71" s="4"/>
      <c r="LWI71" s="4"/>
      <c r="LWJ71" s="4"/>
      <c r="LWK71" s="4"/>
      <c r="LWL71" s="4"/>
      <c r="LWM71" s="4"/>
      <c r="LWN71" s="4"/>
      <c r="LWO71" s="4"/>
      <c r="LWP71" s="4"/>
      <c r="LWQ71" s="4"/>
      <c r="LWR71" s="4"/>
      <c r="LWS71" s="4"/>
      <c r="LWT71" s="4"/>
      <c r="LWU71" s="4"/>
      <c r="LWV71" s="4"/>
      <c r="LWW71" s="4"/>
      <c r="LWX71" s="4"/>
      <c r="LWY71" s="4"/>
      <c r="LWZ71" s="4"/>
      <c r="LXA71" s="4"/>
      <c r="LXB71" s="4"/>
      <c r="LXC71" s="4"/>
      <c r="LXD71" s="4"/>
      <c r="LXE71" s="4"/>
      <c r="LXF71" s="4"/>
      <c r="LXG71" s="4"/>
      <c r="LXH71" s="4"/>
      <c r="LXI71" s="4"/>
      <c r="LXJ71" s="4"/>
      <c r="LXK71" s="4"/>
      <c r="LXL71" s="4"/>
      <c r="LXM71" s="4"/>
      <c r="LXN71" s="4"/>
      <c r="LXO71" s="4"/>
      <c r="LXP71" s="4"/>
      <c r="LXQ71" s="4"/>
      <c r="LXR71" s="4"/>
      <c r="LXS71" s="4"/>
      <c r="LXT71" s="4"/>
      <c r="LXU71" s="4"/>
      <c r="LXV71" s="4"/>
      <c r="LXW71" s="4"/>
      <c r="LXX71" s="4"/>
      <c r="LXY71" s="4"/>
      <c r="LXZ71" s="4"/>
      <c r="LYA71" s="4"/>
      <c r="LYB71" s="4"/>
      <c r="LYC71" s="4"/>
      <c r="LYD71" s="4"/>
      <c r="LYE71" s="4"/>
      <c r="LYF71" s="4"/>
      <c r="LYG71" s="4"/>
      <c r="LYH71" s="4"/>
      <c r="LYI71" s="4"/>
      <c r="LYJ71" s="4"/>
      <c r="LYK71" s="4"/>
      <c r="LYL71" s="4"/>
      <c r="LYM71" s="4"/>
      <c r="LYN71" s="4"/>
      <c r="LYO71" s="4"/>
      <c r="LYP71" s="4"/>
      <c r="LYQ71" s="4"/>
      <c r="LYR71" s="4"/>
      <c r="LYS71" s="4"/>
      <c r="LYT71" s="4"/>
      <c r="LYU71" s="4"/>
      <c r="LYV71" s="4"/>
      <c r="LYW71" s="4"/>
      <c r="LYX71" s="4"/>
      <c r="LYY71" s="4"/>
      <c r="LYZ71" s="4"/>
      <c r="LZA71" s="4"/>
      <c r="LZB71" s="4"/>
      <c r="LZC71" s="4"/>
      <c r="LZD71" s="4"/>
      <c r="LZE71" s="4"/>
      <c r="LZF71" s="4"/>
      <c r="LZG71" s="4"/>
      <c r="LZH71" s="4"/>
      <c r="LZI71" s="4"/>
      <c r="LZJ71" s="4"/>
      <c r="LZK71" s="4"/>
      <c r="LZL71" s="4"/>
      <c r="LZM71" s="4"/>
      <c r="LZN71" s="4"/>
      <c r="LZO71" s="4"/>
      <c r="LZP71" s="4"/>
      <c r="LZQ71" s="4"/>
      <c r="LZR71" s="4"/>
      <c r="LZS71" s="4"/>
      <c r="LZT71" s="4"/>
      <c r="LZU71" s="4"/>
      <c r="LZV71" s="4"/>
      <c r="LZW71" s="4"/>
      <c r="LZX71" s="4"/>
      <c r="LZY71" s="4"/>
      <c r="LZZ71" s="4"/>
      <c r="MAA71" s="4"/>
      <c r="MAB71" s="4"/>
      <c r="MAC71" s="4"/>
      <c r="MAD71" s="4"/>
      <c r="MAE71" s="4"/>
      <c r="MAF71" s="4"/>
      <c r="MAG71" s="4"/>
      <c r="MAH71" s="4"/>
      <c r="MAI71" s="4"/>
      <c r="MAJ71" s="4"/>
      <c r="MAK71" s="4"/>
      <c r="MAL71" s="4"/>
      <c r="MAM71" s="4"/>
      <c r="MAN71" s="4"/>
      <c r="MAO71" s="4"/>
      <c r="MAP71" s="4"/>
      <c r="MAQ71" s="4"/>
      <c r="MAR71" s="4"/>
      <c r="MAS71" s="4"/>
      <c r="MAT71" s="4"/>
      <c r="MAU71" s="4"/>
      <c r="MAV71" s="4"/>
      <c r="MAW71" s="4"/>
      <c r="MAX71" s="4"/>
      <c r="MAY71" s="4"/>
      <c r="MAZ71" s="4"/>
      <c r="MBA71" s="4"/>
      <c r="MBB71" s="4"/>
      <c r="MBC71" s="4"/>
      <c r="MBD71" s="4"/>
      <c r="MBE71" s="4"/>
      <c r="MBF71" s="4"/>
      <c r="MBG71" s="4"/>
      <c r="MBH71" s="4"/>
      <c r="MBI71" s="4"/>
      <c r="MBJ71" s="4"/>
      <c r="MBK71" s="4"/>
      <c r="MBL71" s="4"/>
      <c r="MBM71" s="4"/>
      <c r="MBN71" s="4"/>
      <c r="MBO71" s="4"/>
      <c r="MBP71" s="4"/>
      <c r="MBQ71" s="4"/>
      <c r="MBR71" s="4"/>
      <c r="MBS71" s="4"/>
      <c r="MBT71" s="4"/>
      <c r="MBU71" s="4"/>
      <c r="MBV71" s="4"/>
      <c r="MBW71" s="4"/>
      <c r="MBX71" s="4"/>
      <c r="MBY71" s="4"/>
      <c r="MBZ71" s="4"/>
      <c r="MCA71" s="4"/>
      <c r="MCB71" s="4"/>
      <c r="MCC71" s="4"/>
      <c r="MCD71" s="4"/>
      <c r="MCE71" s="4"/>
      <c r="MCF71" s="4"/>
      <c r="MCG71" s="4"/>
      <c r="MCH71" s="4"/>
      <c r="MCI71" s="4"/>
      <c r="MCJ71" s="4"/>
      <c r="MCK71" s="4"/>
      <c r="MCL71" s="4"/>
      <c r="MCM71" s="4"/>
      <c r="MCN71" s="4"/>
      <c r="MCO71" s="4"/>
      <c r="MCP71" s="4"/>
      <c r="MCQ71" s="4"/>
      <c r="MCR71" s="4"/>
      <c r="MCS71" s="4"/>
      <c r="MCT71" s="4"/>
      <c r="MCU71" s="4"/>
      <c r="MCV71" s="4"/>
      <c r="MCW71" s="4"/>
      <c r="MCX71" s="4"/>
      <c r="MCY71" s="4"/>
      <c r="MCZ71" s="4"/>
      <c r="MDA71" s="4"/>
      <c r="MDB71" s="4"/>
      <c r="MDC71" s="4"/>
      <c r="MDD71" s="4"/>
      <c r="MDE71" s="4"/>
      <c r="MDF71" s="4"/>
      <c r="MDG71" s="4"/>
      <c r="MDH71" s="4"/>
      <c r="MDI71" s="4"/>
      <c r="MDJ71" s="4"/>
      <c r="MDK71" s="4"/>
      <c r="MDL71" s="4"/>
      <c r="MDM71" s="4"/>
      <c r="MDN71" s="4"/>
      <c r="MDO71" s="4"/>
      <c r="MDP71" s="4"/>
      <c r="MDQ71" s="4"/>
      <c r="MDR71" s="4"/>
      <c r="MDS71" s="4"/>
      <c r="MDT71" s="4"/>
      <c r="MDU71" s="4"/>
      <c r="MDV71" s="4"/>
      <c r="MDW71" s="4"/>
      <c r="MDX71" s="4"/>
      <c r="MDY71" s="4"/>
      <c r="MDZ71" s="4"/>
      <c r="MEA71" s="4"/>
      <c r="MEB71" s="4"/>
      <c r="MEC71" s="4"/>
      <c r="MED71" s="4"/>
      <c r="MEE71" s="4"/>
      <c r="MEF71" s="4"/>
      <c r="MEG71" s="4"/>
      <c r="MEH71" s="4"/>
      <c r="MEI71" s="4"/>
      <c r="MEJ71" s="4"/>
      <c r="MEK71" s="4"/>
      <c r="MEL71" s="4"/>
      <c r="MEM71" s="4"/>
      <c r="MEN71" s="4"/>
      <c r="MEO71" s="4"/>
      <c r="MEP71" s="4"/>
      <c r="MEQ71" s="4"/>
      <c r="MER71" s="4"/>
      <c r="MES71" s="4"/>
      <c r="MET71" s="4"/>
      <c r="MEU71" s="4"/>
      <c r="MEV71" s="4"/>
      <c r="MEW71" s="4"/>
      <c r="MEX71" s="4"/>
      <c r="MEY71" s="4"/>
      <c r="MEZ71" s="4"/>
      <c r="MFA71" s="4"/>
      <c r="MFB71" s="4"/>
      <c r="MFC71" s="4"/>
      <c r="MFD71" s="4"/>
      <c r="MFE71" s="4"/>
      <c r="MFF71" s="4"/>
      <c r="MFG71" s="4"/>
      <c r="MFH71" s="4"/>
      <c r="MFI71" s="4"/>
      <c r="MFJ71" s="4"/>
      <c r="MFK71" s="4"/>
      <c r="MFL71" s="4"/>
      <c r="MFM71" s="4"/>
      <c r="MFN71" s="4"/>
      <c r="MFO71" s="4"/>
      <c r="MFP71" s="4"/>
      <c r="MFQ71" s="4"/>
      <c r="MFR71" s="4"/>
      <c r="MFS71" s="4"/>
      <c r="MFT71" s="4"/>
      <c r="MFU71" s="4"/>
      <c r="MFV71" s="4"/>
      <c r="MFW71" s="4"/>
      <c r="MFX71" s="4"/>
      <c r="MFY71" s="4"/>
      <c r="MFZ71" s="4"/>
      <c r="MGA71" s="4"/>
      <c r="MGB71" s="4"/>
      <c r="MGC71" s="4"/>
      <c r="MGD71" s="4"/>
      <c r="MGE71" s="4"/>
      <c r="MGF71" s="4"/>
      <c r="MGG71" s="4"/>
      <c r="MGH71" s="4"/>
      <c r="MGI71" s="4"/>
      <c r="MGJ71" s="4"/>
      <c r="MGK71" s="4"/>
      <c r="MGL71" s="4"/>
      <c r="MGM71" s="4"/>
      <c r="MGN71" s="4"/>
      <c r="MGO71" s="4"/>
      <c r="MGP71" s="4"/>
      <c r="MGQ71" s="4"/>
      <c r="MGR71" s="4"/>
      <c r="MGS71" s="4"/>
      <c r="MGT71" s="4"/>
      <c r="MGU71" s="4"/>
      <c r="MGV71" s="4"/>
      <c r="MGW71" s="4"/>
      <c r="MGX71" s="4"/>
      <c r="MGY71" s="4"/>
      <c r="MGZ71" s="4"/>
      <c r="MHA71" s="4"/>
      <c r="MHB71" s="4"/>
      <c r="MHC71" s="4"/>
      <c r="MHD71" s="4"/>
      <c r="MHE71" s="4"/>
      <c r="MHF71" s="4"/>
      <c r="MHG71" s="4"/>
      <c r="MHH71" s="4"/>
      <c r="MHI71" s="4"/>
      <c r="MHJ71" s="4"/>
      <c r="MHK71" s="4"/>
      <c r="MHL71" s="4"/>
      <c r="MHM71" s="4"/>
      <c r="MHN71" s="4"/>
      <c r="MHO71" s="4"/>
      <c r="MHP71" s="4"/>
      <c r="MHQ71" s="4"/>
      <c r="MHR71" s="4"/>
      <c r="MHS71" s="4"/>
      <c r="MHT71" s="4"/>
      <c r="MHU71" s="4"/>
      <c r="MHV71" s="4"/>
      <c r="MHW71" s="4"/>
      <c r="MHX71" s="4"/>
      <c r="MHY71" s="4"/>
      <c r="MHZ71" s="4"/>
      <c r="MIA71" s="4"/>
      <c r="MIB71" s="4"/>
      <c r="MIC71" s="4"/>
      <c r="MID71" s="4"/>
      <c r="MIE71" s="4"/>
      <c r="MIF71" s="4"/>
      <c r="MIG71" s="4"/>
      <c r="MIH71" s="4"/>
      <c r="MII71" s="4"/>
      <c r="MIJ71" s="4"/>
      <c r="MIK71" s="4"/>
      <c r="MIL71" s="4"/>
      <c r="MIM71" s="4"/>
      <c r="MIN71" s="4"/>
      <c r="MIO71" s="4"/>
      <c r="MIP71" s="4"/>
      <c r="MIQ71" s="4"/>
      <c r="MIR71" s="4"/>
      <c r="MIS71" s="4"/>
      <c r="MIT71" s="4"/>
      <c r="MIU71" s="4"/>
      <c r="MIV71" s="4"/>
      <c r="MIW71" s="4"/>
      <c r="MIX71" s="4"/>
      <c r="MIY71" s="4"/>
      <c r="MIZ71" s="4"/>
      <c r="MJA71" s="4"/>
      <c r="MJB71" s="4"/>
      <c r="MJC71" s="4"/>
      <c r="MJD71" s="4"/>
      <c r="MJE71" s="4"/>
      <c r="MJF71" s="4"/>
      <c r="MJG71" s="4"/>
      <c r="MJH71" s="4"/>
      <c r="MJI71" s="4"/>
      <c r="MJJ71" s="4"/>
      <c r="MJK71" s="4"/>
      <c r="MJL71" s="4"/>
      <c r="MJM71" s="4"/>
      <c r="MJN71" s="4"/>
      <c r="MJO71" s="4"/>
      <c r="MJP71" s="4"/>
      <c r="MJQ71" s="4"/>
      <c r="MJR71" s="4"/>
      <c r="MJS71" s="4"/>
      <c r="MJT71" s="4"/>
      <c r="MJU71" s="4"/>
      <c r="MJV71" s="4"/>
      <c r="MJW71" s="4"/>
      <c r="MJX71" s="4"/>
      <c r="MJY71" s="4"/>
      <c r="MJZ71" s="4"/>
      <c r="MKA71" s="4"/>
      <c r="MKB71" s="4"/>
      <c r="MKC71" s="4"/>
      <c r="MKD71" s="4"/>
      <c r="MKE71" s="4"/>
      <c r="MKF71" s="4"/>
      <c r="MKG71" s="4"/>
      <c r="MKH71" s="4"/>
      <c r="MKI71" s="4"/>
      <c r="MKJ71" s="4"/>
      <c r="MKK71" s="4"/>
      <c r="MKL71" s="4"/>
      <c r="MKM71" s="4"/>
      <c r="MKN71" s="4"/>
      <c r="MKO71" s="4"/>
      <c r="MKP71" s="4"/>
      <c r="MKQ71" s="4"/>
      <c r="MKR71" s="4"/>
      <c r="MKS71" s="4"/>
      <c r="MKT71" s="4"/>
      <c r="MKU71" s="4"/>
      <c r="MKV71" s="4"/>
      <c r="MKW71" s="4"/>
      <c r="MKX71" s="4"/>
      <c r="MKY71" s="4"/>
      <c r="MKZ71" s="4"/>
      <c r="MLA71" s="4"/>
      <c r="MLB71" s="4"/>
      <c r="MLC71" s="4"/>
      <c r="MLD71" s="4"/>
      <c r="MLE71" s="4"/>
      <c r="MLF71" s="4"/>
      <c r="MLG71" s="4"/>
      <c r="MLH71" s="4"/>
      <c r="MLI71" s="4"/>
      <c r="MLJ71" s="4"/>
      <c r="MLK71" s="4"/>
      <c r="MLL71" s="4"/>
      <c r="MLM71" s="4"/>
      <c r="MLN71" s="4"/>
      <c r="MLO71" s="4"/>
      <c r="MLP71" s="4"/>
      <c r="MLQ71" s="4"/>
      <c r="MLR71" s="4"/>
      <c r="MLS71" s="4"/>
      <c r="MLT71" s="4"/>
      <c r="MLU71" s="4"/>
      <c r="MLV71" s="4"/>
      <c r="MLW71" s="4"/>
      <c r="MLX71" s="4"/>
      <c r="MLY71" s="4"/>
      <c r="MLZ71" s="4"/>
      <c r="MMA71" s="4"/>
      <c r="MMB71" s="4"/>
      <c r="MMC71" s="4"/>
      <c r="MMD71" s="4"/>
      <c r="MME71" s="4"/>
      <c r="MMF71" s="4"/>
      <c r="MMG71" s="4"/>
      <c r="MMH71" s="4"/>
      <c r="MMI71" s="4"/>
      <c r="MMJ71" s="4"/>
      <c r="MMK71" s="4"/>
      <c r="MML71" s="4"/>
      <c r="MMM71" s="4"/>
      <c r="MMN71" s="4"/>
      <c r="MMO71" s="4"/>
      <c r="MMP71" s="4"/>
      <c r="MMQ71" s="4"/>
      <c r="MMR71" s="4"/>
      <c r="MMS71" s="4"/>
      <c r="MMT71" s="4"/>
      <c r="MMU71" s="4"/>
      <c r="MMV71" s="4"/>
      <c r="MMW71" s="4"/>
      <c r="MMX71" s="4"/>
      <c r="MMY71" s="4"/>
      <c r="MMZ71" s="4"/>
      <c r="MNA71" s="4"/>
      <c r="MNB71" s="4"/>
      <c r="MNC71" s="4"/>
      <c r="MND71" s="4"/>
      <c r="MNE71" s="4"/>
      <c r="MNF71" s="4"/>
      <c r="MNG71" s="4"/>
      <c r="MNH71" s="4"/>
      <c r="MNI71" s="4"/>
      <c r="MNJ71" s="4"/>
      <c r="MNK71" s="4"/>
      <c r="MNL71" s="4"/>
      <c r="MNM71" s="4"/>
      <c r="MNN71" s="4"/>
      <c r="MNO71" s="4"/>
      <c r="MNP71" s="4"/>
      <c r="MNQ71" s="4"/>
      <c r="MNR71" s="4"/>
      <c r="MNS71" s="4"/>
      <c r="MNT71" s="4"/>
      <c r="MNU71" s="4"/>
      <c r="MNV71" s="4"/>
      <c r="MNW71" s="4"/>
      <c r="MNX71" s="4"/>
      <c r="MNY71" s="4"/>
      <c r="MNZ71" s="4"/>
      <c r="MOA71" s="4"/>
      <c r="MOB71" s="4"/>
      <c r="MOC71" s="4"/>
      <c r="MOD71" s="4"/>
      <c r="MOE71" s="4"/>
      <c r="MOF71" s="4"/>
      <c r="MOG71" s="4"/>
      <c r="MOH71" s="4"/>
      <c r="MOI71" s="4"/>
      <c r="MOJ71" s="4"/>
      <c r="MOK71" s="4"/>
      <c r="MOL71" s="4"/>
      <c r="MOM71" s="4"/>
      <c r="MON71" s="4"/>
      <c r="MOO71" s="4"/>
      <c r="MOP71" s="4"/>
      <c r="MOQ71" s="4"/>
      <c r="MOR71" s="4"/>
      <c r="MOS71" s="4"/>
      <c r="MOT71" s="4"/>
      <c r="MOU71" s="4"/>
      <c r="MOV71" s="4"/>
      <c r="MOW71" s="4"/>
      <c r="MOX71" s="4"/>
      <c r="MOY71" s="4"/>
      <c r="MOZ71" s="4"/>
      <c r="MPA71" s="4"/>
      <c r="MPB71" s="4"/>
      <c r="MPC71" s="4"/>
      <c r="MPD71" s="4"/>
      <c r="MPE71" s="4"/>
      <c r="MPF71" s="4"/>
      <c r="MPG71" s="4"/>
      <c r="MPH71" s="4"/>
      <c r="MPI71" s="4"/>
      <c r="MPJ71" s="4"/>
      <c r="MPK71" s="4"/>
      <c r="MPL71" s="4"/>
      <c r="MPM71" s="4"/>
      <c r="MPN71" s="4"/>
      <c r="MPO71" s="4"/>
      <c r="MPP71" s="4"/>
      <c r="MPQ71" s="4"/>
      <c r="MPR71" s="4"/>
      <c r="MPS71" s="4"/>
      <c r="MPT71" s="4"/>
      <c r="MPU71" s="4"/>
      <c r="MPV71" s="4"/>
      <c r="MPW71" s="4"/>
      <c r="MPX71" s="4"/>
      <c r="MPY71" s="4"/>
      <c r="MPZ71" s="4"/>
      <c r="MQA71" s="4"/>
      <c r="MQB71" s="4"/>
      <c r="MQC71" s="4"/>
      <c r="MQD71" s="4"/>
      <c r="MQE71" s="4"/>
      <c r="MQF71" s="4"/>
      <c r="MQG71" s="4"/>
      <c r="MQH71" s="4"/>
      <c r="MQI71" s="4"/>
      <c r="MQJ71" s="4"/>
      <c r="MQK71" s="4"/>
      <c r="MQL71" s="4"/>
      <c r="MQM71" s="4"/>
      <c r="MQN71" s="4"/>
      <c r="MQO71" s="4"/>
      <c r="MQP71" s="4"/>
      <c r="MQQ71" s="4"/>
      <c r="MQR71" s="4"/>
      <c r="MQS71" s="4"/>
      <c r="MQT71" s="4"/>
      <c r="MQU71" s="4"/>
      <c r="MQV71" s="4"/>
      <c r="MQW71" s="4"/>
      <c r="MQX71" s="4"/>
      <c r="MQY71" s="4"/>
      <c r="MQZ71" s="4"/>
      <c r="MRA71" s="4"/>
      <c r="MRB71" s="4"/>
      <c r="MRC71" s="4"/>
      <c r="MRD71" s="4"/>
      <c r="MRE71" s="4"/>
      <c r="MRF71" s="4"/>
      <c r="MRG71" s="4"/>
      <c r="MRH71" s="4"/>
      <c r="MRI71" s="4"/>
      <c r="MRJ71" s="4"/>
      <c r="MRK71" s="4"/>
      <c r="MRL71" s="4"/>
      <c r="MRM71" s="4"/>
      <c r="MRN71" s="4"/>
      <c r="MRO71" s="4"/>
      <c r="MRP71" s="4"/>
      <c r="MRQ71" s="4"/>
      <c r="MRR71" s="4"/>
      <c r="MRS71" s="4"/>
      <c r="MRT71" s="4"/>
      <c r="MRU71" s="4"/>
      <c r="MRV71" s="4"/>
      <c r="MRW71" s="4"/>
      <c r="MRX71" s="4"/>
      <c r="MRY71" s="4"/>
      <c r="MRZ71" s="4"/>
      <c r="MSA71" s="4"/>
      <c r="MSB71" s="4"/>
      <c r="MSC71" s="4"/>
      <c r="MSD71" s="4"/>
      <c r="MSE71" s="4"/>
      <c r="MSF71" s="4"/>
      <c r="MSG71" s="4"/>
      <c r="MSH71" s="4"/>
      <c r="MSI71" s="4"/>
      <c r="MSJ71" s="4"/>
      <c r="MSK71" s="4"/>
      <c r="MSL71" s="4"/>
      <c r="MSM71" s="4"/>
      <c r="MSN71" s="4"/>
      <c r="MSO71" s="4"/>
      <c r="MSP71" s="4"/>
      <c r="MSQ71" s="4"/>
      <c r="MSR71" s="4"/>
      <c r="MSS71" s="4"/>
      <c r="MST71" s="4"/>
      <c r="MSU71" s="4"/>
      <c r="MSV71" s="4"/>
      <c r="MSW71" s="4"/>
      <c r="MSX71" s="4"/>
      <c r="MSY71" s="4"/>
      <c r="MSZ71" s="4"/>
      <c r="MTA71" s="4"/>
      <c r="MTB71" s="4"/>
      <c r="MTC71" s="4"/>
      <c r="MTD71" s="4"/>
      <c r="MTE71" s="4"/>
      <c r="MTF71" s="4"/>
      <c r="MTG71" s="4"/>
      <c r="MTH71" s="4"/>
      <c r="MTI71" s="4"/>
      <c r="MTJ71" s="4"/>
      <c r="MTK71" s="4"/>
      <c r="MTL71" s="4"/>
      <c r="MTM71" s="4"/>
      <c r="MTN71" s="4"/>
      <c r="MTO71" s="4"/>
      <c r="MTP71" s="4"/>
      <c r="MTQ71" s="4"/>
      <c r="MTR71" s="4"/>
      <c r="MTS71" s="4"/>
      <c r="MTT71" s="4"/>
      <c r="MTU71" s="4"/>
      <c r="MTV71" s="4"/>
      <c r="MTW71" s="4"/>
      <c r="MTX71" s="4"/>
      <c r="MTY71" s="4"/>
      <c r="MTZ71" s="4"/>
      <c r="MUA71" s="4"/>
      <c r="MUB71" s="4"/>
      <c r="MUC71" s="4"/>
      <c r="MUD71" s="4"/>
      <c r="MUE71" s="4"/>
      <c r="MUF71" s="4"/>
      <c r="MUG71" s="4"/>
      <c r="MUH71" s="4"/>
      <c r="MUI71" s="4"/>
      <c r="MUJ71" s="4"/>
      <c r="MUK71" s="4"/>
      <c r="MUL71" s="4"/>
      <c r="MUM71" s="4"/>
      <c r="MUN71" s="4"/>
      <c r="MUO71" s="4"/>
      <c r="MUP71" s="4"/>
      <c r="MUQ71" s="4"/>
      <c r="MUR71" s="4"/>
      <c r="MUS71" s="4"/>
      <c r="MUT71" s="4"/>
      <c r="MUU71" s="4"/>
      <c r="MUV71" s="4"/>
      <c r="MUW71" s="4"/>
      <c r="MUX71" s="4"/>
      <c r="MUY71" s="4"/>
      <c r="MUZ71" s="4"/>
      <c r="MVA71" s="4"/>
      <c r="MVB71" s="4"/>
      <c r="MVC71" s="4"/>
      <c r="MVD71" s="4"/>
      <c r="MVE71" s="4"/>
      <c r="MVF71" s="4"/>
      <c r="MVG71" s="4"/>
      <c r="MVH71" s="4"/>
      <c r="MVI71" s="4"/>
      <c r="MVJ71" s="4"/>
      <c r="MVK71" s="4"/>
      <c r="MVL71" s="4"/>
      <c r="MVM71" s="4"/>
      <c r="MVN71" s="4"/>
      <c r="MVO71" s="4"/>
      <c r="MVP71" s="4"/>
      <c r="MVQ71" s="4"/>
      <c r="MVR71" s="4"/>
      <c r="MVS71" s="4"/>
      <c r="MVT71" s="4"/>
      <c r="MVU71" s="4"/>
      <c r="MVV71" s="4"/>
      <c r="MVW71" s="4"/>
      <c r="MVX71" s="4"/>
      <c r="MVY71" s="4"/>
      <c r="MVZ71" s="4"/>
      <c r="MWA71" s="4"/>
      <c r="MWB71" s="4"/>
      <c r="MWC71" s="4"/>
      <c r="MWD71" s="4"/>
      <c r="MWE71" s="4"/>
      <c r="MWF71" s="4"/>
      <c r="MWG71" s="4"/>
      <c r="MWH71" s="4"/>
      <c r="MWI71" s="4"/>
      <c r="MWJ71" s="4"/>
      <c r="MWK71" s="4"/>
      <c r="MWL71" s="4"/>
      <c r="MWM71" s="4"/>
      <c r="MWN71" s="4"/>
      <c r="MWO71" s="4"/>
      <c r="MWP71" s="4"/>
      <c r="MWQ71" s="4"/>
      <c r="MWR71" s="4"/>
      <c r="MWS71" s="4"/>
      <c r="MWT71" s="4"/>
      <c r="MWU71" s="4"/>
      <c r="MWV71" s="4"/>
      <c r="MWW71" s="4"/>
      <c r="MWX71" s="4"/>
      <c r="MWY71" s="4"/>
      <c r="MWZ71" s="4"/>
      <c r="MXA71" s="4"/>
      <c r="MXB71" s="4"/>
      <c r="MXC71" s="4"/>
      <c r="MXD71" s="4"/>
      <c r="MXE71" s="4"/>
      <c r="MXF71" s="4"/>
      <c r="MXG71" s="4"/>
      <c r="MXH71" s="4"/>
      <c r="MXI71" s="4"/>
      <c r="MXJ71" s="4"/>
      <c r="MXK71" s="4"/>
      <c r="MXL71" s="4"/>
      <c r="MXM71" s="4"/>
      <c r="MXN71" s="4"/>
      <c r="MXO71" s="4"/>
      <c r="MXP71" s="4"/>
      <c r="MXQ71" s="4"/>
      <c r="MXR71" s="4"/>
      <c r="MXS71" s="4"/>
      <c r="MXT71" s="4"/>
      <c r="MXU71" s="4"/>
      <c r="MXV71" s="4"/>
      <c r="MXW71" s="4"/>
      <c r="MXX71" s="4"/>
      <c r="MXY71" s="4"/>
      <c r="MXZ71" s="4"/>
      <c r="MYA71" s="4"/>
      <c r="MYB71" s="4"/>
      <c r="MYC71" s="4"/>
      <c r="MYD71" s="4"/>
      <c r="MYE71" s="4"/>
      <c r="MYF71" s="4"/>
      <c r="MYG71" s="4"/>
      <c r="MYH71" s="4"/>
      <c r="MYI71" s="4"/>
      <c r="MYJ71" s="4"/>
      <c r="MYK71" s="4"/>
      <c r="MYL71" s="4"/>
      <c r="MYM71" s="4"/>
      <c r="MYN71" s="4"/>
      <c r="MYO71" s="4"/>
      <c r="MYP71" s="4"/>
      <c r="MYQ71" s="4"/>
      <c r="MYR71" s="4"/>
      <c r="MYS71" s="4"/>
      <c r="MYT71" s="4"/>
      <c r="MYU71" s="4"/>
      <c r="MYV71" s="4"/>
      <c r="MYW71" s="4"/>
      <c r="MYX71" s="4"/>
      <c r="MYY71" s="4"/>
      <c r="MYZ71" s="4"/>
      <c r="MZA71" s="4"/>
      <c r="MZB71" s="4"/>
      <c r="MZC71" s="4"/>
      <c r="MZD71" s="4"/>
      <c r="MZE71" s="4"/>
      <c r="MZF71" s="4"/>
      <c r="MZG71" s="4"/>
      <c r="MZH71" s="4"/>
      <c r="MZI71" s="4"/>
      <c r="MZJ71" s="4"/>
      <c r="MZK71" s="4"/>
      <c r="MZL71" s="4"/>
      <c r="MZM71" s="4"/>
      <c r="MZN71" s="4"/>
      <c r="MZO71" s="4"/>
      <c r="MZP71" s="4"/>
      <c r="MZQ71" s="4"/>
      <c r="MZR71" s="4"/>
      <c r="MZS71" s="4"/>
      <c r="MZT71" s="4"/>
      <c r="MZU71" s="4"/>
      <c r="MZV71" s="4"/>
      <c r="MZW71" s="4"/>
      <c r="MZX71" s="4"/>
      <c r="MZY71" s="4"/>
      <c r="MZZ71" s="4"/>
      <c r="NAA71" s="4"/>
      <c r="NAB71" s="4"/>
      <c r="NAC71" s="4"/>
      <c r="NAD71" s="4"/>
      <c r="NAE71" s="4"/>
      <c r="NAF71" s="4"/>
      <c r="NAG71" s="4"/>
      <c r="NAH71" s="4"/>
      <c r="NAI71" s="4"/>
      <c r="NAJ71" s="4"/>
      <c r="NAK71" s="4"/>
      <c r="NAL71" s="4"/>
      <c r="NAM71" s="4"/>
      <c r="NAN71" s="4"/>
      <c r="NAO71" s="4"/>
      <c r="NAP71" s="4"/>
      <c r="NAQ71" s="4"/>
      <c r="NAR71" s="4"/>
      <c r="NAS71" s="4"/>
      <c r="NAT71" s="4"/>
      <c r="NAU71" s="4"/>
      <c r="NAV71" s="4"/>
      <c r="NAW71" s="4"/>
      <c r="NAX71" s="4"/>
      <c r="NAY71" s="4"/>
      <c r="NAZ71" s="4"/>
      <c r="NBA71" s="4"/>
      <c r="NBB71" s="4"/>
      <c r="NBC71" s="4"/>
      <c r="NBD71" s="4"/>
      <c r="NBE71" s="4"/>
      <c r="NBF71" s="4"/>
      <c r="NBG71" s="4"/>
      <c r="NBH71" s="4"/>
      <c r="NBI71" s="4"/>
      <c r="NBJ71" s="4"/>
      <c r="NBK71" s="4"/>
      <c r="NBL71" s="4"/>
      <c r="NBM71" s="4"/>
      <c r="NBN71" s="4"/>
      <c r="NBO71" s="4"/>
      <c r="NBP71" s="4"/>
      <c r="NBQ71" s="4"/>
      <c r="NBR71" s="4"/>
      <c r="NBS71" s="4"/>
      <c r="NBT71" s="4"/>
      <c r="NBU71" s="4"/>
      <c r="NBV71" s="4"/>
      <c r="NBW71" s="4"/>
      <c r="NBX71" s="4"/>
      <c r="NBY71" s="4"/>
      <c r="NBZ71" s="4"/>
      <c r="NCA71" s="4"/>
      <c r="NCB71" s="4"/>
      <c r="NCC71" s="4"/>
      <c r="NCD71" s="4"/>
      <c r="NCE71" s="4"/>
      <c r="NCF71" s="4"/>
      <c r="NCG71" s="4"/>
      <c r="NCH71" s="4"/>
      <c r="NCI71" s="4"/>
      <c r="NCJ71" s="4"/>
      <c r="NCK71" s="4"/>
      <c r="NCL71" s="4"/>
      <c r="NCM71" s="4"/>
      <c r="NCN71" s="4"/>
      <c r="NCO71" s="4"/>
      <c r="NCP71" s="4"/>
      <c r="NCQ71" s="4"/>
      <c r="NCR71" s="4"/>
      <c r="NCS71" s="4"/>
      <c r="NCT71" s="4"/>
      <c r="NCU71" s="4"/>
      <c r="NCV71" s="4"/>
      <c r="NCW71" s="4"/>
      <c r="NCX71" s="4"/>
      <c r="NCY71" s="4"/>
      <c r="NCZ71" s="4"/>
      <c r="NDA71" s="4"/>
      <c r="NDB71" s="4"/>
      <c r="NDC71" s="4"/>
      <c r="NDD71" s="4"/>
      <c r="NDE71" s="4"/>
      <c r="NDF71" s="4"/>
      <c r="NDG71" s="4"/>
      <c r="NDH71" s="4"/>
      <c r="NDI71" s="4"/>
      <c r="NDJ71" s="4"/>
      <c r="NDK71" s="4"/>
      <c r="NDL71" s="4"/>
      <c r="NDM71" s="4"/>
      <c r="NDN71" s="4"/>
      <c r="NDO71" s="4"/>
      <c r="NDP71" s="4"/>
      <c r="NDQ71" s="4"/>
      <c r="NDR71" s="4"/>
      <c r="NDS71" s="4"/>
      <c r="NDT71" s="4"/>
      <c r="NDU71" s="4"/>
      <c r="NDV71" s="4"/>
      <c r="NDW71" s="4"/>
      <c r="NDX71" s="4"/>
      <c r="NDY71" s="4"/>
      <c r="NDZ71" s="4"/>
      <c r="NEA71" s="4"/>
      <c r="NEB71" s="4"/>
      <c r="NEC71" s="4"/>
      <c r="NED71" s="4"/>
      <c r="NEE71" s="4"/>
      <c r="NEF71" s="4"/>
      <c r="NEG71" s="4"/>
      <c r="NEH71" s="4"/>
      <c r="NEI71" s="4"/>
      <c r="NEJ71" s="4"/>
      <c r="NEK71" s="4"/>
      <c r="NEL71" s="4"/>
      <c r="NEM71" s="4"/>
      <c r="NEN71" s="4"/>
      <c r="NEO71" s="4"/>
      <c r="NEP71" s="4"/>
      <c r="NEQ71" s="4"/>
      <c r="NER71" s="4"/>
      <c r="NES71" s="4"/>
      <c r="NET71" s="4"/>
      <c r="NEU71" s="4"/>
      <c r="NEV71" s="4"/>
      <c r="NEW71" s="4"/>
      <c r="NEX71" s="4"/>
      <c r="NEY71" s="4"/>
      <c r="NEZ71" s="4"/>
      <c r="NFA71" s="4"/>
      <c r="NFB71" s="4"/>
      <c r="NFC71" s="4"/>
      <c r="NFD71" s="4"/>
      <c r="NFE71" s="4"/>
      <c r="NFF71" s="4"/>
      <c r="NFG71" s="4"/>
      <c r="NFH71" s="4"/>
      <c r="NFI71" s="4"/>
      <c r="NFJ71" s="4"/>
      <c r="NFK71" s="4"/>
      <c r="NFL71" s="4"/>
      <c r="NFM71" s="4"/>
      <c r="NFN71" s="4"/>
      <c r="NFO71" s="4"/>
      <c r="NFP71" s="4"/>
      <c r="NFQ71" s="4"/>
      <c r="NFR71" s="4"/>
      <c r="NFS71" s="4"/>
      <c r="NFT71" s="4"/>
      <c r="NFU71" s="4"/>
      <c r="NFV71" s="4"/>
      <c r="NFW71" s="4"/>
      <c r="NFX71" s="4"/>
      <c r="NFY71" s="4"/>
      <c r="NFZ71" s="4"/>
      <c r="NGA71" s="4"/>
      <c r="NGB71" s="4"/>
      <c r="NGC71" s="4"/>
      <c r="NGD71" s="4"/>
      <c r="NGE71" s="4"/>
      <c r="NGF71" s="4"/>
      <c r="NGG71" s="4"/>
      <c r="NGH71" s="4"/>
      <c r="NGI71" s="4"/>
      <c r="NGJ71" s="4"/>
      <c r="NGK71" s="4"/>
      <c r="NGL71" s="4"/>
      <c r="NGM71" s="4"/>
      <c r="NGN71" s="4"/>
      <c r="NGO71" s="4"/>
      <c r="NGP71" s="4"/>
      <c r="NGQ71" s="4"/>
      <c r="NGR71" s="4"/>
      <c r="NGS71" s="4"/>
      <c r="NGT71" s="4"/>
      <c r="NGU71" s="4"/>
      <c r="NGV71" s="4"/>
      <c r="NGW71" s="4"/>
      <c r="NGX71" s="4"/>
      <c r="NGY71" s="4"/>
      <c r="NGZ71" s="4"/>
      <c r="NHA71" s="4"/>
      <c r="NHB71" s="4"/>
      <c r="NHC71" s="4"/>
      <c r="NHD71" s="4"/>
      <c r="NHE71" s="4"/>
      <c r="NHF71" s="4"/>
      <c r="NHG71" s="4"/>
      <c r="NHH71" s="4"/>
      <c r="NHI71" s="4"/>
      <c r="NHJ71" s="4"/>
      <c r="NHK71" s="4"/>
      <c r="NHL71" s="4"/>
      <c r="NHM71" s="4"/>
      <c r="NHN71" s="4"/>
      <c r="NHO71" s="4"/>
      <c r="NHP71" s="4"/>
      <c r="NHQ71" s="4"/>
      <c r="NHR71" s="4"/>
      <c r="NHS71" s="4"/>
      <c r="NHT71" s="4"/>
      <c r="NHU71" s="4"/>
      <c r="NHV71" s="4"/>
      <c r="NHW71" s="4"/>
      <c r="NHX71" s="4"/>
      <c r="NHY71" s="4"/>
      <c r="NHZ71" s="4"/>
      <c r="NIA71" s="4"/>
      <c r="NIB71" s="4"/>
      <c r="NIC71" s="4"/>
      <c r="NID71" s="4"/>
      <c r="NIE71" s="4"/>
      <c r="NIF71" s="4"/>
      <c r="NIG71" s="4"/>
      <c r="NIH71" s="4"/>
      <c r="NII71" s="4"/>
      <c r="NIJ71" s="4"/>
      <c r="NIK71" s="4"/>
      <c r="NIL71" s="4"/>
      <c r="NIM71" s="4"/>
      <c r="NIN71" s="4"/>
      <c r="NIO71" s="4"/>
      <c r="NIP71" s="4"/>
      <c r="NIQ71" s="4"/>
      <c r="NIR71" s="4"/>
      <c r="NIS71" s="4"/>
      <c r="NIT71" s="4"/>
      <c r="NIU71" s="4"/>
      <c r="NIV71" s="4"/>
      <c r="NIW71" s="4"/>
      <c r="NIX71" s="4"/>
      <c r="NIY71" s="4"/>
      <c r="NIZ71" s="4"/>
      <c r="NJA71" s="4"/>
      <c r="NJB71" s="4"/>
      <c r="NJC71" s="4"/>
      <c r="NJD71" s="4"/>
      <c r="NJE71" s="4"/>
      <c r="NJF71" s="4"/>
      <c r="NJG71" s="4"/>
      <c r="NJH71" s="4"/>
      <c r="NJI71" s="4"/>
      <c r="NJJ71" s="4"/>
      <c r="NJK71" s="4"/>
      <c r="NJL71" s="4"/>
      <c r="NJM71" s="4"/>
      <c r="NJN71" s="4"/>
      <c r="NJO71" s="4"/>
      <c r="NJP71" s="4"/>
      <c r="NJQ71" s="4"/>
      <c r="NJR71" s="4"/>
      <c r="NJS71" s="4"/>
      <c r="NJT71" s="4"/>
      <c r="NJU71" s="4"/>
      <c r="NJV71" s="4"/>
      <c r="NJW71" s="4"/>
      <c r="NJX71" s="4"/>
      <c r="NJY71" s="4"/>
      <c r="NJZ71" s="4"/>
      <c r="NKA71" s="4"/>
      <c r="NKB71" s="4"/>
      <c r="NKC71" s="4"/>
      <c r="NKD71" s="4"/>
      <c r="NKE71" s="4"/>
      <c r="NKF71" s="4"/>
      <c r="NKG71" s="4"/>
      <c r="NKH71" s="4"/>
      <c r="NKI71" s="4"/>
      <c r="NKJ71" s="4"/>
      <c r="NKK71" s="4"/>
      <c r="NKL71" s="4"/>
      <c r="NKM71" s="4"/>
      <c r="NKN71" s="4"/>
      <c r="NKO71" s="4"/>
      <c r="NKP71" s="4"/>
      <c r="NKQ71" s="4"/>
      <c r="NKR71" s="4"/>
      <c r="NKS71" s="4"/>
      <c r="NKT71" s="4"/>
      <c r="NKU71" s="4"/>
      <c r="NKV71" s="4"/>
      <c r="NKW71" s="4"/>
      <c r="NKX71" s="4"/>
      <c r="NKY71" s="4"/>
      <c r="NKZ71" s="4"/>
      <c r="NLA71" s="4"/>
      <c r="NLB71" s="4"/>
      <c r="NLC71" s="4"/>
      <c r="NLD71" s="4"/>
      <c r="NLE71" s="4"/>
      <c r="NLF71" s="4"/>
      <c r="NLG71" s="4"/>
      <c r="NLH71" s="4"/>
      <c r="NLI71" s="4"/>
      <c r="NLJ71" s="4"/>
      <c r="NLK71" s="4"/>
      <c r="NLL71" s="4"/>
      <c r="NLM71" s="4"/>
      <c r="NLN71" s="4"/>
      <c r="NLO71" s="4"/>
      <c r="NLP71" s="4"/>
      <c r="NLQ71" s="4"/>
      <c r="NLR71" s="4"/>
      <c r="NLS71" s="4"/>
      <c r="NLT71" s="4"/>
      <c r="NLU71" s="4"/>
      <c r="NLV71" s="4"/>
      <c r="NLW71" s="4"/>
      <c r="NLX71" s="4"/>
      <c r="NLY71" s="4"/>
      <c r="NLZ71" s="4"/>
      <c r="NMA71" s="4"/>
      <c r="NMB71" s="4"/>
      <c r="NMC71" s="4"/>
      <c r="NMD71" s="4"/>
      <c r="NME71" s="4"/>
      <c r="NMF71" s="4"/>
      <c r="NMG71" s="4"/>
      <c r="NMH71" s="4"/>
      <c r="NMI71" s="4"/>
      <c r="NMJ71" s="4"/>
      <c r="NMK71" s="4"/>
      <c r="NML71" s="4"/>
      <c r="NMM71" s="4"/>
      <c r="NMN71" s="4"/>
      <c r="NMO71" s="4"/>
      <c r="NMP71" s="4"/>
      <c r="NMQ71" s="4"/>
      <c r="NMR71" s="4"/>
      <c r="NMS71" s="4"/>
      <c r="NMT71" s="4"/>
      <c r="NMU71" s="4"/>
      <c r="NMV71" s="4"/>
      <c r="NMW71" s="4"/>
      <c r="NMX71" s="4"/>
      <c r="NMY71" s="4"/>
      <c r="NMZ71" s="4"/>
      <c r="NNA71" s="4"/>
      <c r="NNB71" s="4"/>
      <c r="NNC71" s="4"/>
      <c r="NND71" s="4"/>
      <c r="NNE71" s="4"/>
      <c r="NNF71" s="4"/>
      <c r="NNG71" s="4"/>
      <c r="NNH71" s="4"/>
      <c r="NNI71" s="4"/>
      <c r="NNJ71" s="4"/>
      <c r="NNK71" s="4"/>
      <c r="NNL71" s="4"/>
      <c r="NNM71" s="4"/>
      <c r="NNN71" s="4"/>
      <c r="NNO71" s="4"/>
      <c r="NNP71" s="4"/>
      <c r="NNQ71" s="4"/>
      <c r="NNR71" s="4"/>
      <c r="NNS71" s="4"/>
      <c r="NNT71" s="4"/>
      <c r="NNU71" s="4"/>
      <c r="NNV71" s="4"/>
      <c r="NNW71" s="4"/>
      <c r="NNX71" s="4"/>
      <c r="NNY71" s="4"/>
      <c r="NNZ71" s="4"/>
      <c r="NOA71" s="4"/>
      <c r="NOB71" s="4"/>
      <c r="NOC71" s="4"/>
      <c r="NOD71" s="4"/>
      <c r="NOE71" s="4"/>
      <c r="NOF71" s="4"/>
      <c r="NOG71" s="4"/>
      <c r="NOH71" s="4"/>
      <c r="NOI71" s="4"/>
      <c r="NOJ71" s="4"/>
      <c r="NOK71" s="4"/>
      <c r="NOL71" s="4"/>
      <c r="NOM71" s="4"/>
      <c r="NON71" s="4"/>
      <c r="NOO71" s="4"/>
      <c r="NOP71" s="4"/>
      <c r="NOQ71" s="4"/>
      <c r="NOR71" s="4"/>
      <c r="NOS71" s="4"/>
      <c r="NOT71" s="4"/>
      <c r="NOU71" s="4"/>
      <c r="NOV71" s="4"/>
      <c r="NOW71" s="4"/>
      <c r="NOX71" s="4"/>
      <c r="NOY71" s="4"/>
      <c r="NOZ71" s="4"/>
      <c r="NPA71" s="4"/>
      <c r="NPB71" s="4"/>
      <c r="NPC71" s="4"/>
      <c r="NPD71" s="4"/>
      <c r="NPE71" s="4"/>
      <c r="NPF71" s="4"/>
      <c r="NPG71" s="4"/>
      <c r="NPH71" s="4"/>
      <c r="NPI71" s="4"/>
      <c r="NPJ71" s="4"/>
      <c r="NPK71" s="4"/>
      <c r="NPL71" s="4"/>
      <c r="NPM71" s="4"/>
      <c r="NPN71" s="4"/>
      <c r="NPO71" s="4"/>
      <c r="NPP71" s="4"/>
      <c r="NPQ71" s="4"/>
      <c r="NPR71" s="4"/>
      <c r="NPS71" s="4"/>
      <c r="NPT71" s="4"/>
      <c r="NPU71" s="4"/>
      <c r="NPV71" s="4"/>
      <c r="NPW71" s="4"/>
      <c r="NPX71" s="4"/>
      <c r="NPY71" s="4"/>
      <c r="NPZ71" s="4"/>
      <c r="NQA71" s="4"/>
      <c r="NQB71" s="4"/>
      <c r="NQC71" s="4"/>
      <c r="NQD71" s="4"/>
      <c r="NQE71" s="4"/>
      <c r="NQF71" s="4"/>
      <c r="NQG71" s="4"/>
      <c r="NQH71" s="4"/>
      <c r="NQI71" s="4"/>
      <c r="NQJ71" s="4"/>
      <c r="NQK71" s="4"/>
      <c r="NQL71" s="4"/>
      <c r="NQM71" s="4"/>
      <c r="NQN71" s="4"/>
      <c r="NQO71" s="4"/>
      <c r="NQP71" s="4"/>
      <c r="NQQ71" s="4"/>
      <c r="NQR71" s="4"/>
      <c r="NQS71" s="4"/>
      <c r="NQT71" s="4"/>
      <c r="NQU71" s="4"/>
      <c r="NQV71" s="4"/>
      <c r="NQW71" s="4"/>
      <c r="NQX71" s="4"/>
      <c r="NQY71" s="4"/>
      <c r="NQZ71" s="4"/>
      <c r="NRA71" s="4"/>
      <c r="NRB71" s="4"/>
      <c r="NRC71" s="4"/>
      <c r="NRD71" s="4"/>
      <c r="NRE71" s="4"/>
      <c r="NRF71" s="4"/>
      <c r="NRG71" s="4"/>
      <c r="NRH71" s="4"/>
      <c r="NRI71" s="4"/>
      <c r="NRJ71" s="4"/>
      <c r="NRK71" s="4"/>
      <c r="NRL71" s="4"/>
      <c r="NRM71" s="4"/>
      <c r="NRN71" s="4"/>
      <c r="NRO71" s="4"/>
      <c r="NRP71" s="4"/>
      <c r="NRQ71" s="4"/>
      <c r="NRR71" s="4"/>
      <c r="NRS71" s="4"/>
      <c r="NRT71" s="4"/>
      <c r="NRU71" s="4"/>
      <c r="NRV71" s="4"/>
      <c r="NRW71" s="4"/>
      <c r="NRX71" s="4"/>
      <c r="NRY71" s="4"/>
      <c r="NRZ71" s="4"/>
      <c r="NSA71" s="4"/>
      <c r="NSB71" s="4"/>
      <c r="NSC71" s="4"/>
      <c r="NSD71" s="4"/>
      <c r="NSE71" s="4"/>
      <c r="NSF71" s="4"/>
      <c r="NSG71" s="4"/>
      <c r="NSH71" s="4"/>
      <c r="NSI71" s="4"/>
      <c r="NSJ71" s="4"/>
      <c r="NSK71" s="4"/>
      <c r="NSL71" s="4"/>
      <c r="NSM71" s="4"/>
      <c r="NSN71" s="4"/>
      <c r="NSO71" s="4"/>
      <c r="NSP71" s="4"/>
      <c r="NSQ71" s="4"/>
      <c r="NSR71" s="4"/>
      <c r="NSS71" s="4"/>
      <c r="NST71" s="4"/>
      <c r="NSU71" s="4"/>
      <c r="NSV71" s="4"/>
      <c r="NSW71" s="4"/>
      <c r="NSX71" s="4"/>
      <c r="NSY71" s="4"/>
      <c r="NSZ71" s="4"/>
      <c r="NTA71" s="4"/>
      <c r="NTB71" s="4"/>
      <c r="NTC71" s="4"/>
      <c r="NTD71" s="4"/>
      <c r="NTE71" s="4"/>
      <c r="NTF71" s="4"/>
      <c r="NTG71" s="4"/>
      <c r="NTH71" s="4"/>
      <c r="NTI71" s="4"/>
      <c r="NTJ71" s="4"/>
      <c r="NTK71" s="4"/>
      <c r="NTL71" s="4"/>
      <c r="NTM71" s="4"/>
      <c r="NTN71" s="4"/>
      <c r="NTO71" s="4"/>
      <c r="NTP71" s="4"/>
      <c r="NTQ71" s="4"/>
      <c r="NTR71" s="4"/>
      <c r="NTS71" s="4"/>
      <c r="NTT71" s="4"/>
      <c r="NTU71" s="4"/>
      <c r="NTV71" s="4"/>
      <c r="NTW71" s="4"/>
      <c r="NTX71" s="4"/>
      <c r="NTY71" s="4"/>
      <c r="NTZ71" s="4"/>
      <c r="NUA71" s="4"/>
      <c r="NUB71" s="4"/>
      <c r="NUC71" s="4"/>
      <c r="NUD71" s="4"/>
      <c r="NUE71" s="4"/>
      <c r="NUF71" s="4"/>
      <c r="NUG71" s="4"/>
      <c r="NUH71" s="4"/>
      <c r="NUI71" s="4"/>
      <c r="NUJ71" s="4"/>
      <c r="NUK71" s="4"/>
      <c r="NUL71" s="4"/>
      <c r="NUM71" s="4"/>
      <c r="NUN71" s="4"/>
      <c r="NUO71" s="4"/>
      <c r="NUP71" s="4"/>
      <c r="NUQ71" s="4"/>
      <c r="NUR71" s="4"/>
      <c r="NUS71" s="4"/>
      <c r="NUT71" s="4"/>
      <c r="NUU71" s="4"/>
      <c r="NUV71" s="4"/>
      <c r="NUW71" s="4"/>
      <c r="NUX71" s="4"/>
      <c r="NUY71" s="4"/>
      <c r="NUZ71" s="4"/>
      <c r="NVA71" s="4"/>
      <c r="NVB71" s="4"/>
      <c r="NVC71" s="4"/>
      <c r="NVD71" s="4"/>
      <c r="NVE71" s="4"/>
      <c r="NVF71" s="4"/>
      <c r="NVG71" s="4"/>
      <c r="NVH71" s="4"/>
      <c r="NVI71" s="4"/>
      <c r="NVJ71" s="4"/>
      <c r="NVK71" s="4"/>
      <c r="NVL71" s="4"/>
      <c r="NVM71" s="4"/>
      <c r="NVN71" s="4"/>
      <c r="NVO71" s="4"/>
      <c r="NVP71" s="4"/>
      <c r="NVQ71" s="4"/>
      <c r="NVR71" s="4"/>
      <c r="NVS71" s="4"/>
      <c r="NVT71" s="4"/>
      <c r="NVU71" s="4"/>
      <c r="NVV71" s="4"/>
      <c r="NVW71" s="4"/>
      <c r="NVX71" s="4"/>
      <c r="NVY71" s="4"/>
      <c r="NVZ71" s="4"/>
      <c r="NWA71" s="4"/>
      <c r="NWB71" s="4"/>
      <c r="NWC71" s="4"/>
      <c r="NWD71" s="4"/>
      <c r="NWE71" s="4"/>
      <c r="NWF71" s="4"/>
      <c r="NWG71" s="4"/>
      <c r="NWH71" s="4"/>
      <c r="NWI71" s="4"/>
      <c r="NWJ71" s="4"/>
      <c r="NWK71" s="4"/>
      <c r="NWL71" s="4"/>
      <c r="NWM71" s="4"/>
      <c r="NWN71" s="4"/>
      <c r="NWO71" s="4"/>
      <c r="NWP71" s="4"/>
      <c r="NWQ71" s="4"/>
      <c r="NWR71" s="4"/>
      <c r="NWS71" s="4"/>
      <c r="NWT71" s="4"/>
      <c r="NWU71" s="4"/>
      <c r="NWV71" s="4"/>
      <c r="NWW71" s="4"/>
      <c r="NWX71" s="4"/>
      <c r="NWY71" s="4"/>
      <c r="NWZ71" s="4"/>
      <c r="NXA71" s="4"/>
      <c r="NXB71" s="4"/>
      <c r="NXC71" s="4"/>
      <c r="NXD71" s="4"/>
      <c r="NXE71" s="4"/>
      <c r="NXF71" s="4"/>
      <c r="NXG71" s="4"/>
      <c r="NXH71" s="4"/>
      <c r="NXI71" s="4"/>
      <c r="NXJ71" s="4"/>
      <c r="NXK71" s="4"/>
      <c r="NXL71" s="4"/>
      <c r="NXM71" s="4"/>
      <c r="NXN71" s="4"/>
      <c r="NXO71" s="4"/>
      <c r="NXP71" s="4"/>
      <c r="NXQ71" s="4"/>
      <c r="NXR71" s="4"/>
      <c r="NXS71" s="4"/>
      <c r="NXT71" s="4"/>
      <c r="NXU71" s="4"/>
      <c r="NXV71" s="4"/>
      <c r="NXW71" s="4"/>
      <c r="NXX71" s="4"/>
      <c r="NXY71" s="4"/>
      <c r="NXZ71" s="4"/>
      <c r="NYA71" s="4"/>
      <c r="NYB71" s="4"/>
      <c r="NYC71" s="4"/>
      <c r="NYD71" s="4"/>
      <c r="NYE71" s="4"/>
      <c r="NYF71" s="4"/>
      <c r="NYG71" s="4"/>
      <c r="NYH71" s="4"/>
      <c r="NYI71" s="4"/>
      <c r="NYJ71" s="4"/>
      <c r="NYK71" s="4"/>
      <c r="NYL71" s="4"/>
      <c r="NYM71" s="4"/>
      <c r="NYN71" s="4"/>
      <c r="NYO71" s="4"/>
      <c r="NYP71" s="4"/>
      <c r="NYQ71" s="4"/>
      <c r="NYR71" s="4"/>
      <c r="NYS71" s="4"/>
      <c r="NYT71" s="4"/>
      <c r="NYU71" s="4"/>
      <c r="NYV71" s="4"/>
      <c r="NYW71" s="4"/>
      <c r="NYX71" s="4"/>
      <c r="NYY71" s="4"/>
      <c r="NYZ71" s="4"/>
      <c r="NZA71" s="4"/>
      <c r="NZB71" s="4"/>
      <c r="NZC71" s="4"/>
      <c r="NZD71" s="4"/>
      <c r="NZE71" s="4"/>
      <c r="NZF71" s="4"/>
      <c r="NZG71" s="4"/>
      <c r="NZH71" s="4"/>
      <c r="NZI71" s="4"/>
      <c r="NZJ71" s="4"/>
      <c r="NZK71" s="4"/>
      <c r="NZL71" s="4"/>
      <c r="NZM71" s="4"/>
      <c r="NZN71" s="4"/>
      <c r="NZO71" s="4"/>
      <c r="NZP71" s="4"/>
      <c r="NZQ71" s="4"/>
      <c r="NZR71" s="4"/>
      <c r="NZS71" s="4"/>
      <c r="NZT71" s="4"/>
      <c r="NZU71" s="4"/>
      <c r="NZV71" s="4"/>
      <c r="NZW71" s="4"/>
      <c r="NZX71" s="4"/>
      <c r="NZY71" s="4"/>
      <c r="NZZ71" s="4"/>
      <c r="OAA71" s="4"/>
      <c r="OAB71" s="4"/>
      <c r="OAC71" s="4"/>
      <c r="OAD71" s="4"/>
      <c r="OAE71" s="4"/>
      <c r="OAF71" s="4"/>
      <c r="OAG71" s="4"/>
      <c r="OAH71" s="4"/>
      <c r="OAI71" s="4"/>
      <c r="OAJ71" s="4"/>
      <c r="OAK71" s="4"/>
      <c r="OAL71" s="4"/>
      <c r="OAM71" s="4"/>
      <c r="OAN71" s="4"/>
      <c r="OAO71" s="4"/>
      <c r="OAP71" s="4"/>
      <c r="OAQ71" s="4"/>
      <c r="OAR71" s="4"/>
      <c r="OAS71" s="4"/>
      <c r="OAT71" s="4"/>
      <c r="OAU71" s="4"/>
      <c r="OAV71" s="4"/>
      <c r="OAW71" s="4"/>
      <c r="OAX71" s="4"/>
      <c r="OAY71" s="4"/>
      <c r="OAZ71" s="4"/>
      <c r="OBA71" s="4"/>
      <c r="OBB71" s="4"/>
      <c r="OBC71" s="4"/>
      <c r="OBD71" s="4"/>
      <c r="OBE71" s="4"/>
      <c r="OBF71" s="4"/>
      <c r="OBG71" s="4"/>
      <c r="OBH71" s="4"/>
      <c r="OBI71" s="4"/>
      <c r="OBJ71" s="4"/>
      <c r="OBK71" s="4"/>
      <c r="OBL71" s="4"/>
      <c r="OBM71" s="4"/>
      <c r="OBN71" s="4"/>
      <c r="OBO71" s="4"/>
      <c r="OBP71" s="4"/>
      <c r="OBQ71" s="4"/>
      <c r="OBR71" s="4"/>
      <c r="OBS71" s="4"/>
      <c r="OBT71" s="4"/>
      <c r="OBU71" s="4"/>
      <c r="OBV71" s="4"/>
      <c r="OBW71" s="4"/>
      <c r="OBX71" s="4"/>
      <c r="OBY71" s="4"/>
      <c r="OBZ71" s="4"/>
      <c r="OCA71" s="4"/>
      <c r="OCB71" s="4"/>
      <c r="OCC71" s="4"/>
      <c r="OCD71" s="4"/>
      <c r="OCE71" s="4"/>
      <c r="OCF71" s="4"/>
      <c r="OCG71" s="4"/>
      <c r="OCH71" s="4"/>
      <c r="OCI71" s="4"/>
      <c r="OCJ71" s="4"/>
      <c r="OCK71" s="4"/>
      <c r="OCL71" s="4"/>
      <c r="OCM71" s="4"/>
      <c r="OCN71" s="4"/>
      <c r="OCO71" s="4"/>
      <c r="OCP71" s="4"/>
      <c r="OCQ71" s="4"/>
      <c r="OCR71" s="4"/>
      <c r="OCS71" s="4"/>
      <c r="OCT71" s="4"/>
      <c r="OCU71" s="4"/>
      <c r="OCV71" s="4"/>
      <c r="OCW71" s="4"/>
      <c r="OCX71" s="4"/>
      <c r="OCY71" s="4"/>
      <c r="OCZ71" s="4"/>
      <c r="ODA71" s="4"/>
      <c r="ODB71" s="4"/>
      <c r="ODC71" s="4"/>
      <c r="ODD71" s="4"/>
      <c r="ODE71" s="4"/>
      <c r="ODF71" s="4"/>
      <c r="ODG71" s="4"/>
      <c r="ODH71" s="4"/>
      <c r="ODI71" s="4"/>
      <c r="ODJ71" s="4"/>
      <c r="ODK71" s="4"/>
      <c r="ODL71" s="4"/>
      <c r="ODM71" s="4"/>
      <c r="ODN71" s="4"/>
      <c r="ODO71" s="4"/>
      <c r="ODP71" s="4"/>
      <c r="ODQ71" s="4"/>
      <c r="ODR71" s="4"/>
      <c r="ODS71" s="4"/>
      <c r="ODT71" s="4"/>
      <c r="ODU71" s="4"/>
      <c r="ODV71" s="4"/>
      <c r="ODW71" s="4"/>
      <c r="ODX71" s="4"/>
      <c r="ODY71" s="4"/>
      <c r="ODZ71" s="4"/>
      <c r="OEA71" s="4"/>
      <c r="OEB71" s="4"/>
      <c r="OEC71" s="4"/>
      <c r="OED71" s="4"/>
      <c r="OEE71" s="4"/>
      <c r="OEF71" s="4"/>
      <c r="OEG71" s="4"/>
      <c r="OEH71" s="4"/>
      <c r="OEI71" s="4"/>
      <c r="OEJ71" s="4"/>
      <c r="OEK71" s="4"/>
      <c r="OEL71" s="4"/>
      <c r="OEM71" s="4"/>
      <c r="OEN71" s="4"/>
      <c r="OEO71" s="4"/>
      <c r="OEP71" s="4"/>
      <c r="OEQ71" s="4"/>
      <c r="OER71" s="4"/>
      <c r="OES71" s="4"/>
      <c r="OET71" s="4"/>
      <c r="OEU71" s="4"/>
      <c r="OEV71" s="4"/>
      <c r="OEW71" s="4"/>
      <c r="OEX71" s="4"/>
      <c r="OEY71" s="4"/>
      <c r="OEZ71" s="4"/>
      <c r="OFA71" s="4"/>
      <c r="OFB71" s="4"/>
      <c r="OFC71" s="4"/>
      <c r="OFD71" s="4"/>
      <c r="OFE71" s="4"/>
      <c r="OFF71" s="4"/>
      <c r="OFG71" s="4"/>
      <c r="OFH71" s="4"/>
      <c r="OFI71" s="4"/>
      <c r="OFJ71" s="4"/>
      <c r="OFK71" s="4"/>
      <c r="OFL71" s="4"/>
      <c r="OFM71" s="4"/>
      <c r="OFN71" s="4"/>
      <c r="OFO71" s="4"/>
      <c r="OFP71" s="4"/>
      <c r="OFQ71" s="4"/>
      <c r="OFR71" s="4"/>
      <c r="OFS71" s="4"/>
      <c r="OFT71" s="4"/>
      <c r="OFU71" s="4"/>
      <c r="OFV71" s="4"/>
      <c r="OFW71" s="4"/>
      <c r="OFX71" s="4"/>
      <c r="OFY71" s="4"/>
      <c r="OFZ71" s="4"/>
      <c r="OGA71" s="4"/>
      <c r="OGB71" s="4"/>
      <c r="OGC71" s="4"/>
      <c r="OGD71" s="4"/>
      <c r="OGE71" s="4"/>
      <c r="OGF71" s="4"/>
      <c r="OGG71" s="4"/>
      <c r="OGH71" s="4"/>
      <c r="OGI71" s="4"/>
      <c r="OGJ71" s="4"/>
      <c r="OGK71" s="4"/>
      <c r="OGL71" s="4"/>
      <c r="OGM71" s="4"/>
      <c r="OGN71" s="4"/>
      <c r="OGO71" s="4"/>
      <c r="OGP71" s="4"/>
      <c r="OGQ71" s="4"/>
      <c r="OGR71" s="4"/>
      <c r="OGS71" s="4"/>
      <c r="OGT71" s="4"/>
      <c r="OGU71" s="4"/>
      <c r="OGV71" s="4"/>
      <c r="OGW71" s="4"/>
      <c r="OGX71" s="4"/>
      <c r="OGY71" s="4"/>
      <c r="OGZ71" s="4"/>
      <c r="OHA71" s="4"/>
      <c r="OHB71" s="4"/>
      <c r="OHC71" s="4"/>
      <c r="OHD71" s="4"/>
      <c r="OHE71" s="4"/>
      <c r="OHF71" s="4"/>
      <c r="OHG71" s="4"/>
      <c r="OHH71" s="4"/>
      <c r="OHI71" s="4"/>
      <c r="OHJ71" s="4"/>
      <c r="OHK71" s="4"/>
      <c r="OHL71" s="4"/>
      <c r="OHM71" s="4"/>
      <c r="OHN71" s="4"/>
      <c r="OHO71" s="4"/>
      <c r="OHP71" s="4"/>
      <c r="OHQ71" s="4"/>
      <c r="OHR71" s="4"/>
      <c r="OHS71" s="4"/>
      <c r="OHT71" s="4"/>
      <c r="OHU71" s="4"/>
      <c r="OHV71" s="4"/>
      <c r="OHW71" s="4"/>
      <c r="OHX71" s="4"/>
      <c r="OHY71" s="4"/>
      <c r="OHZ71" s="4"/>
      <c r="OIA71" s="4"/>
      <c r="OIB71" s="4"/>
      <c r="OIC71" s="4"/>
      <c r="OID71" s="4"/>
      <c r="OIE71" s="4"/>
      <c r="OIF71" s="4"/>
      <c r="OIG71" s="4"/>
      <c r="OIH71" s="4"/>
      <c r="OII71" s="4"/>
      <c r="OIJ71" s="4"/>
      <c r="OIK71" s="4"/>
      <c r="OIL71" s="4"/>
      <c r="OIM71" s="4"/>
      <c r="OIN71" s="4"/>
      <c r="OIO71" s="4"/>
      <c r="OIP71" s="4"/>
      <c r="OIQ71" s="4"/>
      <c r="OIR71" s="4"/>
      <c r="OIS71" s="4"/>
      <c r="OIT71" s="4"/>
      <c r="OIU71" s="4"/>
      <c r="OIV71" s="4"/>
      <c r="OIW71" s="4"/>
      <c r="OIX71" s="4"/>
      <c r="OIY71" s="4"/>
      <c r="OIZ71" s="4"/>
      <c r="OJA71" s="4"/>
      <c r="OJB71" s="4"/>
      <c r="OJC71" s="4"/>
      <c r="OJD71" s="4"/>
      <c r="OJE71" s="4"/>
      <c r="OJF71" s="4"/>
      <c r="OJG71" s="4"/>
      <c r="OJH71" s="4"/>
      <c r="OJI71" s="4"/>
      <c r="OJJ71" s="4"/>
      <c r="OJK71" s="4"/>
      <c r="OJL71" s="4"/>
      <c r="OJM71" s="4"/>
      <c r="OJN71" s="4"/>
      <c r="OJO71" s="4"/>
      <c r="OJP71" s="4"/>
      <c r="OJQ71" s="4"/>
      <c r="OJR71" s="4"/>
      <c r="OJS71" s="4"/>
      <c r="OJT71" s="4"/>
      <c r="OJU71" s="4"/>
      <c r="OJV71" s="4"/>
      <c r="OJW71" s="4"/>
      <c r="OJX71" s="4"/>
      <c r="OJY71" s="4"/>
      <c r="OJZ71" s="4"/>
      <c r="OKA71" s="4"/>
      <c r="OKB71" s="4"/>
      <c r="OKC71" s="4"/>
      <c r="OKD71" s="4"/>
      <c r="OKE71" s="4"/>
      <c r="OKF71" s="4"/>
      <c r="OKG71" s="4"/>
      <c r="OKH71" s="4"/>
      <c r="OKI71" s="4"/>
      <c r="OKJ71" s="4"/>
      <c r="OKK71" s="4"/>
      <c r="OKL71" s="4"/>
      <c r="OKM71" s="4"/>
      <c r="OKN71" s="4"/>
      <c r="OKO71" s="4"/>
      <c r="OKP71" s="4"/>
      <c r="OKQ71" s="4"/>
      <c r="OKR71" s="4"/>
      <c r="OKS71" s="4"/>
      <c r="OKT71" s="4"/>
      <c r="OKU71" s="4"/>
      <c r="OKV71" s="4"/>
      <c r="OKW71" s="4"/>
      <c r="OKX71" s="4"/>
      <c r="OKY71" s="4"/>
      <c r="OKZ71" s="4"/>
      <c r="OLA71" s="4"/>
      <c r="OLB71" s="4"/>
      <c r="OLC71" s="4"/>
      <c r="OLD71" s="4"/>
      <c r="OLE71" s="4"/>
      <c r="OLF71" s="4"/>
      <c r="OLG71" s="4"/>
      <c r="OLH71" s="4"/>
      <c r="OLI71" s="4"/>
      <c r="OLJ71" s="4"/>
      <c r="OLK71" s="4"/>
      <c r="OLL71" s="4"/>
      <c r="OLM71" s="4"/>
      <c r="OLN71" s="4"/>
      <c r="OLO71" s="4"/>
      <c r="OLP71" s="4"/>
      <c r="OLQ71" s="4"/>
      <c r="OLR71" s="4"/>
      <c r="OLS71" s="4"/>
      <c r="OLT71" s="4"/>
      <c r="OLU71" s="4"/>
      <c r="OLV71" s="4"/>
      <c r="OLW71" s="4"/>
      <c r="OLX71" s="4"/>
      <c r="OLY71" s="4"/>
      <c r="OLZ71" s="4"/>
      <c r="OMA71" s="4"/>
      <c r="OMB71" s="4"/>
      <c r="OMC71" s="4"/>
      <c r="OMD71" s="4"/>
      <c r="OME71" s="4"/>
      <c r="OMF71" s="4"/>
      <c r="OMG71" s="4"/>
      <c r="OMH71" s="4"/>
      <c r="OMI71" s="4"/>
      <c r="OMJ71" s="4"/>
      <c r="OMK71" s="4"/>
      <c r="OML71" s="4"/>
      <c r="OMM71" s="4"/>
      <c r="OMN71" s="4"/>
      <c r="OMO71" s="4"/>
      <c r="OMP71" s="4"/>
      <c r="OMQ71" s="4"/>
      <c r="OMR71" s="4"/>
      <c r="OMS71" s="4"/>
      <c r="OMT71" s="4"/>
      <c r="OMU71" s="4"/>
      <c r="OMV71" s="4"/>
      <c r="OMW71" s="4"/>
      <c r="OMX71" s="4"/>
      <c r="OMY71" s="4"/>
      <c r="OMZ71" s="4"/>
      <c r="ONA71" s="4"/>
      <c r="ONB71" s="4"/>
      <c r="ONC71" s="4"/>
      <c r="OND71" s="4"/>
      <c r="ONE71" s="4"/>
      <c r="ONF71" s="4"/>
      <c r="ONG71" s="4"/>
      <c r="ONH71" s="4"/>
      <c r="ONI71" s="4"/>
      <c r="ONJ71" s="4"/>
      <c r="ONK71" s="4"/>
      <c r="ONL71" s="4"/>
      <c r="ONM71" s="4"/>
      <c r="ONN71" s="4"/>
      <c r="ONO71" s="4"/>
      <c r="ONP71" s="4"/>
      <c r="ONQ71" s="4"/>
      <c r="ONR71" s="4"/>
      <c r="ONS71" s="4"/>
      <c r="ONT71" s="4"/>
      <c r="ONU71" s="4"/>
      <c r="ONV71" s="4"/>
      <c r="ONW71" s="4"/>
      <c r="ONX71" s="4"/>
      <c r="ONY71" s="4"/>
      <c r="ONZ71" s="4"/>
      <c r="OOA71" s="4"/>
      <c r="OOB71" s="4"/>
      <c r="OOC71" s="4"/>
      <c r="OOD71" s="4"/>
      <c r="OOE71" s="4"/>
      <c r="OOF71" s="4"/>
      <c r="OOG71" s="4"/>
      <c r="OOH71" s="4"/>
      <c r="OOI71" s="4"/>
      <c r="OOJ71" s="4"/>
      <c r="OOK71" s="4"/>
      <c r="OOL71" s="4"/>
      <c r="OOM71" s="4"/>
      <c r="OON71" s="4"/>
      <c r="OOO71" s="4"/>
      <c r="OOP71" s="4"/>
      <c r="OOQ71" s="4"/>
      <c r="OOR71" s="4"/>
      <c r="OOS71" s="4"/>
      <c r="OOT71" s="4"/>
      <c r="OOU71" s="4"/>
      <c r="OOV71" s="4"/>
      <c r="OOW71" s="4"/>
      <c r="OOX71" s="4"/>
      <c r="OOY71" s="4"/>
      <c r="OOZ71" s="4"/>
      <c r="OPA71" s="4"/>
      <c r="OPB71" s="4"/>
      <c r="OPC71" s="4"/>
      <c r="OPD71" s="4"/>
      <c r="OPE71" s="4"/>
      <c r="OPF71" s="4"/>
      <c r="OPG71" s="4"/>
      <c r="OPH71" s="4"/>
      <c r="OPI71" s="4"/>
      <c r="OPJ71" s="4"/>
      <c r="OPK71" s="4"/>
      <c r="OPL71" s="4"/>
      <c r="OPM71" s="4"/>
      <c r="OPN71" s="4"/>
      <c r="OPO71" s="4"/>
      <c r="OPP71" s="4"/>
      <c r="OPQ71" s="4"/>
      <c r="OPR71" s="4"/>
      <c r="OPS71" s="4"/>
      <c r="OPT71" s="4"/>
      <c r="OPU71" s="4"/>
      <c r="OPV71" s="4"/>
      <c r="OPW71" s="4"/>
      <c r="OPX71" s="4"/>
      <c r="OPY71" s="4"/>
      <c r="OPZ71" s="4"/>
      <c r="OQA71" s="4"/>
      <c r="OQB71" s="4"/>
      <c r="OQC71" s="4"/>
      <c r="OQD71" s="4"/>
      <c r="OQE71" s="4"/>
      <c r="OQF71" s="4"/>
      <c r="OQG71" s="4"/>
      <c r="OQH71" s="4"/>
      <c r="OQI71" s="4"/>
      <c r="OQJ71" s="4"/>
      <c r="OQK71" s="4"/>
      <c r="OQL71" s="4"/>
      <c r="OQM71" s="4"/>
      <c r="OQN71" s="4"/>
      <c r="OQO71" s="4"/>
      <c r="OQP71" s="4"/>
      <c r="OQQ71" s="4"/>
      <c r="OQR71" s="4"/>
      <c r="OQS71" s="4"/>
      <c r="OQT71" s="4"/>
      <c r="OQU71" s="4"/>
      <c r="OQV71" s="4"/>
      <c r="OQW71" s="4"/>
      <c r="OQX71" s="4"/>
      <c r="OQY71" s="4"/>
      <c r="OQZ71" s="4"/>
      <c r="ORA71" s="4"/>
      <c r="ORB71" s="4"/>
      <c r="ORC71" s="4"/>
      <c r="ORD71" s="4"/>
      <c r="ORE71" s="4"/>
      <c r="ORF71" s="4"/>
      <c r="ORG71" s="4"/>
      <c r="ORH71" s="4"/>
      <c r="ORI71" s="4"/>
      <c r="ORJ71" s="4"/>
      <c r="ORK71" s="4"/>
      <c r="ORL71" s="4"/>
      <c r="ORM71" s="4"/>
      <c r="ORN71" s="4"/>
      <c r="ORO71" s="4"/>
      <c r="ORP71" s="4"/>
      <c r="ORQ71" s="4"/>
      <c r="ORR71" s="4"/>
      <c r="ORS71" s="4"/>
      <c r="ORT71" s="4"/>
      <c r="ORU71" s="4"/>
      <c r="ORV71" s="4"/>
      <c r="ORW71" s="4"/>
      <c r="ORX71" s="4"/>
      <c r="ORY71" s="4"/>
      <c r="ORZ71" s="4"/>
      <c r="OSA71" s="4"/>
      <c r="OSB71" s="4"/>
      <c r="OSC71" s="4"/>
      <c r="OSD71" s="4"/>
      <c r="OSE71" s="4"/>
      <c r="OSF71" s="4"/>
      <c r="OSG71" s="4"/>
      <c r="OSH71" s="4"/>
      <c r="OSI71" s="4"/>
      <c r="OSJ71" s="4"/>
      <c r="OSK71" s="4"/>
      <c r="OSL71" s="4"/>
      <c r="OSM71" s="4"/>
      <c r="OSN71" s="4"/>
      <c r="OSO71" s="4"/>
      <c r="OSP71" s="4"/>
      <c r="OSQ71" s="4"/>
      <c r="OSR71" s="4"/>
      <c r="OSS71" s="4"/>
      <c r="OST71" s="4"/>
      <c r="OSU71" s="4"/>
      <c r="OSV71" s="4"/>
      <c r="OSW71" s="4"/>
      <c r="OSX71" s="4"/>
      <c r="OSY71" s="4"/>
      <c r="OSZ71" s="4"/>
      <c r="OTA71" s="4"/>
      <c r="OTB71" s="4"/>
      <c r="OTC71" s="4"/>
      <c r="OTD71" s="4"/>
      <c r="OTE71" s="4"/>
      <c r="OTF71" s="4"/>
      <c r="OTG71" s="4"/>
      <c r="OTH71" s="4"/>
      <c r="OTI71" s="4"/>
      <c r="OTJ71" s="4"/>
      <c r="OTK71" s="4"/>
      <c r="OTL71" s="4"/>
      <c r="OTM71" s="4"/>
      <c r="OTN71" s="4"/>
      <c r="OTO71" s="4"/>
      <c r="OTP71" s="4"/>
      <c r="OTQ71" s="4"/>
      <c r="OTR71" s="4"/>
      <c r="OTS71" s="4"/>
      <c r="OTT71" s="4"/>
      <c r="OTU71" s="4"/>
      <c r="OTV71" s="4"/>
      <c r="OTW71" s="4"/>
      <c r="OTX71" s="4"/>
      <c r="OTY71" s="4"/>
      <c r="OTZ71" s="4"/>
      <c r="OUA71" s="4"/>
      <c r="OUB71" s="4"/>
      <c r="OUC71" s="4"/>
      <c r="OUD71" s="4"/>
      <c r="OUE71" s="4"/>
      <c r="OUF71" s="4"/>
      <c r="OUG71" s="4"/>
      <c r="OUH71" s="4"/>
      <c r="OUI71" s="4"/>
      <c r="OUJ71" s="4"/>
      <c r="OUK71" s="4"/>
      <c r="OUL71" s="4"/>
      <c r="OUM71" s="4"/>
      <c r="OUN71" s="4"/>
      <c r="OUO71" s="4"/>
      <c r="OUP71" s="4"/>
      <c r="OUQ71" s="4"/>
      <c r="OUR71" s="4"/>
      <c r="OUS71" s="4"/>
      <c r="OUT71" s="4"/>
      <c r="OUU71" s="4"/>
      <c r="OUV71" s="4"/>
      <c r="OUW71" s="4"/>
      <c r="OUX71" s="4"/>
      <c r="OUY71" s="4"/>
      <c r="OUZ71" s="4"/>
      <c r="OVA71" s="4"/>
      <c r="OVB71" s="4"/>
      <c r="OVC71" s="4"/>
      <c r="OVD71" s="4"/>
      <c r="OVE71" s="4"/>
      <c r="OVF71" s="4"/>
      <c r="OVG71" s="4"/>
      <c r="OVH71" s="4"/>
      <c r="OVI71" s="4"/>
      <c r="OVJ71" s="4"/>
      <c r="OVK71" s="4"/>
      <c r="OVL71" s="4"/>
      <c r="OVM71" s="4"/>
      <c r="OVN71" s="4"/>
      <c r="OVO71" s="4"/>
      <c r="OVP71" s="4"/>
      <c r="OVQ71" s="4"/>
      <c r="OVR71" s="4"/>
      <c r="OVS71" s="4"/>
      <c r="OVT71" s="4"/>
      <c r="OVU71" s="4"/>
      <c r="OVV71" s="4"/>
      <c r="OVW71" s="4"/>
      <c r="OVX71" s="4"/>
      <c r="OVY71" s="4"/>
      <c r="OVZ71" s="4"/>
      <c r="OWA71" s="4"/>
      <c r="OWB71" s="4"/>
      <c r="OWC71" s="4"/>
      <c r="OWD71" s="4"/>
      <c r="OWE71" s="4"/>
      <c r="OWF71" s="4"/>
      <c r="OWG71" s="4"/>
      <c r="OWH71" s="4"/>
      <c r="OWI71" s="4"/>
      <c r="OWJ71" s="4"/>
      <c r="OWK71" s="4"/>
      <c r="OWL71" s="4"/>
      <c r="OWM71" s="4"/>
      <c r="OWN71" s="4"/>
      <c r="OWO71" s="4"/>
      <c r="OWP71" s="4"/>
      <c r="OWQ71" s="4"/>
      <c r="OWR71" s="4"/>
      <c r="OWS71" s="4"/>
      <c r="OWT71" s="4"/>
      <c r="OWU71" s="4"/>
      <c r="OWV71" s="4"/>
      <c r="OWW71" s="4"/>
      <c r="OWX71" s="4"/>
      <c r="OWY71" s="4"/>
      <c r="OWZ71" s="4"/>
      <c r="OXA71" s="4"/>
      <c r="OXB71" s="4"/>
      <c r="OXC71" s="4"/>
      <c r="OXD71" s="4"/>
      <c r="OXE71" s="4"/>
      <c r="OXF71" s="4"/>
      <c r="OXG71" s="4"/>
      <c r="OXH71" s="4"/>
      <c r="OXI71" s="4"/>
      <c r="OXJ71" s="4"/>
      <c r="OXK71" s="4"/>
      <c r="OXL71" s="4"/>
      <c r="OXM71" s="4"/>
      <c r="OXN71" s="4"/>
      <c r="OXO71" s="4"/>
      <c r="OXP71" s="4"/>
      <c r="OXQ71" s="4"/>
      <c r="OXR71" s="4"/>
      <c r="OXS71" s="4"/>
      <c r="OXT71" s="4"/>
      <c r="OXU71" s="4"/>
      <c r="OXV71" s="4"/>
      <c r="OXW71" s="4"/>
      <c r="OXX71" s="4"/>
      <c r="OXY71" s="4"/>
      <c r="OXZ71" s="4"/>
      <c r="OYA71" s="4"/>
      <c r="OYB71" s="4"/>
      <c r="OYC71" s="4"/>
      <c r="OYD71" s="4"/>
      <c r="OYE71" s="4"/>
      <c r="OYF71" s="4"/>
      <c r="OYG71" s="4"/>
      <c r="OYH71" s="4"/>
      <c r="OYI71" s="4"/>
      <c r="OYJ71" s="4"/>
      <c r="OYK71" s="4"/>
      <c r="OYL71" s="4"/>
      <c r="OYM71" s="4"/>
      <c r="OYN71" s="4"/>
      <c r="OYO71" s="4"/>
      <c r="OYP71" s="4"/>
      <c r="OYQ71" s="4"/>
      <c r="OYR71" s="4"/>
      <c r="OYS71" s="4"/>
      <c r="OYT71" s="4"/>
      <c r="OYU71" s="4"/>
      <c r="OYV71" s="4"/>
      <c r="OYW71" s="4"/>
      <c r="OYX71" s="4"/>
      <c r="OYY71" s="4"/>
      <c r="OYZ71" s="4"/>
      <c r="OZA71" s="4"/>
      <c r="OZB71" s="4"/>
      <c r="OZC71" s="4"/>
      <c r="OZD71" s="4"/>
      <c r="OZE71" s="4"/>
      <c r="OZF71" s="4"/>
      <c r="OZG71" s="4"/>
      <c r="OZH71" s="4"/>
      <c r="OZI71" s="4"/>
      <c r="OZJ71" s="4"/>
      <c r="OZK71" s="4"/>
      <c r="OZL71" s="4"/>
      <c r="OZM71" s="4"/>
      <c r="OZN71" s="4"/>
      <c r="OZO71" s="4"/>
      <c r="OZP71" s="4"/>
      <c r="OZQ71" s="4"/>
      <c r="OZR71" s="4"/>
      <c r="OZS71" s="4"/>
      <c r="OZT71" s="4"/>
      <c r="OZU71" s="4"/>
      <c r="OZV71" s="4"/>
      <c r="OZW71" s="4"/>
      <c r="OZX71" s="4"/>
      <c r="OZY71" s="4"/>
      <c r="OZZ71" s="4"/>
      <c r="PAA71" s="4"/>
      <c r="PAB71" s="4"/>
      <c r="PAC71" s="4"/>
      <c r="PAD71" s="4"/>
      <c r="PAE71" s="4"/>
      <c r="PAF71" s="4"/>
      <c r="PAG71" s="4"/>
      <c r="PAH71" s="4"/>
      <c r="PAI71" s="4"/>
      <c r="PAJ71" s="4"/>
      <c r="PAK71" s="4"/>
      <c r="PAL71" s="4"/>
      <c r="PAM71" s="4"/>
      <c r="PAN71" s="4"/>
      <c r="PAO71" s="4"/>
      <c r="PAP71" s="4"/>
      <c r="PAQ71" s="4"/>
      <c r="PAR71" s="4"/>
      <c r="PAS71" s="4"/>
      <c r="PAT71" s="4"/>
      <c r="PAU71" s="4"/>
      <c r="PAV71" s="4"/>
      <c r="PAW71" s="4"/>
      <c r="PAX71" s="4"/>
      <c r="PAY71" s="4"/>
      <c r="PAZ71" s="4"/>
      <c r="PBA71" s="4"/>
      <c r="PBB71" s="4"/>
      <c r="PBC71" s="4"/>
      <c r="PBD71" s="4"/>
      <c r="PBE71" s="4"/>
      <c r="PBF71" s="4"/>
      <c r="PBG71" s="4"/>
      <c r="PBH71" s="4"/>
      <c r="PBI71" s="4"/>
      <c r="PBJ71" s="4"/>
      <c r="PBK71" s="4"/>
      <c r="PBL71" s="4"/>
      <c r="PBM71" s="4"/>
      <c r="PBN71" s="4"/>
      <c r="PBO71" s="4"/>
      <c r="PBP71" s="4"/>
      <c r="PBQ71" s="4"/>
      <c r="PBR71" s="4"/>
      <c r="PBS71" s="4"/>
      <c r="PBT71" s="4"/>
      <c r="PBU71" s="4"/>
      <c r="PBV71" s="4"/>
      <c r="PBW71" s="4"/>
      <c r="PBX71" s="4"/>
      <c r="PBY71" s="4"/>
      <c r="PBZ71" s="4"/>
      <c r="PCA71" s="4"/>
      <c r="PCB71" s="4"/>
      <c r="PCC71" s="4"/>
      <c r="PCD71" s="4"/>
      <c r="PCE71" s="4"/>
      <c r="PCF71" s="4"/>
      <c r="PCG71" s="4"/>
      <c r="PCH71" s="4"/>
      <c r="PCI71" s="4"/>
      <c r="PCJ71" s="4"/>
      <c r="PCK71" s="4"/>
      <c r="PCL71" s="4"/>
      <c r="PCM71" s="4"/>
      <c r="PCN71" s="4"/>
      <c r="PCO71" s="4"/>
      <c r="PCP71" s="4"/>
      <c r="PCQ71" s="4"/>
      <c r="PCR71" s="4"/>
      <c r="PCS71" s="4"/>
      <c r="PCT71" s="4"/>
      <c r="PCU71" s="4"/>
      <c r="PCV71" s="4"/>
      <c r="PCW71" s="4"/>
      <c r="PCX71" s="4"/>
      <c r="PCY71" s="4"/>
      <c r="PCZ71" s="4"/>
      <c r="PDA71" s="4"/>
      <c r="PDB71" s="4"/>
      <c r="PDC71" s="4"/>
      <c r="PDD71" s="4"/>
      <c r="PDE71" s="4"/>
      <c r="PDF71" s="4"/>
      <c r="PDG71" s="4"/>
      <c r="PDH71" s="4"/>
      <c r="PDI71" s="4"/>
      <c r="PDJ71" s="4"/>
      <c r="PDK71" s="4"/>
      <c r="PDL71" s="4"/>
      <c r="PDM71" s="4"/>
      <c r="PDN71" s="4"/>
      <c r="PDO71" s="4"/>
      <c r="PDP71" s="4"/>
      <c r="PDQ71" s="4"/>
      <c r="PDR71" s="4"/>
      <c r="PDS71" s="4"/>
      <c r="PDT71" s="4"/>
      <c r="PDU71" s="4"/>
      <c r="PDV71" s="4"/>
      <c r="PDW71" s="4"/>
      <c r="PDX71" s="4"/>
      <c r="PDY71" s="4"/>
      <c r="PDZ71" s="4"/>
      <c r="PEA71" s="4"/>
      <c r="PEB71" s="4"/>
      <c r="PEC71" s="4"/>
      <c r="PED71" s="4"/>
      <c r="PEE71" s="4"/>
      <c r="PEF71" s="4"/>
      <c r="PEG71" s="4"/>
      <c r="PEH71" s="4"/>
      <c r="PEI71" s="4"/>
      <c r="PEJ71" s="4"/>
      <c r="PEK71" s="4"/>
      <c r="PEL71" s="4"/>
      <c r="PEM71" s="4"/>
      <c r="PEN71" s="4"/>
      <c r="PEO71" s="4"/>
      <c r="PEP71" s="4"/>
      <c r="PEQ71" s="4"/>
      <c r="PER71" s="4"/>
      <c r="PES71" s="4"/>
      <c r="PET71" s="4"/>
      <c r="PEU71" s="4"/>
      <c r="PEV71" s="4"/>
      <c r="PEW71" s="4"/>
      <c r="PEX71" s="4"/>
      <c r="PEY71" s="4"/>
      <c r="PEZ71" s="4"/>
      <c r="PFA71" s="4"/>
      <c r="PFB71" s="4"/>
      <c r="PFC71" s="4"/>
      <c r="PFD71" s="4"/>
      <c r="PFE71" s="4"/>
      <c r="PFF71" s="4"/>
      <c r="PFG71" s="4"/>
      <c r="PFH71" s="4"/>
      <c r="PFI71" s="4"/>
      <c r="PFJ71" s="4"/>
      <c r="PFK71" s="4"/>
      <c r="PFL71" s="4"/>
      <c r="PFM71" s="4"/>
      <c r="PFN71" s="4"/>
      <c r="PFO71" s="4"/>
      <c r="PFP71" s="4"/>
      <c r="PFQ71" s="4"/>
      <c r="PFR71" s="4"/>
      <c r="PFS71" s="4"/>
      <c r="PFT71" s="4"/>
      <c r="PFU71" s="4"/>
      <c r="PFV71" s="4"/>
      <c r="PFW71" s="4"/>
      <c r="PFX71" s="4"/>
      <c r="PFY71" s="4"/>
      <c r="PFZ71" s="4"/>
      <c r="PGA71" s="4"/>
      <c r="PGB71" s="4"/>
      <c r="PGC71" s="4"/>
      <c r="PGD71" s="4"/>
      <c r="PGE71" s="4"/>
      <c r="PGF71" s="4"/>
      <c r="PGG71" s="4"/>
      <c r="PGH71" s="4"/>
      <c r="PGI71" s="4"/>
      <c r="PGJ71" s="4"/>
      <c r="PGK71" s="4"/>
      <c r="PGL71" s="4"/>
      <c r="PGM71" s="4"/>
      <c r="PGN71" s="4"/>
      <c r="PGO71" s="4"/>
      <c r="PGP71" s="4"/>
      <c r="PGQ71" s="4"/>
      <c r="PGR71" s="4"/>
      <c r="PGS71" s="4"/>
      <c r="PGT71" s="4"/>
      <c r="PGU71" s="4"/>
      <c r="PGV71" s="4"/>
      <c r="PGW71" s="4"/>
      <c r="PGX71" s="4"/>
      <c r="PGY71" s="4"/>
      <c r="PGZ71" s="4"/>
      <c r="PHA71" s="4"/>
      <c r="PHB71" s="4"/>
      <c r="PHC71" s="4"/>
      <c r="PHD71" s="4"/>
      <c r="PHE71" s="4"/>
      <c r="PHF71" s="4"/>
      <c r="PHG71" s="4"/>
      <c r="PHH71" s="4"/>
      <c r="PHI71" s="4"/>
      <c r="PHJ71" s="4"/>
      <c r="PHK71" s="4"/>
      <c r="PHL71" s="4"/>
      <c r="PHM71" s="4"/>
      <c r="PHN71" s="4"/>
      <c r="PHO71" s="4"/>
      <c r="PHP71" s="4"/>
      <c r="PHQ71" s="4"/>
      <c r="PHR71" s="4"/>
      <c r="PHS71" s="4"/>
      <c r="PHT71" s="4"/>
      <c r="PHU71" s="4"/>
      <c r="PHV71" s="4"/>
      <c r="PHW71" s="4"/>
      <c r="PHX71" s="4"/>
      <c r="PHY71" s="4"/>
      <c r="PHZ71" s="4"/>
      <c r="PIA71" s="4"/>
      <c r="PIB71" s="4"/>
      <c r="PIC71" s="4"/>
      <c r="PID71" s="4"/>
      <c r="PIE71" s="4"/>
      <c r="PIF71" s="4"/>
      <c r="PIG71" s="4"/>
      <c r="PIH71" s="4"/>
      <c r="PII71" s="4"/>
      <c r="PIJ71" s="4"/>
      <c r="PIK71" s="4"/>
      <c r="PIL71" s="4"/>
      <c r="PIM71" s="4"/>
      <c r="PIN71" s="4"/>
      <c r="PIO71" s="4"/>
      <c r="PIP71" s="4"/>
      <c r="PIQ71" s="4"/>
      <c r="PIR71" s="4"/>
      <c r="PIS71" s="4"/>
      <c r="PIT71" s="4"/>
      <c r="PIU71" s="4"/>
      <c r="PIV71" s="4"/>
      <c r="PIW71" s="4"/>
      <c r="PIX71" s="4"/>
      <c r="PIY71" s="4"/>
      <c r="PIZ71" s="4"/>
      <c r="PJA71" s="4"/>
      <c r="PJB71" s="4"/>
      <c r="PJC71" s="4"/>
      <c r="PJD71" s="4"/>
      <c r="PJE71" s="4"/>
      <c r="PJF71" s="4"/>
      <c r="PJG71" s="4"/>
      <c r="PJH71" s="4"/>
      <c r="PJI71" s="4"/>
      <c r="PJJ71" s="4"/>
      <c r="PJK71" s="4"/>
      <c r="PJL71" s="4"/>
      <c r="PJM71" s="4"/>
      <c r="PJN71" s="4"/>
      <c r="PJO71" s="4"/>
      <c r="PJP71" s="4"/>
      <c r="PJQ71" s="4"/>
      <c r="PJR71" s="4"/>
      <c r="PJS71" s="4"/>
      <c r="PJT71" s="4"/>
      <c r="PJU71" s="4"/>
      <c r="PJV71" s="4"/>
      <c r="PJW71" s="4"/>
      <c r="PJX71" s="4"/>
      <c r="PJY71" s="4"/>
      <c r="PJZ71" s="4"/>
      <c r="PKA71" s="4"/>
      <c r="PKB71" s="4"/>
      <c r="PKC71" s="4"/>
      <c r="PKD71" s="4"/>
      <c r="PKE71" s="4"/>
      <c r="PKF71" s="4"/>
      <c r="PKG71" s="4"/>
      <c r="PKH71" s="4"/>
      <c r="PKI71" s="4"/>
      <c r="PKJ71" s="4"/>
      <c r="PKK71" s="4"/>
      <c r="PKL71" s="4"/>
      <c r="PKM71" s="4"/>
      <c r="PKN71" s="4"/>
      <c r="PKO71" s="4"/>
      <c r="PKP71" s="4"/>
      <c r="PKQ71" s="4"/>
      <c r="PKR71" s="4"/>
      <c r="PKS71" s="4"/>
      <c r="PKT71" s="4"/>
      <c r="PKU71" s="4"/>
      <c r="PKV71" s="4"/>
      <c r="PKW71" s="4"/>
      <c r="PKX71" s="4"/>
      <c r="PKY71" s="4"/>
      <c r="PKZ71" s="4"/>
      <c r="PLA71" s="4"/>
      <c r="PLB71" s="4"/>
      <c r="PLC71" s="4"/>
      <c r="PLD71" s="4"/>
      <c r="PLE71" s="4"/>
      <c r="PLF71" s="4"/>
      <c r="PLG71" s="4"/>
      <c r="PLH71" s="4"/>
      <c r="PLI71" s="4"/>
      <c r="PLJ71" s="4"/>
      <c r="PLK71" s="4"/>
      <c r="PLL71" s="4"/>
      <c r="PLM71" s="4"/>
      <c r="PLN71" s="4"/>
      <c r="PLO71" s="4"/>
      <c r="PLP71" s="4"/>
      <c r="PLQ71" s="4"/>
      <c r="PLR71" s="4"/>
      <c r="PLS71" s="4"/>
      <c r="PLT71" s="4"/>
      <c r="PLU71" s="4"/>
      <c r="PLV71" s="4"/>
      <c r="PLW71" s="4"/>
      <c r="PLX71" s="4"/>
      <c r="PLY71" s="4"/>
      <c r="PLZ71" s="4"/>
      <c r="PMA71" s="4"/>
      <c r="PMB71" s="4"/>
      <c r="PMC71" s="4"/>
      <c r="PMD71" s="4"/>
      <c r="PME71" s="4"/>
      <c r="PMF71" s="4"/>
      <c r="PMG71" s="4"/>
      <c r="PMH71" s="4"/>
      <c r="PMI71" s="4"/>
      <c r="PMJ71" s="4"/>
      <c r="PMK71" s="4"/>
      <c r="PML71" s="4"/>
      <c r="PMM71" s="4"/>
      <c r="PMN71" s="4"/>
      <c r="PMO71" s="4"/>
      <c r="PMP71" s="4"/>
      <c r="PMQ71" s="4"/>
      <c r="PMR71" s="4"/>
      <c r="PMS71" s="4"/>
      <c r="PMT71" s="4"/>
      <c r="PMU71" s="4"/>
      <c r="PMV71" s="4"/>
      <c r="PMW71" s="4"/>
      <c r="PMX71" s="4"/>
      <c r="PMY71" s="4"/>
      <c r="PMZ71" s="4"/>
      <c r="PNA71" s="4"/>
      <c r="PNB71" s="4"/>
      <c r="PNC71" s="4"/>
      <c r="PND71" s="4"/>
      <c r="PNE71" s="4"/>
      <c r="PNF71" s="4"/>
      <c r="PNG71" s="4"/>
      <c r="PNH71" s="4"/>
      <c r="PNI71" s="4"/>
      <c r="PNJ71" s="4"/>
      <c r="PNK71" s="4"/>
      <c r="PNL71" s="4"/>
      <c r="PNM71" s="4"/>
      <c r="PNN71" s="4"/>
      <c r="PNO71" s="4"/>
      <c r="PNP71" s="4"/>
      <c r="PNQ71" s="4"/>
      <c r="PNR71" s="4"/>
      <c r="PNS71" s="4"/>
      <c r="PNT71" s="4"/>
      <c r="PNU71" s="4"/>
      <c r="PNV71" s="4"/>
      <c r="PNW71" s="4"/>
      <c r="PNX71" s="4"/>
      <c r="PNY71" s="4"/>
      <c r="PNZ71" s="4"/>
      <c r="POA71" s="4"/>
      <c r="POB71" s="4"/>
      <c r="POC71" s="4"/>
      <c r="POD71" s="4"/>
      <c r="POE71" s="4"/>
      <c r="POF71" s="4"/>
      <c r="POG71" s="4"/>
      <c r="POH71" s="4"/>
      <c r="POI71" s="4"/>
      <c r="POJ71" s="4"/>
      <c r="POK71" s="4"/>
      <c r="POL71" s="4"/>
      <c r="POM71" s="4"/>
      <c r="PON71" s="4"/>
      <c r="POO71" s="4"/>
      <c r="POP71" s="4"/>
      <c r="POQ71" s="4"/>
      <c r="POR71" s="4"/>
      <c r="POS71" s="4"/>
      <c r="POT71" s="4"/>
      <c r="POU71" s="4"/>
      <c r="POV71" s="4"/>
      <c r="POW71" s="4"/>
      <c r="POX71" s="4"/>
      <c r="POY71" s="4"/>
      <c r="POZ71" s="4"/>
      <c r="PPA71" s="4"/>
      <c r="PPB71" s="4"/>
      <c r="PPC71" s="4"/>
      <c r="PPD71" s="4"/>
      <c r="PPE71" s="4"/>
      <c r="PPF71" s="4"/>
      <c r="PPG71" s="4"/>
      <c r="PPH71" s="4"/>
      <c r="PPI71" s="4"/>
      <c r="PPJ71" s="4"/>
      <c r="PPK71" s="4"/>
      <c r="PPL71" s="4"/>
      <c r="PPM71" s="4"/>
      <c r="PPN71" s="4"/>
      <c r="PPO71" s="4"/>
      <c r="PPP71" s="4"/>
      <c r="PPQ71" s="4"/>
      <c r="PPR71" s="4"/>
      <c r="PPS71" s="4"/>
      <c r="PPT71" s="4"/>
      <c r="PPU71" s="4"/>
      <c r="PPV71" s="4"/>
      <c r="PPW71" s="4"/>
      <c r="PPX71" s="4"/>
      <c r="PPY71" s="4"/>
      <c r="PPZ71" s="4"/>
      <c r="PQA71" s="4"/>
      <c r="PQB71" s="4"/>
      <c r="PQC71" s="4"/>
      <c r="PQD71" s="4"/>
      <c r="PQE71" s="4"/>
      <c r="PQF71" s="4"/>
      <c r="PQG71" s="4"/>
      <c r="PQH71" s="4"/>
      <c r="PQI71" s="4"/>
      <c r="PQJ71" s="4"/>
      <c r="PQK71" s="4"/>
      <c r="PQL71" s="4"/>
      <c r="PQM71" s="4"/>
      <c r="PQN71" s="4"/>
      <c r="PQO71" s="4"/>
      <c r="PQP71" s="4"/>
      <c r="PQQ71" s="4"/>
      <c r="PQR71" s="4"/>
      <c r="PQS71" s="4"/>
      <c r="PQT71" s="4"/>
      <c r="PQU71" s="4"/>
      <c r="PQV71" s="4"/>
      <c r="PQW71" s="4"/>
      <c r="PQX71" s="4"/>
      <c r="PQY71" s="4"/>
      <c r="PQZ71" s="4"/>
      <c r="PRA71" s="4"/>
      <c r="PRB71" s="4"/>
      <c r="PRC71" s="4"/>
      <c r="PRD71" s="4"/>
      <c r="PRE71" s="4"/>
      <c r="PRF71" s="4"/>
      <c r="PRG71" s="4"/>
      <c r="PRH71" s="4"/>
      <c r="PRI71" s="4"/>
      <c r="PRJ71" s="4"/>
      <c r="PRK71" s="4"/>
      <c r="PRL71" s="4"/>
      <c r="PRM71" s="4"/>
      <c r="PRN71" s="4"/>
      <c r="PRO71" s="4"/>
      <c r="PRP71" s="4"/>
      <c r="PRQ71" s="4"/>
      <c r="PRR71" s="4"/>
      <c r="PRS71" s="4"/>
      <c r="PRT71" s="4"/>
      <c r="PRU71" s="4"/>
      <c r="PRV71" s="4"/>
      <c r="PRW71" s="4"/>
      <c r="PRX71" s="4"/>
      <c r="PRY71" s="4"/>
      <c r="PRZ71" s="4"/>
      <c r="PSA71" s="4"/>
      <c r="PSB71" s="4"/>
      <c r="PSC71" s="4"/>
      <c r="PSD71" s="4"/>
      <c r="PSE71" s="4"/>
      <c r="PSF71" s="4"/>
      <c r="PSG71" s="4"/>
      <c r="PSH71" s="4"/>
      <c r="PSI71" s="4"/>
      <c r="PSJ71" s="4"/>
      <c r="PSK71" s="4"/>
      <c r="PSL71" s="4"/>
      <c r="PSM71" s="4"/>
      <c r="PSN71" s="4"/>
      <c r="PSO71" s="4"/>
      <c r="PSP71" s="4"/>
      <c r="PSQ71" s="4"/>
      <c r="PSR71" s="4"/>
      <c r="PSS71" s="4"/>
      <c r="PST71" s="4"/>
      <c r="PSU71" s="4"/>
      <c r="PSV71" s="4"/>
      <c r="PSW71" s="4"/>
      <c r="PSX71" s="4"/>
      <c r="PSY71" s="4"/>
      <c r="PSZ71" s="4"/>
      <c r="PTA71" s="4"/>
      <c r="PTB71" s="4"/>
      <c r="PTC71" s="4"/>
      <c r="PTD71" s="4"/>
      <c r="PTE71" s="4"/>
      <c r="PTF71" s="4"/>
      <c r="PTG71" s="4"/>
      <c r="PTH71" s="4"/>
      <c r="PTI71" s="4"/>
      <c r="PTJ71" s="4"/>
      <c r="PTK71" s="4"/>
      <c r="PTL71" s="4"/>
      <c r="PTM71" s="4"/>
      <c r="PTN71" s="4"/>
      <c r="PTO71" s="4"/>
      <c r="PTP71" s="4"/>
      <c r="PTQ71" s="4"/>
      <c r="PTR71" s="4"/>
      <c r="PTS71" s="4"/>
      <c r="PTT71" s="4"/>
      <c r="PTU71" s="4"/>
      <c r="PTV71" s="4"/>
      <c r="PTW71" s="4"/>
      <c r="PTX71" s="4"/>
      <c r="PTY71" s="4"/>
      <c r="PTZ71" s="4"/>
      <c r="PUA71" s="4"/>
      <c r="PUB71" s="4"/>
      <c r="PUC71" s="4"/>
      <c r="PUD71" s="4"/>
      <c r="PUE71" s="4"/>
      <c r="PUF71" s="4"/>
      <c r="PUG71" s="4"/>
      <c r="PUH71" s="4"/>
      <c r="PUI71" s="4"/>
      <c r="PUJ71" s="4"/>
      <c r="PUK71" s="4"/>
      <c r="PUL71" s="4"/>
      <c r="PUM71" s="4"/>
      <c r="PUN71" s="4"/>
      <c r="PUO71" s="4"/>
      <c r="PUP71" s="4"/>
      <c r="PUQ71" s="4"/>
      <c r="PUR71" s="4"/>
      <c r="PUS71" s="4"/>
      <c r="PUT71" s="4"/>
      <c r="PUU71" s="4"/>
      <c r="PUV71" s="4"/>
      <c r="PUW71" s="4"/>
      <c r="PUX71" s="4"/>
      <c r="PUY71" s="4"/>
      <c r="PUZ71" s="4"/>
      <c r="PVA71" s="4"/>
      <c r="PVB71" s="4"/>
      <c r="PVC71" s="4"/>
      <c r="PVD71" s="4"/>
      <c r="PVE71" s="4"/>
      <c r="PVF71" s="4"/>
      <c r="PVG71" s="4"/>
      <c r="PVH71" s="4"/>
      <c r="PVI71" s="4"/>
      <c r="PVJ71" s="4"/>
      <c r="PVK71" s="4"/>
      <c r="PVL71" s="4"/>
      <c r="PVM71" s="4"/>
      <c r="PVN71" s="4"/>
      <c r="PVO71" s="4"/>
      <c r="PVP71" s="4"/>
      <c r="PVQ71" s="4"/>
      <c r="PVR71" s="4"/>
      <c r="PVS71" s="4"/>
      <c r="PVT71" s="4"/>
      <c r="PVU71" s="4"/>
      <c r="PVV71" s="4"/>
      <c r="PVW71" s="4"/>
      <c r="PVX71" s="4"/>
      <c r="PVY71" s="4"/>
      <c r="PVZ71" s="4"/>
      <c r="PWA71" s="4"/>
      <c r="PWB71" s="4"/>
      <c r="PWC71" s="4"/>
      <c r="PWD71" s="4"/>
      <c r="PWE71" s="4"/>
      <c r="PWF71" s="4"/>
      <c r="PWG71" s="4"/>
      <c r="PWH71" s="4"/>
      <c r="PWI71" s="4"/>
      <c r="PWJ71" s="4"/>
      <c r="PWK71" s="4"/>
      <c r="PWL71" s="4"/>
      <c r="PWM71" s="4"/>
      <c r="PWN71" s="4"/>
      <c r="PWO71" s="4"/>
      <c r="PWP71" s="4"/>
      <c r="PWQ71" s="4"/>
      <c r="PWR71" s="4"/>
      <c r="PWS71" s="4"/>
      <c r="PWT71" s="4"/>
      <c r="PWU71" s="4"/>
      <c r="PWV71" s="4"/>
      <c r="PWW71" s="4"/>
      <c r="PWX71" s="4"/>
      <c r="PWY71" s="4"/>
      <c r="PWZ71" s="4"/>
      <c r="PXA71" s="4"/>
      <c r="PXB71" s="4"/>
      <c r="PXC71" s="4"/>
      <c r="PXD71" s="4"/>
      <c r="PXE71" s="4"/>
      <c r="PXF71" s="4"/>
      <c r="PXG71" s="4"/>
      <c r="PXH71" s="4"/>
      <c r="PXI71" s="4"/>
      <c r="PXJ71" s="4"/>
      <c r="PXK71" s="4"/>
      <c r="PXL71" s="4"/>
      <c r="PXM71" s="4"/>
      <c r="PXN71" s="4"/>
      <c r="PXO71" s="4"/>
      <c r="PXP71" s="4"/>
      <c r="PXQ71" s="4"/>
      <c r="PXR71" s="4"/>
      <c r="PXS71" s="4"/>
      <c r="PXT71" s="4"/>
      <c r="PXU71" s="4"/>
      <c r="PXV71" s="4"/>
      <c r="PXW71" s="4"/>
      <c r="PXX71" s="4"/>
      <c r="PXY71" s="4"/>
      <c r="PXZ71" s="4"/>
      <c r="PYA71" s="4"/>
      <c r="PYB71" s="4"/>
      <c r="PYC71" s="4"/>
      <c r="PYD71" s="4"/>
      <c r="PYE71" s="4"/>
      <c r="PYF71" s="4"/>
      <c r="PYG71" s="4"/>
      <c r="PYH71" s="4"/>
      <c r="PYI71" s="4"/>
      <c r="PYJ71" s="4"/>
      <c r="PYK71" s="4"/>
      <c r="PYL71" s="4"/>
      <c r="PYM71" s="4"/>
      <c r="PYN71" s="4"/>
      <c r="PYO71" s="4"/>
      <c r="PYP71" s="4"/>
      <c r="PYQ71" s="4"/>
      <c r="PYR71" s="4"/>
      <c r="PYS71" s="4"/>
      <c r="PYT71" s="4"/>
      <c r="PYU71" s="4"/>
      <c r="PYV71" s="4"/>
      <c r="PYW71" s="4"/>
      <c r="PYX71" s="4"/>
      <c r="PYY71" s="4"/>
      <c r="PYZ71" s="4"/>
      <c r="PZA71" s="4"/>
      <c r="PZB71" s="4"/>
      <c r="PZC71" s="4"/>
      <c r="PZD71" s="4"/>
      <c r="PZE71" s="4"/>
      <c r="PZF71" s="4"/>
      <c r="PZG71" s="4"/>
      <c r="PZH71" s="4"/>
      <c r="PZI71" s="4"/>
      <c r="PZJ71" s="4"/>
      <c r="PZK71" s="4"/>
      <c r="PZL71" s="4"/>
      <c r="PZM71" s="4"/>
      <c r="PZN71" s="4"/>
      <c r="PZO71" s="4"/>
      <c r="PZP71" s="4"/>
      <c r="PZQ71" s="4"/>
      <c r="PZR71" s="4"/>
      <c r="PZS71" s="4"/>
      <c r="PZT71" s="4"/>
      <c r="PZU71" s="4"/>
      <c r="PZV71" s="4"/>
      <c r="PZW71" s="4"/>
      <c r="PZX71" s="4"/>
      <c r="PZY71" s="4"/>
      <c r="PZZ71" s="4"/>
      <c r="QAA71" s="4"/>
      <c r="QAB71" s="4"/>
      <c r="QAC71" s="4"/>
      <c r="QAD71" s="4"/>
      <c r="QAE71" s="4"/>
      <c r="QAF71" s="4"/>
      <c r="QAG71" s="4"/>
      <c r="QAH71" s="4"/>
      <c r="QAI71" s="4"/>
      <c r="QAJ71" s="4"/>
      <c r="QAK71" s="4"/>
      <c r="QAL71" s="4"/>
      <c r="QAM71" s="4"/>
      <c r="QAN71" s="4"/>
      <c r="QAO71" s="4"/>
      <c r="QAP71" s="4"/>
      <c r="QAQ71" s="4"/>
      <c r="QAR71" s="4"/>
      <c r="QAS71" s="4"/>
      <c r="QAT71" s="4"/>
      <c r="QAU71" s="4"/>
      <c r="QAV71" s="4"/>
      <c r="QAW71" s="4"/>
      <c r="QAX71" s="4"/>
      <c r="QAY71" s="4"/>
      <c r="QAZ71" s="4"/>
      <c r="QBA71" s="4"/>
      <c r="QBB71" s="4"/>
      <c r="QBC71" s="4"/>
      <c r="QBD71" s="4"/>
      <c r="QBE71" s="4"/>
      <c r="QBF71" s="4"/>
      <c r="QBG71" s="4"/>
      <c r="QBH71" s="4"/>
      <c r="QBI71" s="4"/>
      <c r="QBJ71" s="4"/>
      <c r="QBK71" s="4"/>
      <c r="QBL71" s="4"/>
      <c r="QBM71" s="4"/>
      <c r="QBN71" s="4"/>
      <c r="QBO71" s="4"/>
      <c r="QBP71" s="4"/>
      <c r="QBQ71" s="4"/>
      <c r="QBR71" s="4"/>
      <c r="QBS71" s="4"/>
      <c r="QBT71" s="4"/>
      <c r="QBU71" s="4"/>
      <c r="QBV71" s="4"/>
      <c r="QBW71" s="4"/>
      <c r="QBX71" s="4"/>
      <c r="QBY71" s="4"/>
      <c r="QBZ71" s="4"/>
      <c r="QCA71" s="4"/>
      <c r="QCB71" s="4"/>
      <c r="QCC71" s="4"/>
      <c r="QCD71" s="4"/>
      <c r="QCE71" s="4"/>
      <c r="QCF71" s="4"/>
      <c r="QCG71" s="4"/>
      <c r="QCH71" s="4"/>
      <c r="QCI71" s="4"/>
      <c r="QCJ71" s="4"/>
      <c r="QCK71" s="4"/>
      <c r="QCL71" s="4"/>
      <c r="QCM71" s="4"/>
      <c r="QCN71" s="4"/>
      <c r="QCO71" s="4"/>
      <c r="QCP71" s="4"/>
      <c r="QCQ71" s="4"/>
      <c r="QCR71" s="4"/>
      <c r="QCS71" s="4"/>
      <c r="QCT71" s="4"/>
      <c r="QCU71" s="4"/>
      <c r="QCV71" s="4"/>
      <c r="QCW71" s="4"/>
      <c r="QCX71" s="4"/>
      <c r="QCY71" s="4"/>
      <c r="QCZ71" s="4"/>
      <c r="QDA71" s="4"/>
      <c r="QDB71" s="4"/>
      <c r="QDC71" s="4"/>
      <c r="QDD71" s="4"/>
      <c r="QDE71" s="4"/>
      <c r="QDF71" s="4"/>
      <c r="QDG71" s="4"/>
      <c r="QDH71" s="4"/>
      <c r="QDI71" s="4"/>
      <c r="QDJ71" s="4"/>
      <c r="QDK71" s="4"/>
      <c r="QDL71" s="4"/>
      <c r="QDM71" s="4"/>
      <c r="QDN71" s="4"/>
      <c r="QDO71" s="4"/>
      <c r="QDP71" s="4"/>
      <c r="QDQ71" s="4"/>
      <c r="QDR71" s="4"/>
      <c r="QDS71" s="4"/>
      <c r="QDT71" s="4"/>
      <c r="QDU71" s="4"/>
      <c r="QDV71" s="4"/>
      <c r="QDW71" s="4"/>
      <c r="QDX71" s="4"/>
      <c r="QDY71" s="4"/>
      <c r="QDZ71" s="4"/>
      <c r="QEA71" s="4"/>
      <c r="QEB71" s="4"/>
      <c r="QEC71" s="4"/>
      <c r="QED71" s="4"/>
      <c r="QEE71" s="4"/>
      <c r="QEF71" s="4"/>
      <c r="QEG71" s="4"/>
      <c r="QEH71" s="4"/>
      <c r="QEI71" s="4"/>
      <c r="QEJ71" s="4"/>
      <c r="QEK71" s="4"/>
      <c r="QEL71" s="4"/>
      <c r="QEM71" s="4"/>
      <c r="QEN71" s="4"/>
      <c r="QEO71" s="4"/>
      <c r="QEP71" s="4"/>
      <c r="QEQ71" s="4"/>
      <c r="QER71" s="4"/>
      <c r="QES71" s="4"/>
      <c r="QET71" s="4"/>
      <c r="QEU71" s="4"/>
      <c r="QEV71" s="4"/>
      <c r="QEW71" s="4"/>
      <c r="QEX71" s="4"/>
      <c r="QEY71" s="4"/>
      <c r="QEZ71" s="4"/>
      <c r="QFA71" s="4"/>
      <c r="QFB71" s="4"/>
      <c r="QFC71" s="4"/>
      <c r="QFD71" s="4"/>
      <c r="QFE71" s="4"/>
      <c r="QFF71" s="4"/>
      <c r="QFG71" s="4"/>
      <c r="QFH71" s="4"/>
      <c r="QFI71" s="4"/>
      <c r="QFJ71" s="4"/>
      <c r="QFK71" s="4"/>
      <c r="QFL71" s="4"/>
      <c r="QFM71" s="4"/>
      <c r="QFN71" s="4"/>
      <c r="QFO71" s="4"/>
      <c r="QFP71" s="4"/>
      <c r="QFQ71" s="4"/>
      <c r="QFR71" s="4"/>
      <c r="QFS71" s="4"/>
      <c r="QFT71" s="4"/>
      <c r="QFU71" s="4"/>
      <c r="QFV71" s="4"/>
      <c r="QFW71" s="4"/>
      <c r="QFX71" s="4"/>
      <c r="QFY71" s="4"/>
      <c r="QFZ71" s="4"/>
      <c r="QGA71" s="4"/>
      <c r="QGB71" s="4"/>
      <c r="QGC71" s="4"/>
      <c r="QGD71" s="4"/>
      <c r="QGE71" s="4"/>
      <c r="QGF71" s="4"/>
      <c r="QGG71" s="4"/>
      <c r="QGH71" s="4"/>
      <c r="QGI71" s="4"/>
      <c r="QGJ71" s="4"/>
      <c r="QGK71" s="4"/>
      <c r="QGL71" s="4"/>
      <c r="QGM71" s="4"/>
      <c r="QGN71" s="4"/>
      <c r="QGO71" s="4"/>
      <c r="QGP71" s="4"/>
      <c r="QGQ71" s="4"/>
      <c r="QGR71" s="4"/>
      <c r="QGS71" s="4"/>
      <c r="QGT71" s="4"/>
      <c r="QGU71" s="4"/>
      <c r="QGV71" s="4"/>
      <c r="QGW71" s="4"/>
      <c r="QGX71" s="4"/>
      <c r="QGY71" s="4"/>
      <c r="QGZ71" s="4"/>
      <c r="QHA71" s="4"/>
      <c r="QHB71" s="4"/>
      <c r="QHC71" s="4"/>
      <c r="QHD71" s="4"/>
      <c r="QHE71" s="4"/>
      <c r="QHF71" s="4"/>
      <c r="QHG71" s="4"/>
      <c r="QHH71" s="4"/>
      <c r="QHI71" s="4"/>
      <c r="QHJ71" s="4"/>
      <c r="QHK71" s="4"/>
      <c r="QHL71" s="4"/>
      <c r="QHM71" s="4"/>
      <c r="QHN71" s="4"/>
      <c r="QHO71" s="4"/>
      <c r="QHP71" s="4"/>
      <c r="QHQ71" s="4"/>
      <c r="QHR71" s="4"/>
      <c r="QHS71" s="4"/>
      <c r="QHT71" s="4"/>
      <c r="QHU71" s="4"/>
      <c r="QHV71" s="4"/>
      <c r="QHW71" s="4"/>
      <c r="QHX71" s="4"/>
      <c r="QHY71" s="4"/>
      <c r="QHZ71" s="4"/>
      <c r="QIA71" s="4"/>
      <c r="QIB71" s="4"/>
      <c r="QIC71" s="4"/>
      <c r="QID71" s="4"/>
      <c r="QIE71" s="4"/>
      <c r="QIF71" s="4"/>
      <c r="QIG71" s="4"/>
      <c r="QIH71" s="4"/>
      <c r="QII71" s="4"/>
      <c r="QIJ71" s="4"/>
      <c r="QIK71" s="4"/>
      <c r="QIL71" s="4"/>
      <c r="QIM71" s="4"/>
      <c r="QIN71" s="4"/>
      <c r="QIO71" s="4"/>
      <c r="QIP71" s="4"/>
      <c r="QIQ71" s="4"/>
      <c r="QIR71" s="4"/>
      <c r="QIS71" s="4"/>
      <c r="QIT71" s="4"/>
      <c r="QIU71" s="4"/>
      <c r="QIV71" s="4"/>
      <c r="QIW71" s="4"/>
      <c r="QIX71" s="4"/>
      <c r="QIY71" s="4"/>
      <c r="QIZ71" s="4"/>
      <c r="QJA71" s="4"/>
      <c r="QJB71" s="4"/>
      <c r="QJC71" s="4"/>
      <c r="QJD71" s="4"/>
      <c r="QJE71" s="4"/>
      <c r="QJF71" s="4"/>
      <c r="QJG71" s="4"/>
      <c r="QJH71" s="4"/>
      <c r="QJI71" s="4"/>
      <c r="QJJ71" s="4"/>
      <c r="QJK71" s="4"/>
      <c r="QJL71" s="4"/>
      <c r="QJM71" s="4"/>
      <c r="QJN71" s="4"/>
      <c r="QJO71" s="4"/>
      <c r="QJP71" s="4"/>
      <c r="QJQ71" s="4"/>
      <c r="QJR71" s="4"/>
      <c r="QJS71" s="4"/>
      <c r="QJT71" s="4"/>
      <c r="QJU71" s="4"/>
      <c r="QJV71" s="4"/>
      <c r="QJW71" s="4"/>
      <c r="QJX71" s="4"/>
      <c r="QJY71" s="4"/>
      <c r="QJZ71" s="4"/>
      <c r="QKA71" s="4"/>
      <c r="QKB71" s="4"/>
      <c r="QKC71" s="4"/>
      <c r="QKD71" s="4"/>
      <c r="QKE71" s="4"/>
      <c r="QKF71" s="4"/>
      <c r="QKG71" s="4"/>
      <c r="QKH71" s="4"/>
      <c r="QKI71" s="4"/>
      <c r="QKJ71" s="4"/>
      <c r="QKK71" s="4"/>
      <c r="QKL71" s="4"/>
      <c r="QKM71" s="4"/>
      <c r="QKN71" s="4"/>
      <c r="QKO71" s="4"/>
      <c r="QKP71" s="4"/>
      <c r="QKQ71" s="4"/>
      <c r="QKR71" s="4"/>
      <c r="QKS71" s="4"/>
      <c r="QKT71" s="4"/>
      <c r="QKU71" s="4"/>
      <c r="QKV71" s="4"/>
      <c r="QKW71" s="4"/>
      <c r="QKX71" s="4"/>
      <c r="QKY71" s="4"/>
      <c r="QKZ71" s="4"/>
      <c r="QLA71" s="4"/>
      <c r="QLB71" s="4"/>
      <c r="QLC71" s="4"/>
      <c r="QLD71" s="4"/>
      <c r="QLE71" s="4"/>
      <c r="QLF71" s="4"/>
      <c r="QLG71" s="4"/>
      <c r="QLH71" s="4"/>
      <c r="QLI71" s="4"/>
      <c r="QLJ71" s="4"/>
      <c r="QLK71" s="4"/>
      <c r="QLL71" s="4"/>
      <c r="QLM71" s="4"/>
      <c r="QLN71" s="4"/>
      <c r="QLO71" s="4"/>
      <c r="QLP71" s="4"/>
      <c r="QLQ71" s="4"/>
      <c r="QLR71" s="4"/>
      <c r="QLS71" s="4"/>
      <c r="QLT71" s="4"/>
      <c r="QLU71" s="4"/>
      <c r="QLV71" s="4"/>
      <c r="QLW71" s="4"/>
      <c r="QLX71" s="4"/>
      <c r="QLY71" s="4"/>
      <c r="QLZ71" s="4"/>
      <c r="QMA71" s="4"/>
      <c r="QMB71" s="4"/>
      <c r="QMC71" s="4"/>
      <c r="QMD71" s="4"/>
      <c r="QME71" s="4"/>
      <c r="QMF71" s="4"/>
      <c r="QMG71" s="4"/>
      <c r="QMH71" s="4"/>
      <c r="QMI71" s="4"/>
      <c r="QMJ71" s="4"/>
      <c r="QMK71" s="4"/>
      <c r="QML71" s="4"/>
      <c r="QMM71" s="4"/>
      <c r="QMN71" s="4"/>
      <c r="QMO71" s="4"/>
      <c r="QMP71" s="4"/>
      <c r="QMQ71" s="4"/>
      <c r="QMR71" s="4"/>
      <c r="QMS71" s="4"/>
      <c r="QMT71" s="4"/>
      <c r="QMU71" s="4"/>
      <c r="QMV71" s="4"/>
      <c r="QMW71" s="4"/>
      <c r="QMX71" s="4"/>
      <c r="QMY71" s="4"/>
      <c r="QMZ71" s="4"/>
      <c r="QNA71" s="4"/>
      <c r="QNB71" s="4"/>
      <c r="QNC71" s="4"/>
      <c r="QND71" s="4"/>
      <c r="QNE71" s="4"/>
      <c r="QNF71" s="4"/>
      <c r="QNG71" s="4"/>
      <c r="QNH71" s="4"/>
      <c r="QNI71" s="4"/>
      <c r="QNJ71" s="4"/>
      <c r="QNK71" s="4"/>
      <c r="QNL71" s="4"/>
      <c r="QNM71" s="4"/>
      <c r="QNN71" s="4"/>
      <c r="QNO71" s="4"/>
      <c r="QNP71" s="4"/>
      <c r="QNQ71" s="4"/>
      <c r="QNR71" s="4"/>
      <c r="QNS71" s="4"/>
      <c r="QNT71" s="4"/>
      <c r="QNU71" s="4"/>
      <c r="QNV71" s="4"/>
      <c r="QNW71" s="4"/>
      <c r="QNX71" s="4"/>
      <c r="QNY71" s="4"/>
      <c r="QNZ71" s="4"/>
      <c r="QOA71" s="4"/>
      <c r="QOB71" s="4"/>
      <c r="QOC71" s="4"/>
      <c r="QOD71" s="4"/>
      <c r="QOE71" s="4"/>
      <c r="QOF71" s="4"/>
      <c r="QOG71" s="4"/>
      <c r="QOH71" s="4"/>
      <c r="QOI71" s="4"/>
      <c r="QOJ71" s="4"/>
      <c r="QOK71" s="4"/>
      <c r="QOL71" s="4"/>
      <c r="QOM71" s="4"/>
      <c r="QON71" s="4"/>
      <c r="QOO71" s="4"/>
      <c r="QOP71" s="4"/>
      <c r="QOQ71" s="4"/>
      <c r="QOR71" s="4"/>
      <c r="QOS71" s="4"/>
      <c r="QOT71" s="4"/>
      <c r="QOU71" s="4"/>
      <c r="QOV71" s="4"/>
      <c r="QOW71" s="4"/>
      <c r="QOX71" s="4"/>
      <c r="QOY71" s="4"/>
      <c r="QOZ71" s="4"/>
      <c r="QPA71" s="4"/>
      <c r="QPB71" s="4"/>
      <c r="QPC71" s="4"/>
      <c r="QPD71" s="4"/>
      <c r="QPE71" s="4"/>
      <c r="QPF71" s="4"/>
      <c r="QPG71" s="4"/>
      <c r="QPH71" s="4"/>
      <c r="QPI71" s="4"/>
      <c r="QPJ71" s="4"/>
      <c r="QPK71" s="4"/>
      <c r="QPL71" s="4"/>
      <c r="QPM71" s="4"/>
      <c r="QPN71" s="4"/>
      <c r="QPO71" s="4"/>
      <c r="QPP71" s="4"/>
      <c r="QPQ71" s="4"/>
      <c r="QPR71" s="4"/>
      <c r="QPS71" s="4"/>
      <c r="QPT71" s="4"/>
      <c r="QPU71" s="4"/>
      <c r="QPV71" s="4"/>
      <c r="QPW71" s="4"/>
      <c r="QPX71" s="4"/>
      <c r="QPY71" s="4"/>
      <c r="QPZ71" s="4"/>
      <c r="QQA71" s="4"/>
      <c r="QQB71" s="4"/>
      <c r="QQC71" s="4"/>
      <c r="QQD71" s="4"/>
      <c r="QQE71" s="4"/>
      <c r="QQF71" s="4"/>
      <c r="QQG71" s="4"/>
      <c r="QQH71" s="4"/>
      <c r="QQI71" s="4"/>
      <c r="QQJ71" s="4"/>
      <c r="QQK71" s="4"/>
      <c r="QQL71" s="4"/>
      <c r="QQM71" s="4"/>
      <c r="QQN71" s="4"/>
      <c r="QQO71" s="4"/>
      <c r="QQP71" s="4"/>
      <c r="QQQ71" s="4"/>
      <c r="QQR71" s="4"/>
      <c r="QQS71" s="4"/>
      <c r="QQT71" s="4"/>
      <c r="QQU71" s="4"/>
      <c r="QQV71" s="4"/>
      <c r="QQW71" s="4"/>
      <c r="QQX71" s="4"/>
      <c r="QQY71" s="4"/>
      <c r="QQZ71" s="4"/>
      <c r="QRA71" s="4"/>
      <c r="QRB71" s="4"/>
      <c r="QRC71" s="4"/>
      <c r="QRD71" s="4"/>
      <c r="QRE71" s="4"/>
      <c r="QRF71" s="4"/>
      <c r="QRG71" s="4"/>
      <c r="QRH71" s="4"/>
      <c r="QRI71" s="4"/>
      <c r="QRJ71" s="4"/>
      <c r="QRK71" s="4"/>
      <c r="QRL71" s="4"/>
      <c r="QRM71" s="4"/>
      <c r="QRN71" s="4"/>
      <c r="QRO71" s="4"/>
      <c r="QRP71" s="4"/>
      <c r="QRQ71" s="4"/>
      <c r="QRR71" s="4"/>
      <c r="QRS71" s="4"/>
      <c r="QRT71" s="4"/>
      <c r="QRU71" s="4"/>
      <c r="QRV71" s="4"/>
      <c r="QRW71" s="4"/>
      <c r="QRX71" s="4"/>
      <c r="QRY71" s="4"/>
      <c r="QRZ71" s="4"/>
      <c r="QSA71" s="4"/>
      <c r="QSB71" s="4"/>
      <c r="QSC71" s="4"/>
      <c r="QSD71" s="4"/>
      <c r="QSE71" s="4"/>
      <c r="QSF71" s="4"/>
      <c r="QSG71" s="4"/>
      <c r="QSH71" s="4"/>
      <c r="QSI71" s="4"/>
      <c r="QSJ71" s="4"/>
      <c r="QSK71" s="4"/>
      <c r="QSL71" s="4"/>
      <c r="QSM71" s="4"/>
      <c r="QSN71" s="4"/>
      <c r="QSO71" s="4"/>
      <c r="QSP71" s="4"/>
      <c r="QSQ71" s="4"/>
      <c r="QSR71" s="4"/>
      <c r="QSS71" s="4"/>
      <c r="QST71" s="4"/>
      <c r="QSU71" s="4"/>
      <c r="QSV71" s="4"/>
      <c r="QSW71" s="4"/>
      <c r="QSX71" s="4"/>
      <c r="QSY71" s="4"/>
      <c r="QSZ71" s="4"/>
      <c r="QTA71" s="4"/>
      <c r="QTB71" s="4"/>
      <c r="QTC71" s="4"/>
      <c r="QTD71" s="4"/>
      <c r="QTE71" s="4"/>
      <c r="QTF71" s="4"/>
      <c r="QTG71" s="4"/>
      <c r="QTH71" s="4"/>
      <c r="QTI71" s="4"/>
      <c r="QTJ71" s="4"/>
      <c r="QTK71" s="4"/>
      <c r="QTL71" s="4"/>
      <c r="QTM71" s="4"/>
      <c r="QTN71" s="4"/>
      <c r="QTO71" s="4"/>
      <c r="QTP71" s="4"/>
      <c r="QTQ71" s="4"/>
      <c r="QTR71" s="4"/>
      <c r="QTS71" s="4"/>
      <c r="QTT71" s="4"/>
      <c r="QTU71" s="4"/>
      <c r="QTV71" s="4"/>
      <c r="QTW71" s="4"/>
      <c r="QTX71" s="4"/>
      <c r="QTY71" s="4"/>
      <c r="QTZ71" s="4"/>
      <c r="QUA71" s="4"/>
      <c r="QUB71" s="4"/>
      <c r="QUC71" s="4"/>
      <c r="QUD71" s="4"/>
      <c r="QUE71" s="4"/>
      <c r="QUF71" s="4"/>
      <c r="QUG71" s="4"/>
      <c r="QUH71" s="4"/>
      <c r="QUI71" s="4"/>
      <c r="QUJ71" s="4"/>
      <c r="QUK71" s="4"/>
      <c r="QUL71" s="4"/>
      <c r="QUM71" s="4"/>
      <c r="QUN71" s="4"/>
      <c r="QUO71" s="4"/>
      <c r="QUP71" s="4"/>
      <c r="QUQ71" s="4"/>
      <c r="QUR71" s="4"/>
      <c r="QUS71" s="4"/>
      <c r="QUT71" s="4"/>
      <c r="QUU71" s="4"/>
      <c r="QUV71" s="4"/>
      <c r="QUW71" s="4"/>
      <c r="QUX71" s="4"/>
      <c r="QUY71" s="4"/>
      <c r="QUZ71" s="4"/>
      <c r="QVA71" s="4"/>
      <c r="QVB71" s="4"/>
      <c r="QVC71" s="4"/>
      <c r="QVD71" s="4"/>
      <c r="QVE71" s="4"/>
      <c r="QVF71" s="4"/>
      <c r="QVG71" s="4"/>
      <c r="QVH71" s="4"/>
      <c r="QVI71" s="4"/>
      <c r="QVJ71" s="4"/>
      <c r="QVK71" s="4"/>
      <c r="QVL71" s="4"/>
      <c r="QVM71" s="4"/>
      <c r="QVN71" s="4"/>
      <c r="QVO71" s="4"/>
      <c r="QVP71" s="4"/>
      <c r="QVQ71" s="4"/>
      <c r="QVR71" s="4"/>
      <c r="QVS71" s="4"/>
      <c r="QVT71" s="4"/>
      <c r="QVU71" s="4"/>
      <c r="QVV71" s="4"/>
      <c r="QVW71" s="4"/>
      <c r="QVX71" s="4"/>
      <c r="QVY71" s="4"/>
      <c r="QVZ71" s="4"/>
      <c r="QWA71" s="4"/>
      <c r="QWB71" s="4"/>
      <c r="QWC71" s="4"/>
      <c r="QWD71" s="4"/>
      <c r="QWE71" s="4"/>
      <c r="QWF71" s="4"/>
      <c r="QWG71" s="4"/>
      <c r="QWH71" s="4"/>
      <c r="QWI71" s="4"/>
      <c r="QWJ71" s="4"/>
      <c r="QWK71" s="4"/>
      <c r="QWL71" s="4"/>
      <c r="QWM71" s="4"/>
      <c r="QWN71" s="4"/>
      <c r="QWO71" s="4"/>
      <c r="QWP71" s="4"/>
      <c r="QWQ71" s="4"/>
      <c r="QWR71" s="4"/>
      <c r="QWS71" s="4"/>
      <c r="QWT71" s="4"/>
      <c r="QWU71" s="4"/>
      <c r="QWV71" s="4"/>
      <c r="QWW71" s="4"/>
      <c r="QWX71" s="4"/>
      <c r="QWY71" s="4"/>
      <c r="QWZ71" s="4"/>
      <c r="QXA71" s="4"/>
      <c r="QXB71" s="4"/>
      <c r="QXC71" s="4"/>
      <c r="QXD71" s="4"/>
      <c r="QXE71" s="4"/>
      <c r="QXF71" s="4"/>
      <c r="QXG71" s="4"/>
      <c r="QXH71" s="4"/>
      <c r="QXI71" s="4"/>
      <c r="QXJ71" s="4"/>
      <c r="QXK71" s="4"/>
      <c r="QXL71" s="4"/>
      <c r="QXM71" s="4"/>
      <c r="QXN71" s="4"/>
      <c r="QXO71" s="4"/>
      <c r="QXP71" s="4"/>
      <c r="QXQ71" s="4"/>
      <c r="QXR71" s="4"/>
      <c r="QXS71" s="4"/>
      <c r="QXT71" s="4"/>
      <c r="QXU71" s="4"/>
      <c r="QXV71" s="4"/>
      <c r="QXW71" s="4"/>
      <c r="QXX71" s="4"/>
      <c r="QXY71" s="4"/>
      <c r="QXZ71" s="4"/>
      <c r="QYA71" s="4"/>
      <c r="QYB71" s="4"/>
      <c r="QYC71" s="4"/>
      <c r="QYD71" s="4"/>
      <c r="QYE71" s="4"/>
      <c r="QYF71" s="4"/>
      <c r="QYG71" s="4"/>
      <c r="QYH71" s="4"/>
      <c r="QYI71" s="4"/>
      <c r="QYJ71" s="4"/>
      <c r="QYK71" s="4"/>
      <c r="QYL71" s="4"/>
      <c r="QYM71" s="4"/>
      <c r="QYN71" s="4"/>
      <c r="QYO71" s="4"/>
      <c r="QYP71" s="4"/>
      <c r="QYQ71" s="4"/>
      <c r="QYR71" s="4"/>
      <c r="QYS71" s="4"/>
      <c r="QYT71" s="4"/>
      <c r="QYU71" s="4"/>
      <c r="QYV71" s="4"/>
      <c r="QYW71" s="4"/>
      <c r="QYX71" s="4"/>
      <c r="QYY71" s="4"/>
      <c r="QYZ71" s="4"/>
      <c r="QZA71" s="4"/>
      <c r="QZB71" s="4"/>
      <c r="QZC71" s="4"/>
      <c r="QZD71" s="4"/>
      <c r="QZE71" s="4"/>
      <c r="QZF71" s="4"/>
      <c r="QZG71" s="4"/>
      <c r="QZH71" s="4"/>
      <c r="QZI71" s="4"/>
      <c r="QZJ71" s="4"/>
      <c r="QZK71" s="4"/>
      <c r="QZL71" s="4"/>
      <c r="QZM71" s="4"/>
      <c r="QZN71" s="4"/>
      <c r="QZO71" s="4"/>
      <c r="QZP71" s="4"/>
      <c r="QZQ71" s="4"/>
      <c r="QZR71" s="4"/>
      <c r="QZS71" s="4"/>
      <c r="QZT71" s="4"/>
      <c r="QZU71" s="4"/>
      <c r="QZV71" s="4"/>
      <c r="QZW71" s="4"/>
      <c r="QZX71" s="4"/>
      <c r="QZY71" s="4"/>
      <c r="QZZ71" s="4"/>
      <c r="RAA71" s="4"/>
      <c r="RAB71" s="4"/>
      <c r="RAC71" s="4"/>
      <c r="RAD71" s="4"/>
      <c r="RAE71" s="4"/>
      <c r="RAF71" s="4"/>
      <c r="RAG71" s="4"/>
      <c r="RAH71" s="4"/>
      <c r="RAI71" s="4"/>
      <c r="RAJ71" s="4"/>
      <c r="RAK71" s="4"/>
      <c r="RAL71" s="4"/>
      <c r="RAM71" s="4"/>
      <c r="RAN71" s="4"/>
      <c r="RAO71" s="4"/>
      <c r="RAP71" s="4"/>
      <c r="RAQ71" s="4"/>
      <c r="RAR71" s="4"/>
      <c r="RAS71" s="4"/>
      <c r="RAT71" s="4"/>
      <c r="RAU71" s="4"/>
      <c r="RAV71" s="4"/>
      <c r="RAW71" s="4"/>
      <c r="RAX71" s="4"/>
      <c r="RAY71" s="4"/>
      <c r="RAZ71" s="4"/>
      <c r="RBA71" s="4"/>
      <c r="RBB71" s="4"/>
      <c r="RBC71" s="4"/>
      <c r="RBD71" s="4"/>
      <c r="RBE71" s="4"/>
      <c r="RBF71" s="4"/>
      <c r="RBG71" s="4"/>
      <c r="RBH71" s="4"/>
      <c r="RBI71" s="4"/>
      <c r="RBJ71" s="4"/>
      <c r="RBK71" s="4"/>
      <c r="RBL71" s="4"/>
      <c r="RBM71" s="4"/>
      <c r="RBN71" s="4"/>
      <c r="RBO71" s="4"/>
      <c r="RBP71" s="4"/>
      <c r="RBQ71" s="4"/>
      <c r="RBR71" s="4"/>
      <c r="RBS71" s="4"/>
      <c r="RBT71" s="4"/>
      <c r="RBU71" s="4"/>
      <c r="RBV71" s="4"/>
      <c r="RBW71" s="4"/>
      <c r="RBX71" s="4"/>
      <c r="RBY71" s="4"/>
      <c r="RBZ71" s="4"/>
      <c r="RCA71" s="4"/>
      <c r="RCB71" s="4"/>
      <c r="RCC71" s="4"/>
      <c r="RCD71" s="4"/>
      <c r="RCE71" s="4"/>
      <c r="RCF71" s="4"/>
      <c r="RCG71" s="4"/>
      <c r="RCH71" s="4"/>
      <c r="RCI71" s="4"/>
      <c r="RCJ71" s="4"/>
      <c r="RCK71" s="4"/>
      <c r="RCL71" s="4"/>
      <c r="RCM71" s="4"/>
      <c r="RCN71" s="4"/>
      <c r="RCO71" s="4"/>
      <c r="RCP71" s="4"/>
      <c r="RCQ71" s="4"/>
      <c r="RCR71" s="4"/>
      <c r="RCS71" s="4"/>
      <c r="RCT71" s="4"/>
      <c r="RCU71" s="4"/>
      <c r="RCV71" s="4"/>
      <c r="RCW71" s="4"/>
      <c r="RCX71" s="4"/>
      <c r="RCY71" s="4"/>
      <c r="RCZ71" s="4"/>
      <c r="RDA71" s="4"/>
      <c r="RDB71" s="4"/>
      <c r="RDC71" s="4"/>
      <c r="RDD71" s="4"/>
      <c r="RDE71" s="4"/>
      <c r="RDF71" s="4"/>
      <c r="RDG71" s="4"/>
      <c r="RDH71" s="4"/>
      <c r="RDI71" s="4"/>
      <c r="RDJ71" s="4"/>
      <c r="RDK71" s="4"/>
      <c r="RDL71" s="4"/>
      <c r="RDM71" s="4"/>
      <c r="RDN71" s="4"/>
      <c r="RDO71" s="4"/>
      <c r="RDP71" s="4"/>
      <c r="RDQ71" s="4"/>
      <c r="RDR71" s="4"/>
      <c r="RDS71" s="4"/>
      <c r="RDT71" s="4"/>
      <c r="RDU71" s="4"/>
      <c r="RDV71" s="4"/>
      <c r="RDW71" s="4"/>
      <c r="RDX71" s="4"/>
      <c r="RDY71" s="4"/>
      <c r="RDZ71" s="4"/>
      <c r="REA71" s="4"/>
      <c r="REB71" s="4"/>
      <c r="REC71" s="4"/>
      <c r="RED71" s="4"/>
      <c r="REE71" s="4"/>
      <c r="REF71" s="4"/>
      <c r="REG71" s="4"/>
      <c r="REH71" s="4"/>
      <c r="REI71" s="4"/>
      <c r="REJ71" s="4"/>
      <c r="REK71" s="4"/>
      <c r="REL71" s="4"/>
      <c r="REM71" s="4"/>
      <c r="REN71" s="4"/>
      <c r="REO71" s="4"/>
      <c r="REP71" s="4"/>
      <c r="REQ71" s="4"/>
      <c r="RER71" s="4"/>
      <c r="RES71" s="4"/>
      <c r="RET71" s="4"/>
      <c r="REU71" s="4"/>
      <c r="REV71" s="4"/>
      <c r="REW71" s="4"/>
      <c r="REX71" s="4"/>
      <c r="REY71" s="4"/>
      <c r="REZ71" s="4"/>
      <c r="RFA71" s="4"/>
      <c r="RFB71" s="4"/>
      <c r="RFC71" s="4"/>
      <c r="RFD71" s="4"/>
      <c r="RFE71" s="4"/>
      <c r="RFF71" s="4"/>
      <c r="RFG71" s="4"/>
      <c r="RFH71" s="4"/>
      <c r="RFI71" s="4"/>
      <c r="RFJ71" s="4"/>
      <c r="RFK71" s="4"/>
      <c r="RFL71" s="4"/>
      <c r="RFM71" s="4"/>
      <c r="RFN71" s="4"/>
      <c r="RFO71" s="4"/>
      <c r="RFP71" s="4"/>
      <c r="RFQ71" s="4"/>
      <c r="RFR71" s="4"/>
      <c r="RFS71" s="4"/>
      <c r="RFT71" s="4"/>
      <c r="RFU71" s="4"/>
      <c r="RFV71" s="4"/>
      <c r="RFW71" s="4"/>
      <c r="RFX71" s="4"/>
      <c r="RFY71" s="4"/>
      <c r="RFZ71" s="4"/>
      <c r="RGA71" s="4"/>
      <c r="RGB71" s="4"/>
      <c r="RGC71" s="4"/>
      <c r="RGD71" s="4"/>
      <c r="RGE71" s="4"/>
      <c r="RGF71" s="4"/>
      <c r="RGG71" s="4"/>
      <c r="RGH71" s="4"/>
      <c r="RGI71" s="4"/>
      <c r="RGJ71" s="4"/>
      <c r="RGK71" s="4"/>
      <c r="RGL71" s="4"/>
      <c r="RGM71" s="4"/>
      <c r="RGN71" s="4"/>
      <c r="RGO71" s="4"/>
      <c r="RGP71" s="4"/>
      <c r="RGQ71" s="4"/>
      <c r="RGR71" s="4"/>
      <c r="RGS71" s="4"/>
      <c r="RGT71" s="4"/>
      <c r="RGU71" s="4"/>
      <c r="RGV71" s="4"/>
      <c r="RGW71" s="4"/>
      <c r="RGX71" s="4"/>
      <c r="RGY71" s="4"/>
      <c r="RGZ71" s="4"/>
      <c r="RHA71" s="4"/>
      <c r="RHB71" s="4"/>
      <c r="RHC71" s="4"/>
      <c r="RHD71" s="4"/>
      <c r="RHE71" s="4"/>
      <c r="RHF71" s="4"/>
      <c r="RHG71" s="4"/>
      <c r="RHH71" s="4"/>
      <c r="RHI71" s="4"/>
      <c r="RHJ71" s="4"/>
      <c r="RHK71" s="4"/>
      <c r="RHL71" s="4"/>
      <c r="RHM71" s="4"/>
      <c r="RHN71" s="4"/>
      <c r="RHO71" s="4"/>
      <c r="RHP71" s="4"/>
      <c r="RHQ71" s="4"/>
      <c r="RHR71" s="4"/>
      <c r="RHS71" s="4"/>
      <c r="RHT71" s="4"/>
      <c r="RHU71" s="4"/>
      <c r="RHV71" s="4"/>
      <c r="RHW71" s="4"/>
      <c r="RHX71" s="4"/>
      <c r="RHY71" s="4"/>
      <c r="RHZ71" s="4"/>
      <c r="RIA71" s="4"/>
      <c r="RIB71" s="4"/>
      <c r="RIC71" s="4"/>
      <c r="RID71" s="4"/>
      <c r="RIE71" s="4"/>
      <c r="RIF71" s="4"/>
      <c r="RIG71" s="4"/>
      <c r="RIH71" s="4"/>
      <c r="RII71" s="4"/>
      <c r="RIJ71" s="4"/>
      <c r="RIK71" s="4"/>
      <c r="RIL71" s="4"/>
      <c r="RIM71" s="4"/>
      <c r="RIN71" s="4"/>
      <c r="RIO71" s="4"/>
      <c r="RIP71" s="4"/>
      <c r="RIQ71" s="4"/>
      <c r="RIR71" s="4"/>
      <c r="RIS71" s="4"/>
      <c r="RIT71" s="4"/>
      <c r="RIU71" s="4"/>
      <c r="RIV71" s="4"/>
      <c r="RIW71" s="4"/>
      <c r="RIX71" s="4"/>
      <c r="RIY71" s="4"/>
      <c r="RIZ71" s="4"/>
      <c r="RJA71" s="4"/>
      <c r="RJB71" s="4"/>
      <c r="RJC71" s="4"/>
      <c r="RJD71" s="4"/>
      <c r="RJE71" s="4"/>
      <c r="RJF71" s="4"/>
      <c r="RJG71" s="4"/>
      <c r="RJH71" s="4"/>
      <c r="RJI71" s="4"/>
      <c r="RJJ71" s="4"/>
      <c r="RJK71" s="4"/>
      <c r="RJL71" s="4"/>
      <c r="RJM71" s="4"/>
      <c r="RJN71" s="4"/>
      <c r="RJO71" s="4"/>
      <c r="RJP71" s="4"/>
      <c r="RJQ71" s="4"/>
      <c r="RJR71" s="4"/>
      <c r="RJS71" s="4"/>
      <c r="RJT71" s="4"/>
      <c r="RJU71" s="4"/>
      <c r="RJV71" s="4"/>
      <c r="RJW71" s="4"/>
      <c r="RJX71" s="4"/>
      <c r="RJY71" s="4"/>
      <c r="RJZ71" s="4"/>
      <c r="RKA71" s="4"/>
      <c r="RKB71" s="4"/>
      <c r="RKC71" s="4"/>
      <c r="RKD71" s="4"/>
      <c r="RKE71" s="4"/>
      <c r="RKF71" s="4"/>
      <c r="RKG71" s="4"/>
      <c r="RKH71" s="4"/>
      <c r="RKI71" s="4"/>
      <c r="RKJ71" s="4"/>
      <c r="RKK71" s="4"/>
      <c r="RKL71" s="4"/>
      <c r="RKM71" s="4"/>
      <c r="RKN71" s="4"/>
      <c r="RKO71" s="4"/>
      <c r="RKP71" s="4"/>
      <c r="RKQ71" s="4"/>
      <c r="RKR71" s="4"/>
      <c r="RKS71" s="4"/>
      <c r="RKT71" s="4"/>
      <c r="RKU71" s="4"/>
      <c r="RKV71" s="4"/>
      <c r="RKW71" s="4"/>
      <c r="RKX71" s="4"/>
      <c r="RKY71" s="4"/>
      <c r="RKZ71" s="4"/>
      <c r="RLA71" s="4"/>
      <c r="RLB71" s="4"/>
      <c r="RLC71" s="4"/>
      <c r="RLD71" s="4"/>
      <c r="RLE71" s="4"/>
      <c r="RLF71" s="4"/>
      <c r="RLG71" s="4"/>
      <c r="RLH71" s="4"/>
      <c r="RLI71" s="4"/>
      <c r="RLJ71" s="4"/>
      <c r="RLK71" s="4"/>
      <c r="RLL71" s="4"/>
      <c r="RLM71" s="4"/>
      <c r="RLN71" s="4"/>
      <c r="RLO71" s="4"/>
      <c r="RLP71" s="4"/>
      <c r="RLQ71" s="4"/>
      <c r="RLR71" s="4"/>
      <c r="RLS71" s="4"/>
      <c r="RLT71" s="4"/>
      <c r="RLU71" s="4"/>
      <c r="RLV71" s="4"/>
      <c r="RLW71" s="4"/>
      <c r="RLX71" s="4"/>
      <c r="RLY71" s="4"/>
      <c r="RLZ71" s="4"/>
      <c r="RMA71" s="4"/>
      <c r="RMB71" s="4"/>
      <c r="RMC71" s="4"/>
      <c r="RMD71" s="4"/>
      <c r="RME71" s="4"/>
      <c r="RMF71" s="4"/>
      <c r="RMG71" s="4"/>
      <c r="RMH71" s="4"/>
      <c r="RMI71" s="4"/>
      <c r="RMJ71" s="4"/>
      <c r="RMK71" s="4"/>
      <c r="RML71" s="4"/>
      <c r="RMM71" s="4"/>
      <c r="RMN71" s="4"/>
      <c r="RMO71" s="4"/>
      <c r="RMP71" s="4"/>
      <c r="RMQ71" s="4"/>
      <c r="RMR71" s="4"/>
      <c r="RMS71" s="4"/>
      <c r="RMT71" s="4"/>
      <c r="RMU71" s="4"/>
      <c r="RMV71" s="4"/>
      <c r="RMW71" s="4"/>
      <c r="RMX71" s="4"/>
      <c r="RMY71" s="4"/>
      <c r="RMZ71" s="4"/>
      <c r="RNA71" s="4"/>
      <c r="RNB71" s="4"/>
      <c r="RNC71" s="4"/>
      <c r="RND71" s="4"/>
      <c r="RNE71" s="4"/>
      <c r="RNF71" s="4"/>
      <c r="RNG71" s="4"/>
      <c r="RNH71" s="4"/>
      <c r="RNI71" s="4"/>
      <c r="RNJ71" s="4"/>
      <c r="RNK71" s="4"/>
      <c r="RNL71" s="4"/>
      <c r="RNM71" s="4"/>
      <c r="RNN71" s="4"/>
      <c r="RNO71" s="4"/>
      <c r="RNP71" s="4"/>
      <c r="RNQ71" s="4"/>
      <c r="RNR71" s="4"/>
      <c r="RNS71" s="4"/>
      <c r="RNT71" s="4"/>
      <c r="RNU71" s="4"/>
      <c r="RNV71" s="4"/>
      <c r="RNW71" s="4"/>
      <c r="RNX71" s="4"/>
      <c r="RNY71" s="4"/>
      <c r="RNZ71" s="4"/>
      <c r="ROA71" s="4"/>
      <c r="ROB71" s="4"/>
      <c r="ROC71" s="4"/>
      <c r="ROD71" s="4"/>
      <c r="ROE71" s="4"/>
      <c r="ROF71" s="4"/>
      <c r="ROG71" s="4"/>
      <c r="ROH71" s="4"/>
      <c r="ROI71" s="4"/>
      <c r="ROJ71" s="4"/>
      <c r="ROK71" s="4"/>
      <c r="ROL71" s="4"/>
      <c r="ROM71" s="4"/>
      <c r="RON71" s="4"/>
      <c r="ROO71" s="4"/>
      <c r="ROP71" s="4"/>
      <c r="ROQ71" s="4"/>
      <c r="ROR71" s="4"/>
      <c r="ROS71" s="4"/>
      <c r="ROT71" s="4"/>
      <c r="ROU71" s="4"/>
      <c r="ROV71" s="4"/>
      <c r="ROW71" s="4"/>
      <c r="ROX71" s="4"/>
      <c r="ROY71" s="4"/>
      <c r="ROZ71" s="4"/>
      <c r="RPA71" s="4"/>
      <c r="RPB71" s="4"/>
      <c r="RPC71" s="4"/>
      <c r="RPD71" s="4"/>
      <c r="RPE71" s="4"/>
      <c r="RPF71" s="4"/>
      <c r="RPG71" s="4"/>
      <c r="RPH71" s="4"/>
      <c r="RPI71" s="4"/>
      <c r="RPJ71" s="4"/>
      <c r="RPK71" s="4"/>
      <c r="RPL71" s="4"/>
      <c r="RPM71" s="4"/>
      <c r="RPN71" s="4"/>
      <c r="RPO71" s="4"/>
      <c r="RPP71" s="4"/>
      <c r="RPQ71" s="4"/>
      <c r="RPR71" s="4"/>
      <c r="RPS71" s="4"/>
      <c r="RPT71" s="4"/>
      <c r="RPU71" s="4"/>
      <c r="RPV71" s="4"/>
      <c r="RPW71" s="4"/>
      <c r="RPX71" s="4"/>
      <c r="RPY71" s="4"/>
      <c r="RPZ71" s="4"/>
      <c r="RQA71" s="4"/>
      <c r="RQB71" s="4"/>
      <c r="RQC71" s="4"/>
      <c r="RQD71" s="4"/>
      <c r="RQE71" s="4"/>
      <c r="RQF71" s="4"/>
      <c r="RQG71" s="4"/>
      <c r="RQH71" s="4"/>
      <c r="RQI71" s="4"/>
      <c r="RQJ71" s="4"/>
      <c r="RQK71" s="4"/>
      <c r="RQL71" s="4"/>
      <c r="RQM71" s="4"/>
      <c r="RQN71" s="4"/>
      <c r="RQO71" s="4"/>
      <c r="RQP71" s="4"/>
      <c r="RQQ71" s="4"/>
      <c r="RQR71" s="4"/>
      <c r="RQS71" s="4"/>
      <c r="RQT71" s="4"/>
      <c r="RQU71" s="4"/>
      <c r="RQV71" s="4"/>
      <c r="RQW71" s="4"/>
      <c r="RQX71" s="4"/>
      <c r="RQY71" s="4"/>
      <c r="RQZ71" s="4"/>
      <c r="RRA71" s="4"/>
      <c r="RRB71" s="4"/>
      <c r="RRC71" s="4"/>
      <c r="RRD71" s="4"/>
      <c r="RRE71" s="4"/>
      <c r="RRF71" s="4"/>
      <c r="RRG71" s="4"/>
      <c r="RRH71" s="4"/>
      <c r="RRI71" s="4"/>
      <c r="RRJ71" s="4"/>
      <c r="RRK71" s="4"/>
      <c r="RRL71" s="4"/>
      <c r="RRM71" s="4"/>
      <c r="RRN71" s="4"/>
      <c r="RRO71" s="4"/>
      <c r="RRP71" s="4"/>
      <c r="RRQ71" s="4"/>
      <c r="RRR71" s="4"/>
      <c r="RRS71" s="4"/>
      <c r="RRT71" s="4"/>
      <c r="RRU71" s="4"/>
      <c r="RRV71" s="4"/>
      <c r="RRW71" s="4"/>
      <c r="RRX71" s="4"/>
      <c r="RRY71" s="4"/>
      <c r="RRZ71" s="4"/>
      <c r="RSA71" s="4"/>
      <c r="RSB71" s="4"/>
      <c r="RSC71" s="4"/>
      <c r="RSD71" s="4"/>
      <c r="RSE71" s="4"/>
      <c r="RSF71" s="4"/>
      <c r="RSG71" s="4"/>
      <c r="RSH71" s="4"/>
      <c r="RSI71" s="4"/>
      <c r="RSJ71" s="4"/>
      <c r="RSK71" s="4"/>
      <c r="RSL71" s="4"/>
      <c r="RSM71" s="4"/>
      <c r="RSN71" s="4"/>
      <c r="RSO71" s="4"/>
      <c r="RSP71" s="4"/>
      <c r="RSQ71" s="4"/>
      <c r="RSR71" s="4"/>
      <c r="RSS71" s="4"/>
      <c r="RST71" s="4"/>
      <c r="RSU71" s="4"/>
      <c r="RSV71" s="4"/>
      <c r="RSW71" s="4"/>
      <c r="RSX71" s="4"/>
      <c r="RSY71" s="4"/>
      <c r="RSZ71" s="4"/>
      <c r="RTA71" s="4"/>
      <c r="RTB71" s="4"/>
      <c r="RTC71" s="4"/>
      <c r="RTD71" s="4"/>
      <c r="RTE71" s="4"/>
      <c r="RTF71" s="4"/>
      <c r="RTG71" s="4"/>
      <c r="RTH71" s="4"/>
      <c r="RTI71" s="4"/>
      <c r="RTJ71" s="4"/>
      <c r="RTK71" s="4"/>
      <c r="RTL71" s="4"/>
      <c r="RTM71" s="4"/>
      <c r="RTN71" s="4"/>
      <c r="RTO71" s="4"/>
      <c r="RTP71" s="4"/>
      <c r="RTQ71" s="4"/>
      <c r="RTR71" s="4"/>
      <c r="RTS71" s="4"/>
      <c r="RTT71" s="4"/>
      <c r="RTU71" s="4"/>
      <c r="RTV71" s="4"/>
      <c r="RTW71" s="4"/>
      <c r="RTX71" s="4"/>
      <c r="RTY71" s="4"/>
      <c r="RTZ71" s="4"/>
      <c r="RUA71" s="4"/>
      <c r="RUB71" s="4"/>
      <c r="RUC71" s="4"/>
      <c r="RUD71" s="4"/>
      <c r="RUE71" s="4"/>
      <c r="RUF71" s="4"/>
      <c r="RUG71" s="4"/>
      <c r="RUH71" s="4"/>
      <c r="RUI71" s="4"/>
      <c r="RUJ71" s="4"/>
      <c r="RUK71" s="4"/>
      <c r="RUL71" s="4"/>
      <c r="RUM71" s="4"/>
      <c r="RUN71" s="4"/>
      <c r="RUO71" s="4"/>
      <c r="RUP71" s="4"/>
      <c r="RUQ71" s="4"/>
      <c r="RUR71" s="4"/>
      <c r="RUS71" s="4"/>
      <c r="RUT71" s="4"/>
      <c r="RUU71" s="4"/>
      <c r="RUV71" s="4"/>
      <c r="RUW71" s="4"/>
      <c r="RUX71" s="4"/>
      <c r="RUY71" s="4"/>
      <c r="RUZ71" s="4"/>
      <c r="RVA71" s="4"/>
      <c r="RVB71" s="4"/>
      <c r="RVC71" s="4"/>
      <c r="RVD71" s="4"/>
      <c r="RVE71" s="4"/>
      <c r="RVF71" s="4"/>
      <c r="RVG71" s="4"/>
      <c r="RVH71" s="4"/>
      <c r="RVI71" s="4"/>
      <c r="RVJ71" s="4"/>
      <c r="RVK71" s="4"/>
      <c r="RVL71" s="4"/>
      <c r="RVM71" s="4"/>
      <c r="RVN71" s="4"/>
      <c r="RVO71" s="4"/>
      <c r="RVP71" s="4"/>
      <c r="RVQ71" s="4"/>
      <c r="RVR71" s="4"/>
      <c r="RVS71" s="4"/>
      <c r="RVT71" s="4"/>
      <c r="RVU71" s="4"/>
      <c r="RVV71" s="4"/>
      <c r="RVW71" s="4"/>
      <c r="RVX71" s="4"/>
      <c r="RVY71" s="4"/>
      <c r="RVZ71" s="4"/>
      <c r="RWA71" s="4"/>
      <c r="RWB71" s="4"/>
      <c r="RWC71" s="4"/>
      <c r="RWD71" s="4"/>
      <c r="RWE71" s="4"/>
      <c r="RWF71" s="4"/>
      <c r="RWG71" s="4"/>
      <c r="RWH71" s="4"/>
      <c r="RWI71" s="4"/>
      <c r="RWJ71" s="4"/>
      <c r="RWK71" s="4"/>
      <c r="RWL71" s="4"/>
      <c r="RWM71" s="4"/>
      <c r="RWN71" s="4"/>
      <c r="RWO71" s="4"/>
      <c r="RWP71" s="4"/>
      <c r="RWQ71" s="4"/>
      <c r="RWR71" s="4"/>
      <c r="RWS71" s="4"/>
      <c r="RWT71" s="4"/>
      <c r="RWU71" s="4"/>
      <c r="RWV71" s="4"/>
      <c r="RWW71" s="4"/>
      <c r="RWX71" s="4"/>
      <c r="RWY71" s="4"/>
      <c r="RWZ71" s="4"/>
      <c r="RXA71" s="4"/>
      <c r="RXB71" s="4"/>
      <c r="RXC71" s="4"/>
      <c r="RXD71" s="4"/>
      <c r="RXE71" s="4"/>
      <c r="RXF71" s="4"/>
      <c r="RXG71" s="4"/>
      <c r="RXH71" s="4"/>
      <c r="RXI71" s="4"/>
      <c r="RXJ71" s="4"/>
      <c r="RXK71" s="4"/>
      <c r="RXL71" s="4"/>
      <c r="RXM71" s="4"/>
      <c r="RXN71" s="4"/>
      <c r="RXO71" s="4"/>
      <c r="RXP71" s="4"/>
      <c r="RXQ71" s="4"/>
      <c r="RXR71" s="4"/>
      <c r="RXS71" s="4"/>
      <c r="RXT71" s="4"/>
      <c r="RXU71" s="4"/>
      <c r="RXV71" s="4"/>
      <c r="RXW71" s="4"/>
      <c r="RXX71" s="4"/>
      <c r="RXY71" s="4"/>
      <c r="RXZ71" s="4"/>
      <c r="RYA71" s="4"/>
      <c r="RYB71" s="4"/>
      <c r="RYC71" s="4"/>
      <c r="RYD71" s="4"/>
      <c r="RYE71" s="4"/>
      <c r="RYF71" s="4"/>
      <c r="RYG71" s="4"/>
      <c r="RYH71" s="4"/>
      <c r="RYI71" s="4"/>
      <c r="RYJ71" s="4"/>
      <c r="RYK71" s="4"/>
      <c r="RYL71" s="4"/>
      <c r="RYM71" s="4"/>
      <c r="RYN71" s="4"/>
      <c r="RYO71" s="4"/>
      <c r="RYP71" s="4"/>
      <c r="RYQ71" s="4"/>
      <c r="RYR71" s="4"/>
      <c r="RYS71" s="4"/>
      <c r="RYT71" s="4"/>
      <c r="RYU71" s="4"/>
      <c r="RYV71" s="4"/>
      <c r="RYW71" s="4"/>
      <c r="RYX71" s="4"/>
      <c r="RYY71" s="4"/>
      <c r="RYZ71" s="4"/>
      <c r="RZA71" s="4"/>
      <c r="RZB71" s="4"/>
      <c r="RZC71" s="4"/>
      <c r="RZD71" s="4"/>
      <c r="RZE71" s="4"/>
      <c r="RZF71" s="4"/>
      <c r="RZG71" s="4"/>
      <c r="RZH71" s="4"/>
      <c r="RZI71" s="4"/>
      <c r="RZJ71" s="4"/>
      <c r="RZK71" s="4"/>
      <c r="RZL71" s="4"/>
      <c r="RZM71" s="4"/>
      <c r="RZN71" s="4"/>
      <c r="RZO71" s="4"/>
      <c r="RZP71" s="4"/>
      <c r="RZQ71" s="4"/>
      <c r="RZR71" s="4"/>
      <c r="RZS71" s="4"/>
      <c r="RZT71" s="4"/>
      <c r="RZU71" s="4"/>
      <c r="RZV71" s="4"/>
      <c r="RZW71" s="4"/>
      <c r="RZX71" s="4"/>
      <c r="RZY71" s="4"/>
      <c r="RZZ71" s="4"/>
      <c r="SAA71" s="4"/>
      <c r="SAB71" s="4"/>
      <c r="SAC71" s="4"/>
      <c r="SAD71" s="4"/>
      <c r="SAE71" s="4"/>
      <c r="SAF71" s="4"/>
      <c r="SAG71" s="4"/>
      <c r="SAH71" s="4"/>
      <c r="SAI71" s="4"/>
      <c r="SAJ71" s="4"/>
      <c r="SAK71" s="4"/>
      <c r="SAL71" s="4"/>
      <c r="SAM71" s="4"/>
      <c r="SAN71" s="4"/>
      <c r="SAO71" s="4"/>
      <c r="SAP71" s="4"/>
      <c r="SAQ71" s="4"/>
      <c r="SAR71" s="4"/>
      <c r="SAS71" s="4"/>
      <c r="SAT71" s="4"/>
      <c r="SAU71" s="4"/>
      <c r="SAV71" s="4"/>
      <c r="SAW71" s="4"/>
      <c r="SAX71" s="4"/>
      <c r="SAY71" s="4"/>
      <c r="SAZ71" s="4"/>
      <c r="SBA71" s="4"/>
      <c r="SBB71" s="4"/>
      <c r="SBC71" s="4"/>
      <c r="SBD71" s="4"/>
      <c r="SBE71" s="4"/>
      <c r="SBF71" s="4"/>
      <c r="SBG71" s="4"/>
      <c r="SBH71" s="4"/>
      <c r="SBI71" s="4"/>
      <c r="SBJ71" s="4"/>
      <c r="SBK71" s="4"/>
      <c r="SBL71" s="4"/>
      <c r="SBM71" s="4"/>
      <c r="SBN71" s="4"/>
      <c r="SBO71" s="4"/>
      <c r="SBP71" s="4"/>
      <c r="SBQ71" s="4"/>
      <c r="SBR71" s="4"/>
      <c r="SBS71" s="4"/>
      <c r="SBT71" s="4"/>
      <c r="SBU71" s="4"/>
      <c r="SBV71" s="4"/>
      <c r="SBW71" s="4"/>
      <c r="SBX71" s="4"/>
      <c r="SBY71" s="4"/>
      <c r="SBZ71" s="4"/>
      <c r="SCA71" s="4"/>
      <c r="SCB71" s="4"/>
      <c r="SCC71" s="4"/>
      <c r="SCD71" s="4"/>
      <c r="SCE71" s="4"/>
      <c r="SCF71" s="4"/>
      <c r="SCG71" s="4"/>
      <c r="SCH71" s="4"/>
      <c r="SCI71" s="4"/>
      <c r="SCJ71" s="4"/>
      <c r="SCK71" s="4"/>
      <c r="SCL71" s="4"/>
      <c r="SCM71" s="4"/>
      <c r="SCN71" s="4"/>
      <c r="SCO71" s="4"/>
      <c r="SCP71" s="4"/>
      <c r="SCQ71" s="4"/>
      <c r="SCR71" s="4"/>
      <c r="SCS71" s="4"/>
      <c r="SCT71" s="4"/>
      <c r="SCU71" s="4"/>
      <c r="SCV71" s="4"/>
      <c r="SCW71" s="4"/>
      <c r="SCX71" s="4"/>
      <c r="SCY71" s="4"/>
      <c r="SCZ71" s="4"/>
      <c r="SDA71" s="4"/>
      <c r="SDB71" s="4"/>
      <c r="SDC71" s="4"/>
      <c r="SDD71" s="4"/>
      <c r="SDE71" s="4"/>
      <c r="SDF71" s="4"/>
      <c r="SDG71" s="4"/>
      <c r="SDH71" s="4"/>
      <c r="SDI71" s="4"/>
      <c r="SDJ71" s="4"/>
      <c r="SDK71" s="4"/>
      <c r="SDL71" s="4"/>
      <c r="SDM71" s="4"/>
      <c r="SDN71" s="4"/>
      <c r="SDO71" s="4"/>
      <c r="SDP71" s="4"/>
      <c r="SDQ71" s="4"/>
      <c r="SDR71" s="4"/>
      <c r="SDS71" s="4"/>
      <c r="SDT71" s="4"/>
      <c r="SDU71" s="4"/>
      <c r="SDV71" s="4"/>
      <c r="SDW71" s="4"/>
      <c r="SDX71" s="4"/>
      <c r="SDY71" s="4"/>
      <c r="SDZ71" s="4"/>
      <c r="SEA71" s="4"/>
      <c r="SEB71" s="4"/>
      <c r="SEC71" s="4"/>
      <c r="SED71" s="4"/>
      <c r="SEE71" s="4"/>
      <c r="SEF71" s="4"/>
      <c r="SEG71" s="4"/>
      <c r="SEH71" s="4"/>
      <c r="SEI71" s="4"/>
      <c r="SEJ71" s="4"/>
      <c r="SEK71" s="4"/>
      <c r="SEL71" s="4"/>
      <c r="SEM71" s="4"/>
      <c r="SEN71" s="4"/>
      <c r="SEO71" s="4"/>
      <c r="SEP71" s="4"/>
      <c r="SEQ71" s="4"/>
      <c r="SER71" s="4"/>
      <c r="SES71" s="4"/>
      <c r="SET71" s="4"/>
      <c r="SEU71" s="4"/>
      <c r="SEV71" s="4"/>
      <c r="SEW71" s="4"/>
      <c r="SEX71" s="4"/>
      <c r="SEY71" s="4"/>
      <c r="SEZ71" s="4"/>
      <c r="SFA71" s="4"/>
      <c r="SFB71" s="4"/>
      <c r="SFC71" s="4"/>
      <c r="SFD71" s="4"/>
      <c r="SFE71" s="4"/>
      <c r="SFF71" s="4"/>
      <c r="SFG71" s="4"/>
      <c r="SFH71" s="4"/>
      <c r="SFI71" s="4"/>
      <c r="SFJ71" s="4"/>
      <c r="SFK71" s="4"/>
      <c r="SFL71" s="4"/>
      <c r="SFM71" s="4"/>
      <c r="SFN71" s="4"/>
      <c r="SFO71" s="4"/>
      <c r="SFP71" s="4"/>
      <c r="SFQ71" s="4"/>
      <c r="SFR71" s="4"/>
      <c r="SFS71" s="4"/>
      <c r="SFT71" s="4"/>
      <c r="SFU71" s="4"/>
      <c r="SFV71" s="4"/>
      <c r="SFW71" s="4"/>
      <c r="SFX71" s="4"/>
      <c r="SFY71" s="4"/>
      <c r="SFZ71" s="4"/>
      <c r="SGA71" s="4"/>
      <c r="SGB71" s="4"/>
      <c r="SGC71" s="4"/>
      <c r="SGD71" s="4"/>
      <c r="SGE71" s="4"/>
      <c r="SGF71" s="4"/>
      <c r="SGG71" s="4"/>
      <c r="SGH71" s="4"/>
      <c r="SGI71" s="4"/>
      <c r="SGJ71" s="4"/>
      <c r="SGK71" s="4"/>
      <c r="SGL71" s="4"/>
      <c r="SGM71" s="4"/>
      <c r="SGN71" s="4"/>
      <c r="SGO71" s="4"/>
      <c r="SGP71" s="4"/>
      <c r="SGQ71" s="4"/>
      <c r="SGR71" s="4"/>
      <c r="SGS71" s="4"/>
      <c r="SGT71" s="4"/>
      <c r="SGU71" s="4"/>
      <c r="SGV71" s="4"/>
      <c r="SGW71" s="4"/>
      <c r="SGX71" s="4"/>
      <c r="SGY71" s="4"/>
      <c r="SGZ71" s="4"/>
      <c r="SHA71" s="4"/>
      <c r="SHB71" s="4"/>
      <c r="SHC71" s="4"/>
      <c r="SHD71" s="4"/>
      <c r="SHE71" s="4"/>
      <c r="SHF71" s="4"/>
      <c r="SHG71" s="4"/>
      <c r="SHH71" s="4"/>
      <c r="SHI71" s="4"/>
      <c r="SHJ71" s="4"/>
      <c r="SHK71" s="4"/>
      <c r="SHL71" s="4"/>
      <c r="SHM71" s="4"/>
      <c r="SHN71" s="4"/>
      <c r="SHO71" s="4"/>
      <c r="SHP71" s="4"/>
      <c r="SHQ71" s="4"/>
      <c r="SHR71" s="4"/>
      <c r="SHS71" s="4"/>
      <c r="SHT71" s="4"/>
      <c r="SHU71" s="4"/>
      <c r="SHV71" s="4"/>
      <c r="SHW71" s="4"/>
      <c r="SHX71" s="4"/>
      <c r="SHY71" s="4"/>
      <c r="SHZ71" s="4"/>
      <c r="SIA71" s="4"/>
      <c r="SIB71" s="4"/>
      <c r="SIC71" s="4"/>
      <c r="SID71" s="4"/>
      <c r="SIE71" s="4"/>
      <c r="SIF71" s="4"/>
      <c r="SIG71" s="4"/>
      <c r="SIH71" s="4"/>
      <c r="SII71" s="4"/>
      <c r="SIJ71" s="4"/>
      <c r="SIK71" s="4"/>
      <c r="SIL71" s="4"/>
      <c r="SIM71" s="4"/>
      <c r="SIN71" s="4"/>
      <c r="SIO71" s="4"/>
      <c r="SIP71" s="4"/>
      <c r="SIQ71" s="4"/>
      <c r="SIR71" s="4"/>
      <c r="SIS71" s="4"/>
      <c r="SIT71" s="4"/>
      <c r="SIU71" s="4"/>
      <c r="SIV71" s="4"/>
      <c r="SIW71" s="4"/>
      <c r="SIX71" s="4"/>
      <c r="SIY71" s="4"/>
      <c r="SIZ71" s="4"/>
      <c r="SJA71" s="4"/>
      <c r="SJB71" s="4"/>
      <c r="SJC71" s="4"/>
      <c r="SJD71" s="4"/>
      <c r="SJE71" s="4"/>
      <c r="SJF71" s="4"/>
      <c r="SJG71" s="4"/>
      <c r="SJH71" s="4"/>
      <c r="SJI71" s="4"/>
      <c r="SJJ71" s="4"/>
      <c r="SJK71" s="4"/>
      <c r="SJL71" s="4"/>
      <c r="SJM71" s="4"/>
      <c r="SJN71" s="4"/>
      <c r="SJO71" s="4"/>
      <c r="SJP71" s="4"/>
      <c r="SJQ71" s="4"/>
      <c r="SJR71" s="4"/>
      <c r="SJS71" s="4"/>
      <c r="SJT71" s="4"/>
      <c r="SJU71" s="4"/>
      <c r="SJV71" s="4"/>
      <c r="SJW71" s="4"/>
      <c r="SJX71" s="4"/>
      <c r="SJY71" s="4"/>
      <c r="SJZ71" s="4"/>
      <c r="SKA71" s="4"/>
      <c r="SKB71" s="4"/>
      <c r="SKC71" s="4"/>
      <c r="SKD71" s="4"/>
      <c r="SKE71" s="4"/>
      <c r="SKF71" s="4"/>
      <c r="SKG71" s="4"/>
      <c r="SKH71" s="4"/>
      <c r="SKI71" s="4"/>
      <c r="SKJ71" s="4"/>
      <c r="SKK71" s="4"/>
      <c r="SKL71" s="4"/>
      <c r="SKM71" s="4"/>
      <c r="SKN71" s="4"/>
      <c r="SKO71" s="4"/>
      <c r="SKP71" s="4"/>
      <c r="SKQ71" s="4"/>
      <c r="SKR71" s="4"/>
      <c r="SKS71" s="4"/>
      <c r="SKT71" s="4"/>
      <c r="SKU71" s="4"/>
      <c r="SKV71" s="4"/>
      <c r="SKW71" s="4"/>
      <c r="SKX71" s="4"/>
      <c r="SKY71" s="4"/>
      <c r="SKZ71" s="4"/>
      <c r="SLA71" s="4"/>
      <c r="SLB71" s="4"/>
      <c r="SLC71" s="4"/>
      <c r="SLD71" s="4"/>
      <c r="SLE71" s="4"/>
      <c r="SLF71" s="4"/>
      <c r="SLG71" s="4"/>
      <c r="SLH71" s="4"/>
      <c r="SLI71" s="4"/>
      <c r="SLJ71" s="4"/>
      <c r="SLK71" s="4"/>
      <c r="SLL71" s="4"/>
      <c r="SLM71" s="4"/>
      <c r="SLN71" s="4"/>
      <c r="SLO71" s="4"/>
      <c r="SLP71" s="4"/>
      <c r="SLQ71" s="4"/>
      <c r="SLR71" s="4"/>
      <c r="SLS71" s="4"/>
      <c r="SLT71" s="4"/>
      <c r="SLU71" s="4"/>
      <c r="SLV71" s="4"/>
      <c r="SLW71" s="4"/>
      <c r="SLX71" s="4"/>
      <c r="SLY71" s="4"/>
      <c r="SLZ71" s="4"/>
      <c r="SMA71" s="4"/>
      <c r="SMB71" s="4"/>
      <c r="SMC71" s="4"/>
      <c r="SMD71" s="4"/>
      <c r="SME71" s="4"/>
      <c r="SMF71" s="4"/>
      <c r="SMG71" s="4"/>
      <c r="SMH71" s="4"/>
      <c r="SMI71" s="4"/>
      <c r="SMJ71" s="4"/>
      <c r="SMK71" s="4"/>
      <c r="SML71" s="4"/>
      <c r="SMM71" s="4"/>
      <c r="SMN71" s="4"/>
      <c r="SMO71" s="4"/>
      <c r="SMP71" s="4"/>
      <c r="SMQ71" s="4"/>
      <c r="SMR71" s="4"/>
      <c r="SMS71" s="4"/>
      <c r="SMT71" s="4"/>
      <c r="SMU71" s="4"/>
      <c r="SMV71" s="4"/>
      <c r="SMW71" s="4"/>
      <c r="SMX71" s="4"/>
      <c r="SMY71" s="4"/>
      <c r="SMZ71" s="4"/>
      <c r="SNA71" s="4"/>
      <c r="SNB71" s="4"/>
      <c r="SNC71" s="4"/>
      <c r="SND71" s="4"/>
      <c r="SNE71" s="4"/>
      <c r="SNF71" s="4"/>
      <c r="SNG71" s="4"/>
      <c r="SNH71" s="4"/>
      <c r="SNI71" s="4"/>
      <c r="SNJ71" s="4"/>
      <c r="SNK71" s="4"/>
      <c r="SNL71" s="4"/>
      <c r="SNM71" s="4"/>
      <c r="SNN71" s="4"/>
      <c r="SNO71" s="4"/>
      <c r="SNP71" s="4"/>
      <c r="SNQ71" s="4"/>
      <c r="SNR71" s="4"/>
      <c r="SNS71" s="4"/>
      <c r="SNT71" s="4"/>
      <c r="SNU71" s="4"/>
      <c r="SNV71" s="4"/>
      <c r="SNW71" s="4"/>
      <c r="SNX71" s="4"/>
      <c r="SNY71" s="4"/>
      <c r="SNZ71" s="4"/>
      <c r="SOA71" s="4"/>
      <c r="SOB71" s="4"/>
      <c r="SOC71" s="4"/>
      <c r="SOD71" s="4"/>
      <c r="SOE71" s="4"/>
      <c r="SOF71" s="4"/>
      <c r="SOG71" s="4"/>
      <c r="SOH71" s="4"/>
      <c r="SOI71" s="4"/>
      <c r="SOJ71" s="4"/>
      <c r="SOK71" s="4"/>
      <c r="SOL71" s="4"/>
      <c r="SOM71" s="4"/>
      <c r="SON71" s="4"/>
      <c r="SOO71" s="4"/>
      <c r="SOP71" s="4"/>
      <c r="SOQ71" s="4"/>
      <c r="SOR71" s="4"/>
      <c r="SOS71" s="4"/>
      <c r="SOT71" s="4"/>
      <c r="SOU71" s="4"/>
      <c r="SOV71" s="4"/>
      <c r="SOW71" s="4"/>
      <c r="SOX71" s="4"/>
      <c r="SOY71" s="4"/>
      <c r="SOZ71" s="4"/>
      <c r="SPA71" s="4"/>
      <c r="SPB71" s="4"/>
      <c r="SPC71" s="4"/>
      <c r="SPD71" s="4"/>
      <c r="SPE71" s="4"/>
      <c r="SPF71" s="4"/>
      <c r="SPG71" s="4"/>
      <c r="SPH71" s="4"/>
      <c r="SPI71" s="4"/>
      <c r="SPJ71" s="4"/>
      <c r="SPK71" s="4"/>
      <c r="SPL71" s="4"/>
      <c r="SPM71" s="4"/>
      <c r="SPN71" s="4"/>
      <c r="SPO71" s="4"/>
      <c r="SPP71" s="4"/>
      <c r="SPQ71" s="4"/>
      <c r="SPR71" s="4"/>
      <c r="SPS71" s="4"/>
      <c r="SPT71" s="4"/>
      <c r="SPU71" s="4"/>
      <c r="SPV71" s="4"/>
      <c r="SPW71" s="4"/>
      <c r="SPX71" s="4"/>
      <c r="SPY71" s="4"/>
      <c r="SPZ71" s="4"/>
      <c r="SQA71" s="4"/>
      <c r="SQB71" s="4"/>
      <c r="SQC71" s="4"/>
      <c r="SQD71" s="4"/>
      <c r="SQE71" s="4"/>
      <c r="SQF71" s="4"/>
      <c r="SQG71" s="4"/>
      <c r="SQH71" s="4"/>
      <c r="SQI71" s="4"/>
      <c r="SQJ71" s="4"/>
      <c r="SQK71" s="4"/>
      <c r="SQL71" s="4"/>
      <c r="SQM71" s="4"/>
      <c r="SQN71" s="4"/>
      <c r="SQO71" s="4"/>
      <c r="SQP71" s="4"/>
      <c r="SQQ71" s="4"/>
      <c r="SQR71" s="4"/>
      <c r="SQS71" s="4"/>
      <c r="SQT71" s="4"/>
      <c r="SQU71" s="4"/>
      <c r="SQV71" s="4"/>
      <c r="SQW71" s="4"/>
      <c r="SQX71" s="4"/>
      <c r="SQY71" s="4"/>
      <c r="SQZ71" s="4"/>
      <c r="SRA71" s="4"/>
      <c r="SRB71" s="4"/>
      <c r="SRC71" s="4"/>
      <c r="SRD71" s="4"/>
      <c r="SRE71" s="4"/>
      <c r="SRF71" s="4"/>
      <c r="SRG71" s="4"/>
      <c r="SRH71" s="4"/>
      <c r="SRI71" s="4"/>
      <c r="SRJ71" s="4"/>
      <c r="SRK71" s="4"/>
      <c r="SRL71" s="4"/>
      <c r="SRM71" s="4"/>
      <c r="SRN71" s="4"/>
      <c r="SRO71" s="4"/>
      <c r="SRP71" s="4"/>
      <c r="SRQ71" s="4"/>
      <c r="SRR71" s="4"/>
      <c r="SRS71" s="4"/>
      <c r="SRT71" s="4"/>
      <c r="SRU71" s="4"/>
      <c r="SRV71" s="4"/>
      <c r="SRW71" s="4"/>
      <c r="SRX71" s="4"/>
      <c r="SRY71" s="4"/>
      <c r="SRZ71" s="4"/>
      <c r="SSA71" s="4"/>
      <c r="SSB71" s="4"/>
      <c r="SSC71" s="4"/>
      <c r="SSD71" s="4"/>
      <c r="SSE71" s="4"/>
      <c r="SSF71" s="4"/>
      <c r="SSG71" s="4"/>
      <c r="SSH71" s="4"/>
      <c r="SSI71" s="4"/>
      <c r="SSJ71" s="4"/>
      <c r="SSK71" s="4"/>
      <c r="SSL71" s="4"/>
      <c r="SSM71" s="4"/>
      <c r="SSN71" s="4"/>
      <c r="SSO71" s="4"/>
      <c r="SSP71" s="4"/>
      <c r="SSQ71" s="4"/>
      <c r="SSR71" s="4"/>
      <c r="SSS71" s="4"/>
      <c r="SST71" s="4"/>
      <c r="SSU71" s="4"/>
      <c r="SSV71" s="4"/>
      <c r="SSW71" s="4"/>
      <c r="SSX71" s="4"/>
      <c r="SSY71" s="4"/>
      <c r="SSZ71" s="4"/>
      <c r="STA71" s="4"/>
      <c r="STB71" s="4"/>
      <c r="STC71" s="4"/>
      <c r="STD71" s="4"/>
      <c r="STE71" s="4"/>
      <c r="STF71" s="4"/>
      <c r="STG71" s="4"/>
      <c r="STH71" s="4"/>
      <c r="STI71" s="4"/>
      <c r="STJ71" s="4"/>
      <c r="STK71" s="4"/>
      <c r="STL71" s="4"/>
      <c r="STM71" s="4"/>
      <c r="STN71" s="4"/>
      <c r="STO71" s="4"/>
      <c r="STP71" s="4"/>
      <c r="STQ71" s="4"/>
      <c r="STR71" s="4"/>
      <c r="STS71" s="4"/>
      <c r="STT71" s="4"/>
      <c r="STU71" s="4"/>
      <c r="STV71" s="4"/>
      <c r="STW71" s="4"/>
      <c r="STX71" s="4"/>
      <c r="STY71" s="4"/>
      <c r="STZ71" s="4"/>
      <c r="SUA71" s="4"/>
      <c r="SUB71" s="4"/>
      <c r="SUC71" s="4"/>
      <c r="SUD71" s="4"/>
      <c r="SUE71" s="4"/>
      <c r="SUF71" s="4"/>
      <c r="SUG71" s="4"/>
      <c r="SUH71" s="4"/>
      <c r="SUI71" s="4"/>
      <c r="SUJ71" s="4"/>
      <c r="SUK71" s="4"/>
      <c r="SUL71" s="4"/>
      <c r="SUM71" s="4"/>
      <c r="SUN71" s="4"/>
      <c r="SUO71" s="4"/>
      <c r="SUP71" s="4"/>
      <c r="SUQ71" s="4"/>
      <c r="SUR71" s="4"/>
      <c r="SUS71" s="4"/>
      <c r="SUT71" s="4"/>
      <c r="SUU71" s="4"/>
      <c r="SUV71" s="4"/>
      <c r="SUW71" s="4"/>
      <c r="SUX71" s="4"/>
      <c r="SUY71" s="4"/>
      <c r="SUZ71" s="4"/>
      <c r="SVA71" s="4"/>
      <c r="SVB71" s="4"/>
      <c r="SVC71" s="4"/>
      <c r="SVD71" s="4"/>
      <c r="SVE71" s="4"/>
      <c r="SVF71" s="4"/>
      <c r="SVG71" s="4"/>
      <c r="SVH71" s="4"/>
      <c r="SVI71" s="4"/>
      <c r="SVJ71" s="4"/>
      <c r="SVK71" s="4"/>
      <c r="SVL71" s="4"/>
      <c r="SVM71" s="4"/>
      <c r="SVN71" s="4"/>
      <c r="SVO71" s="4"/>
      <c r="SVP71" s="4"/>
      <c r="SVQ71" s="4"/>
      <c r="SVR71" s="4"/>
      <c r="SVS71" s="4"/>
      <c r="SVT71" s="4"/>
      <c r="SVU71" s="4"/>
      <c r="SVV71" s="4"/>
      <c r="SVW71" s="4"/>
      <c r="SVX71" s="4"/>
      <c r="SVY71" s="4"/>
      <c r="SVZ71" s="4"/>
      <c r="SWA71" s="4"/>
      <c r="SWB71" s="4"/>
      <c r="SWC71" s="4"/>
      <c r="SWD71" s="4"/>
      <c r="SWE71" s="4"/>
      <c r="SWF71" s="4"/>
      <c r="SWG71" s="4"/>
      <c r="SWH71" s="4"/>
      <c r="SWI71" s="4"/>
      <c r="SWJ71" s="4"/>
      <c r="SWK71" s="4"/>
      <c r="SWL71" s="4"/>
      <c r="SWM71" s="4"/>
      <c r="SWN71" s="4"/>
      <c r="SWO71" s="4"/>
      <c r="SWP71" s="4"/>
      <c r="SWQ71" s="4"/>
      <c r="SWR71" s="4"/>
      <c r="SWS71" s="4"/>
      <c r="SWT71" s="4"/>
      <c r="SWU71" s="4"/>
      <c r="SWV71" s="4"/>
      <c r="SWW71" s="4"/>
      <c r="SWX71" s="4"/>
      <c r="SWY71" s="4"/>
      <c r="SWZ71" s="4"/>
      <c r="SXA71" s="4"/>
      <c r="SXB71" s="4"/>
      <c r="SXC71" s="4"/>
      <c r="SXD71" s="4"/>
      <c r="SXE71" s="4"/>
      <c r="SXF71" s="4"/>
      <c r="SXG71" s="4"/>
      <c r="SXH71" s="4"/>
      <c r="SXI71" s="4"/>
      <c r="SXJ71" s="4"/>
      <c r="SXK71" s="4"/>
      <c r="SXL71" s="4"/>
      <c r="SXM71" s="4"/>
      <c r="SXN71" s="4"/>
      <c r="SXO71" s="4"/>
      <c r="SXP71" s="4"/>
      <c r="SXQ71" s="4"/>
      <c r="SXR71" s="4"/>
      <c r="SXS71" s="4"/>
      <c r="SXT71" s="4"/>
      <c r="SXU71" s="4"/>
      <c r="SXV71" s="4"/>
      <c r="SXW71" s="4"/>
      <c r="SXX71" s="4"/>
      <c r="SXY71" s="4"/>
      <c r="SXZ71" s="4"/>
      <c r="SYA71" s="4"/>
      <c r="SYB71" s="4"/>
      <c r="SYC71" s="4"/>
      <c r="SYD71" s="4"/>
      <c r="SYE71" s="4"/>
      <c r="SYF71" s="4"/>
      <c r="SYG71" s="4"/>
      <c r="SYH71" s="4"/>
      <c r="SYI71" s="4"/>
      <c r="SYJ71" s="4"/>
      <c r="SYK71" s="4"/>
      <c r="SYL71" s="4"/>
      <c r="SYM71" s="4"/>
      <c r="SYN71" s="4"/>
      <c r="SYO71" s="4"/>
      <c r="SYP71" s="4"/>
      <c r="SYQ71" s="4"/>
      <c r="SYR71" s="4"/>
      <c r="SYS71" s="4"/>
      <c r="SYT71" s="4"/>
      <c r="SYU71" s="4"/>
      <c r="SYV71" s="4"/>
      <c r="SYW71" s="4"/>
      <c r="SYX71" s="4"/>
      <c r="SYY71" s="4"/>
      <c r="SYZ71" s="4"/>
      <c r="SZA71" s="4"/>
      <c r="SZB71" s="4"/>
      <c r="SZC71" s="4"/>
      <c r="SZD71" s="4"/>
      <c r="SZE71" s="4"/>
      <c r="SZF71" s="4"/>
      <c r="SZG71" s="4"/>
      <c r="SZH71" s="4"/>
      <c r="SZI71" s="4"/>
      <c r="SZJ71" s="4"/>
      <c r="SZK71" s="4"/>
      <c r="SZL71" s="4"/>
      <c r="SZM71" s="4"/>
      <c r="SZN71" s="4"/>
      <c r="SZO71" s="4"/>
      <c r="SZP71" s="4"/>
      <c r="SZQ71" s="4"/>
      <c r="SZR71" s="4"/>
      <c r="SZS71" s="4"/>
      <c r="SZT71" s="4"/>
      <c r="SZU71" s="4"/>
      <c r="SZV71" s="4"/>
      <c r="SZW71" s="4"/>
      <c r="SZX71" s="4"/>
      <c r="SZY71" s="4"/>
      <c r="SZZ71" s="4"/>
      <c r="TAA71" s="4"/>
      <c r="TAB71" s="4"/>
      <c r="TAC71" s="4"/>
      <c r="TAD71" s="4"/>
      <c r="TAE71" s="4"/>
      <c r="TAF71" s="4"/>
      <c r="TAG71" s="4"/>
      <c r="TAH71" s="4"/>
      <c r="TAI71" s="4"/>
      <c r="TAJ71" s="4"/>
      <c r="TAK71" s="4"/>
      <c r="TAL71" s="4"/>
      <c r="TAM71" s="4"/>
      <c r="TAN71" s="4"/>
      <c r="TAO71" s="4"/>
      <c r="TAP71" s="4"/>
      <c r="TAQ71" s="4"/>
      <c r="TAR71" s="4"/>
      <c r="TAS71" s="4"/>
      <c r="TAT71" s="4"/>
      <c r="TAU71" s="4"/>
      <c r="TAV71" s="4"/>
      <c r="TAW71" s="4"/>
      <c r="TAX71" s="4"/>
      <c r="TAY71" s="4"/>
      <c r="TAZ71" s="4"/>
      <c r="TBA71" s="4"/>
      <c r="TBB71" s="4"/>
      <c r="TBC71" s="4"/>
      <c r="TBD71" s="4"/>
      <c r="TBE71" s="4"/>
      <c r="TBF71" s="4"/>
      <c r="TBG71" s="4"/>
      <c r="TBH71" s="4"/>
      <c r="TBI71" s="4"/>
      <c r="TBJ71" s="4"/>
      <c r="TBK71" s="4"/>
      <c r="TBL71" s="4"/>
      <c r="TBM71" s="4"/>
      <c r="TBN71" s="4"/>
      <c r="TBO71" s="4"/>
      <c r="TBP71" s="4"/>
      <c r="TBQ71" s="4"/>
      <c r="TBR71" s="4"/>
      <c r="TBS71" s="4"/>
      <c r="TBT71" s="4"/>
      <c r="TBU71" s="4"/>
      <c r="TBV71" s="4"/>
      <c r="TBW71" s="4"/>
      <c r="TBX71" s="4"/>
      <c r="TBY71" s="4"/>
      <c r="TBZ71" s="4"/>
      <c r="TCA71" s="4"/>
      <c r="TCB71" s="4"/>
      <c r="TCC71" s="4"/>
      <c r="TCD71" s="4"/>
      <c r="TCE71" s="4"/>
      <c r="TCF71" s="4"/>
      <c r="TCG71" s="4"/>
      <c r="TCH71" s="4"/>
      <c r="TCI71" s="4"/>
      <c r="TCJ71" s="4"/>
      <c r="TCK71" s="4"/>
      <c r="TCL71" s="4"/>
      <c r="TCM71" s="4"/>
      <c r="TCN71" s="4"/>
      <c r="TCO71" s="4"/>
      <c r="TCP71" s="4"/>
      <c r="TCQ71" s="4"/>
      <c r="TCR71" s="4"/>
      <c r="TCS71" s="4"/>
      <c r="TCT71" s="4"/>
      <c r="TCU71" s="4"/>
      <c r="TCV71" s="4"/>
      <c r="TCW71" s="4"/>
      <c r="TCX71" s="4"/>
      <c r="TCY71" s="4"/>
      <c r="TCZ71" s="4"/>
      <c r="TDA71" s="4"/>
      <c r="TDB71" s="4"/>
      <c r="TDC71" s="4"/>
      <c r="TDD71" s="4"/>
      <c r="TDE71" s="4"/>
      <c r="TDF71" s="4"/>
      <c r="TDG71" s="4"/>
      <c r="TDH71" s="4"/>
      <c r="TDI71" s="4"/>
      <c r="TDJ71" s="4"/>
      <c r="TDK71" s="4"/>
      <c r="TDL71" s="4"/>
      <c r="TDM71" s="4"/>
      <c r="TDN71" s="4"/>
      <c r="TDO71" s="4"/>
      <c r="TDP71" s="4"/>
      <c r="TDQ71" s="4"/>
      <c r="TDR71" s="4"/>
      <c r="TDS71" s="4"/>
      <c r="TDT71" s="4"/>
      <c r="TDU71" s="4"/>
      <c r="TDV71" s="4"/>
      <c r="TDW71" s="4"/>
      <c r="TDX71" s="4"/>
      <c r="TDY71" s="4"/>
      <c r="TDZ71" s="4"/>
      <c r="TEA71" s="4"/>
      <c r="TEB71" s="4"/>
      <c r="TEC71" s="4"/>
      <c r="TED71" s="4"/>
      <c r="TEE71" s="4"/>
      <c r="TEF71" s="4"/>
      <c r="TEG71" s="4"/>
      <c r="TEH71" s="4"/>
      <c r="TEI71" s="4"/>
      <c r="TEJ71" s="4"/>
      <c r="TEK71" s="4"/>
      <c r="TEL71" s="4"/>
      <c r="TEM71" s="4"/>
      <c r="TEN71" s="4"/>
      <c r="TEO71" s="4"/>
      <c r="TEP71" s="4"/>
      <c r="TEQ71" s="4"/>
      <c r="TER71" s="4"/>
      <c r="TES71" s="4"/>
      <c r="TET71" s="4"/>
      <c r="TEU71" s="4"/>
      <c r="TEV71" s="4"/>
      <c r="TEW71" s="4"/>
      <c r="TEX71" s="4"/>
      <c r="TEY71" s="4"/>
      <c r="TEZ71" s="4"/>
      <c r="TFA71" s="4"/>
      <c r="TFB71" s="4"/>
      <c r="TFC71" s="4"/>
      <c r="TFD71" s="4"/>
      <c r="TFE71" s="4"/>
      <c r="TFF71" s="4"/>
      <c r="TFG71" s="4"/>
      <c r="TFH71" s="4"/>
      <c r="TFI71" s="4"/>
      <c r="TFJ71" s="4"/>
      <c r="TFK71" s="4"/>
      <c r="TFL71" s="4"/>
      <c r="TFM71" s="4"/>
      <c r="TFN71" s="4"/>
      <c r="TFO71" s="4"/>
      <c r="TFP71" s="4"/>
      <c r="TFQ71" s="4"/>
      <c r="TFR71" s="4"/>
      <c r="TFS71" s="4"/>
      <c r="TFT71" s="4"/>
      <c r="TFU71" s="4"/>
      <c r="TFV71" s="4"/>
      <c r="TFW71" s="4"/>
      <c r="TFX71" s="4"/>
      <c r="TFY71" s="4"/>
      <c r="TFZ71" s="4"/>
      <c r="TGA71" s="4"/>
      <c r="TGB71" s="4"/>
      <c r="TGC71" s="4"/>
      <c r="TGD71" s="4"/>
      <c r="TGE71" s="4"/>
      <c r="TGF71" s="4"/>
      <c r="TGG71" s="4"/>
      <c r="TGH71" s="4"/>
      <c r="TGI71" s="4"/>
      <c r="TGJ71" s="4"/>
      <c r="TGK71" s="4"/>
      <c r="TGL71" s="4"/>
      <c r="TGM71" s="4"/>
      <c r="TGN71" s="4"/>
      <c r="TGO71" s="4"/>
      <c r="TGP71" s="4"/>
      <c r="TGQ71" s="4"/>
      <c r="TGR71" s="4"/>
      <c r="TGS71" s="4"/>
      <c r="TGT71" s="4"/>
      <c r="TGU71" s="4"/>
      <c r="TGV71" s="4"/>
      <c r="TGW71" s="4"/>
      <c r="TGX71" s="4"/>
      <c r="TGY71" s="4"/>
      <c r="TGZ71" s="4"/>
      <c r="THA71" s="4"/>
      <c r="THB71" s="4"/>
      <c r="THC71" s="4"/>
      <c r="THD71" s="4"/>
      <c r="THE71" s="4"/>
      <c r="THF71" s="4"/>
      <c r="THG71" s="4"/>
      <c r="THH71" s="4"/>
      <c r="THI71" s="4"/>
      <c r="THJ71" s="4"/>
      <c r="THK71" s="4"/>
      <c r="THL71" s="4"/>
      <c r="THM71" s="4"/>
      <c r="THN71" s="4"/>
      <c r="THO71" s="4"/>
      <c r="THP71" s="4"/>
      <c r="THQ71" s="4"/>
      <c r="THR71" s="4"/>
      <c r="THS71" s="4"/>
      <c r="THT71" s="4"/>
      <c r="THU71" s="4"/>
      <c r="THV71" s="4"/>
      <c r="THW71" s="4"/>
      <c r="THX71" s="4"/>
      <c r="THY71" s="4"/>
      <c r="THZ71" s="4"/>
      <c r="TIA71" s="4"/>
      <c r="TIB71" s="4"/>
      <c r="TIC71" s="4"/>
      <c r="TID71" s="4"/>
      <c r="TIE71" s="4"/>
      <c r="TIF71" s="4"/>
      <c r="TIG71" s="4"/>
      <c r="TIH71" s="4"/>
      <c r="TII71" s="4"/>
      <c r="TIJ71" s="4"/>
      <c r="TIK71" s="4"/>
      <c r="TIL71" s="4"/>
      <c r="TIM71" s="4"/>
      <c r="TIN71" s="4"/>
      <c r="TIO71" s="4"/>
      <c r="TIP71" s="4"/>
      <c r="TIQ71" s="4"/>
      <c r="TIR71" s="4"/>
      <c r="TIS71" s="4"/>
      <c r="TIT71" s="4"/>
      <c r="TIU71" s="4"/>
      <c r="TIV71" s="4"/>
      <c r="TIW71" s="4"/>
      <c r="TIX71" s="4"/>
      <c r="TIY71" s="4"/>
      <c r="TIZ71" s="4"/>
      <c r="TJA71" s="4"/>
      <c r="TJB71" s="4"/>
      <c r="TJC71" s="4"/>
      <c r="TJD71" s="4"/>
      <c r="TJE71" s="4"/>
      <c r="TJF71" s="4"/>
      <c r="TJG71" s="4"/>
      <c r="TJH71" s="4"/>
      <c r="TJI71" s="4"/>
      <c r="TJJ71" s="4"/>
      <c r="TJK71" s="4"/>
      <c r="TJL71" s="4"/>
      <c r="TJM71" s="4"/>
      <c r="TJN71" s="4"/>
      <c r="TJO71" s="4"/>
      <c r="TJP71" s="4"/>
      <c r="TJQ71" s="4"/>
      <c r="TJR71" s="4"/>
      <c r="TJS71" s="4"/>
      <c r="TJT71" s="4"/>
      <c r="TJU71" s="4"/>
      <c r="TJV71" s="4"/>
      <c r="TJW71" s="4"/>
      <c r="TJX71" s="4"/>
      <c r="TJY71" s="4"/>
      <c r="TJZ71" s="4"/>
      <c r="TKA71" s="4"/>
      <c r="TKB71" s="4"/>
      <c r="TKC71" s="4"/>
      <c r="TKD71" s="4"/>
      <c r="TKE71" s="4"/>
      <c r="TKF71" s="4"/>
      <c r="TKG71" s="4"/>
      <c r="TKH71" s="4"/>
      <c r="TKI71" s="4"/>
      <c r="TKJ71" s="4"/>
      <c r="TKK71" s="4"/>
      <c r="TKL71" s="4"/>
      <c r="TKM71" s="4"/>
      <c r="TKN71" s="4"/>
      <c r="TKO71" s="4"/>
      <c r="TKP71" s="4"/>
      <c r="TKQ71" s="4"/>
      <c r="TKR71" s="4"/>
      <c r="TKS71" s="4"/>
      <c r="TKT71" s="4"/>
      <c r="TKU71" s="4"/>
      <c r="TKV71" s="4"/>
      <c r="TKW71" s="4"/>
      <c r="TKX71" s="4"/>
      <c r="TKY71" s="4"/>
      <c r="TKZ71" s="4"/>
      <c r="TLA71" s="4"/>
      <c r="TLB71" s="4"/>
      <c r="TLC71" s="4"/>
      <c r="TLD71" s="4"/>
      <c r="TLE71" s="4"/>
      <c r="TLF71" s="4"/>
      <c r="TLG71" s="4"/>
      <c r="TLH71" s="4"/>
      <c r="TLI71" s="4"/>
      <c r="TLJ71" s="4"/>
      <c r="TLK71" s="4"/>
      <c r="TLL71" s="4"/>
      <c r="TLM71" s="4"/>
      <c r="TLN71" s="4"/>
      <c r="TLO71" s="4"/>
      <c r="TLP71" s="4"/>
      <c r="TLQ71" s="4"/>
      <c r="TLR71" s="4"/>
      <c r="TLS71" s="4"/>
      <c r="TLT71" s="4"/>
      <c r="TLU71" s="4"/>
      <c r="TLV71" s="4"/>
      <c r="TLW71" s="4"/>
      <c r="TLX71" s="4"/>
      <c r="TLY71" s="4"/>
      <c r="TLZ71" s="4"/>
      <c r="TMA71" s="4"/>
      <c r="TMB71" s="4"/>
      <c r="TMC71" s="4"/>
      <c r="TMD71" s="4"/>
      <c r="TME71" s="4"/>
      <c r="TMF71" s="4"/>
      <c r="TMG71" s="4"/>
      <c r="TMH71" s="4"/>
      <c r="TMI71" s="4"/>
      <c r="TMJ71" s="4"/>
      <c r="TMK71" s="4"/>
      <c r="TML71" s="4"/>
      <c r="TMM71" s="4"/>
      <c r="TMN71" s="4"/>
      <c r="TMO71" s="4"/>
      <c r="TMP71" s="4"/>
      <c r="TMQ71" s="4"/>
      <c r="TMR71" s="4"/>
      <c r="TMS71" s="4"/>
      <c r="TMT71" s="4"/>
      <c r="TMU71" s="4"/>
      <c r="TMV71" s="4"/>
      <c r="TMW71" s="4"/>
      <c r="TMX71" s="4"/>
      <c r="TMY71" s="4"/>
      <c r="TMZ71" s="4"/>
      <c r="TNA71" s="4"/>
      <c r="TNB71" s="4"/>
      <c r="TNC71" s="4"/>
      <c r="TND71" s="4"/>
      <c r="TNE71" s="4"/>
      <c r="TNF71" s="4"/>
      <c r="TNG71" s="4"/>
      <c r="TNH71" s="4"/>
      <c r="TNI71" s="4"/>
      <c r="TNJ71" s="4"/>
      <c r="TNK71" s="4"/>
      <c r="TNL71" s="4"/>
      <c r="TNM71" s="4"/>
      <c r="TNN71" s="4"/>
      <c r="TNO71" s="4"/>
      <c r="TNP71" s="4"/>
      <c r="TNQ71" s="4"/>
      <c r="TNR71" s="4"/>
      <c r="TNS71" s="4"/>
      <c r="TNT71" s="4"/>
      <c r="TNU71" s="4"/>
      <c r="TNV71" s="4"/>
      <c r="TNW71" s="4"/>
      <c r="TNX71" s="4"/>
      <c r="TNY71" s="4"/>
      <c r="TNZ71" s="4"/>
      <c r="TOA71" s="4"/>
      <c r="TOB71" s="4"/>
      <c r="TOC71" s="4"/>
      <c r="TOD71" s="4"/>
      <c r="TOE71" s="4"/>
      <c r="TOF71" s="4"/>
      <c r="TOG71" s="4"/>
      <c r="TOH71" s="4"/>
      <c r="TOI71" s="4"/>
      <c r="TOJ71" s="4"/>
      <c r="TOK71" s="4"/>
      <c r="TOL71" s="4"/>
      <c r="TOM71" s="4"/>
      <c r="TON71" s="4"/>
      <c r="TOO71" s="4"/>
      <c r="TOP71" s="4"/>
      <c r="TOQ71" s="4"/>
      <c r="TOR71" s="4"/>
      <c r="TOS71" s="4"/>
      <c r="TOT71" s="4"/>
      <c r="TOU71" s="4"/>
      <c r="TOV71" s="4"/>
      <c r="TOW71" s="4"/>
      <c r="TOX71" s="4"/>
      <c r="TOY71" s="4"/>
      <c r="TOZ71" s="4"/>
      <c r="TPA71" s="4"/>
      <c r="TPB71" s="4"/>
      <c r="TPC71" s="4"/>
      <c r="TPD71" s="4"/>
      <c r="TPE71" s="4"/>
      <c r="TPF71" s="4"/>
      <c r="TPG71" s="4"/>
      <c r="TPH71" s="4"/>
      <c r="TPI71" s="4"/>
      <c r="TPJ71" s="4"/>
      <c r="TPK71" s="4"/>
      <c r="TPL71" s="4"/>
      <c r="TPM71" s="4"/>
      <c r="TPN71" s="4"/>
      <c r="TPO71" s="4"/>
      <c r="TPP71" s="4"/>
      <c r="TPQ71" s="4"/>
      <c r="TPR71" s="4"/>
      <c r="TPS71" s="4"/>
      <c r="TPT71" s="4"/>
      <c r="TPU71" s="4"/>
      <c r="TPV71" s="4"/>
      <c r="TPW71" s="4"/>
      <c r="TPX71" s="4"/>
      <c r="TPY71" s="4"/>
      <c r="TPZ71" s="4"/>
      <c r="TQA71" s="4"/>
      <c r="TQB71" s="4"/>
      <c r="TQC71" s="4"/>
      <c r="TQD71" s="4"/>
      <c r="TQE71" s="4"/>
      <c r="TQF71" s="4"/>
      <c r="TQG71" s="4"/>
      <c r="TQH71" s="4"/>
      <c r="TQI71" s="4"/>
      <c r="TQJ71" s="4"/>
      <c r="TQK71" s="4"/>
      <c r="TQL71" s="4"/>
      <c r="TQM71" s="4"/>
      <c r="TQN71" s="4"/>
      <c r="TQO71" s="4"/>
      <c r="TQP71" s="4"/>
      <c r="TQQ71" s="4"/>
      <c r="TQR71" s="4"/>
      <c r="TQS71" s="4"/>
      <c r="TQT71" s="4"/>
      <c r="TQU71" s="4"/>
      <c r="TQV71" s="4"/>
      <c r="TQW71" s="4"/>
      <c r="TQX71" s="4"/>
      <c r="TQY71" s="4"/>
      <c r="TQZ71" s="4"/>
      <c r="TRA71" s="4"/>
      <c r="TRB71" s="4"/>
      <c r="TRC71" s="4"/>
      <c r="TRD71" s="4"/>
      <c r="TRE71" s="4"/>
      <c r="TRF71" s="4"/>
      <c r="TRG71" s="4"/>
      <c r="TRH71" s="4"/>
      <c r="TRI71" s="4"/>
      <c r="TRJ71" s="4"/>
      <c r="TRK71" s="4"/>
      <c r="TRL71" s="4"/>
      <c r="TRM71" s="4"/>
      <c r="TRN71" s="4"/>
      <c r="TRO71" s="4"/>
      <c r="TRP71" s="4"/>
      <c r="TRQ71" s="4"/>
      <c r="TRR71" s="4"/>
      <c r="TRS71" s="4"/>
      <c r="TRT71" s="4"/>
      <c r="TRU71" s="4"/>
      <c r="TRV71" s="4"/>
      <c r="TRW71" s="4"/>
      <c r="TRX71" s="4"/>
      <c r="TRY71" s="4"/>
      <c r="TRZ71" s="4"/>
      <c r="TSA71" s="4"/>
      <c r="TSB71" s="4"/>
      <c r="TSC71" s="4"/>
      <c r="TSD71" s="4"/>
      <c r="TSE71" s="4"/>
      <c r="TSF71" s="4"/>
      <c r="TSG71" s="4"/>
      <c r="TSH71" s="4"/>
      <c r="TSI71" s="4"/>
      <c r="TSJ71" s="4"/>
      <c r="TSK71" s="4"/>
      <c r="TSL71" s="4"/>
      <c r="TSM71" s="4"/>
      <c r="TSN71" s="4"/>
      <c r="TSO71" s="4"/>
      <c r="TSP71" s="4"/>
      <c r="TSQ71" s="4"/>
      <c r="TSR71" s="4"/>
      <c r="TSS71" s="4"/>
      <c r="TST71" s="4"/>
      <c r="TSU71" s="4"/>
      <c r="TSV71" s="4"/>
      <c r="TSW71" s="4"/>
      <c r="TSX71" s="4"/>
      <c r="TSY71" s="4"/>
      <c r="TSZ71" s="4"/>
      <c r="TTA71" s="4"/>
      <c r="TTB71" s="4"/>
      <c r="TTC71" s="4"/>
      <c r="TTD71" s="4"/>
      <c r="TTE71" s="4"/>
      <c r="TTF71" s="4"/>
      <c r="TTG71" s="4"/>
      <c r="TTH71" s="4"/>
      <c r="TTI71" s="4"/>
      <c r="TTJ71" s="4"/>
      <c r="TTK71" s="4"/>
      <c r="TTL71" s="4"/>
      <c r="TTM71" s="4"/>
      <c r="TTN71" s="4"/>
      <c r="TTO71" s="4"/>
      <c r="TTP71" s="4"/>
      <c r="TTQ71" s="4"/>
      <c r="TTR71" s="4"/>
      <c r="TTS71" s="4"/>
      <c r="TTT71" s="4"/>
      <c r="TTU71" s="4"/>
      <c r="TTV71" s="4"/>
      <c r="TTW71" s="4"/>
      <c r="TTX71" s="4"/>
      <c r="TTY71" s="4"/>
      <c r="TTZ71" s="4"/>
      <c r="TUA71" s="4"/>
      <c r="TUB71" s="4"/>
      <c r="TUC71" s="4"/>
      <c r="TUD71" s="4"/>
      <c r="TUE71" s="4"/>
      <c r="TUF71" s="4"/>
      <c r="TUG71" s="4"/>
      <c r="TUH71" s="4"/>
      <c r="TUI71" s="4"/>
      <c r="TUJ71" s="4"/>
      <c r="TUK71" s="4"/>
      <c r="TUL71" s="4"/>
      <c r="TUM71" s="4"/>
      <c r="TUN71" s="4"/>
      <c r="TUO71" s="4"/>
      <c r="TUP71" s="4"/>
      <c r="TUQ71" s="4"/>
      <c r="TUR71" s="4"/>
      <c r="TUS71" s="4"/>
      <c r="TUT71" s="4"/>
      <c r="TUU71" s="4"/>
      <c r="TUV71" s="4"/>
      <c r="TUW71" s="4"/>
      <c r="TUX71" s="4"/>
      <c r="TUY71" s="4"/>
      <c r="TUZ71" s="4"/>
      <c r="TVA71" s="4"/>
      <c r="TVB71" s="4"/>
      <c r="TVC71" s="4"/>
      <c r="TVD71" s="4"/>
      <c r="TVE71" s="4"/>
      <c r="TVF71" s="4"/>
      <c r="TVG71" s="4"/>
      <c r="TVH71" s="4"/>
      <c r="TVI71" s="4"/>
      <c r="TVJ71" s="4"/>
      <c r="TVK71" s="4"/>
      <c r="TVL71" s="4"/>
      <c r="TVM71" s="4"/>
      <c r="TVN71" s="4"/>
      <c r="TVO71" s="4"/>
      <c r="TVP71" s="4"/>
      <c r="TVQ71" s="4"/>
      <c r="TVR71" s="4"/>
      <c r="TVS71" s="4"/>
      <c r="TVT71" s="4"/>
      <c r="TVU71" s="4"/>
      <c r="TVV71" s="4"/>
      <c r="TVW71" s="4"/>
      <c r="TVX71" s="4"/>
      <c r="TVY71" s="4"/>
      <c r="TVZ71" s="4"/>
      <c r="TWA71" s="4"/>
      <c r="TWB71" s="4"/>
      <c r="TWC71" s="4"/>
      <c r="TWD71" s="4"/>
      <c r="TWE71" s="4"/>
      <c r="TWF71" s="4"/>
      <c r="TWG71" s="4"/>
      <c r="TWH71" s="4"/>
      <c r="TWI71" s="4"/>
      <c r="TWJ71" s="4"/>
      <c r="TWK71" s="4"/>
      <c r="TWL71" s="4"/>
      <c r="TWM71" s="4"/>
      <c r="TWN71" s="4"/>
      <c r="TWO71" s="4"/>
      <c r="TWP71" s="4"/>
      <c r="TWQ71" s="4"/>
      <c r="TWR71" s="4"/>
      <c r="TWS71" s="4"/>
      <c r="TWT71" s="4"/>
      <c r="TWU71" s="4"/>
      <c r="TWV71" s="4"/>
      <c r="TWW71" s="4"/>
      <c r="TWX71" s="4"/>
      <c r="TWY71" s="4"/>
      <c r="TWZ71" s="4"/>
      <c r="TXA71" s="4"/>
      <c r="TXB71" s="4"/>
      <c r="TXC71" s="4"/>
      <c r="TXD71" s="4"/>
      <c r="TXE71" s="4"/>
      <c r="TXF71" s="4"/>
      <c r="TXG71" s="4"/>
      <c r="TXH71" s="4"/>
      <c r="TXI71" s="4"/>
      <c r="TXJ71" s="4"/>
      <c r="TXK71" s="4"/>
      <c r="TXL71" s="4"/>
      <c r="TXM71" s="4"/>
      <c r="TXN71" s="4"/>
      <c r="TXO71" s="4"/>
      <c r="TXP71" s="4"/>
      <c r="TXQ71" s="4"/>
      <c r="TXR71" s="4"/>
      <c r="TXS71" s="4"/>
      <c r="TXT71" s="4"/>
      <c r="TXU71" s="4"/>
      <c r="TXV71" s="4"/>
      <c r="TXW71" s="4"/>
      <c r="TXX71" s="4"/>
      <c r="TXY71" s="4"/>
      <c r="TXZ71" s="4"/>
      <c r="TYA71" s="4"/>
      <c r="TYB71" s="4"/>
      <c r="TYC71" s="4"/>
      <c r="TYD71" s="4"/>
      <c r="TYE71" s="4"/>
      <c r="TYF71" s="4"/>
      <c r="TYG71" s="4"/>
      <c r="TYH71" s="4"/>
      <c r="TYI71" s="4"/>
      <c r="TYJ71" s="4"/>
      <c r="TYK71" s="4"/>
      <c r="TYL71" s="4"/>
      <c r="TYM71" s="4"/>
      <c r="TYN71" s="4"/>
      <c r="TYO71" s="4"/>
      <c r="TYP71" s="4"/>
      <c r="TYQ71" s="4"/>
      <c r="TYR71" s="4"/>
      <c r="TYS71" s="4"/>
      <c r="TYT71" s="4"/>
      <c r="TYU71" s="4"/>
      <c r="TYV71" s="4"/>
      <c r="TYW71" s="4"/>
      <c r="TYX71" s="4"/>
      <c r="TYY71" s="4"/>
      <c r="TYZ71" s="4"/>
      <c r="TZA71" s="4"/>
      <c r="TZB71" s="4"/>
      <c r="TZC71" s="4"/>
      <c r="TZD71" s="4"/>
      <c r="TZE71" s="4"/>
      <c r="TZF71" s="4"/>
      <c r="TZG71" s="4"/>
      <c r="TZH71" s="4"/>
      <c r="TZI71" s="4"/>
      <c r="TZJ71" s="4"/>
      <c r="TZK71" s="4"/>
      <c r="TZL71" s="4"/>
      <c r="TZM71" s="4"/>
      <c r="TZN71" s="4"/>
      <c r="TZO71" s="4"/>
      <c r="TZP71" s="4"/>
      <c r="TZQ71" s="4"/>
      <c r="TZR71" s="4"/>
      <c r="TZS71" s="4"/>
      <c r="TZT71" s="4"/>
      <c r="TZU71" s="4"/>
      <c r="TZV71" s="4"/>
      <c r="TZW71" s="4"/>
      <c r="TZX71" s="4"/>
      <c r="TZY71" s="4"/>
      <c r="TZZ71" s="4"/>
      <c r="UAA71" s="4"/>
      <c r="UAB71" s="4"/>
      <c r="UAC71" s="4"/>
      <c r="UAD71" s="4"/>
      <c r="UAE71" s="4"/>
      <c r="UAF71" s="4"/>
      <c r="UAG71" s="4"/>
      <c r="UAH71" s="4"/>
      <c r="UAI71" s="4"/>
      <c r="UAJ71" s="4"/>
      <c r="UAK71" s="4"/>
      <c r="UAL71" s="4"/>
      <c r="UAM71" s="4"/>
      <c r="UAN71" s="4"/>
      <c r="UAO71" s="4"/>
      <c r="UAP71" s="4"/>
      <c r="UAQ71" s="4"/>
      <c r="UAR71" s="4"/>
      <c r="UAS71" s="4"/>
      <c r="UAT71" s="4"/>
      <c r="UAU71" s="4"/>
      <c r="UAV71" s="4"/>
      <c r="UAW71" s="4"/>
      <c r="UAX71" s="4"/>
      <c r="UAY71" s="4"/>
      <c r="UAZ71" s="4"/>
      <c r="UBA71" s="4"/>
      <c r="UBB71" s="4"/>
      <c r="UBC71" s="4"/>
      <c r="UBD71" s="4"/>
      <c r="UBE71" s="4"/>
      <c r="UBF71" s="4"/>
      <c r="UBG71" s="4"/>
      <c r="UBH71" s="4"/>
      <c r="UBI71" s="4"/>
      <c r="UBJ71" s="4"/>
      <c r="UBK71" s="4"/>
      <c r="UBL71" s="4"/>
      <c r="UBM71" s="4"/>
      <c r="UBN71" s="4"/>
      <c r="UBO71" s="4"/>
      <c r="UBP71" s="4"/>
      <c r="UBQ71" s="4"/>
      <c r="UBR71" s="4"/>
      <c r="UBS71" s="4"/>
      <c r="UBT71" s="4"/>
      <c r="UBU71" s="4"/>
      <c r="UBV71" s="4"/>
      <c r="UBW71" s="4"/>
      <c r="UBX71" s="4"/>
      <c r="UBY71" s="4"/>
      <c r="UBZ71" s="4"/>
      <c r="UCA71" s="4"/>
      <c r="UCB71" s="4"/>
      <c r="UCC71" s="4"/>
      <c r="UCD71" s="4"/>
      <c r="UCE71" s="4"/>
      <c r="UCF71" s="4"/>
      <c r="UCG71" s="4"/>
      <c r="UCH71" s="4"/>
      <c r="UCI71" s="4"/>
      <c r="UCJ71" s="4"/>
      <c r="UCK71" s="4"/>
      <c r="UCL71" s="4"/>
      <c r="UCM71" s="4"/>
      <c r="UCN71" s="4"/>
      <c r="UCO71" s="4"/>
      <c r="UCP71" s="4"/>
      <c r="UCQ71" s="4"/>
      <c r="UCR71" s="4"/>
      <c r="UCS71" s="4"/>
      <c r="UCT71" s="4"/>
      <c r="UCU71" s="4"/>
      <c r="UCV71" s="4"/>
      <c r="UCW71" s="4"/>
      <c r="UCX71" s="4"/>
      <c r="UCY71" s="4"/>
      <c r="UCZ71" s="4"/>
      <c r="UDA71" s="4"/>
      <c r="UDB71" s="4"/>
      <c r="UDC71" s="4"/>
      <c r="UDD71" s="4"/>
      <c r="UDE71" s="4"/>
      <c r="UDF71" s="4"/>
      <c r="UDG71" s="4"/>
      <c r="UDH71" s="4"/>
      <c r="UDI71" s="4"/>
      <c r="UDJ71" s="4"/>
      <c r="UDK71" s="4"/>
      <c r="UDL71" s="4"/>
      <c r="UDM71" s="4"/>
      <c r="UDN71" s="4"/>
      <c r="UDO71" s="4"/>
      <c r="UDP71" s="4"/>
      <c r="UDQ71" s="4"/>
      <c r="UDR71" s="4"/>
      <c r="UDS71" s="4"/>
      <c r="UDT71" s="4"/>
      <c r="UDU71" s="4"/>
      <c r="UDV71" s="4"/>
      <c r="UDW71" s="4"/>
      <c r="UDX71" s="4"/>
      <c r="UDY71" s="4"/>
      <c r="UDZ71" s="4"/>
      <c r="UEA71" s="4"/>
      <c r="UEB71" s="4"/>
      <c r="UEC71" s="4"/>
      <c r="UED71" s="4"/>
      <c r="UEE71" s="4"/>
      <c r="UEF71" s="4"/>
      <c r="UEG71" s="4"/>
      <c r="UEH71" s="4"/>
      <c r="UEI71" s="4"/>
      <c r="UEJ71" s="4"/>
      <c r="UEK71" s="4"/>
      <c r="UEL71" s="4"/>
      <c r="UEM71" s="4"/>
      <c r="UEN71" s="4"/>
      <c r="UEO71" s="4"/>
      <c r="UEP71" s="4"/>
      <c r="UEQ71" s="4"/>
      <c r="UER71" s="4"/>
      <c r="UES71" s="4"/>
      <c r="UET71" s="4"/>
      <c r="UEU71" s="4"/>
      <c r="UEV71" s="4"/>
      <c r="UEW71" s="4"/>
      <c r="UEX71" s="4"/>
      <c r="UEY71" s="4"/>
      <c r="UEZ71" s="4"/>
      <c r="UFA71" s="4"/>
      <c r="UFB71" s="4"/>
      <c r="UFC71" s="4"/>
      <c r="UFD71" s="4"/>
      <c r="UFE71" s="4"/>
      <c r="UFF71" s="4"/>
      <c r="UFG71" s="4"/>
      <c r="UFH71" s="4"/>
      <c r="UFI71" s="4"/>
      <c r="UFJ71" s="4"/>
      <c r="UFK71" s="4"/>
      <c r="UFL71" s="4"/>
      <c r="UFM71" s="4"/>
      <c r="UFN71" s="4"/>
      <c r="UFO71" s="4"/>
      <c r="UFP71" s="4"/>
      <c r="UFQ71" s="4"/>
      <c r="UFR71" s="4"/>
      <c r="UFS71" s="4"/>
      <c r="UFT71" s="4"/>
      <c r="UFU71" s="4"/>
      <c r="UFV71" s="4"/>
      <c r="UFW71" s="4"/>
      <c r="UFX71" s="4"/>
      <c r="UFY71" s="4"/>
      <c r="UFZ71" s="4"/>
      <c r="UGA71" s="4"/>
      <c r="UGB71" s="4"/>
      <c r="UGC71" s="4"/>
      <c r="UGD71" s="4"/>
      <c r="UGE71" s="4"/>
      <c r="UGF71" s="4"/>
      <c r="UGG71" s="4"/>
      <c r="UGH71" s="4"/>
      <c r="UGI71" s="4"/>
      <c r="UGJ71" s="4"/>
      <c r="UGK71" s="4"/>
      <c r="UGL71" s="4"/>
      <c r="UGM71" s="4"/>
      <c r="UGN71" s="4"/>
      <c r="UGO71" s="4"/>
      <c r="UGP71" s="4"/>
      <c r="UGQ71" s="4"/>
      <c r="UGR71" s="4"/>
      <c r="UGS71" s="4"/>
      <c r="UGT71" s="4"/>
      <c r="UGU71" s="4"/>
      <c r="UGV71" s="4"/>
      <c r="UGW71" s="4"/>
      <c r="UGX71" s="4"/>
      <c r="UGY71" s="4"/>
      <c r="UGZ71" s="4"/>
      <c r="UHA71" s="4"/>
      <c r="UHB71" s="4"/>
      <c r="UHC71" s="4"/>
      <c r="UHD71" s="4"/>
      <c r="UHE71" s="4"/>
      <c r="UHF71" s="4"/>
      <c r="UHG71" s="4"/>
      <c r="UHH71" s="4"/>
      <c r="UHI71" s="4"/>
      <c r="UHJ71" s="4"/>
      <c r="UHK71" s="4"/>
      <c r="UHL71" s="4"/>
      <c r="UHM71" s="4"/>
      <c r="UHN71" s="4"/>
      <c r="UHO71" s="4"/>
      <c r="UHP71" s="4"/>
      <c r="UHQ71" s="4"/>
      <c r="UHR71" s="4"/>
      <c r="UHS71" s="4"/>
      <c r="UHT71" s="4"/>
      <c r="UHU71" s="4"/>
      <c r="UHV71" s="4"/>
      <c r="UHW71" s="4"/>
      <c r="UHX71" s="4"/>
      <c r="UHY71" s="4"/>
      <c r="UHZ71" s="4"/>
      <c r="UIA71" s="4"/>
      <c r="UIB71" s="4"/>
      <c r="UIC71" s="4"/>
      <c r="UID71" s="4"/>
      <c r="UIE71" s="4"/>
      <c r="UIF71" s="4"/>
      <c r="UIG71" s="4"/>
      <c r="UIH71" s="4"/>
      <c r="UII71" s="4"/>
      <c r="UIJ71" s="4"/>
      <c r="UIK71" s="4"/>
      <c r="UIL71" s="4"/>
      <c r="UIM71" s="4"/>
      <c r="UIN71" s="4"/>
      <c r="UIO71" s="4"/>
      <c r="UIP71" s="4"/>
      <c r="UIQ71" s="4"/>
      <c r="UIR71" s="4"/>
      <c r="UIS71" s="4"/>
      <c r="UIT71" s="4"/>
      <c r="UIU71" s="4"/>
      <c r="UIV71" s="4"/>
      <c r="UIW71" s="4"/>
      <c r="UIX71" s="4"/>
      <c r="UIY71" s="4"/>
      <c r="UIZ71" s="4"/>
      <c r="UJA71" s="4"/>
      <c r="UJB71" s="4"/>
      <c r="UJC71" s="4"/>
      <c r="UJD71" s="4"/>
      <c r="UJE71" s="4"/>
      <c r="UJF71" s="4"/>
      <c r="UJG71" s="4"/>
      <c r="UJH71" s="4"/>
      <c r="UJI71" s="4"/>
      <c r="UJJ71" s="4"/>
      <c r="UJK71" s="4"/>
      <c r="UJL71" s="4"/>
      <c r="UJM71" s="4"/>
      <c r="UJN71" s="4"/>
      <c r="UJO71" s="4"/>
      <c r="UJP71" s="4"/>
      <c r="UJQ71" s="4"/>
      <c r="UJR71" s="4"/>
      <c r="UJS71" s="4"/>
      <c r="UJT71" s="4"/>
      <c r="UJU71" s="4"/>
      <c r="UJV71" s="4"/>
      <c r="UJW71" s="4"/>
      <c r="UJX71" s="4"/>
      <c r="UJY71" s="4"/>
      <c r="UJZ71" s="4"/>
      <c r="UKA71" s="4"/>
      <c r="UKB71" s="4"/>
      <c r="UKC71" s="4"/>
      <c r="UKD71" s="4"/>
      <c r="UKE71" s="4"/>
      <c r="UKF71" s="4"/>
      <c r="UKG71" s="4"/>
      <c r="UKH71" s="4"/>
      <c r="UKI71" s="4"/>
      <c r="UKJ71" s="4"/>
      <c r="UKK71" s="4"/>
      <c r="UKL71" s="4"/>
      <c r="UKM71" s="4"/>
      <c r="UKN71" s="4"/>
      <c r="UKO71" s="4"/>
      <c r="UKP71" s="4"/>
      <c r="UKQ71" s="4"/>
      <c r="UKR71" s="4"/>
      <c r="UKS71" s="4"/>
      <c r="UKT71" s="4"/>
      <c r="UKU71" s="4"/>
      <c r="UKV71" s="4"/>
      <c r="UKW71" s="4"/>
      <c r="UKX71" s="4"/>
      <c r="UKY71" s="4"/>
      <c r="UKZ71" s="4"/>
      <c r="ULA71" s="4"/>
      <c r="ULB71" s="4"/>
      <c r="ULC71" s="4"/>
      <c r="ULD71" s="4"/>
      <c r="ULE71" s="4"/>
      <c r="ULF71" s="4"/>
      <c r="ULG71" s="4"/>
      <c r="ULH71" s="4"/>
      <c r="ULI71" s="4"/>
      <c r="ULJ71" s="4"/>
      <c r="ULK71" s="4"/>
      <c r="ULL71" s="4"/>
      <c r="ULM71" s="4"/>
      <c r="ULN71" s="4"/>
      <c r="ULO71" s="4"/>
      <c r="ULP71" s="4"/>
      <c r="ULQ71" s="4"/>
      <c r="ULR71" s="4"/>
      <c r="ULS71" s="4"/>
      <c r="ULT71" s="4"/>
      <c r="ULU71" s="4"/>
      <c r="ULV71" s="4"/>
      <c r="ULW71" s="4"/>
      <c r="ULX71" s="4"/>
      <c r="ULY71" s="4"/>
      <c r="ULZ71" s="4"/>
      <c r="UMA71" s="4"/>
      <c r="UMB71" s="4"/>
      <c r="UMC71" s="4"/>
      <c r="UMD71" s="4"/>
      <c r="UME71" s="4"/>
      <c r="UMF71" s="4"/>
      <c r="UMG71" s="4"/>
      <c r="UMH71" s="4"/>
      <c r="UMI71" s="4"/>
      <c r="UMJ71" s="4"/>
      <c r="UMK71" s="4"/>
      <c r="UML71" s="4"/>
      <c r="UMM71" s="4"/>
      <c r="UMN71" s="4"/>
      <c r="UMO71" s="4"/>
      <c r="UMP71" s="4"/>
      <c r="UMQ71" s="4"/>
      <c r="UMR71" s="4"/>
      <c r="UMS71" s="4"/>
      <c r="UMT71" s="4"/>
      <c r="UMU71" s="4"/>
      <c r="UMV71" s="4"/>
      <c r="UMW71" s="4"/>
      <c r="UMX71" s="4"/>
      <c r="UMY71" s="4"/>
      <c r="UMZ71" s="4"/>
      <c r="UNA71" s="4"/>
      <c r="UNB71" s="4"/>
      <c r="UNC71" s="4"/>
      <c r="UND71" s="4"/>
      <c r="UNE71" s="4"/>
      <c r="UNF71" s="4"/>
      <c r="UNG71" s="4"/>
      <c r="UNH71" s="4"/>
      <c r="UNI71" s="4"/>
      <c r="UNJ71" s="4"/>
      <c r="UNK71" s="4"/>
      <c r="UNL71" s="4"/>
      <c r="UNM71" s="4"/>
      <c r="UNN71" s="4"/>
      <c r="UNO71" s="4"/>
      <c r="UNP71" s="4"/>
      <c r="UNQ71" s="4"/>
      <c r="UNR71" s="4"/>
      <c r="UNS71" s="4"/>
      <c r="UNT71" s="4"/>
      <c r="UNU71" s="4"/>
      <c r="UNV71" s="4"/>
      <c r="UNW71" s="4"/>
      <c r="UNX71" s="4"/>
      <c r="UNY71" s="4"/>
      <c r="UNZ71" s="4"/>
      <c r="UOA71" s="4"/>
      <c r="UOB71" s="4"/>
      <c r="UOC71" s="4"/>
      <c r="UOD71" s="4"/>
      <c r="UOE71" s="4"/>
      <c r="UOF71" s="4"/>
      <c r="UOG71" s="4"/>
      <c r="UOH71" s="4"/>
      <c r="UOI71" s="4"/>
      <c r="UOJ71" s="4"/>
      <c r="UOK71" s="4"/>
      <c r="UOL71" s="4"/>
      <c r="UOM71" s="4"/>
      <c r="UON71" s="4"/>
      <c r="UOO71" s="4"/>
      <c r="UOP71" s="4"/>
      <c r="UOQ71" s="4"/>
      <c r="UOR71" s="4"/>
      <c r="UOS71" s="4"/>
      <c r="UOT71" s="4"/>
      <c r="UOU71" s="4"/>
      <c r="UOV71" s="4"/>
      <c r="UOW71" s="4"/>
      <c r="UOX71" s="4"/>
      <c r="UOY71" s="4"/>
      <c r="UOZ71" s="4"/>
      <c r="UPA71" s="4"/>
      <c r="UPB71" s="4"/>
      <c r="UPC71" s="4"/>
      <c r="UPD71" s="4"/>
      <c r="UPE71" s="4"/>
      <c r="UPF71" s="4"/>
      <c r="UPG71" s="4"/>
      <c r="UPH71" s="4"/>
      <c r="UPI71" s="4"/>
      <c r="UPJ71" s="4"/>
      <c r="UPK71" s="4"/>
      <c r="UPL71" s="4"/>
      <c r="UPM71" s="4"/>
      <c r="UPN71" s="4"/>
      <c r="UPO71" s="4"/>
      <c r="UPP71" s="4"/>
      <c r="UPQ71" s="4"/>
      <c r="UPR71" s="4"/>
      <c r="UPS71" s="4"/>
      <c r="UPT71" s="4"/>
      <c r="UPU71" s="4"/>
      <c r="UPV71" s="4"/>
      <c r="UPW71" s="4"/>
      <c r="UPX71" s="4"/>
      <c r="UPY71" s="4"/>
      <c r="UPZ71" s="4"/>
      <c r="UQA71" s="4"/>
      <c r="UQB71" s="4"/>
      <c r="UQC71" s="4"/>
      <c r="UQD71" s="4"/>
      <c r="UQE71" s="4"/>
      <c r="UQF71" s="4"/>
      <c r="UQG71" s="4"/>
      <c r="UQH71" s="4"/>
      <c r="UQI71" s="4"/>
      <c r="UQJ71" s="4"/>
      <c r="UQK71" s="4"/>
      <c r="UQL71" s="4"/>
      <c r="UQM71" s="4"/>
      <c r="UQN71" s="4"/>
      <c r="UQO71" s="4"/>
      <c r="UQP71" s="4"/>
      <c r="UQQ71" s="4"/>
      <c r="UQR71" s="4"/>
      <c r="UQS71" s="4"/>
      <c r="UQT71" s="4"/>
      <c r="UQU71" s="4"/>
      <c r="UQV71" s="4"/>
      <c r="UQW71" s="4"/>
      <c r="UQX71" s="4"/>
      <c r="UQY71" s="4"/>
      <c r="UQZ71" s="4"/>
      <c r="URA71" s="4"/>
      <c r="URB71" s="4"/>
      <c r="URC71" s="4"/>
      <c r="URD71" s="4"/>
      <c r="URE71" s="4"/>
      <c r="URF71" s="4"/>
      <c r="URG71" s="4"/>
      <c r="URH71" s="4"/>
      <c r="URI71" s="4"/>
      <c r="URJ71" s="4"/>
      <c r="URK71" s="4"/>
      <c r="URL71" s="4"/>
      <c r="URM71" s="4"/>
      <c r="URN71" s="4"/>
      <c r="URO71" s="4"/>
      <c r="URP71" s="4"/>
      <c r="URQ71" s="4"/>
      <c r="URR71" s="4"/>
      <c r="URS71" s="4"/>
      <c r="URT71" s="4"/>
      <c r="URU71" s="4"/>
      <c r="URV71" s="4"/>
      <c r="URW71" s="4"/>
      <c r="URX71" s="4"/>
      <c r="URY71" s="4"/>
      <c r="URZ71" s="4"/>
      <c r="USA71" s="4"/>
      <c r="USB71" s="4"/>
      <c r="USC71" s="4"/>
      <c r="USD71" s="4"/>
      <c r="USE71" s="4"/>
      <c r="USF71" s="4"/>
      <c r="USG71" s="4"/>
      <c r="USH71" s="4"/>
      <c r="USI71" s="4"/>
      <c r="USJ71" s="4"/>
      <c r="USK71" s="4"/>
      <c r="USL71" s="4"/>
      <c r="USM71" s="4"/>
      <c r="USN71" s="4"/>
      <c r="USO71" s="4"/>
      <c r="USP71" s="4"/>
      <c r="USQ71" s="4"/>
      <c r="USR71" s="4"/>
      <c r="USS71" s="4"/>
      <c r="UST71" s="4"/>
      <c r="USU71" s="4"/>
      <c r="USV71" s="4"/>
      <c r="USW71" s="4"/>
      <c r="USX71" s="4"/>
      <c r="USY71" s="4"/>
      <c r="USZ71" s="4"/>
      <c r="UTA71" s="4"/>
      <c r="UTB71" s="4"/>
      <c r="UTC71" s="4"/>
      <c r="UTD71" s="4"/>
      <c r="UTE71" s="4"/>
      <c r="UTF71" s="4"/>
      <c r="UTG71" s="4"/>
      <c r="UTH71" s="4"/>
      <c r="UTI71" s="4"/>
      <c r="UTJ71" s="4"/>
      <c r="UTK71" s="4"/>
      <c r="UTL71" s="4"/>
      <c r="UTM71" s="4"/>
      <c r="UTN71" s="4"/>
      <c r="UTO71" s="4"/>
      <c r="UTP71" s="4"/>
      <c r="UTQ71" s="4"/>
      <c r="UTR71" s="4"/>
      <c r="UTS71" s="4"/>
      <c r="UTT71" s="4"/>
      <c r="UTU71" s="4"/>
      <c r="UTV71" s="4"/>
      <c r="UTW71" s="4"/>
      <c r="UTX71" s="4"/>
      <c r="UTY71" s="4"/>
      <c r="UTZ71" s="4"/>
      <c r="UUA71" s="4"/>
      <c r="UUB71" s="4"/>
      <c r="UUC71" s="4"/>
      <c r="UUD71" s="4"/>
      <c r="UUE71" s="4"/>
      <c r="UUF71" s="4"/>
      <c r="UUG71" s="4"/>
      <c r="UUH71" s="4"/>
      <c r="UUI71" s="4"/>
      <c r="UUJ71" s="4"/>
      <c r="UUK71" s="4"/>
      <c r="UUL71" s="4"/>
      <c r="UUM71" s="4"/>
      <c r="UUN71" s="4"/>
      <c r="UUO71" s="4"/>
      <c r="UUP71" s="4"/>
      <c r="UUQ71" s="4"/>
      <c r="UUR71" s="4"/>
      <c r="UUS71" s="4"/>
      <c r="UUT71" s="4"/>
      <c r="UUU71" s="4"/>
      <c r="UUV71" s="4"/>
      <c r="UUW71" s="4"/>
      <c r="UUX71" s="4"/>
      <c r="UUY71" s="4"/>
      <c r="UUZ71" s="4"/>
      <c r="UVA71" s="4"/>
      <c r="UVB71" s="4"/>
      <c r="UVC71" s="4"/>
      <c r="UVD71" s="4"/>
      <c r="UVE71" s="4"/>
      <c r="UVF71" s="4"/>
      <c r="UVG71" s="4"/>
      <c r="UVH71" s="4"/>
      <c r="UVI71" s="4"/>
      <c r="UVJ71" s="4"/>
      <c r="UVK71" s="4"/>
      <c r="UVL71" s="4"/>
      <c r="UVM71" s="4"/>
      <c r="UVN71" s="4"/>
      <c r="UVO71" s="4"/>
      <c r="UVP71" s="4"/>
      <c r="UVQ71" s="4"/>
      <c r="UVR71" s="4"/>
      <c r="UVS71" s="4"/>
      <c r="UVT71" s="4"/>
      <c r="UVU71" s="4"/>
      <c r="UVV71" s="4"/>
      <c r="UVW71" s="4"/>
      <c r="UVX71" s="4"/>
      <c r="UVY71" s="4"/>
      <c r="UVZ71" s="4"/>
      <c r="UWA71" s="4"/>
      <c r="UWB71" s="4"/>
      <c r="UWC71" s="4"/>
      <c r="UWD71" s="4"/>
      <c r="UWE71" s="4"/>
      <c r="UWF71" s="4"/>
      <c r="UWG71" s="4"/>
      <c r="UWH71" s="4"/>
      <c r="UWI71" s="4"/>
      <c r="UWJ71" s="4"/>
      <c r="UWK71" s="4"/>
      <c r="UWL71" s="4"/>
      <c r="UWM71" s="4"/>
      <c r="UWN71" s="4"/>
      <c r="UWO71" s="4"/>
      <c r="UWP71" s="4"/>
      <c r="UWQ71" s="4"/>
      <c r="UWR71" s="4"/>
      <c r="UWS71" s="4"/>
      <c r="UWT71" s="4"/>
      <c r="UWU71" s="4"/>
      <c r="UWV71" s="4"/>
      <c r="UWW71" s="4"/>
      <c r="UWX71" s="4"/>
      <c r="UWY71" s="4"/>
      <c r="UWZ71" s="4"/>
      <c r="UXA71" s="4"/>
      <c r="UXB71" s="4"/>
      <c r="UXC71" s="4"/>
      <c r="UXD71" s="4"/>
      <c r="UXE71" s="4"/>
      <c r="UXF71" s="4"/>
      <c r="UXG71" s="4"/>
      <c r="UXH71" s="4"/>
      <c r="UXI71" s="4"/>
      <c r="UXJ71" s="4"/>
      <c r="UXK71" s="4"/>
      <c r="UXL71" s="4"/>
      <c r="UXM71" s="4"/>
      <c r="UXN71" s="4"/>
      <c r="UXO71" s="4"/>
      <c r="UXP71" s="4"/>
      <c r="UXQ71" s="4"/>
      <c r="UXR71" s="4"/>
      <c r="UXS71" s="4"/>
      <c r="UXT71" s="4"/>
      <c r="UXU71" s="4"/>
      <c r="UXV71" s="4"/>
      <c r="UXW71" s="4"/>
      <c r="UXX71" s="4"/>
      <c r="UXY71" s="4"/>
      <c r="UXZ71" s="4"/>
      <c r="UYA71" s="4"/>
      <c r="UYB71" s="4"/>
      <c r="UYC71" s="4"/>
      <c r="UYD71" s="4"/>
      <c r="UYE71" s="4"/>
      <c r="UYF71" s="4"/>
      <c r="UYG71" s="4"/>
      <c r="UYH71" s="4"/>
      <c r="UYI71" s="4"/>
      <c r="UYJ71" s="4"/>
      <c r="UYK71" s="4"/>
      <c r="UYL71" s="4"/>
      <c r="UYM71" s="4"/>
      <c r="UYN71" s="4"/>
      <c r="UYO71" s="4"/>
      <c r="UYP71" s="4"/>
      <c r="UYQ71" s="4"/>
      <c r="UYR71" s="4"/>
      <c r="UYS71" s="4"/>
      <c r="UYT71" s="4"/>
      <c r="UYU71" s="4"/>
      <c r="UYV71" s="4"/>
      <c r="UYW71" s="4"/>
      <c r="UYX71" s="4"/>
      <c r="UYY71" s="4"/>
      <c r="UYZ71" s="4"/>
      <c r="UZA71" s="4"/>
      <c r="UZB71" s="4"/>
      <c r="UZC71" s="4"/>
      <c r="UZD71" s="4"/>
      <c r="UZE71" s="4"/>
      <c r="UZF71" s="4"/>
      <c r="UZG71" s="4"/>
      <c r="UZH71" s="4"/>
      <c r="UZI71" s="4"/>
      <c r="UZJ71" s="4"/>
      <c r="UZK71" s="4"/>
      <c r="UZL71" s="4"/>
      <c r="UZM71" s="4"/>
      <c r="UZN71" s="4"/>
      <c r="UZO71" s="4"/>
      <c r="UZP71" s="4"/>
      <c r="UZQ71" s="4"/>
      <c r="UZR71" s="4"/>
      <c r="UZS71" s="4"/>
      <c r="UZT71" s="4"/>
      <c r="UZU71" s="4"/>
      <c r="UZV71" s="4"/>
      <c r="UZW71" s="4"/>
      <c r="UZX71" s="4"/>
      <c r="UZY71" s="4"/>
      <c r="UZZ71" s="4"/>
      <c r="VAA71" s="4"/>
      <c r="VAB71" s="4"/>
      <c r="VAC71" s="4"/>
      <c r="VAD71" s="4"/>
      <c r="VAE71" s="4"/>
      <c r="VAF71" s="4"/>
      <c r="VAG71" s="4"/>
      <c r="VAH71" s="4"/>
      <c r="VAI71" s="4"/>
      <c r="VAJ71" s="4"/>
      <c r="VAK71" s="4"/>
      <c r="VAL71" s="4"/>
      <c r="VAM71" s="4"/>
      <c r="VAN71" s="4"/>
      <c r="VAO71" s="4"/>
      <c r="VAP71" s="4"/>
      <c r="VAQ71" s="4"/>
      <c r="VAR71" s="4"/>
      <c r="VAS71" s="4"/>
      <c r="VAT71" s="4"/>
      <c r="VAU71" s="4"/>
      <c r="VAV71" s="4"/>
      <c r="VAW71" s="4"/>
      <c r="VAX71" s="4"/>
      <c r="VAY71" s="4"/>
      <c r="VAZ71" s="4"/>
      <c r="VBA71" s="4"/>
      <c r="VBB71" s="4"/>
      <c r="VBC71" s="4"/>
      <c r="VBD71" s="4"/>
      <c r="VBE71" s="4"/>
      <c r="VBF71" s="4"/>
      <c r="VBG71" s="4"/>
      <c r="VBH71" s="4"/>
      <c r="VBI71" s="4"/>
      <c r="VBJ71" s="4"/>
      <c r="VBK71" s="4"/>
      <c r="VBL71" s="4"/>
      <c r="VBM71" s="4"/>
      <c r="VBN71" s="4"/>
      <c r="VBO71" s="4"/>
      <c r="VBP71" s="4"/>
      <c r="VBQ71" s="4"/>
      <c r="VBR71" s="4"/>
      <c r="VBS71" s="4"/>
      <c r="VBT71" s="4"/>
      <c r="VBU71" s="4"/>
      <c r="VBV71" s="4"/>
      <c r="VBW71" s="4"/>
      <c r="VBX71" s="4"/>
      <c r="VBY71" s="4"/>
      <c r="VBZ71" s="4"/>
      <c r="VCA71" s="4"/>
      <c r="VCB71" s="4"/>
      <c r="VCC71" s="4"/>
      <c r="VCD71" s="4"/>
      <c r="VCE71" s="4"/>
      <c r="VCF71" s="4"/>
      <c r="VCG71" s="4"/>
      <c r="VCH71" s="4"/>
      <c r="VCI71" s="4"/>
      <c r="VCJ71" s="4"/>
      <c r="VCK71" s="4"/>
      <c r="VCL71" s="4"/>
      <c r="VCM71" s="4"/>
      <c r="VCN71" s="4"/>
      <c r="VCO71" s="4"/>
      <c r="VCP71" s="4"/>
      <c r="VCQ71" s="4"/>
      <c r="VCR71" s="4"/>
      <c r="VCS71" s="4"/>
      <c r="VCT71" s="4"/>
      <c r="VCU71" s="4"/>
      <c r="VCV71" s="4"/>
      <c r="VCW71" s="4"/>
      <c r="VCX71" s="4"/>
      <c r="VCY71" s="4"/>
      <c r="VCZ71" s="4"/>
      <c r="VDA71" s="4"/>
      <c r="VDB71" s="4"/>
      <c r="VDC71" s="4"/>
      <c r="VDD71" s="4"/>
      <c r="VDE71" s="4"/>
      <c r="VDF71" s="4"/>
      <c r="VDG71" s="4"/>
      <c r="VDH71" s="4"/>
      <c r="VDI71" s="4"/>
      <c r="VDJ71" s="4"/>
      <c r="VDK71" s="4"/>
      <c r="VDL71" s="4"/>
      <c r="VDM71" s="4"/>
      <c r="VDN71" s="4"/>
      <c r="VDO71" s="4"/>
      <c r="VDP71" s="4"/>
      <c r="VDQ71" s="4"/>
      <c r="VDR71" s="4"/>
      <c r="VDS71" s="4"/>
      <c r="VDT71" s="4"/>
      <c r="VDU71" s="4"/>
      <c r="VDV71" s="4"/>
      <c r="VDW71" s="4"/>
      <c r="VDX71" s="4"/>
      <c r="VDY71" s="4"/>
      <c r="VDZ71" s="4"/>
      <c r="VEA71" s="4"/>
      <c r="VEB71" s="4"/>
      <c r="VEC71" s="4"/>
      <c r="VED71" s="4"/>
      <c r="VEE71" s="4"/>
      <c r="VEF71" s="4"/>
      <c r="VEG71" s="4"/>
      <c r="VEH71" s="4"/>
      <c r="VEI71" s="4"/>
      <c r="VEJ71" s="4"/>
      <c r="VEK71" s="4"/>
      <c r="VEL71" s="4"/>
      <c r="VEM71" s="4"/>
      <c r="VEN71" s="4"/>
      <c r="VEO71" s="4"/>
      <c r="VEP71" s="4"/>
      <c r="VEQ71" s="4"/>
      <c r="VER71" s="4"/>
      <c r="VES71" s="4"/>
      <c r="VET71" s="4"/>
      <c r="VEU71" s="4"/>
      <c r="VEV71" s="4"/>
      <c r="VEW71" s="4"/>
      <c r="VEX71" s="4"/>
      <c r="VEY71" s="4"/>
      <c r="VEZ71" s="4"/>
      <c r="VFA71" s="4"/>
      <c r="VFB71" s="4"/>
      <c r="VFC71" s="4"/>
      <c r="VFD71" s="4"/>
      <c r="VFE71" s="4"/>
      <c r="VFF71" s="4"/>
      <c r="VFG71" s="4"/>
      <c r="VFH71" s="4"/>
      <c r="VFI71" s="4"/>
      <c r="VFJ71" s="4"/>
      <c r="VFK71" s="4"/>
      <c r="VFL71" s="4"/>
      <c r="VFM71" s="4"/>
      <c r="VFN71" s="4"/>
      <c r="VFO71" s="4"/>
      <c r="VFP71" s="4"/>
      <c r="VFQ71" s="4"/>
      <c r="VFR71" s="4"/>
      <c r="VFS71" s="4"/>
      <c r="VFT71" s="4"/>
      <c r="VFU71" s="4"/>
      <c r="VFV71" s="4"/>
      <c r="VFW71" s="4"/>
      <c r="VFX71" s="4"/>
      <c r="VFY71" s="4"/>
      <c r="VFZ71" s="4"/>
      <c r="VGA71" s="4"/>
      <c r="VGB71" s="4"/>
      <c r="VGC71" s="4"/>
      <c r="VGD71" s="4"/>
      <c r="VGE71" s="4"/>
      <c r="VGF71" s="4"/>
      <c r="VGG71" s="4"/>
      <c r="VGH71" s="4"/>
      <c r="VGI71" s="4"/>
      <c r="VGJ71" s="4"/>
      <c r="VGK71" s="4"/>
      <c r="VGL71" s="4"/>
      <c r="VGM71" s="4"/>
      <c r="VGN71" s="4"/>
      <c r="VGO71" s="4"/>
      <c r="VGP71" s="4"/>
      <c r="VGQ71" s="4"/>
      <c r="VGR71" s="4"/>
      <c r="VGS71" s="4"/>
      <c r="VGT71" s="4"/>
      <c r="VGU71" s="4"/>
      <c r="VGV71" s="4"/>
      <c r="VGW71" s="4"/>
      <c r="VGX71" s="4"/>
      <c r="VGY71" s="4"/>
      <c r="VGZ71" s="4"/>
      <c r="VHA71" s="4"/>
      <c r="VHB71" s="4"/>
      <c r="VHC71" s="4"/>
      <c r="VHD71" s="4"/>
      <c r="VHE71" s="4"/>
      <c r="VHF71" s="4"/>
      <c r="VHG71" s="4"/>
      <c r="VHH71" s="4"/>
      <c r="VHI71" s="4"/>
      <c r="VHJ71" s="4"/>
      <c r="VHK71" s="4"/>
      <c r="VHL71" s="4"/>
      <c r="VHM71" s="4"/>
      <c r="VHN71" s="4"/>
      <c r="VHO71" s="4"/>
      <c r="VHP71" s="4"/>
      <c r="VHQ71" s="4"/>
      <c r="VHR71" s="4"/>
      <c r="VHS71" s="4"/>
      <c r="VHT71" s="4"/>
      <c r="VHU71" s="4"/>
      <c r="VHV71" s="4"/>
      <c r="VHW71" s="4"/>
      <c r="VHX71" s="4"/>
      <c r="VHY71" s="4"/>
      <c r="VHZ71" s="4"/>
      <c r="VIA71" s="4"/>
      <c r="VIB71" s="4"/>
      <c r="VIC71" s="4"/>
      <c r="VID71" s="4"/>
      <c r="VIE71" s="4"/>
      <c r="VIF71" s="4"/>
      <c r="VIG71" s="4"/>
      <c r="VIH71" s="4"/>
      <c r="VII71" s="4"/>
      <c r="VIJ71" s="4"/>
      <c r="VIK71" s="4"/>
      <c r="VIL71" s="4"/>
      <c r="VIM71" s="4"/>
      <c r="VIN71" s="4"/>
      <c r="VIO71" s="4"/>
      <c r="VIP71" s="4"/>
      <c r="VIQ71" s="4"/>
      <c r="VIR71" s="4"/>
      <c r="VIS71" s="4"/>
      <c r="VIT71" s="4"/>
      <c r="VIU71" s="4"/>
      <c r="VIV71" s="4"/>
      <c r="VIW71" s="4"/>
      <c r="VIX71" s="4"/>
      <c r="VIY71" s="4"/>
      <c r="VIZ71" s="4"/>
      <c r="VJA71" s="4"/>
      <c r="VJB71" s="4"/>
      <c r="VJC71" s="4"/>
      <c r="VJD71" s="4"/>
      <c r="VJE71" s="4"/>
      <c r="VJF71" s="4"/>
      <c r="VJG71" s="4"/>
      <c r="VJH71" s="4"/>
      <c r="VJI71" s="4"/>
      <c r="VJJ71" s="4"/>
      <c r="VJK71" s="4"/>
      <c r="VJL71" s="4"/>
      <c r="VJM71" s="4"/>
      <c r="VJN71" s="4"/>
      <c r="VJO71" s="4"/>
      <c r="VJP71" s="4"/>
      <c r="VJQ71" s="4"/>
      <c r="VJR71" s="4"/>
      <c r="VJS71" s="4"/>
      <c r="VJT71" s="4"/>
      <c r="VJU71" s="4"/>
      <c r="VJV71" s="4"/>
      <c r="VJW71" s="4"/>
      <c r="VJX71" s="4"/>
      <c r="VJY71" s="4"/>
      <c r="VJZ71" s="4"/>
      <c r="VKA71" s="4"/>
      <c r="VKB71" s="4"/>
      <c r="VKC71" s="4"/>
      <c r="VKD71" s="4"/>
      <c r="VKE71" s="4"/>
      <c r="VKF71" s="4"/>
      <c r="VKG71" s="4"/>
      <c r="VKH71" s="4"/>
      <c r="VKI71" s="4"/>
      <c r="VKJ71" s="4"/>
      <c r="VKK71" s="4"/>
      <c r="VKL71" s="4"/>
      <c r="VKM71" s="4"/>
      <c r="VKN71" s="4"/>
      <c r="VKO71" s="4"/>
      <c r="VKP71" s="4"/>
      <c r="VKQ71" s="4"/>
      <c r="VKR71" s="4"/>
      <c r="VKS71" s="4"/>
      <c r="VKT71" s="4"/>
      <c r="VKU71" s="4"/>
      <c r="VKV71" s="4"/>
      <c r="VKW71" s="4"/>
      <c r="VKX71" s="4"/>
      <c r="VKY71" s="4"/>
      <c r="VKZ71" s="4"/>
      <c r="VLA71" s="4"/>
      <c r="VLB71" s="4"/>
      <c r="VLC71" s="4"/>
      <c r="VLD71" s="4"/>
      <c r="VLE71" s="4"/>
      <c r="VLF71" s="4"/>
      <c r="VLG71" s="4"/>
      <c r="VLH71" s="4"/>
      <c r="VLI71" s="4"/>
      <c r="VLJ71" s="4"/>
      <c r="VLK71" s="4"/>
      <c r="VLL71" s="4"/>
      <c r="VLM71" s="4"/>
      <c r="VLN71" s="4"/>
      <c r="VLO71" s="4"/>
      <c r="VLP71" s="4"/>
      <c r="VLQ71" s="4"/>
      <c r="VLR71" s="4"/>
      <c r="VLS71" s="4"/>
      <c r="VLT71" s="4"/>
      <c r="VLU71" s="4"/>
      <c r="VLV71" s="4"/>
      <c r="VLW71" s="4"/>
      <c r="VLX71" s="4"/>
      <c r="VLY71" s="4"/>
      <c r="VLZ71" s="4"/>
      <c r="VMA71" s="4"/>
      <c r="VMB71" s="4"/>
      <c r="VMC71" s="4"/>
      <c r="VMD71" s="4"/>
      <c r="VME71" s="4"/>
      <c r="VMF71" s="4"/>
      <c r="VMG71" s="4"/>
      <c r="VMH71" s="4"/>
      <c r="VMI71" s="4"/>
      <c r="VMJ71" s="4"/>
      <c r="VMK71" s="4"/>
      <c r="VML71" s="4"/>
      <c r="VMM71" s="4"/>
      <c r="VMN71" s="4"/>
      <c r="VMO71" s="4"/>
      <c r="VMP71" s="4"/>
      <c r="VMQ71" s="4"/>
      <c r="VMR71" s="4"/>
      <c r="VMS71" s="4"/>
      <c r="VMT71" s="4"/>
      <c r="VMU71" s="4"/>
      <c r="VMV71" s="4"/>
      <c r="VMW71" s="4"/>
      <c r="VMX71" s="4"/>
      <c r="VMY71" s="4"/>
      <c r="VMZ71" s="4"/>
      <c r="VNA71" s="4"/>
      <c r="VNB71" s="4"/>
      <c r="VNC71" s="4"/>
      <c r="VND71" s="4"/>
      <c r="VNE71" s="4"/>
      <c r="VNF71" s="4"/>
      <c r="VNG71" s="4"/>
      <c r="VNH71" s="4"/>
      <c r="VNI71" s="4"/>
      <c r="VNJ71" s="4"/>
      <c r="VNK71" s="4"/>
      <c r="VNL71" s="4"/>
      <c r="VNM71" s="4"/>
      <c r="VNN71" s="4"/>
      <c r="VNO71" s="4"/>
      <c r="VNP71" s="4"/>
      <c r="VNQ71" s="4"/>
      <c r="VNR71" s="4"/>
      <c r="VNS71" s="4"/>
      <c r="VNT71" s="4"/>
      <c r="VNU71" s="4"/>
      <c r="VNV71" s="4"/>
      <c r="VNW71" s="4"/>
      <c r="VNX71" s="4"/>
      <c r="VNY71" s="4"/>
      <c r="VNZ71" s="4"/>
      <c r="VOA71" s="4"/>
      <c r="VOB71" s="4"/>
      <c r="VOC71" s="4"/>
      <c r="VOD71" s="4"/>
      <c r="VOE71" s="4"/>
      <c r="VOF71" s="4"/>
      <c r="VOG71" s="4"/>
      <c r="VOH71" s="4"/>
      <c r="VOI71" s="4"/>
      <c r="VOJ71" s="4"/>
      <c r="VOK71" s="4"/>
      <c r="VOL71" s="4"/>
      <c r="VOM71" s="4"/>
      <c r="VON71" s="4"/>
      <c r="VOO71" s="4"/>
      <c r="VOP71" s="4"/>
      <c r="VOQ71" s="4"/>
      <c r="VOR71" s="4"/>
      <c r="VOS71" s="4"/>
      <c r="VOT71" s="4"/>
      <c r="VOU71" s="4"/>
      <c r="VOV71" s="4"/>
      <c r="VOW71" s="4"/>
      <c r="VOX71" s="4"/>
      <c r="VOY71" s="4"/>
      <c r="VOZ71" s="4"/>
      <c r="VPA71" s="4"/>
      <c r="VPB71" s="4"/>
      <c r="VPC71" s="4"/>
      <c r="VPD71" s="4"/>
      <c r="VPE71" s="4"/>
      <c r="VPF71" s="4"/>
      <c r="VPG71" s="4"/>
      <c r="VPH71" s="4"/>
      <c r="VPI71" s="4"/>
      <c r="VPJ71" s="4"/>
      <c r="VPK71" s="4"/>
      <c r="VPL71" s="4"/>
      <c r="VPM71" s="4"/>
      <c r="VPN71" s="4"/>
      <c r="VPO71" s="4"/>
      <c r="VPP71" s="4"/>
      <c r="VPQ71" s="4"/>
      <c r="VPR71" s="4"/>
      <c r="VPS71" s="4"/>
      <c r="VPT71" s="4"/>
      <c r="VPU71" s="4"/>
      <c r="VPV71" s="4"/>
      <c r="VPW71" s="4"/>
      <c r="VPX71" s="4"/>
      <c r="VPY71" s="4"/>
      <c r="VPZ71" s="4"/>
      <c r="VQA71" s="4"/>
      <c r="VQB71" s="4"/>
      <c r="VQC71" s="4"/>
      <c r="VQD71" s="4"/>
      <c r="VQE71" s="4"/>
      <c r="VQF71" s="4"/>
      <c r="VQG71" s="4"/>
      <c r="VQH71" s="4"/>
      <c r="VQI71" s="4"/>
      <c r="VQJ71" s="4"/>
      <c r="VQK71" s="4"/>
      <c r="VQL71" s="4"/>
      <c r="VQM71" s="4"/>
      <c r="VQN71" s="4"/>
      <c r="VQO71" s="4"/>
      <c r="VQP71" s="4"/>
      <c r="VQQ71" s="4"/>
      <c r="VQR71" s="4"/>
      <c r="VQS71" s="4"/>
      <c r="VQT71" s="4"/>
      <c r="VQU71" s="4"/>
      <c r="VQV71" s="4"/>
      <c r="VQW71" s="4"/>
      <c r="VQX71" s="4"/>
      <c r="VQY71" s="4"/>
      <c r="VQZ71" s="4"/>
      <c r="VRA71" s="4"/>
      <c r="VRB71" s="4"/>
      <c r="VRC71" s="4"/>
      <c r="VRD71" s="4"/>
      <c r="VRE71" s="4"/>
      <c r="VRF71" s="4"/>
      <c r="VRG71" s="4"/>
      <c r="VRH71" s="4"/>
      <c r="VRI71" s="4"/>
      <c r="VRJ71" s="4"/>
      <c r="VRK71" s="4"/>
      <c r="VRL71" s="4"/>
      <c r="VRM71" s="4"/>
      <c r="VRN71" s="4"/>
      <c r="VRO71" s="4"/>
      <c r="VRP71" s="4"/>
      <c r="VRQ71" s="4"/>
      <c r="VRR71" s="4"/>
      <c r="VRS71" s="4"/>
      <c r="VRT71" s="4"/>
      <c r="VRU71" s="4"/>
      <c r="VRV71" s="4"/>
      <c r="VRW71" s="4"/>
      <c r="VRX71" s="4"/>
      <c r="VRY71" s="4"/>
      <c r="VRZ71" s="4"/>
      <c r="VSA71" s="4"/>
      <c r="VSB71" s="4"/>
      <c r="VSC71" s="4"/>
      <c r="VSD71" s="4"/>
      <c r="VSE71" s="4"/>
      <c r="VSF71" s="4"/>
      <c r="VSG71" s="4"/>
      <c r="VSH71" s="4"/>
      <c r="VSI71" s="4"/>
      <c r="VSJ71" s="4"/>
      <c r="VSK71" s="4"/>
      <c r="VSL71" s="4"/>
      <c r="VSM71" s="4"/>
      <c r="VSN71" s="4"/>
      <c r="VSO71" s="4"/>
      <c r="VSP71" s="4"/>
      <c r="VSQ71" s="4"/>
      <c r="VSR71" s="4"/>
      <c r="VSS71" s="4"/>
      <c r="VST71" s="4"/>
      <c r="VSU71" s="4"/>
      <c r="VSV71" s="4"/>
      <c r="VSW71" s="4"/>
      <c r="VSX71" s="4"/>
      <c r="VSY71" s="4"/>
      <c r="VSZ71" s="4"/>
      <c r="VTA71" s="4"/>
      <c r="VTB71" s="4"/>
      <c r="VTC71" s="4"/>
      <c r="VTD71" s="4"/>
      <c r="VTE71" s="4"/>
      <c r="VTF71" s="4"/>
      <c r="VTG71" s="4"/>
      <c r="VTH71" s="4"/>
      <c r="VTI71" s="4"/>
      <c r="VTJ71" s="4"/>
      <c r="VTK71" s="4"/>
      <c r="VTL71" s="4"/>
      <c r="VTM71" s="4"/>
      <c r="VTN71" s="4"/>
      <c r="VTO71" s="4"/>
      <c r="VTP71" s="4"/>
      <c r="VTQ71" s="4"/>
      <c r="VTR71" s="4"/>
      <c r="VTS71" s="4"/>
      <c r="VTT71" s="4"/>
      <c r="VTU71" s="4"/>
      <c r="VTV71" s="4"/>
      <c r="VTW71" s="4"/>
      <c r="VTX71" s="4"/>
      <c r="VTY71" s="4"/>
      <c r="VTZ71" s="4"/>
      <c r="VUA71" s="4"/>
      <c r="VUB71" s="4"/>
      <c r="VUC71" s="4"/>
      <c r="VUD71" s="4"/>
      <c r="VUE71" s="4"/>
      <c r="VUF71" s="4"/>
      <c r="VUG71" s="4"/>
      <c r="VUH71" s="4"/>
      <c r="VUI71" s="4"/>
      <c r="VUJ71" s="4"/>
      <c r="VUK71" s="4"/>
      <c r="VUL71" s="4"/>
      <c r="VUM71" s="4"/>
      <c r="VUN71" s="4"/>
      <c r="VUO71" s="4"/>
      <c r="VUP71" s="4"/>
      <c r="VUQ71" s="4"/>
      <c r="VUR71" s="4"/>
      <c r="VUS71" s="4"/>
      <c r="VUT71" s="4"/>
      <c r="VUU71" s="4"/>
      <c r="VUV71" s="4"/>
      <c r="VUW71" s="4"/>
      <c r="VUX71" s="4"/>
      <c r="VUY71" s="4"/>
      <c r="VUZ71" s="4"/>
      <c r="VVA71" s="4"/>
      <c r="VVB71" s="4"/>
      <c r="VVC71" s="4"/>
      <c r="VVD71" s="4"/>
      <c r="VVE71" s="4"/>
      <c r="VVF71" s="4"/>
      <c r="VVG71" s="4"/>
      <c r="VVH71" s="4"/>
      <c r="VVI71" s="4"/>
      <c r="VVJ71" s="4"/>
      <c r="VVK71" s="4"/>
      <c r="VVL71" s="4"/>
      <c r="VVM71" s="4"/>
      <c r="VVN71" s="4"/>
      <c r="VVO71" s="4"/>
      <c r="VVP71" s="4"/>
      <c r="VVQ71" s="4"/>
      <c r="VVR71" s="4"/>
      <c r="VVS71" s="4"/>
      <c r="VVT71" s="4"/>
      <c r="VVU71" s="4"/>
      <c r="VVV71" s="4"/>
      <c r="VVW71" s="4"/>
      <c r="VVX71" s="4"/>
      <c r="VVY71" s="4"/>
      <c r="VVZ71" s="4"/>
      <c r="VWA71" s="4"/>
      <c r="VWB71" s="4"/>
      <c r="VWC71" s="4"/>
      <c r="VWD71" s="4"/>
      <c r="VWE71" s="4"/>
      <c r="VWF71" s="4"/>
      <c r="VWG71" s="4"/>
      <c r="VWH71" s="4"/>
      <c r="VWI71" s="4"/>
      <c r="VWJ71" s="4"/>
      <c r="VWK71" s="4"/>
      <c r="VWL71" s="4"/>
      <c r="VWM71" s="4"/>
      <c r="VWN71" s="4"/>
      <c r="VWO71" s="4"/>
      <c r="VWP71" s="4"/>
      <c r="VWQ71" s="4"/>
      <c r="VWR71" s="4"/>
      <c r="VWS71" s="4"/>
      <c r="VWT71" s="4"/>
      <c r="VWU71" s="4"/>
      <c r="VWV71" s="4"/>
      <c r="VWW71" s="4"/>
      <c r="VWX71" s="4"/>
      <c r="VWY71" s="4"/>
      <c r="VWZ71" s="4"/>
      <c r="VXA71" s="4"/>
      <c r="VXB71" s="4"/>
      <c r="VXC71" s="4"/>
      <c r="VXD71" s="4"/>
      <c r="VXE71" s="4"/>
      <c r="VXF71" s="4"/>
      <c r="VXG71" s="4"/>
      <c r="VXH71" s="4"/>
      <c r="VXI71" s="4"/>
      <c r="VXJ71" s="4"/>
      <c r="VXK71" s="4"/>
      <c r="VXL71" s="4"/>
      <c r="VXM71" s="4"/>
      <c r="VXN71" s="4"/>
      <c r="VXO71" s="4"/>
      <c r="VXP71" s="4"/>
      <c r="VXQ71" s="4"/>
      <c r="VXR71" s="4"/>
      <c r="VXS71" s="4"/>
      <c r="VXT71" s="4"/>
      <c r="VXU71" s="4"/>
      <c r="VXV71" s="4"/>
      <c r="VXW71" s="4"/>
      <c r="VXX71" s="4"/>
      <c r="VXY71" s="4"/>
      <c r="VXZ71" s="4"/>
      <c r="VYA71" s="4"/>
      <c r="VYB71" s="4"/>
      <c r="VYC71" s="4"/>
      <c r="VYD71" s="4"/>
      <c r="VYE71" s="4"/>
      <c r="VYF71" s="4"/>
      <c r="VYG71" s="4"/>
      <c r="VYH71" s="4"/>
      <c r="VYI71" s="4"/>
      <c r="VYJ71" s="4"/>
      <c r="VYK71" s="4"/>
      <c r="VYL71" s="4"/>
      <c r="VYM71" s="4"/>
      <c r="VYN71" s="4"/>
      <c r="VYO71" s="4"/>
      <c r="VYP71" s="4"/>
      <c r="VYQ71" s="4"/>
      <c r="VYR71" s="4"/>
      <c r="VYS71" s="4"/>
      <c r="VYT71" s="4"/>
      <c r="VYU71" s="4"/>
      <c r="VYV71" s="4"/>
      <c r="VYW71" s="4"/>
      <c r="VYX71" s="4"/>
      <c r="VYY71" s="4"/>
      <c r="VYZ71" s="4"/>
      <c r="VZA71" s="4"/>
      <c r="VZB71" s="4"/>
      <c r="VZC71" s="4"/>
      <c r="VZD71" s="4"/>
      <c r="VZE71" s="4"/>
      <c r="VZF71" s="4"/>
      <c r="VZG71" s="4"/>
      <c r="VZH71" s="4"/>
      <c r="VZI71" s="4"/>
      <c r="VZJ71" s="4"/>
      <c r="VZK71" s="4"/>
      <c r="VZL71" s="4"/>
      <c r="VZM71" s="4"/>
      <c r="VZN71" s="4"/>
      <c r="VZO71" s="4"/>
      <c r="VZP71" s="4"/>
      <c r="VZQ71" s="4"/>
      <c r="VZR71" s="4"/>
      <c r="VZS71" s="4"/>
      <c r="VZT71" s="4"/>
      <c r="VZU71" s="4"/>
      <c r="VZV71" s="4"/>
      <c r="VZW71" s="4"/>
      <c r="VZX71" s="4"/>
      <c r="VZY71" s="4"/>
      <c r="VZZ71" s="4"/>
      <c r="WAA71" s="4"/>
      <c r="WAB71" s="4"/>
      <c r="WAC71" s="4"/>
      <c r="WAD71" s="4"/>
      <c r="WAE71" s="4"/>
      <c r="WAF71" s="4"/>
      <c r="WAG71" s="4"/>
      <c r="WAH71" s="4"/>
      <c r="WAI71" s="4"/>
      <c r="WAJ71" s="4"/>
      <c r="WAK71" s="4"/>
      <c r="WAL71" s="4"/>
      <c r="WAM71" s="4"/>
      <c r="WAN71" s="4"/>
      <c r="WAO71" s="4"/>
      <c r="WAP71" s="4"/>
      <c r="WAQ71" s="4"/>
      <c r="WAR71" s="4"/>
      <c r="WAS71" s="4"/>
      <c r="WAT71" s="4"/>
      <c r="WAU71" s="4"/>
      <c r="WAV71" s="4"/>
      <c r="WAW71" s="4"/>
      <c r="WAX71" s="4"/>
      <c r="WAY71" s="4"/>
      <c r="WAZ71" s="4"/>
      <c r="WBA71" s="4"/>
      <c r="WBB71" s="4"/>
      <c r="WBC71" s="4"/>
      <c r="WBD71" s="4"/>
      <c r="WBE71" s="4"/>
      <c r="WBF71" s="4"/>
      <c r="WBG71" s="4"/>
      <c r="WBH71" s="4"/>
      <c r="WBI71" s="4"/>
      <c r="WBJ71" s="4"/>
      <c r="WBK71" s="4"/>
      <c r="WBL71" s="4"/>
      <c r="WBM71" s="4"/>
      <c r="WBN71" s="4"/>
      <c r="WBO71" s="4"/>
      <c r="WBP71" s="4"/>
      <c r="WBQ71" s="4"/>
      <c r="WBR71" s="4"/>
      <c r="WBS71" s="4"/>
      <c r="WBT71" s="4"/>
      <c r="WBU71" s="4"/>
      <c r="WBV71" s="4"/>
      <c r="WBW71" s="4"/>
      <c r="WBX71" s="4"/>
      <c r="WBY71" s="4"/>
      <c r="WBZ71" s="4"/>
      <c r="WCA71" s="4"/>
      <c r="WCB71" s="4"/>
      <c r="WCC71" s="4"/>
      <c r="WCD71" s="4"/>
      <c r="WCE71" s="4"/>
      <c r="WCF71" s="4"/>
      <c r="WCG71" s="4"/>
      <c r="WCH71" s="4"/>
      <c r="WCI71" s="4"/>
      <c r="WCJ71" s="4"/>
      <c r="WCK71" s="4"/>
      <c r="WCL71" s="4"/>
      <c r="WCM71" s="4"/>
      <c r="WCN71" s="4"/>
      <c r="WCO71" s="4"/>
      <c r="WCP71" s="4"/>
      <c r="WCQ71" s="4"/>
      <c r="WCR71" s="4"/>
      <c r="WCS71" s="4"/>
      <c r="WCT71" s="4"/>
      <c r="WCU71" s="4"/>
      <c r="WCV71" s="4"/>
      <c r="WCW71" s="4"/>
      <c r="WCX71" s="4"/>
      <c r="WCY71" s="4"/>
      <c r="WCZ71" s="4"/>
      <c r="WDA71" s="4"/>
      <c r="WDB71" s="4"/>
      <c r="WDC71" s="4"/>
      <c r="WDD71" s="4"/>
      <c r="WDE71" s="4"/>
      <c r="WDF71" s="4"/>
      <c r="WDG71" s="4"/>
      <c r="WDH71" s="4"/>
      <c r="WDI71" s="4"/>
      <c r="WDJ71" s="4"/>
      <c r="WDK71" s="4"/>
      <c r="WDL71" s="4"/>
      <c r="WDM71" s="4"/>
      <c r="WDN71" s="4"/>
      <c r="WDO71" s="4"/>
      <c r="WDP71" s="4"/>
      <c r="WDQ71" s="4"/>
      <c r="WDR71" s="4"/>
      <c r="WDS71" s="4"/>
      <c r="WDT71" s="4"/>
      <c r="WDU71" s="4"/>
      <c r="WDV71" s="4"/>
      <c r="WDW71" s="4"/>
      <c r="WDX71" s="4"/>
      <c r="WDY71" s="4"/>
      <c r="WDZ71" s="4"/>
      <c r="WEA71" s="4"/>
      <c r="WEB71" s="4"/>
      <c r="WEC71" s="4"/>
      <c r="WED71" s="4"/>
      <c r="WEE71" s="4"/>
      <c r="WEF71" s="4"/>
      <c r="WEG71" s="4"/>
      <c r="WEH71" s="4"/>
      <c r="WEI71" s="4"/>
      <c r="WEJ71" s="4"/>
      <c r="WEK71" s="4"/>
      <c r="WEL71" s="4"/>
      <c r="WEM71" s="4"/>
      <c r="WEN71" s="4"/>
      <c r="WEO71" s="4"/>
      <c r="WEP71" s="4"/>
      <c r="WEQ71" s="4"/>
      <c r="WER71" s="4"/>
      <c r="WES71" s="4"/>
      <c r="WET71" s="4"/>
      <c r="WEU71" s="4"/>
      <c r="WEV71" s="4"/>
      <c r="WEW71" s="4"/>
      <c r="WEX71" s="4"/>
      <c r="WEY71" s="4"/>
      <c r="WEZ71" s="4"/>
      <c r="WFA71" s="4"/>
      <c r="WFB71" s="4"/>
      <c r="WFC71" s="4"/>
      <c r="WFD71" s="4"/>
      <c r="WFE71" s="4"/>
      <c r="WFF71" s="4"/>
      <c r="WFG71" s="4"/>
      <c r="WFH71" s="4"/>
      <c r="WFI71" s="4"/>
      <c r="WFJ71" s="4"/>
      <c r="WFK71" s="4"/>
      <c r="WFL71" s="4"/>
      <c r="WFM71" s="4"/>
      <c r="WFN71" s="4"/>
      <c r="WFO71" s="4"/>
      <c r="WFP71" s="4"/>
      <c r="WFQ71" s="4"/>
      <c r="WFR71" s="4"/>
      <c r="WFS71" s="4"/>
      <c r="WFT71" s="4"/>
      <c r="WFU71" s="4"/>
      <c r="WFV71" s="4"/>
      <c r="WFW71" s="4"/>
      <c r="WFX71" s="4"/>
      <c r="WFY71" s="4"/>
      <c r="WFZ71" s="4"/>
      <c r="WGA71" s="4"/>
      <c r="WGB71" s="4"/>
      <c r="WGC71" s="4"/>
      <c r="WGD71" s="4"/>
      <c r="WGE71" s="4"/>
      <c r="WGF71" s="4"/>
      <c r="WGG71" s="4"/>
      <c r="WGH71" s="4"/>
      <c r="WGI71" s="4"/>
      <c r="WGJ71" s="4"/>
      <c r="WGK71" s="4"/>
      <c r="WGL71" s="4"/>
      <c r="WGM71" s="4"/>
      <c r="WGN71" s="4"/>
      <c r="WGO71" s="4"/>
      <c r="WGP71" s="4"/>
      <c r="WGQ71" s="4"/>
      <c r="WGR71" s="4"/>
      <c r="WGS71" s="4"/>
      <c r="WGT71" s="4"/>
      <c r="WGU71" s="4"/>
      <c r="WGV71" s="4"/>
      <c r="WGW71" s="4"/>
      <c r="WGX71" s="4"/>
      <c r="WGY71" s="4"/>
      <c r="WGZ71" s="4"/>
      <c r="WHA71" s="4"/>
      <c r="WHB71" s="4"/>
      <c r="WHC71" s="4"/>
      <c r="WHD71" s="4"/>
      <c r="WHE71" s="4"/>
      <c r="WHF71" s="4"/>
      <c r="WHG71" s="4"/>
      <c r="WHH71" s="4"/>
      <c r="WHI71" s="4"/>
      <c r="WHJ71" s="4"/>
      <c r="WHK71" s="4"/>
      <c r="WHL71" s="4"/>
      <c r="WHM71" s="4"/>
      <c r="WHN71" s="4"/>
      <c r="WHO71" s="4"/>
      <c r="WHP71" s="4"/>
      <c r="WHQ71" s="4"/>
      <c r="WHR71" s="4"/>
      <c r="WHS71" s="4"/>
      <c r="WHT71" s="4"/>
      <c r="WHU71" s="4"/>
      <c r="WHV71" s="4"/>
      <c r="WHW71" s="4"/>
      <c r="WHX71" s="4"/>
      <c r="WHY71" s="4"/>
      <c r="WHZ71" s="4"/>
      <c r="WIA71" s="4"/>
      <c r="WIB71" s="4"/>
      <c r="WIC71" s="4"/>
      <c r="WID71" s="4"/>
      <c r="WIE71" s="4"/>
      <c r="WIF71" s="4"/>
      <c r="WIG71" s="4"/>
      <c r="WIH71" s="4"/>
      <c r="WII71" s="4"/>
      <c r="WIJ71" s="4"/>
      <c r="WIK71" s="4"/>
      <c r="WIL71" s="4"/>
      <c r="WIM71" s="4"/>
      <c r="WIN71" s="4"/>
      <c r="WIO71" s="4"/>
      <c r="WIP71" s="4"/>
      <c r="WIQ71" s="4"/>
      <c r="WIR71" s="4"/>
      <c r="WIS71" s="4"/>
      <c r="WIT71" s="4"/>
      <c r="WIU71" s="4"/>
      <c r="WIV71" s="4"/>
      <c r="WIW71" s="4"/>
      <c r="WIX71" s="4"/>
      <c r="WIY71" s="4"/>
      <c r="WIZ71" s="4"/>
      <c r="WJA71" s="4"/>
      <c r="WJB71" s="4"/>
      <c r="WJC71" s="4"/>
      <c r="WJD71" s="4"/>
      <c r="WJE71" s="4"/>
      <c r="WJF71" s="4"/>
      <c r="WJG71" s="4"/>
      <c r="WJH71" s="4"/>
      <c r="WJI71" s="4"/>
      <c r="WJJ71" s="4"/>
      <c r="WJK71" s="4"/>
      <c r="WJL71" s="4"/>
      <c r="WJM71" s="4"/>
      <c r="WJN71" s="4"/>
      <c r="WJO71" s="4"/>
      <c r="WJP71" s="4"/>
      <c r="WJQ71" s="4"/>
      <c r="WJR71" s="4"/>
      <c r="WJS71" s="4"/>
      <c r="WJT71" s="4"/>
      <c r="WJU71" s="4"/>
      <c r="WJV71" s="4"/>
      <c r="WJW71" s="4"/>
      <c r="WJX71" s="4"/>
      <c r="WJY71" s="4"/>
      <c r="WJZ71" s="4"/>
      <c r="WKA71" s="4"/>
      <c r="WKB71" s="4"/>
      <c r="WKC71" s="4"/>
      <c r="WKD71" s="4"/>
      <c r="WKE71" s="4"/>
      <c r="WKF71" s="4"/>
      <c r="WKG71" s="4"/>
      <c r="WKH71" s="4"/>
      <c r="WKI71" s="4"/>
      <c r="WKJ71" s="4"/>
      <c r="WKK71" s="4"/>
      <c r="WKL71" s="4"/>
      <c r="WKM71" s="4"/>
      <c r="WKN71" s="4"/>
      <c r="WKO71" s="4"/>
      <c r="WKP71" s="4"/>
      <c r="WKQ71" s="4"/>
      <c r="WKR71" s="4"/>
      <c r="WKS71" s="4"/>
      <c r="WKT71" s="4"/>
      <c r="WKU71" s="4"/>
      <c r="WKV71" s="4"/>
      <c r="WKW71" s="4"/>
      <c r="WKX71" s="4"/>
      <c r="WKY71" s="4"/>
      <c r="WKZ71" s="4"/>
      <c r="WLA71" s="4"/>
      <c r="WLB71" s="4"/>
      <c r="WLC71" s="4"/>
      <c r="WLD71" s="4"/>
      <c r="WLE71" s="4"/>
      <c r="WLF71" s="4"/>
      <c r="WLG71" s="4"/>
      <c r="WLH71" s="4"/>
      <c r="WLI71" s="4"/>
      <c r="WLJ71" s="4"/>
      <c r="WLK71" s="4"/>
      <c r="WLL71" s="4"/>
      <c r="WLM71" s="4"/>
      <c r="WLN71" s="4"/>
      <c r="WLO71" s="4"/>
      <c r="WLP71" s="4"/>
      <c r="WLQ71" s="4"/>
      <c r="WLR71" s="4"/>
      <c r="WLS71" s="4"/>
      <c r="WLT71" s="4"/>
      <c r="WLU71" s="4"/>
      <c r="WLV71" s="4"/>
      <c r="WLW71" s="4"/>
      <c r="WLX71" s="4"/>
      <c r="WLY71" s="4"/>
      <c r="WLZ71" s="4"/>
      <c r="WMA71" s="4"/>
      <c r="WMB71" s="4"/>
      <c r="WMC71" s="4"/>
      <c r="WMD71" s="4"/>
      <c r="WME71" s="4"/>
      <c r="WMF71" s="4"/>
      <c r="WMG71" s="4"/>
      <c r="WMH71" s="4"/>
      <c r="WMI71" s="4"/>
      <c r="WMJ71" s="4"/>
      <c r="WMK71" s="4"/>
      <c r="WML71" s="4"/>
      <c r="WMM71" s="4"/>
      <c r="WMN71" s="4"/>
      <c r="WMO71" s="4"/>
      <c r="WMP71" s="4"/>
      <c r="WMQ71" s="4"/>
      <c r="WMR71" s="4"/>
      <c r="WMS71" s="4"/>
      <c r="WMT71" s="4"/>
      <c r="WMU71" s="4"/>
      <c r="WMV71" s="4"/>
      <c r="WMW71" s="4"/>
      <c r="WMX71" s="4"/>
      <c r="WMY71" s="4"/>
      <c r="WMZ71" s="4"/>
      <c r="WNA71" s="4"/>
      <c r="WNB71" s="4"/>
      <c r="WNC71" s="4"/>
      <c r="WND71" s="4"/>
      <c r="WNE71" s="4"/>
      <c r="WNF71" s="4"/>
      <c r="WNG71" s="4"/>
      <c r="WNH71" s="4"/>
      <c r="WNI71" s="4"/>
      <c r="WNJ71" s="4"/>
      <c r="WNK71" s="4"/>
      <c r="WNL71" s="4"/>
      <c r="WNM71" s="4"/>
      <c r="WNN71" s="4"/>
      <c r="WNO71" s="4"/>
      <c r="WNP71" s="4"/>
      <c r="WNQ71" s="4"/>
      <c r="WNR71" s="4"/>
      <c r="WNS71" s="4"/>
      <c r="WNT71" s="4"/>
      <c r="WNU71" s="4"/>
      <c r="WNV71" s="4"/>
      <c r="WNW71" s="4"/>
      <c r="WNX71" s="4"/>
      <c r="WNY71" s="4"/>
      <c r="WNZ71" s="4"/>
      <c r="WOA71" s="4"/>
      <c r="WOB71" s="4"/>
      <c r="WOC71" s="4"/>
      <c r="WOD71" s="4"/>
      <c r="WOE71" s="4"/>
      <c r="WOF71" s="4"/>
      <c r="WOG71" s="4"/>
      <c r="WOH71" s="4"/>
      <c r="WOI71" s="4"/>
      <c r="WOJ71" s="4"/>
      <c r="WOK71" s="4"/>
      <c r="WOL71" s="4"/>
      <c r="WOM71" s="4"/>
      <c r="WON71" s="4"/>
      <c r="WOO71" s="4"/>
      <c r="WOP71" s="4"/>
      <c r="WOQ71" s="4"/>
      <c r="WOR71" s="4"/>
      <c r="WOS71" s="4"/>
      <c r="WOT71" s="4"/>
      <c r="WOU71" s="4"/>
      <c r="WOV71" s="4"/>
      <c r="WOW71" s="4"/>
      <c r="WOX71" s="4"/>
      <c r="WOY71" s="4"/>
      <c r="WOZ71" s="4"/>
      <c r="WPA71" s="4"/>
      <c r="WPB71" s="4"/>
      <c r="WPC71" s="4"/>
      <c r="WPD71" s="4"/>
      <c r="WPE71" s="4"/>
      <c r="WPF71" s="4"/>
      <c r="WPG71" s="4"/>
      <c r="WPH71" s="4"/>
      <c r="WPI71" s="4"/>
      <c r="WPJ71" s="4"/>
      <c r="WPK71" s="4"/>
      <c r="WPL71" s="4"/>
      <c r="WPM71" s="4"/>
      <c r="WPN71" s="4"/>
      <c r="WPO71" s="4"/>
      <c r="WPP71" s="4"/>
      <c r="WPQ71" s="4"/>
      <c r="WPR71" s="4"/>
      <c r="WPS71" s="4"/>
      <c r="WPT71" s="4"/>
      <c r="WPU71" s="4"/>
      <c r="WPV71" s="4"/>
      <c r="WPW71" s="4"/>
      <c r="WPX71" s="4"/>
      <c r="WPY71" s="4"/>
      <c r="WPZ71" s="4"/>
      <c r="WQA71" s="4"/>
      <c r="WQB71" s="4"/>
      <c r="WQC71" s="4"/>
      <c r="WQD71" s="4"/>
      <c r="WQE71" s="4"/>
      <c r="WQF71" s="4"/>
      <c r="WQG71" s="4"/>
      <c r="WQH71" s="4"/>
      <c r="WQI71" s="4"/>
      <c r="WQJ71" s="4"/>
      <c r="WQK71" s="4"/>
      <c r="WQL71" s="4"/>
      <c r="WQM71" s="4"/>
      <c r="WQN71" s="4"/>
      <c r="WQO71" s="4"/>
      <c r="WQP71" s="4"/>
      <c r="WQQ71" s="4"/>
      <c r="WQR71" s="4"/>
      <c r="WQS71" s="4"/>
      <c r="WQT71" s="4"/>
      <c r="WQU71" s="4"/>
      <c r="WQV71" s="4"/>
      <c r="WQW71" s="4"/>
      <c r="WQX71" s="4"/>
      <c r="WQY71" s="4"/>
      <c r="WQZ71" s="4"/>
      <c r="WRA71" s="4"/>
      <c r="WRB71" s="4"/>
      <c r="WRC71" s="4"/>
      <c r="WRD71" s="4"/>
      <c r="WRE71" s="4"/>
      <c r="WRF71" s="4"/>
      <c r="WRG71" s="4"/>
      <c r="WRH71" s="4"/>
      <c r="WRI71" s="4"/>
      <c r="WRJ71" s="4"/>
      <c r="WRK71" s="4"/>
      <c r="WRL71" s="4"/>
      <c r="WRM71" s="4"/>
      <c r="WRN71" s="4"/>
      <c r="WRO71" s="4"/>
      <c r="WRP71" s="4"/>
      <c r="WRQ71" s="4"/>
      <c r="WRR71" s="4"/>
      <c r="WRS71" s="4"/>
      <c r="WRT71" s="4"/>
      <c r="WRU71" s="4"/>
      <c r="WRV71" s="4"/>
      <c r="WRW71" s="4"/>
      <c r="WRX71" s="4"/>
      <c r="WRY71" s="4"/>
      <c r="WRZ71" s="4"/>
      <c r="WSA71" s="4"/>
      <c r="WSB71" s="4"/>
      <c r="WSC71" s="4"/>
      <c r="WSD71" s="4"/>
      <c r="WSE71" s="4"/>
      <c r="WSF71" s="4"/>
      <c r="WSG71" s="4"/>
      <c r="WSH71" s="4"/>
      <c r="WSI71" s="4"/>
      <c r="WSJ71" s="4"/>
      <c r="WSK71" s="4"/>
      <c r="WSL71" s="4"/>
      <c r="WSM71" s="4"/>
      <c r="WSN71" s="4"/>
      <c r="WSO71" s="4"/>
      <c r="WSP71" s="4"/>
      <c r="WSQ71" s="4"/>
      <c r="WSR71" s="4"/>
      <c r="WSS71" s="4"/>
      <c r="WST71" s="4"/>
      <c r="WSU71" s="4"/>
      <c r="WSV71" s="4"/>
      <c r="WSW71" s="4"/>
      <c r="WSX71" s="4"/>
      <c r="WSY71" s="4"/>
      <c r="WSZ71" s="4"/>
      <c r="WTA71" s="4"/>
      <c r="WTB71" s="4"/>
      <c r="WTC71" s="4"/>
      <c r="WTD71" s="4"/>
      <c r="WTE71" s="4"/>
      <c r="WTF71" s="4"/>
      <c r="WTG71" s="4"/>
      <c r="WTH71" s="4"/>
      <c r="WTI71" s="4"/>
      <c r="WTJ71" s="4"/>
      <c r="WTK71" s="4"/>
      <c r="WTL71" s="4"/>
      <c r="WTM71" s="4"/>
      <c r="WTN71" s="4"/>
      <c r="WTO71" s="4"/>
      <c r="WTP71" s="4"/>
      <c r="WTQ71" s="4"/>
      <c r="WTR71" s="4"/>
      <c r="WTS71" s="4"/>
      <c r="WTT71" s="4"/>
      <c r="WTU71" s="4"/>
      <c r="WTV71" s="4"/>
      <c r="WTW71" s="4"/>
      <c r="WTX71" s="4"/>
      <c r="WTY71" s="4"/>
      <c r="WTZ71" s="4"/>
      <c r="WUA71" s="4"/>
      <c r="WUB71" s="4"/>
      <c r="WUC71" s="4"/>
      <c r="WUD71" s="4"/>
      <c r="WUE71" s="4"/>
      <c r="WUF71" s="4"/>
      <c r="WUG71" s="4"/>
      <c r="WUH71" s="4"/>
      <c r="WUI71" s="4"/>
      <c r="WUJ71" s="4"/>
      <c r="WUK71" s="4"/>
      <c r="WUL71" s="4"/>
      <c r="WUM71" s="4"/>
      <c r="WUN71" s="4"/>
      <c r="WUO71" s="4"/>
      <c r="WUP71" s="4"/>
      <c r="WUQ71" s="4"/>
      <c r="WUR71" s="4"/>
      <c r="WUS71" s="4"/>
      <c r="WUT71" s="4"/>
      <c r="WUU71" s="4"/>
      <c r="WUV71" s="4"/>
      <c r="WUW71" s="4"/>
      <c r="WUX71" s="4"/>
      <c r="WUY71" s="4"/>
      <c r="WUZ71" s="4"/>
      <c r="WVA71" s="4"/>
      <c r="WVB71" s="4"/>
      <c r="WVC71" s="4"/>
      <c r="WVD71" s="4"/>
      <c r="WVE71" s="4"/>
      <c r="WVF71" s="4"/>
      <c r="WVG71" s="4"/>
      <c r="WVH71" s="4"/>
      <c r="WVI71" s="4"/>
      <c r="WVJ71" s="4"/>
      <c r="WVK71" s="4"/>
      <c r="WVL71" s="4"/>
      <c r="WVM71" s="4"/>
      <c r="WVN71" s="4"/>
      <c r="WVO71" s="4"/>
      <c r="WVP71" s="4"/>
      <c r="WVQ71" s="4"/>
      <c r="WVR71" s="4"/>
      <c r="WVS71" s="4"/>
      <c r="WVT71" s="4"/>
      <c r="WVU71" s="4"/>
      <c r="WVV71" s="4"/>
      <c r="WVW71" s="4"/>
      <c r="WVX71" s="4"/>
      <c r="WVY71" s="4"/>
      <c r="WVZ71" s="4"/>
      <c r="WWA71" s="4"/>
      <c r="WWB71" s="4"/>
      <c r="WWC71" s="4"/>
      <c r="WWD71" s="4"/>
      <c r="WWE71" s="4"/>
      <c r="WWF71" s="4"/>
      <c r="WWG71" s="4"/>
      <c r="WWH71" s="4"/>
      <c r="WWI71" s="4"/>
      <c r="WWJ71" s="4"/>
      <c r="WWK71" s="4"/>
      <c r="WWL71" s="4"/>
      <c r="WWM71" s="4"/>
      <c r="WWN71" s="4"/>
      <c r="WWO71" s="4"/>
      <c r="WWP71" s="4"/>
      <c r="WWQ71" s="4"/>
      <c r="WWR71" s="4"/>
      <c r="WWS71" s="4"/>
      <c r="WWT71" s="4"/>
      <c r="WWU71" s="4"/>
      <c r="WWV71" s="4"/>
      <c r="WWW71" s="4"/>
      <c r="WWX71" s="4"/>
      <c r="WWY71" s="4"/>
      <c r="WWZ71" s="4"/>
      <c r="WXA71" s="4"/>
      <c r="WXB71" s="4"/>
      <c r="WXC71" s="4"/>
      <c r="WXD71" s="4"/>
      <c r="WXE71" s="4"/>
      <c r="WXF71" s="4"/>
      <c r="WXG71" s="4"/>
      <c r="WXH71" s="4"/>
      <c r="WXI71" s="4"/>
      <c r="WXJ71" s="4"/>
      <c r="WXK71" s="4"/>
      <c r="WXL71" s="4"/>
      <c r="WXM71" s="4"/>
      <c r="WXN71" s="4"/>
      <c r="WXO71" s="4"/>
      <c r="WXP71" s="4"/>
      <c r="WXQ71" s="4"/>
      <c r="WXR71" s="4"/>
      <c r="WXS71" s="4"/>
      <c r="WXT71" s="4"/>
      <c r="WXU71" s="4"/>
      <c r="WXV71" s="4"/>
      <c r="WXW71" s="4"/>
      <c r="WXX71" s="4"/>
      <c r="WXY71" s="4"/>
      <c r="WXZ71" s="4"/>
      <c r="WYA71" s="4"/>
      <c r="WYB71" s="4"/>
      <c r="WYC71" s="4"/>
      <c r="WYD71" s="4"/>
      <c r="WYE71" s="4"/>
      <c r="WYF71" s="4"/>
      <c r="WYG71" s="4"/>
      <c r="WYH71" s="4"/>
      <c r="WYI71" s="4"/>
      <c r="WYJ71" s="4"/>
      <c r="WYK71" s="4"/>
      <c r="WYL71" s="4"/>
      <c r="WYM71" s="4"/>
      <c r="WYN71" s="4"/>
      <c r="WYO71" s="4"/>
      <c r="WYP71" s="4"/>
      <c r="WYQ71" s="4"/>
      <c r="WYR71" s="4"/>
      <c r="WYS71" s="4"/>
      <c r="WYT71" s="4"/>
      <c r="WYU71" s="4"/>
      <c r="WYV71" s="4"/>
      <c r="WYW71" s="4"/>
      <c r="WYX71" s="4"/>
      <c r="WYY71" s="4"/>
      <c r="WYZ71" s="4"/>
      <c r="WZA71" s="4"/>
      <c r="WZB71" s="4"/>
      <c r="WZC71" s="4"/>
      <c r="WZD71" s="4"/>
      <c r="WZE71" s="4"/>
      <c r="WZF71" s="4"/>
      <c r="WZG71" s="4"/>
      <c r="WZH71" s="4"/>
      <c r="WZI71" s="4"/>
      <c r="WZJ71" s="4"/>
      <c r="WZK71" s="4"/>
      <c r="WZL71" s="4"/>
      <c r="WZM71" s="4"/>
      <c r="WZN71" s="4"/>
      <c r="WZO71" s="4"/>
      <c r="WZP71" s="4"/>
      <c r="WZQ71" s="4"/>
      <c r="WZR71" s="4"/>
      <c r="WZS71" s="4"/>
      <c r="WZT71" s="4"/>
      <c r="WZU71" s="4"/>
      <c r="WZV71" s="4"/>
      <c r="WZW71" s="4"/>
      <c r="WZX71" s="4"/>
      <c r="WZY71" s="4"/>
      <c r="WZZ71" s="4"/>
      <c r="XAA71" s="4"/>
      <c r="XAB71" s="4"/>
      <c r="XAC71" s="4"/>
      <c r="XAD71" s="4"/>
      <c r="XAE71" s="4"/>
      <c r="XAF71" s="4"/>
      <c r="XAG71" s="4"/>
      <c r="XAH71" s="4"/>
      <c r="XAI71" s="4"/>
      <c r="XAJ71" s="4"/>
      <c r="XAK71" s="4"/>
      <c r="XAL71" s="4"/>
      <c r="XAM71" s="4"/>
      <c r="XAN71" s="4"/>
      <c r="XAO71" s="4"/>
      <c r="XAP71" s="4"/>
      <c r="XAQ71" s="4"/>
      <c r="XAR71" s="4"/>
      <c r="XAS71" s="4"/>
      <c r="XAT71" s="4"/>
      <c r="XAU71" s="4"/>
      <c r="XAV71" s="4"/>
      <c r="XAW71" s="4"/>
      <c r="XAX71" s="4"/>
      <c r="XAY71" s="4"/>
      <c r="XAZ71" s="4"/>
      <c r="XBA71" s="4"/>
      <c r="XBB71" s="4"/>
      <c r="XBC71" s="4"/>
      <c r="XBD71" s="4"/>
      <c r="XBE71" s="4"/>
      <c r="XBF71" s="4"/>
      <c r="XBG71" s="4"/>
      <c r="XBH71" s="4"/>
      <c r="XBI71" s="4"/>
      <c r="XBJ71" s="4"/>
      <c r="XBK71" s="4"/>
      <c r="XBL71" s="4"/>
      <c r="XBM71" s="4"/>
      <c r="XBN71" s="4"/>
      <c r="XBO71" s="4"/>
      <c r="XBP71" s="4"/>
      <c r="XBQ71" s="4"/>
      <c r="XBR71" s="4"/>
      <c r="XBS71" s="4"/>
      <c r="XBT71" s="4"/>
      <c r="XBU71" s="4"/>
      <c r="XBV71" s="4"/>
      <c r="XBW71" s="4"/>
      <c r="XBX71" s="4"/>
      <c r="XBY71" s="4"/>
      <c r="XBZ71" s="4"/>
      <c r="XCA71" s="4"/>
      <c r="XCB71" s="4"/>
      <c r="XCC71" s="4"/>
      <c r="XCD71" s="4"/>
      <c r="XCE71" s="4"/>
      <c r="XCF71" s="4"/>
      <c r="XCG71" s="4"/>
      <c r="XCH71" s="4"/>
      <c r="XCI71" s="4"/>
      <c r="XCJ71" s="4"/>
      <c r="XCK71" s="4"/>
      <c r="XCL71" s="4"/>
      <c r="XCM71" s="4"/>
      <c r="XCN71" s="4"/>
      <c r="XCO71" s="4"/>
      <c r="XCP71" s="4"/>
      <c r="XCQ71" s="4"/>
      <c r="XCR71" s="4"/>
      <c r="XCS71" s="4"/>
      <c r="XCT71" s="4"/>
      <c r="XCU71" s="4"/>
      <c r="XCV71" s="4"/>
      <c r="XCW71" s="4"/>
      <c r="XCX71" s="4"/>
      <c r="XCY71" s="4"/>
      <c r="XCZ71" s="4"/>
      <c r="XDA71" s="4"/>
      <c r="XDB71" s="4"/>
      <c r="XDC71" s="4"/>
      <c r="XDD71" s="4"/>
      <c r="XDE71" s="4"/>
      <c r="XDF71" s="4"/>
      <c r="XDG71" s="4"/>
      <c r="XDH71" s="4"/>
      <c r="XDI71" s="4"/>
      <c r="XDJ71" s="4"/>
      <c r="XDK71" s="4"/>
      <c r="XDL71" s="4"/>
      <c r="XDM71" s="4"/>
      <c r="XDN71" s="4"/>
      <c r="XDO71" s="4"/>
      <c r="XDP71" s="4"/>
      <c r="XDQ71" s="4"/>
      <c r="XDR71" s="4"/>
      <c r="XDS71" s="4"/>
      <c r="XDT71" s="4"/>
      <c r="XDU71" s="4"/>
      <c r="XDV71" s="4"/>
      <c r="XDW71" s="4"/>
      <c r="XDX71" s="4"/>
      <c r="XDY71" s="4"/>
      <c r="XDZ71" s="4"/>
      <c r="XEA71" s="4"/>
      <c r="XEB71" s="4"/>
      <c r="XEC71" s="4"/>
      <c r="XED71" s="4"/>
      <c r="XEE71" s="4"/>
      <c r="XEF71" s="4"/>
      <c r="XEG71" s="4"/>
      <c r="XEH71" s="4"/>
      <c r="XEI71" s="4"/>
      <c r="XEJ71" s="4"/>
      <c r="XEK71" s="4"/>
      <c r="XEL71" s="4"/>
      <c r="XEM71" s="4"/>
      <c r="XEN71" s="4"/>
      <c r="XEO71" s="4"/>
      <c r="XEP71" s="4"/>
      <c r="XEQ71" s="4"/>
      <c r="XER71" s="4"/>
      <c r="XES71" s="4"/>
      <c r="XET71" s="4"/>
      <c r="XEU71" s="4"/>
      <c r="XEV71" s="4"/>
      <c r="XEW71" s="4"/>
      <c r="XEX71" s="4"/>
      <c r="XEY71" s="4"/>
      <c r="XEZ71" s="4"/>
      <c r="XFA71" s="4"/>
      <c r="XFB71" s="4"/>
    </row>
    <row r="72" spans="1:16384" s="41" customFormat="1" x14ac:dyDescent="0.35">
      <c r="A72" s="39" t="s">
        <v>119</v>
      </c>
      <c r="B72" s="14" t="s">
        <v>420</v>
      </c>
      <c r="C72" s="14"/>
      <c r="D72" s="14"/>
      <c r="E72" s="14"/>
      <c r="F72" s="14" t="s">
        <v>76</v>
      </c>
      <c r="G72" s="14" t="s">
        <v>5</v>
      </c>
      <c r="H72" s="40" t="s">
        <v>116</v>
      </c>
      <c r="I72" s="40" t="s">
        <v>116</v>
      </c>
      <c r="J72" s="40" t="s">
        <v>11</v>
      </c>
      <c r="L72" s="42"/>
      <c r="M72" s="43"/>
      <c r="N72" s="42">
        <v>1</v>
      </c>
      <c r="O72" s="44">
        <f>+T72</f>
        <v>38000</v>
      </c>
      <c r="P72" s="44">
        <f>+(4000000/1500)*3</f>
        <v>8000</v>
      </c>
      <c r="Q72" s="44">
        <f>+(4500000/1500)*3</f>
        <v>9000</v>
      </c>
      <c r="R72" s="43">
        <f>+(5000000/1500)*3</f>
        <v>10000</v>
      </c>
      <c r="S72" s="43">
        <f>+(5500000/1500)*3</f>
        <v>11000</v>
      </c>
      <c r="T72" s="43">
        <f>+P72+Q72+R72+S72</f>
        <v>38000</v>
      </c>
      <c r="U72" s="10"/>
      <c r="V72" s="4"/>
      <c r="W72" s="4" t="s">
        <v>191</v>
      </c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  <c r="AMK72" s="4"/>
      <c r="AML72" s="4"/>
      <c r="AMM72" s="4"/>
      <c r="AMN72" s="4"/>
      <c r="AMO72" s="4"/>
      <c r="AMP72" s="4"/>
      <c r="AMQ72" s="4"/>
      <c r="AMR72" s="4"/>
      <c r="AMS72" s="4"/>
      <c r="AMT72" s="4"/>
      <c r="AMU72" s="4"/>
      <c r="AMV72" s="4"/>
      <c r="AMW72" s="4"/>
      <c r="AMX72" s="4"/>
      <c r="AMY72" s="4"/>
      <c r="AMZ72" s="4"/>
      <c r="ANA72" s="4"/>
      <c r="ANB72" s="4"/>
      <c r="ANC72" s="4"/>
      <c r="AND72" s="4"/>
      <c r="ANE72" s="4"/>
      <c r="ANF72" s="4"/>
      <c r="ANG72" s="4"/>
      <c r="ANH72" s="4"/>
      <c r="ANI72" s="4"/>
      <c r="ANJ72" s="4"/>
      <c r="ANK72" s="4"/>
      <c r="ANL72" s="4"/>
      <c r="ANM72" s="4"/>
      <c r="ANN72" s="4"/>
      <c r="ANO72" s="4"/>
      <c r="ANP72" s="4"/>
      <c r="ANQ72" s="4"/>
      <c r="ANR72" s="4"/>
      <c r="ANS72" s="4"/>
      <c r="ANT72" s="4"/>
      <c r="ANU72" s="4"/>
      <c r="ANV72" s="4"/>
      <c r="ANW72" s="4"/>
      <c r="ANX72" s="4"/>
      <c r="ANY72" s="4"/>
      <c r="ANZ72" s="4"/>
      <c r="AOA72" s="4"/>
      <c r="AOB72" s="4"/>
      <c r="AOC72" s="4"/>
      <c r="AOD72" s="4"/>
      <c r="AOE72" s="4"/>
      <c r="AOF72" s="4"/>
      <c r="AOG72" s="4"/>
      <c r="AOH72" s="4"/>
      <c r="AOI72" s="4"/>
      <c r="AOJ72" s="4"/>
      <c r="AOK72" s="4"/>
      <c r="AOL72" s="4"/>
      <c r="AOM72" s="4"/>
      <c r="AON72" s="4"/>
      <c r="AOO72" s="4"/>
      <c r="AOP72" s="4"/>
      <c r="AOQ72" s="4"/>
      <c r="AOR72" s="4"/>
      <c r="AOS72" s="4"/>
      <c r="AOT72" s="4"/>
      <c r="AOU72" s="4"/>
      <c r="AOV72" s="4"/>
      <c r="AOW72" s="4"/>
      <c r="AOX72" s="4"/>
      <c r="AOY72" s="4"/>
      <c r="AOZ72" s="4"/>
      <c r="APA72" s="4"/>
      <c r="APB72" s="4"/>
      <c r="APC72" s="4"/>
      <c r="APD72" s="4"/>
      <c r="APE72" s="4"/>
      <c r="APF72" s="4"/>
      <c r="APG72" s="4"/>
      <c r="APH72" s="4"/>
      <c r="API72" s="4"/>
      <c r="APJ72" s="4"/>
      <c r="APK72" s="4"/>
      <c r="APL72" s="4"/>
      <c r="APM72" s="4"/>
      <c r="APN72" s="4"/>
      <c r="APO72" s="4"/>
      <c r="APP72" s="4"/>
      <c r="APQ72" s="4"/>
      <c r="APR72" s="4"/>
      <c r="APS72" s="4"/>
      <c r="APT72" s="4"/>
      <c r="APU72" s="4"/>
      <c r="APV72" s="4"/>
      <c r="APW72" s="4"/>
      <c r="APX72" s="4"/>
      <c r="APY72" s="4"/>
      <c r="APZ72" s="4"/>
      <c r="AQA72" s="4"/>
      <c r="AQB72" s="4"/>
      <c r="AQC72" s="4"/>
      <c r="AQD72" s="4"/>
      <c r="AQE72" s="4"/>
      <c r="AQF72" s="4"/>
      <c r="AQG72" s="4"/>
      <c r="AQH72" s="4"/>
      <c r="AQI72" s="4"/>
      <c r="AQJ72" s="4"/>
      <c r="AQK72" s="4"/>
      <c r="AQL72" s="4"/>
      <c r="AQM72" s="4"/>
      <c r="AQN72" s="4"/>
      <c r="AQO72" s="4"/>
      <c r="AQP72" s="4"/>
      <c r="AQQ72" s="4"/>
      <c r="AQR72" s="4"/>
      <c r="AQS72" s="4"/>
      <c r="AQT72" s="4"/>
      <c r="AQU72" s="4"/>
      <c r="AQV72" s="4"/>
      <c r="AQW72" s="4"/>
      <c r="AQX72" s="4"/>
      <c r="AQY72" s="4"/>
      <c r="AQZ72" s="4"/>
      <c r="ARA72" s="4"/>
      <c r="ARB72" s="4"/>
      <c r="ARC72" s="4"/>
      <c r="ARD72" s="4"/>
      <c r="ARE72" s="4"/>
      <c r="ARF72" s="4"/>
      <c r="ARG72" s="4"/>
      <c r="ARH72" s="4"/>
      <c r="ARI72" s="4"/>
      <c r="ARJ72" s="4"/>
      <c r="ARK72" s="4"/>
      <c r="ARL72" s="4"/>
      <c r="ARM72" s="4"/>
      <c r="ARN72" s="4"/>
      <c r="ARO72" s="4"/>
      <c r="ARP72" s="4"/>
      <c r="ARQ72" s="4"/>
      <c r="ARR72" s="4"/>
      <c r="ARS72" s="4"/>
      <c r="ART72" s="4"/>
      <c r="ARU72" s="4"/>
      <c r="ARV72" s="4"/>
      <c r="ARW72" s="4"/>
      <c r="ARX72" s="4"/>
      <c r="ARY72" s="4"/>
      <c r="ARZ72" s="4"/>
      <c r="ASA72" s="4"/>
      <c r="ASB72" s="4"/>
      <c r="ASC72" s="4"/>
      <c r="ASD72" s="4"/>
      <c r="ASE72" s="4"/>
      <c r="ASF72" s="4"/>
      <c r="ASG72" s="4"/>
      <c r="ASH72" s="4"/>
      <c r="ASI72" s="4"/>
      <c r="ASJ72" s="4"/>
      <c r="ASK72" s="4"/>
      <c r="ASL72" s="4"/>
      <c r="ASM72" s="4"/>
      <c r="ASN72" s="4"/>
      <c r="ASO72" s="4"/>
      <c r="ASP72" s="4"/>
      <c r="ASQ72" s="4"/>
      <c r="ASR72" s="4"/>
      <c r="ASS72" s="4"/>
      <c r="AST72" s="4"/>
      <c r="ASU72" s="4"/>
      <c r="ASV72" s="4"/>
      <c r="ASW72" s="4"/>
      <c r="ASX72" s="4"/>
      <c r="ASY72" s="4"/>
      <c r="ASZ72" s="4"/>
      <c r="ATA72" s="4"/>
      <c r="ATB72" s="4"/>
      <c r="ATC72" s="4"/>
      <c r="ATD72" s="4"/>
      <c r="ATE72" s="4"/>
      <c r="ATF72" s="4"/>
      <c r="ATG72" s="4"/>
      <c r="ATH72" s="4"/>
      <c r="ATI72" s="4"/>
      <c r="ATJ72" s="4"/>
      <c r="ATK72" s="4"/>
      <c r="ATL72" s="4"/>
      <c r="ATM72" s="4"/>
      <c r="ATN72" s="4"/>
      <c r="ATO72" s="4"/>
      <c r="ATP72" s="4"/>
      <c r="ATQ72" s="4"/>
      <c r="ATR72" s="4"/>
      <c r="ATS72" s="4"/>
      <c r="ATT72" s="4"/>
      <c r="ATU72" s="4"/>
      <c r="ATV72" s="4"/>
      <c r="ATW72" s="4"/>
      <c r="ATX72" s="4"/>
      <c r="ATY72" s="4"/>
      <c r="ATZ72" s="4"/>
      <c r="AUA72" s="4"/>
      <c r="AUB72" s="4"/>
      <c r="AUC72" s="4"/>
      <c r="AUD72" s="4"/>
      <c r="AUE72" s="4"/>
      <c r="AUF72" s="4"/>
      <c r="AUG72" s="4"/>
      <c r="AUH72" s="4"/>
      <c r="AUI72" s="4"/>
      <c r="AUJ72" s="4"/>
      <c r="AUK72" s="4"/>
      <c r="AUL72" s="4"/>
      <c r="AUM72" s="4"/>
      <c r="AUN72" s="4"/>
      <c r="AUO72" s="4"/>
      <c r="AUP72" s="4"/>
      <c r="AUQ72" s="4"/>
      <c r="AUR72" s="4"/>
      <c r="AUS72" s="4"/>
      <c r="AUT72" s="4"/>
      <c r="AUU72" s="4"/>
      <c r="AUV72" s="4"/>
      <c r="AUW72" s="4"/>
      <c r="AUX72" s="4"/>
      <c r="AUY72" s="4"/>
      <c r="AUZ72" s="4"/>
      <c r="AVA72" s="4"/>
      <c r="AVB72" s="4"/>
      <c r="AVC72" s="4"/>
      <c r="AVD72" s="4"/>
      <c r="AVE72" s="4"/>
      <c r="AVF72" s="4"/>
      <c r="AVG72" s="4"/>
      <c r="AVH72" s="4"/>
      <c r="AVI72" s="4"/>
      <c r="AVJ72" s="4"/>
      <c r="AVK72" s="4"/>
      <c r="AVL72" s="4"/>
      <c r="AVM72" s="4"/>
      <c r="AVN72" s="4"/>
      <c r="AVO72" s="4"/>
      <c r="AVP72" s="4"/>
      <c r="AVQ72" s="4"/>
      <c r="AVR72" s="4"/>
      <c r="AVS72" s="4"/>
      <c r="AVT72" s="4"/>
      <c r="AVU72" s="4"/>
      <c r="AVV72" s="4"/>
      <c r="AVW72" s="4"/>
      <c r="AVX72" s="4"/>
      <c r="AVY72" s="4"/>
      <c r="AVZ72" s="4"/>
      <c r="AWA72" s="4"/>
      <c r="AWB72" s="4"/>
      <c r="AWC72" s="4"/>
      <c r="AWD72" s="4"/>
      <c r="AWE72" s="4"/>
      <c r="AWF72" s="4"/>
      <c r="AWG72" s="4"/>
      <c r="AWH72" s="4"/>
      <c r="AWI72" s="4"/>
      <c r="AWJ72" s="4"/>
      <c r="AWK72" s="4"/>
      <c r="AWL72" s="4"/>
      <c r="AWM72" s="4"/>
      <c r="AWN72" s="4"/>
      <c r="AWO72" s="4"/>
      <c r="AWP72" s="4"/>
      <c r="AWQ72" s="4"/>
      <c r="AWR72" s="4"/>
      <c r="AWS72" s="4"/>
      <c r="AWT72" s="4"/>
      <c r="AWU72" s="4"/>
      <c r="AWV72" s="4"/>
      <c r="AWW72" s="4"/>
      <c r="AWX72" s="4"/>
      <c r="AWY72" s="4"/>
      <c r="AWZ72" s="4"/>
      <c r="AXA72" s="4"/>
      <c r="AXB72" s="4"/>
      <c r="AXC72" s="4"/>
      <c r="AXD72" s="4"/>
      <c r="AXE72" s="4"/>
      <c r="AXF72" s="4"/>
      <c r="AXG72" s="4"/>
      <c r="AXH72" s="4"/>
      <c r="AXI72" s="4"/>
      <c r="AXJ72" s="4"/>
      <c r="AXK72" s="4"/>
      <c r="AXL72" s="4"/>
      <c r="AXM72" s="4"/>
      <c r="AXN72" s="4"/>
      <c r="AXO72" s="4"/>
      <c r="AXP72" s="4"/>
      <c r="AXQ72" s="4"/>
      <c r="AXR72" s="4"/>
      <c r="AXS72" s="4"/>
      <c r="AXT72" s="4"/>
      <c r="AXU72" s="4"/>
      <c r="AXV72" s="4"/>
      <c r="AXW72" s="4"/>
      <c r="AXX72" s="4"/>
      <c r="AXY72" s="4"/>
      <c r="AXZ72" s="4"/>
      <c r="AYA72" s="4"/>
      <c r="AYB72" s="4"/>
      <c r="AYC72" s="4"/>
      <c r="AYD72" s="4"/>
      <c r="AYE72" s="4"/>
      <c r="AYF72" s="4"/>
      <c r="AYG72" s="4"/>
      <c r="AYH72" s="4"/>
      <c r="AYI72" s="4"/>
      <c r="AYJ72" s="4"/>
      <c r="AYK72" s="4"/>
      <c r="AYL72" s="4"/>
      <c r="AYM72" s="4"/>
      <c r="AYN72" s="4"/>
      <c r="AYO72" s="4"/>
      <c r="AYP72" s="4"/>
      <c r="AYQ72" s="4"/>
      <c r="AYR72" s="4"/>
      <c r="AYS72" s="4"/>
      <c r="AYT72" s="4"/>
      <c r="AYU72" s="4"/>
      <c r="AYV72" s="4"/>
      <c r="AYW72" s="4"/>
      <c r="AYX72" s="4"/>
      <c r="AYY72" s="4"/>
      <c r="AYZ72" s="4"/>
      <c r="AZA72" s="4"/>
      <c r="AZB72" s="4"/>
      <c r="AZC72" s="4"/>
      <c r="AZD72" s="4"/>
      <c r="AZE72" s="4"/>
      <c r="AZF72" s="4"/>
      <c r="AZG72" s="4"/>
      <c r="AZH72" s="4"/>
      <c r="AZI72" s="4"/>
      <c r="AZJ72" s="4"/>
      <c r="AZK72" s="4"/>
      <c r="AZL72" s="4"/>
      <c r="AZM72" s="4"/>
      <c r="AZN72" s="4"/>
      <c r="AZO72" s="4"/>
      <c r="AZP72" s="4"/>
      <c r="AZQ72" s="4"/>
      <c r="AZR72" s="4"/>
      <c r="AZS72" s="4"/>
      <c r="AZT72" s="4"/>
      <c r="AZU72" s="4"/>
      <c r="AZV72" s="4"/>
      <c r="AZW72" s="4"/>
      <c r="AZX72" s="4"/>
      <c r="AZY72" s="4"/>
      <c r="AZZ72" s="4"/>
      <c r="BAA72" s="4"/>
      <c r="BAB72" s="4"/>
      <c r="BAC72" s="4"/>
      <c r="BAD72" s="4"/>
      <c r="BAE72" s="4"/>
      <c r="BAF72" s="4"/>
      <c r="BAG72" s="4"/>
      <c r="BAH72" s="4"/>
      <c r="BAI72" s="4"/>
      <c r="BAJ72" s="4"/>
      <c r="BAK72" s="4"/>
      <c r="BAL72" s="4"/>
      <c r="BAM72" s="4"/>
      <c r="BAN72" s="4"/>
      <c r="BAO72" s="4"/>
      <c r="BAP72" s="4"/>
      <c r="BAQ72" s="4"/>
      <c r="BAR72" s="4"/>
      <c r="BAS72" s="4"/>
      <c r="BAT72" s="4"/>
      <c r="BAU72" s="4"/>
      <c r="BAV72" s="4"/>
      <c r="BAW72" s="4"/>
      <c r="BAX72" s="4"/>
      <c r="BAY72" s="4"/>
      <c r="BAZ72" s="4"/>
      <c r="BBA72" s="4"/>
      <c r="BBB72" s="4"/>
      <c r="BBC72" s="4"/>
      <c r="BBD72" s="4"/>
      <c r="BBE72" s="4"/>
      <c r="BBF72" s="4"/>
      <c r="BBG72" s="4"/>
      <c r="BBH72" s="4"/>
      <c r="BBI72" s="4"/>
      <c r="BBJ72" s="4"/>
      <c r="BBK72" s="4"/>
      <c r="BBL72" s="4"/>
      <c r="BBM72" s="4"/>
      <c r="BBN72" s="4"/>
      <c r="BBO72" s="4"/>
      <c r="BBP72" s="4"/>
      <c r="BBQ72" s="4"/>
      <c r="BBR72" s="4"/>
      <c r="BBS72" s="4"/>
      <c r="BBT72" s="4"/>
      <c r="BBU72" s="4"/>
      <c r="BBV72" s="4"/>
      <c r="BBW72" s="4"/>
      <c r="BBX72" s="4"/>
      <c r="BBY72" s="4"/>
      <c r="BBZ72" s="4"/>
      <c r="BCA72" s="4"/>
      <c r="BCB72" s="4"/>
      <c r="BCC72" s="4"/>
      <c r="BCD72" s="4"/>
      <c r="BCE72" s="4"/>
      <c r="BCF72" s="4"/>
      <c r="BCG72" s="4"/>
      <c r="BCH72" s="4"/>
      <c r="BCI72" s="4"/>
      <c r="BCJ72" s="4"/>
      <c r="BCK72" s="4"/>
      <c r="BCL72" s="4"/>
      <c r="BCM72" s="4"/>
      <c r="BCN72" s="4"/>
      <c r="BCO72" s="4"/>
      <c r="BCP72" s="4"/>
      <c r="BCQ72" s="4"/>
      <c r="BCR72" s="4"/>
      <c r="BCS72" s="4"/>
      <c r="BCT72" s="4"/>
      <c r="BCU72" s="4"/>
      <c r="BCV72" s="4"/>
      <c r="BCW72" s="4"/>
      <c r="BCX72" s="4"/>
      <c r="BCY72" s="4"/>
      <c r="BCZ72" s="4"/>
      <c r="BDA72" s="4"/>
      <c r="BDB72" s="4"/>
      <c r="BDC72" s="4"/>
      <c r="BDD72" s="4"/>
      <c r="BDE72" s="4"/>
      <c r="BDF72" s="4"/>
      <c r="BDG72" s="4"/>
      <c r="BDH72" s="4"/>
      <c r="BDI72" s="4"/>
      <c r="BDJ72" s="4"/>
      <c r="BDK72" s="4"/>
      <c r="BDL72" s="4"/>
      <c r="BDM72" s="4"/>
      <c r="BDN72" s="4"/>
      <c r="BDO72" s="4"/>
      <c r="BDP72" s="4"/>
      <c r="BDQ72" s="4"/>
      <c r="BDR72" s="4"/>
      <c r="BDS72" s="4"/>
      <c r="BDT72" s="4"/>
      <c r="BDU72" s="4"/>
      <c r="BDV72" s="4"/>
      <c r="BDW72" s="4"/>
      <c r="BDX72" s="4"/>
      <c r="BDY72" s="4"/>
      <c r="BDZ72" s="4"/>
      <c r="BEA72" s="4"/>
      <c r="BEB72" s="4"/>
      <c r="BEC72" s="4"/>
      <c r="BED72" s="4"/>
      <c r="BEE72" s="4"/>
      <c r="BEF72" s="4"/>
      <c r="BEG72" s="4"/>
      <c r="BEH72" s="4"/>
      <c r="BEI72" s="4"/>
      <c r="BEJ72" s="4"/>
      <c r="BEK72" s="4"/>
      <c r="BEL72" s="4"/>
      <c r="BEM72" s="4"/>
      <c r="BEN72" s="4"/>
      <c r="BEO72" s="4"/>
      <c r="BEP72" s="4"/>
      <c r="BEQ72" s="4"/>
      <c r="BER72" s="4"/>
      <c r="BES72" s="4"/>
      <c r="BET72" s="4"/>
      <c r="BEU72" s="4"/>
      <c r="BEV72" s="4"/>
      <c r="BEW72" s="4"/>
      <c r="BEX72" s="4"/>
      <c r="BEY72" s="4"/>
      <c r="BEZ72" s="4"/>
      <c r="BFA72" s="4"/>
      <c r="BFB72" s="4"/>
      <c r="BFC72" s="4"/>
      <c r="BFD72" s="4"/>
      <c r="BFE72" s="4"/>
      <c r="BFF72" s="4"/>
      <c r="BFG72" s="4"/>
      <c r="BFH72" s="4"/>
      <c r="BFI72" s="4"/>
      <c r="BFJ72" s="4"/>
      <c r="BFK72" s="4"/>
      <c r="BFL72" s="4"/>
      <c r="BFM72" s="4"/>
      <c r="BFN72" s="4"/>
      <c r="BFO72" s="4"/>
      <c r="BFP72" s="4"/>
      <c r="BFQ72" s="4"/>
      <c r="BFR72" s="4"/>
      <c r="BFS72" s="4"/>
      <c r="BFT72" s="4"/>
      <c r="BFU72" s="4"/>
      <c r="BFV72" s="4"/>
      <c r="BFW72" s="4"/>
      <c r="BFX72" s="4"/>
      <c r="BFY72" s="4"/>
      <c r="BFZ72" s="4"/>
      <c r="BGA72" s="4"/>
      <c r="BGB72" s="4"/>
      <c r="BGC72" s="4"/>
      <c r="BGD72" s="4"/>
      <c r="BGE72" s="4"/>
      <c r="BGF72" s="4"/>
      <c r="BGG72" s="4"/>
      <c r="BGH72" s="4"/>
      <c r="BGI72" s="4"/>
      <c r="BGJ72" s="4"/>
      <c r="BGK72" s="4"/>
      <c r="BGL72" s="4"/>
      <c r="BGM72" s="4"/>
      <c r="BGN72" s="4"/>
      <c r="BGO72" s="4"/>
      <c r="BGP72" s="4"/>
      <c r="BGQ72" s="4"/>
      <c r="BGR72" s="4"/>
      <c r="BGS72" s="4"/>
      <c r="BGT72" s="4"/>
      <c r="BGU72" s="4"/>
      <c r="BGV72" s="4"/>
      <c r="BGW72" s="4"/>
      <c r="BGX72" s="4"/>
      <c r="BGY72" s="4"/>
      <c r="BGZ72" s="4"/>
      <c r="BHA72" s="4"/>
      <c r="BHB72" s="4"/>
      <c r="BHC72" s="4"/>
      <c r="BHD72" s="4"/>
      <c r="BHE72" s="4"/>
      <c r="BHF72" s="4"/>
      <c r="BHG72" s="4"/>
      <c r="BHH72" s="4"/>
      <c r="BHI72" s="4"/>
      <c r="BHJ72" s="4"/>
      <c r="BHK72" s="4"/>
      <c r="BHL72" s="4"/>
      <c r="BHM72" s="4"/>
      <c r="BHN72" s="4"/>
      <c r="BHO72" s="4"/>
      <c r="BHP72" s="4"/>
      <c r="BHQ72" s="4"/>
      <c r="BHR72" s="4"/>
      <c r="BHS72" s="4"/>
      <c r="BHT72" s="4"/>
      <c r="BHU72" s="4"/>
      <c r="BHV72" s="4"/>
      <c r="BHW72" s="4"/>
      <c r="BHX72" s="4"/>
      <c r="BHY72" s="4"/>
      <c r="BHZ72" s="4"/>
      <c r="BIA72" s="4"/>
      <c r="BIB72" s="4"/>
      <c r="BIC72" s="4"/>
      <c r="BID72" s="4"/>
      <c r="BIE72" s="4"/>
      <c r="BIF72" s="4"/>
      <c r="BIG72" s="4"/>
      <c r="BIH72" s="4"/>
      <c r="BII72" s="4"/>
      <c r="BIJ72" s="4"/>
      <c r="BIK72" s="4"/>
      <c r="BIL72" s="4"/>
      <c r="BIM72" s="4"/>
      <c r="BIN72" s="4"/>
      <c r="BIO72" s="4"/>
      <c r="BIP72" s="4"/>
      <c r="BIQ72" s="4"/>
      <c r="BIR72" s="4"/>
      <c r="BIS72" s="4"/>
      <c r="BIT72" s="4"/>
      <c r="BIU72" s="4"/>
      <c r="BIV72" s="4"/>
      <c r="BIW72" s="4"/>
      <c r="BIX72" s="4"/>
      <c r="BIY72" s="4"/>
      <c r="BIZ72" s="4"/>
      <c r="BJA72" s="4"/>
      <c r="BJB72" s="4"/>
      <c r="BJC72" s="4"/>
      <c r="BJD72" s="4"/>
      <c r="BJE72" s="4"/>
      <c r="BJF72" s="4"/>
      <c r="BJG72" s="4"/>
      <c r="BJH72" s="4"/>
      <c r="BJI72" s="4"/>
      <c r="BJJ72" s="4"/>
      <c r="BJK72" s="4"/>
      <c r="BJL72" s="4"/>
      <c r="BJM72" s="4"/>
      <c r="BJN72" s="4"/>
      <c r="BJO72" s="4"/>
      <c r="BJP72" s="4"/>
      <c r="BJQ72" s="4"/>
      <c r="BJR72" s="4"/>
      <c r="BJS72" s="4"/>
      <c r="BJT72" s="4"/>
      <c r="BJU72" s="4"/>
      <c r="BJV72" s="4"/>
      <c r="BJW72" s="4"/>
      <c r="BJX72" s="4"/>
      <c r="BJY72" s="4"/>
      <c r="BJZ72" s="4"/>
      <c r="BKA72" s="4"/>
      <c r="BKB72" s="4"/>
      <c r="BKC72" s="4"/>
      <c r="BKD72" s="4"/>
      <c r="BKE72" s="4"/>
      <c r="BKF72" s="4"/>
      <c r="BKG72" s="4"/>
      <c r="BKH72" s="4"/>
      <c r="BKI72" s="4"/>
      <c r="BKJ72" s="4"/>
      <c r="BKK72" s="4"/>
      <c r="BKL72" s="4"/>
      <c r="BKM72" s="4"/>
      <c r="BKN72" s="4"/>
      <c r="BKO72" s="4"/>
      <c r="BKP72" s="4"/>
      <c r="BKQ72" s="4"/>
      <c r="BKR72" s="4"/>
      <c r="BKS72" s="4"/>
      <c r="BKT72" s="4"/>
      <c r="BKU72" s="4"/>
      <c r="BKV72" s="4"/>
      <c r="BKW72" s="4"/>
      <c r="BKX72" s="4"/>
      <c r="BKY72" s="4"/>
      <c r="BKZ72" s="4"/>
      <c r="BLA72" s="4"/>
      <c r="BLB72" s="4"/>
      <c r="BLC72" s="4"/>
      <c r="BLD72" s="4"/>
      <c r="BLE72" s="4"/>
      <c r="BLF72" s="4"/>
      <c r="BLG72" s="4"/>
      <c r="BLH72" s="4"/>
      <c r="BLI72" s="4"/>
      <c r="BLJ72" s="4"/>
      <c r="BLK72" s="4"/>
      <c r="BLL72" s="4"/>
      <c r="BLM72" s="4"/>
      <c r="BLN72" s="4"/>
      <c r="BLO72" s="4"/>
      <c r="BLP72" s="4"/>
      <c r="BLQ72" s="4"/>
      <c r="BLR72" s="4"/>
      <c r="BLS72" s="4"/>
      <c r="BLT72" s="4"/>
      <c r="BLU72" s="4"/>
      <c r="BLV72" s="4"/>
      <c r="BLW72" s="4"/>
      <c r="BLX72" s="4"/>
      <c r="BLY72" s="4"/>
      <c r="BLZ72" s="4"/>
      <c r="BMA72" s="4"/>
      <c r="BMB72" s="4"/>
      <c r="BMC72" s="4"/>
      <c r="BMD72" s="4"/>
      <c r="BME72" s="4"/>
      <c r="BMF72" s="4"/>
      <c r="BMG72" s="4"/>
      <c r="BMH72" s="4"/>
      <c r="BMI72" s="4"/>
      <c r="BMJ72" s="4"/>
      <c r="BMK72" s="4"/>
      <c r="BML72" s="4"/>
      <c r="BMM72" s="4"/>
      <c r="BMN72" s="4"/>
      <c r="BMO72" s="4"/>
      <c r="BMP72" s="4"/>
      <c r="BMQ72" s="4"/>
      <c r="BMR72" s="4"/>
      <c r="BMS72" s="4"/>
      <c r="BMT72" s="4"/>
      <c r="BMU72" s="4"/>
      <c r="BMV72" s="4"/>
      <c r="BMW72" s="4"/>
      <c r="BMX72" s="4"/>
      <c r="BMY72" s="4"/>
      <c r="BMZ72" s="4"/>
      <c r="BNA72" s="4"/>
      <c r="BNB72" s="4"/>
      <c r="BNC72" s="4"/>
      <c r="BND72" s="4"/>
      <c r="BNE72" s="4"/>
      <c r="BNF72" s="4"/>
      <c r="BNG72" s="4"/>
      <c r="BNH72" s="4"/>
      <c r="BNI72" s="4"/>
      <c r="BNJ72" s="4"/>
      <c r="BNK72" s="4"/>
      <c r="BNL72" s="4"/>
      <c r="BNM72" s="4"/>
      <c r="BNN72" s="4"/>
      <c r="BNO72" s="4"/>
      <c r="BNP72" s="4"/>
      <c r="BNQ72" s="4"/>
      <c r="BNR72" s="4"/>
      <c r="BNS72" s="4"/>
      <c r="BNT72" s="4"/>
      <c r="BNU72" s="4"/>
      <c r="BNV72" s="4"/>
      <c r="BNW72" s="4"/>
      <c r="BNX72" s="4"/>
      <c r="BNY72" s="4"/>
      <c r="BNZ72" s="4"/>
      <c r="BOA72" s="4"/>
      <c r="BOB72" s="4"/>
      <c r="BOC72" s="4"/>
      <c r="BOD72" s="4"/>
      <c r="BOE72" s="4"/>
      <c r="BOF72" s="4"/>
      <c r="BOG72" s="4"/>
      <c r="BOH72" s="4"/>
      <c r="BOI72" s="4"/>
      <c r="BOJ72" s="4"/>
      <c r="BOK72" s="4"/>
      <c r="BOL72" s="4"/>
      <c r="BOM72" s="4"/>
      <c r="BON72" s="4"/>
      <c r="BOO72" s="4"/>
      <c r="BOP72" s="4"/>
      <c r="BOQ72" s="4"/>
      <c r="BOR72" s="4"/>
      <c r="BOS72" s="4"/>
      <c r="BOT72" s="4"/>
      <c r="BOU72" s="4"/>
      <c r="BOV72" s="4"/>
      <c r="BOW72" s="4"/>
      <c r="BOX72" s="4"/>
      <c r="BOY72" s="4"/>
      <c r="BOZ72" s="4"/>
      <c r="BPA72" s="4"/>
      <c r="BPB72" s="4"/>
      <c r="BPC72" s="4"/>
      <c r="BPD72" s="4"/>
      <c r="BPE72" s="4"/>
      <c r="BPF72" s="4"/>
      <c r="BPG72" s="4"/>
      <c r="BPH72" s="4"/>
      <c r="BPI72" s="4"/>
      <c r="BPJ72" s="4"/>
      <c r="BPK72" s="4"/>
      <c r="BPL72" s="4"/>
      <c r="BPM72" s="4"/>
      <c r="BPN72" s="4"/>
      <c r="BPO72" s="4"/>
      <c r="BPP72" s="4"/>
      <c r="BPQ72" s="4"/>
      <c r="BPR72" s="4"/>
      <c r="BPS72" s="4"/>
      <c r="BPT72" s="4"/>
      <c r="BPU72" s="4"/>
      <c r="BPV72" s="4"/>
      <c r="BPW72" s="4"/>
      <c r="BPX72" s="4"/>
      <c r="BPY72" s="4"/>
      <c r="BPZ72" s="4"/>
      <c r="BQA72" s="4"/>
      <c r="BQB72" s="4"/>
      <c r="BQC72" s="4"/>
      <c r="BQD72" s="4"/>
      <c r="BQE72" s="4"/>
      <c r="BQF72" s="4"/>
      <c r="BQG72" s="4"/>
      <c r="BQH72" s="4"/>
      <c r="BQI72" s="4"/>
      <c r="BQJ72" s="4"/>
      <c r="BQK72" s="4"/>
      <c r="BQL72" s="4"/>
      <c r="BQM72" s="4"/>
      <c r="BQN72" s="4"/>
      <c r="BQO72" s="4"/>
      <c r="BQP72" s="4"/>
      <c r="BQQ72" s="4"/>
      <c r="BQR72" s="4"/>
      <c r="BQS72" s="4"/>
      <c r="BQT72" s="4"/>
      <c r="BQU72" s="4"/>
      <c r="BQV72" s="4"/>
      <c r="BQW72" s="4"/>
      <c r="BQX72" s="4"/>
      <c r="BQY72" s="4"/>
      <c r="BQZ72" s="4"/>
      <c r="BRA72" s="4"/>
      <c r="BRB72" s="4"/>
      <c r="BRC72" s="4"/>
      <c r="BRD72" s="4"/>
      <c r="BRE72" s="4"/>
      <c r="BRF72" s="4"/>
      <c r="BRG72" s="4"/>
      <c r="BRH72" s="4"/>
      <c r="BRI72" s="4"/>
      <c r="BRJ72" s="4"/>
      <c r="BRK72" s="4"/>
      <c r="BRL72" s="4"/>
      <c r="BRM72" s="4"/>
      <c r="BRN72" s="4"/>
      <c r="BRO72" s="4"/>
      <c r="BRP72" s="4"/>
      <c r="BRQ72" s="4"/>
      <c r="BRR72" s="4"/>
      <c r="BRS72" s="4"/>
      <c r="BRT72" s="4"/>
      <c r="BRU72" s="4"/>
      <c r="BRV72" s="4"/>
      <c r="BRW72" s="4"/>
      <c r="BRX72" s="4"/>
      <c r="BRY72" s="4"/>
      <c r="BRZ72" s="4"/>
      <c r="BSA72" s="4"/>
      <c r="BSB72" s="4"/>
      <c r="BSC72" s="4"/>
      <c r="BSD72" s="4"/>
      <c r="BSE72" s="4"/>
      <c r="BSF72" s="4"/>
      <c r="BSG72" s="4"/>
      <c r="BSH72" s="4"/>
      <c r="BSI72" s="4"/>
      <c r="BSJ72" s="4"/>
      <c r="BSK72" s="4"/>
      <c r="BSL72" s="4"/>
      <c r="BSM72" s="4"/>
      <c r="BSN72" s="4"/>
      <c r="BSO72" s="4"/>
      <c r="BSP72" s="4"/>
      <c r="BSQ72" s="4"/>
      <c r="BSR72" s="4"/>
      <c r="BSS72" s="4"/>
      <c r="BST72" s="4"/>
      <c r="BSU72" s="4"/>
      <c r="BSV72" s="4"/>
      <c r="BSW72" s="4"/>
      <c r="BSX72" s="4"/>
      <c r="BSY72" s="4"/>
      <c r="BSZ72" s="4"/>
      <c r="BTA72" s="4"/>
      <c r="BTB72" s="4"/>
      <c r="BTC72" s="4"/>
      <c r="BTD72" s="4"/>
      <c r="BTE72" s="4"/>
      <c r="BTF72" s="4"/>
      <c r="BTG72" s="4"/>
      <c r="BTH72" s="4"/>
      <c r="BTI72" s="4"/>
      <c r="BTJ72" s="4"/>
      <c r="BTK72" s="4"/>
      <c r="BTL72" s="4"/>
      <c r="BTM72" s="4"/>
      <c r="BTN72" s="4"/>
      <c r="BTO72" s="4"/>
      <c r="BTP72" s="4"/>
      <c r="BTQ72" s="4"/>
      <c r="BTR72" s="4"/>
      <c r="BTS72" s="4"/>
      <c r="BTT72" s="4"/>
      <c r="BTU72" s="4"/>
      <c r="BTV72" s="4"/>
      <c r="BTW72" s="4"/>
      <c r="BTX72" s="4"/>
      <c r="BTY72" s="4"/>
      <c r="BTZ72" s="4"/>
      <c r="BUA72" s="4"/>
      <c r="BUB72" s="4"/>
      <c r="BUC72" s="4"/>
      <c r="BUD72" s="4"/>
      <c r="BUE72" s="4"/>
      <c r="BUF72" s="4"/>
      <c r="BUG72" s="4"/>
      <c r="BUH72" s="4"/>
      <c r="BUI72" s="4"/>
      <c r="BUJ72" s="4"/>
      <c r="BUK72" s="4"/>
      <c r="BUL72" s="4"/>
      <c r="BUM72" s="4"/>
      <c r="BUN72" s="4"/>
      <c r="BUO72" s="4"/>
      <c r="BUP72" s="4"/>
      <c r="BUQ72" s="4"/>
      <c r="BUR72" s="4"/>
      <c r="BUS72" s="4"/>
      <c r="BUT72" s="4"/>
      <c r="BUU72" s="4"/>
      <c r="BUV72" s="4"/>
      <c r="BUW72" s="4"/>
      <c r="BUX72" s="4"/>
      <c r="BUY72" s="4"/>
      <c r="BUZ72" s="4"/>
      <c r="BVA72" s="4"/>
      <c r="BVB72" s="4"/>
      <c r="BVC72" s="4"/>
      <c r="BVD72" s="4"/>
      <c r="BVE72" s="4"/>
      <c r="BVF72" s="4"/>
      <c r="BVG72" s="4"/>
      <c r="BVH72" s="4"/>
      <c r="BVI72" s="4"/>
      <c r="BVJ72" s="4"/>
      <c r="BVK72" s="4"/>
      <c r="BVL72" s="4"/>
      <c r="BVM72" s="4"/>
      <c r="BVN72" s="4"/>
      <c r="BVO72" s="4"/>
      <c r="BVP72" s="4"/>
      <c r="BVQ72" s="4"/>
      <c r="BVR72" s="4"/>
      <c r="BVS72" s="4"/>
      <c r="BVT72" s="4"/>
      <c r="BVU72" s="4"/>
      <c r="BVV72" s="4"/>
      <c r="BVW72" s="4"/>
      <c r="BVX72" s="4"/>
      <c r="BVY72" s="4"/>
      <c r="BVZ72" s="4"/>
      <c r="BWA72" s="4"/>
      <c r="BWB72" s="4"/>
      <c r="BWC72" s="4"/>
      <c r="BWD72" s="4"/>
      <c r="BWE72" s="4"/>
      <c r="BWF72" s="4"/>
      <c r="BWG72" s="4"/>
      <c r="BWH72" s="4"/>
      <c r="BWI72" s="4"/>
      <c r="BWJ72" s="4"/>
      <c r="BWK72" s="4"/>
      <c r="BWL72" s="4"/>
      <c r="BWM72" s="4"/>
      <c r="BWN72" s="4"/>
      <c r="BWO72" s="4"/>
      <c r="BWP72" s="4"/>
      <c r="BWQ72" s="4"/>
      <c r="BWR72" s="4"/>
      <c r="BWS72" s="4"/>
      <c r="BWT72" s="4"/>
      <c r="BWU72" s="4"/>
      <c r="BWV72" s="4"/>
      <c r="BWW72" s="4"/>
      <c r="BWX72" s="4"/>
      <c r="BWY72" s="4"/>
      <c r="BWZ72" s="4"/>
      <c r="BXA72" s="4"/>
      <c r="BXB72" s="4"/>
      <c r="BXC72" s="4"/>
      <c r="BXD72" s="4"/>
      <c r="BXE72" s="4"/>
      <c r="BXF72" s="4"/>
      <c r="BXG72" s="4"/>
      <c r="BXH72" s="4"/>
      <c r="BXI72" s="4"/>
      <c r="BXJ72" s="4"/>
      <c r="BXK72" s="4"/>
      <c r="BXL72" s="4"/>
      <c r="BXM72" s="4"/>
      <c r="BXN72" s="4"/>
      <c r="BXO72" s="4"/>
      <c r="BXP72" s="4"/>
      <c r="BXQ72" s="4"/>
      <c r="BXR72" s="4"/>
      <c r="BXS72" s="4"/>
      <c r="BXT72" s="4"/>
      <c r="BXU72" s="4"/>
      <c r="BXV72" s="4"/>
      <c r="BXW72" s="4"/>
      <c r="BXX72" s="4"/>
      <c r="BXY72" s="4"/>
      <c r="BXZ72" s="4"/>
      <c r="BYA72" s="4"/>
      <c r="BYB72" s="4"/>
      <c r="BYC72" s="4"/>
      <c r="BYD72" s="4"/>
      <c r="BYE72" s="4"/>
      <c r="BYF72" s="4"/>
      <c r="BYG72" s="4"/>
      <c r="BYH72" s="4"/>
      <c r="BYI72" s="4"/>
      <c r="BYJ72" s="4"/>
      <c r="BYK72" s="4"/>
      <c r="BYL72" s="4"/>
      <c r="BYM72" s="4"/>
      <c r="BYN72" s="4"/>
      <c r="BYO72" s="4"/>
      <c r="BYP72" s="4"/>
      <c r="BYQ72" s="4"/>
      <c r="BYR72" s="4"/>
      <c r="BYS72" s="4"/>
      <c r="BYT72" s="4"/>
      <c r="BYU72" s="4"/>
      <c r="BYV72" s="4"/>
      <c r="BYW72" s="4"/>
      <c r="BYX72" s="4"/>
      <c r="BYY72" s="4"/>
      <c r="BYZ72" s="4"/>
      <c r="BZA72" s="4"/>
      <c r="BZB72" s="4"/>
      <c r="BZC72" s="4"/>
      <c r="BZD72" s="4"/>
      <c r="BZE72" s="4"/>
      <c r="BZF72" s="4"/>
      <c r="BZG72" s="4"/>
      <c r="BZH72" s="4"/>
      <c r="BZI72" s="4"/>
      <c r="BZJ72" s="4"/>
      <c r="BZK72" s="4"/>
      <c r="BZL72" s="4"/>
      <c r="BZM72" s="4"/>
      <c r="BZN72" s="4"/>
      <c r="BZO72" s="4"/>
      <c r="BZP72" s="4"/>
      <c r="BZQ72" s="4"/>
      <c r="BZR72" s="4"/>
      <c r="BZS72" s="4"/>
      <c r="BZT72" s="4"/>
      <c r="BZU72" s="4"/>
      <c r="BZV72" s="4"/>
      <c r="BZW72" s="4"/>
      <c r="BZX72" s="4"/>
      <c r="BZY72" s="4"/>
      <c r="BZZ72" s="4"/>
      <c r="CAA72" s="4"/>
      <c r="CAB72" s="4"/>
      <c r="CAC72" s="4"/>
      <c r="CAD72" s="4"/>
      <c r="CAE72" s="4"/>
      <c r="CAF72" s="4"/>
      <c r="CAG72" s="4"/>
      <c r="CAH72" s="4"/>
      <c r="CAI72" s="4"/>
      <c r="CAJ72" s="4"/>
      <c r="CAK72" s="4"/>
      <c r="CAL72" s="4"/>
      <c r="CAM72" s="4"/>
      <c r="CAN72" s="4"/>
      <c r="CAO72" s="4"/>
      <c r="CAP72" s="4"/>
      <c r="CAQ72" s="4"/>
      <c r="CAR72" s="4"/>
      <c r="CAS72" s="4"/>
      <c r="CAT72" s="4"/>
      <c r="CAU72" s="4"/>
      <c r="CAV72" s="4"/>
      <c r="CAW72" s="4"/>
      <c r="CAX72" s="4"/>
      <c r="CAY72" s="4"/>
      <c r="CAZ72" s="4"/>
      <c r="CBA72" s="4"/>
      <c r="CBB72" s="4"/>
      <c r="CBC72" s="4"/>
      <c r="CBD72" s="4"/>
      <c r="CBE72" s="4"/>
      <c r="CBF72" s="4"/>
      <c r="CBG72" s="4"/>
      <c r="CBH72" s="4"/>
      <c r="CBI72" s="4"/>
      <c r="CBJ72" s="4"/>
      <c r="CBK72" s="4"/>
      <c r="CBL72" s="4"/>
      <c r="CBM72" s="4"/>
      <c r="CBN72" s="4"/>
      <c r="CBO72" s="4"/>
      <c r="CBP72" s="4"/>
      <c r="CBQ72" s="4"/>
      <c r="CBR72" s="4"/>
      <c r="CBS72" s="4"/>
      <c r="CBT72" s="4"/>
      <c r="CBU72" s="4"/>
      <c r="CBV72" s="4"/>
      <c r="CBW72" s="4"/>
      <c r="CBX72" s="4"/>
      <c r="CBY72" s="4"/>
      <c r="CBZ72" s="4"/>
      <c r="CCA72" s="4"/>
      <c r="CCB72" s="4"/>
      <c r="CCC72" s="4"/>
      <c r="CCD72" s="4"/>
      <c r="CCE72" s="4"/>
      <c r="CCF72" s="4"/>
      <c r="CCG72" s="4"/>
      <c r="CCH72" s="4"/>
      <c r="CCI72" s="4"/>
      <c r="CCJ72" s="4"/>
      <c r="CCK72" s="4"/>
      <c r="CCL72" s="4"/>
      <c r="CCM72" s="4"/>
      <c r="CCN72" s="4"/>
      <c r="CCO72" s="4"/>
      <c r="CCP72" s="4"/>
      <c r="CCQ72" s="4"/>
      <c r="CCR72" s="4"/>
      <c r="CCS72" s="4"/>
      <c r="CCT72" s="4"/>
      <c r="CCU72" s="4"/>
      <c r="CCV72" s="4"/>
      <c r="CCW72" s="4"/>
      <c r="CCX72" s="4"/>
      <c r="CCY72" s="4"/>
      <c r="CCZ72" s="4"/>
      <c r="CDA72" s="4"/>
      <c r="CDB72" s="4"/>
      <c r="CDC72" s="4"/>
      <c r="CDD72" s="4"/>
      <c r="CDE72" s="4"/>
      <c r="CDF72" s="4"/>
      <c r="CDG72" s="4"/>
      <c r="CDH72" s="4"/>
      <c r="CDI72" s="4"/>
      <c r="CDJ72" s="4"/>
      <c r="CDK72" s="4"/>
      <c r="CDL72" s="4"/>
      <c r="CDM72" s="4"/>
      <c r="CDN72" s="4"/>
      <c r="CDO72" s="4"/>
      <c r="CDP72" s="4"/>
      <c r="CDQ72" s="4"/>
      <c r="CDR72" s="4"/>
      <c r="CDS72" s="4"/>
      <c r="CDT72" s="4"/>
      <c r="CDU72" s="4"/>
      <c r="CDV72" s="4"/>
      <c r="CDW72" s="4"/>
      <c r="CDX72" s="4"/>
      <c r="CDY72" s="4"/>
      <c r="CDZ72" s="4"/>
      <c r="CEA72" s="4"/>
      <c r="CEB72" s="4"/>
      <c r="CEC72" s="4"/>
      <c r="CED72" s="4"/>
      <c r="CEE72" s="4"/>
      <c r="CEF72" s="4"/>
      <c r="CEG72" s="4"/>
      <c r="CEH72" s="4"/>
      <c r="CEI72" s="4"/>
      <c r="CEJ72" s="4"/>
      <c r="CEK72" s="4"/>
      <c r="CEL72" s="4"/>
      <c r="CEM72" s="4"/>
      <c r="CEN72" s="4"/>
      <c r="CEO72" s="4"/>
      <c r="CEP72" s="4"/>
      <c r="CEQ72" s="4"/>
      <c r="CER72" s="4"/>
      <c r="CES72" s="4"/>
      <c r="CET72" s="4"/>
      <c r="CEU72" s="4"/>
      <c r="CEV72" s="4"/>
      <c r="CEW72" s="4"/>
      <c r="CEX72" s="4"/>
      <c r="CEY72" s="4"/>
      <c r="CEZ72" s="4"/>
      <c r="CFA72" s="4"/>
      <c r="CFB72" s="4"/>
      <c r="CFC72" s="4"/>
      <c r="CFD72" s="4"/>
      <c r="CFE72" s="4"/>
      <c r="CFF72" s="4"/>
      <c r="CFG72" s="4"/>
      <c r="CFH72" s="4"/>
      <c r="CFI72" s="4"/>
      <c r="CFJ72" s="4"/>
      <c r="CFK72" s="4"/>
      <c r="CFL72" s="4"/>
      <c r="CFM72" s="4"/>
      <c r="CFN72" s="4"/>
      <c r="CFO72" s="4"/>
      <c r="CFP72" s="4"/>
      <c r="CFQ72" s="4"/>
      <c r="CFR72" s="4"/>
      <c r="CFS72" s="4"/>
      <c r="CFT72" s="4"/>
      <c r="CFU72" s="4"/>
      <c r="CFV72" s="4"/>
      <c r="CFW72" s="4"/>
      <c r="CFX72" s="4"/>
      <c r="CFY72" s="4"/>
      <c r="CFZ72" s="4"/>
      <c r="CGA72" s="4"/>
      <c r="CGB72" s="4"/>
      <c r="CGC72" s="4"/>
      <c r="CGD72" s="4"/>
      <c r="CGE72" s="4"/>
      <c r="CGF72" s="4"/>
      <c r="CGG72" s="4"/>
      <c r="CGH72" s="4"/>
      <c r="CGI72" s="4"/>
      <c r="CGJ72" s="4"/>
      <c r="CGK72" s="4"/>
      <c r="CGL72" s="4"/>
      <c r="CGM72" s="4"/>
      <c r="CGN72" s="4"/>
      <c r="CGO72" s="4"/>
      <c r="CGP72" s="4"/>
      <c r="CGQ72" s="4"/>
      <c r="CGR72" s="4"/>
      <c r="CGS72" s="4"/>
      <c r="CGT72" s="4"/>
      <c r="CGU72" s="4"/>
      <c r="CGV72" s="4"/>
      <c r="CGW72" s="4"/>
      <c r="CGX72" s="4"/>
      <c r="CGY72" s="4"/>
      <c r="CGZ72" s="4"/>
      <c r="CHA72" s="4"/>
      <c r="CHB72" s="4"/>
      <c r="CHC72" s="4"/>
      <c r="CHD72" s="4"/>
      <c r="CHE72" s="4"/>
      <c r="CHF72" s="4"/>
      <c r="CHG72" s="4"/>
      <c r="CHH72" s="4"/>
      <c r="CHI72" s="4"/>
      <c r="CHJ72" s="4"/>
      <c r="CHK72" s="4"/>
      <c r="CHL72" s="4"/>
      <c r="CHM72" s="4"/>
      <c r="CHN72" s="4"/>
      <c r="CHO72" s="4"/>
      <c r="CHP72" s="4"/>
      <c r="CHQ72" s="4"/>
      <c r="CHR72" s="4"/>
      <c r="CHS72" s="4"/>
      <c r="CHT72" s="4"/>
      <c r="CHU72" s="4"/>
      <c r="CHV72" s="4"/>
      <c r="CHW72" s="4"/>
      <c r="CHX72" s="4"/>
      <c r="CHY72" s="4"/>
      <c r="CHZ72" s="4"/>
      <c r="CIA72" s="4"/>
      <c r="CIB72" s="4"/>
      <c r="CIC72" s="4"/>
      <c r="CID72" s="4"/>
      <c r="CIE72" s="4"/>
      <c r="CIF72" s="4"/>
      <c r="CIG72" s="4"/>
      <c r="CIH72" s="4"/>
      <c r="CII72" s="4"/>
      <c r="CIJ72" s="4"/>
      <c r="CIK72" s="4"/>
      <c r="CIL72" s="4"/>
      <c r="CIM72" s="4"/>
      <c r="CIN72" s="4"/>
      <c r="CIO72" s="4"/>
      <c r="CIP72" s="4"/>
      <c r="CIQ72" s="4"/>
      <c r="CIR72" s="4"/>
      <c r="CIS72" s="4"/>
      <c r="CIT72" s="4"/>
      <c r="CIU72" s="4"/>
      <c r="CIV72" s="4"/>
      <c r="CIW72" s="4"/>
      <c r="CIX72" s="4"/>
      <c r="CIY72" s="4"/>
      <c r="CIZ72" s="4"/>
      <c r="CJA72" s="4"/>
      <c r="CJB72" s="4"/>
      <c r="CJC72" s="4"/>
      <c r="CJD72" s="4"/>
      <c r="CJE72" s="4"/>
      <c r="CJF72" s="4"/>
      <c r="CJG72" s="4"/>
      <c r="CJH72" s="4"/>
      <c r="CJI72" s="4"/>
      <c r="CJJ72" s="4"/>
      <c r="CJK72" s="4"/>
      <c r="CJL72" s="4"/>
      <c r="CJM72" s="4"/>
      <c r="CJN72" s="4"/>
      <c r="CJO72" s="4"/>
      <c r="CJP72" s="4"/>
      <c r="CJQ72" s="4"/>
      <c r="CJR72" s="4"/>
      <c r="CJS72" s="4"/>
      <c r="CJT72" s="4"/>
      <c r="CJU72" s="4"/>
      <c r="CJV72" s="4"/>
      <c r="CJW72" s="4"/>
      <c r="CJX72" s="4"/>
      <c r="CJY72" s="4"/>
      <c r="CJZ72" s="4"/>
      <c r="CKA72" s="4"/>
      <c r="CKB72" s="4"/>
      <c r="CKC72" s="4"/>
      <c r="CKD72" s="4"/>
      <c r="CKE72" s="4"/>
      <c r="CKF72" s="4"/>
      <c r="CKG72" s="4"/>
      <c r="CKH72" s="4"/>
      <c r="CKI72" s="4"/>
      <c r="CKJ72" s="4"/>
      <c r="CKK72" s="4"/>
      <c r="CKL72" s="4"/>
      <c r="CKM72" s="4"/>
      <c r="CKN72" s="4"/>
      <c r="CKO72" s="4"/>
      <c r="CKP72" s="4"/>
      <c r="CKQ72" s="4"/>
      <c r="CKR72" s="4"/>
      <c r="CKS72" s="4"/>
      <c r="CKT72" s="4"/>
      <c r="CKU72" s="4"/>
      <c r="CKV72" s="4"/>
      <c r="CKW72" s="4"/>
      <c r="CKX72" s="4"/>
      <c r="CKY72" s="4"/>
      <c r="CKZ72" s="4"/>
      <c r="CLA72" s="4"/>
      <c r="CLB72" s="4"/>
      <c r="CLC72" s="4"/>
      <c r="CLD72" s="4"/>
      <c r="CLE72" s="4"/>
      <c r="CLF72" s="4"/>
      <c r="CLG72" s="4"/>
      <c r="CLH72" s="4"/>
      <c r="CLI72" s="4"/>
      <c r="CLJ72" s="4"/>
      <c r="CLK72" s="4"/>
      <c r="CLL72" s="4"/>
      <c r="CLM72" s="4"/>
      <c r="CLN72" s="4"/>
      <c r="CLO72" s="4"/>
      <c r="CLP72" s="4"/>
      <c r="CLQ72" s="4"/>
      <c r="CLR72" s="4"/>
      <c r="CLS72" s="4"/>
      <c r="CLT72" s="4"/>
      <c r="CLU72" s="4"/>
      <c r="CLV72" s="4"/>
      <c r="CLW72" s="4"/>
      <c r="CLX72" s="4"/>
      <c r="CLY72" s="4"/>
      <c r="CLZ72" s="4"/>
      <c r="CMA72" s="4"/>
      <c r="CMB72" s="4"/>
      <c r="CMC72" s="4"/>
      <c r="CMD72" s="4"/>
      <c r="CME72" s="4"/>
      <c r="CMF72" s="4"/>
      <c r="CMG72" s="4"/>
      <c r="CMH72" s="4"/>
      <c r="CMI72" s="4"/>
      <c r="CMJ72" s="4"/>
      <c r="CMK72" s="4"/>
      <c r="CML72" s="4"/>
      <c r="CMM72" s="4"/>
      <c r="CMN72" s="4"/>
      <c r="CMO72" s="4"/>
      <c r="CMP72" s="4"/>
      <c r="CMQ72" s="4"/>
      <c r="CMR72" s="4"/>
      <c r="CMS72" s="4"/>
      <c r="CMT72" s="4"/>
      <c r="CMU72" s="4"/>
      <c r="CMV72" s="4"/>
      <c r="CMW72" s="4"/>
      <c r="CMX72" s="4"/>
      <c r="CMY72" s="4"/>
      <c r="CMZ72" s="4"/>
      <c r="CNA72" s="4"/>
      <c r="CNB72" s="4"/>
      <c r="CNC72" s="4"/>
      <c r="CND72" s="4"/>
      <c r="CNE72" s="4"/>
      <c r="CNF72" s="4"/>
      <c r="CNG72" s="4"/>
      <c r="CNH72" s="4"/>
      <c r="CNI72" s="4"/>
      <c r="CNJ72" s="4"/>
      <c r="CNK72" s="4"/>
      <c r="CNL72" s="4"/>
      <c r="CNM72" s="4"/>
      <c r="CNN72" s="4"/>
      <c r="CNO72" s="4"/>
      <c r="CNP72" s="4"/>
      <c r="CNQ72" s="4"/>
      <c r="CNR72" s="4"/>
      <c r="CNS72" s="4"/>
      <c r="CNT72" s="4"/>
      <c r="CNU72" s="4"/>
      <c r="CNV72" s="4"/>
      <c r="CNW72" s="4"/>
      <c r="CNX72" s="4"/>
      <c r="CNY72" s="4"/>
      <c r="CNZ72" s="4"/>
      <c r="COA72" s="4"/>
      <c r="COB72" s="4"/>
      <c r="COC72" s="4"/>
      <c r="COD72" s="4"/>
      <c r="COE72" s="4"/>
      <c r="COF72" s="4"/>
      <c r="COG72" s="4"/>
      <c r="COH72" s="4"/>
      <c r="COI72" s="4"/>
      <c r="COJ72" s="4"/>
      <c r="COK72" s="4"/>
      <c r="COL72" s="4"/>
      <c r="COM72" s="4"/>
      <c r="CON72" s="4"/>
      <c r="COO72" s="4"/>
      <c r="COP72" s="4"/>
      <c r="COQ72" s="4"/>
      <c r="COR72" s="4"/>
      <c r="COS72" s="4"/>
      <c r="COT72" s="4"/>
      <c r="COU72" s="4"/>
      <c r="COV72" s="4"/>
      <c r="COW72" s="4"/>
      <c r="COX72" s="4"/>
      <c r="COY72" s="4"/>
      <c r="COZ72" s="4"/>
      <c r="CPA72" s="4"/>
      <c r="CPB72" s="4"/>
      <c r="CPC72" s="4"/>
      <c r="CPD72" s="4"/>
      <c r="CPE72" s="4"/>
      <c r="CPF72" s="4"/>
      <c r="CPG72" s="4"/>
      <c r="CPH72" s="4"/>
      <c r="CPI72" s="4"/>
      <c r="CPJ72" s="4"/>
      <c r="CPK72" s="4"/>
      <c r="CPL72" s="4"/>
      <c r="CPM72" s="4"/>
      <c r="CPN72" s="4"/>
      <c r="CPO72" s="4"/>
      <c r="CPP72" s="4"/>
      <c r="CPQ72" s="4"/>
      <c r="CPR72" s="4"/>
      <c r="CPS72" s="4"/>
      <c r="CPT72" s="4"/>
      <c r="CPU72" s="4"/>
      <c r="CPV72" s="4"/>
      <c r="CPW72" s="4"/>
      <c r="CPX72" s="4"/>
      <c r="CPY72" s="4"/>
      <c r="CPZ72" s="4"/>
      <c r="CQA72" s="4"/>
      <c r="CQB72" s="4"/>
      <c r="CQC72" s="4"/>
      <c r="CQD72" s="4"/>
      <c r="CQE72" s="4"/>
      <c r="CQF72" s="4"/>
      <c r="CQG72" s="4"/>
      <c r="CQH72" s="4"/>
      <c r="CQI72" s="4"/>
      <c r="CQJ72" s="4"/>
      <c r="CQK72" s="4"/>
      <c r="CQL72" s="4"/>
      <c r="CQM72" s="4"/>
      <c r="CQN72" s="4"/>
      <c r="CQO72" s="4"/>
      <c r="CQP72" s="4"/>
      <c r="CQQ72" s="4"/>
      <c r="CQR72" s="4"/>
      <c r="CQS72" s="4"/>
      <c r="CQT72" s="4"/>
      <c r="CQU72" s="4"/>
      <c r="CQV72" s="4"/>
      <c r="CQW72" s="4"/>
      <c r="CQX72" s="4"/>
      <c r="CQY72" s="4"/>
      <c r="CQZ72" s="4"/>
      <c r="CRA72" s="4"/>
      <c r="CRB72" s="4"/>
      <c r="CRC72" s="4"/>
      <c r="CRD72" s="4"/>
      <c r="CRE72" s="4"/>
      <c r="CRF72" s="4"/>
      <c r="CRG72" s="4"/>
      <c r="CRH72" s="4"/>
      <c r="CRI72" s="4"/>
      <c r="CRJ72" s="4"/>
      <c r="CRK72" s="4"/>
      <c r="CRL72" s="4"/>
      <c r="CRM72" s="4"/>
      <c r="CRN72" s="4"/>
      <c r="CRO72" s="4"/>
      <c r="CRP72" s="4"/>
      <c r="CRQ72" s="4"/>
      <c r="CRR72" s="4"/>
      <c r="CRS72" s="4"/>
      <c r="CRT72" s="4"/>
      <c r="CRU72" s="4"/>
      <c r="CRV72" s="4"/>
      <c r="CRW72" s="4"/>
      <c r="CRX72" s="4"/>
      <c r="CRY72" s="4"/>
      <c r="CRZ72" s="4"/>
      <c r="CSA72" s="4"/>
      <c r="CSB72" s="4"/>
      <c r="CSC72" s="4"/>
      <c r="CSD72" s="4"/>
      <c r="CSE72" s="4"/>
      <c r="CSF72" s="4"/>
      <c r="CSG72" s="4"/>
      <c r="CSH72" s="4"/>
      <c r="CSI72" s="4"/>
      <c r="CSJ72" s="4"/>
      <c r="CSK72" s="4"/>
      <c r="CSL72" s="4"/>
      <c r="CSM72" s="4"/>
      <c r="CSN72" s="4"/>
      <c r="CSO72" s="4"/>
      <c r="CSP72" s="4"/>
      <c r="CSQ72" s="4"/>
      <c r="CSR72" s="4"/>
      <c r="CSS72" s="4"/>
      <c r="CST72" s="4"/>
      <c r="CSU72" s="4"/>
      <c r="CSV72" s="4"/>
      <c r="CSW72" s="4"/>
      <c r="CSX72" s="4"/>
      <c r="CSY72" s="4"/>
      <c r="CSZ72" s="4"/>
      <c r="CTA72" s="4"/>
      <c r="CTB72" s="4"/>
      <c r="CTC72" s="4"/>
      <c r="CTD72" s="4"/>
      <c r="CTE72" s="4"/>
      <c r="CTF72" s="4"/>
      <c r="CTG72" s="4"/>
      <c r="CTH72" s="4"/>
      <c r="CTI72" s="4"/>
      <c r="CTJ72" s="4"/>
      <c r="CTK72" s="4"/>
      <c r="CTL72" s="4"/>
      <c r="CTM72" s="4"/>
      <c r="CTN72" s="4"/>
      <c r="CTO72" s="4"/>
      <c r="CTP72" s="4"/>
      <c r="CTQ72" s="4"/>
      <c r="CTR72" s="4"/>
      <c r="CTS72" s="4"/>
      <c r="CTT72" s="4"/>
      <c r="CTU72" s="4"/>
      <c r="CTV72" s="4"/>
      <c r="CTW72" s="4"/>
      <c r="CTX72" s="4"/>
      <c r="CTY72" s="4"/>
      <c r="CTZ72" s="4"/>
      <c r="CUA72" s="4"/>
      <c r="CUB72" s="4"/>
      <c r="CUC72" s="4"/>
      <c r="CUD72" s="4"/>
      <c r="CUE72" s="4"/>
      <c r="CUF72" s="4"/>
      <c r="CUG72" s="4"/>
      <c r="CUH72" s="4"/>
      <c r="CUI72" s="4"/>
      <c r="CUJ72" s="4"/>
      <c r="CUK72" s="4"/>
      <c r="CUL72" s="4"/>
      <c r="CUM72" s="4"/>
      <c r="CUN72" s="4"/>
      <c r="CUO72" s="4"/>
      <c r="CUP72" s="4"/>
      <c r="CUQ72" s="4"/>
      <c r="CUR72" s="4"/>
      <c r="CUS72" s="4"/>
      <c r="CUT72" s="4"/>
      <c r="CUU72" s="4"/>
      <c r="CUV72" s="4"/>
      <c r="CUW72" s="4"/>
      <c r="CUX72" s="4"/>
      <c r="CUY72" s="4"/>
      <c r="CUZ72" s="4"/>
      <c r="CVA72" s="4"/>
      <c r="CVB72" s="4"/>
      <c r="CVC72" s="4"/>
      <c r="CVD72" s="4"/>
      <c r="CVE72" s="4"/>
      <c r="CVF72" s="4"/>
      <c r="CVG72" s="4"/>
      <c r="CVH72" s="4"/>
      <c r="CVI72" s="4"/>
      <c r="CVJ72" s="4"/>
      <c r="CVK72" s="4"/>
      <c r="CVL72" s="4"/>
      <c r="CVM72" s="4"/>
      <c r="CVN72" s="4"/>
      <c r="CVO72" s="4"/>
      <c r="CVP72" s="4"/>
      <c r="CVQ72" s="4"/>
      <c r="CVR72" s="4"/>
      <c r="CVS72" s="4"/>
      <c r="CVT72" s="4"/>
      <c r="CVU72" s="4"/>
      <c r="CVV72" s="4"/>
      <c r="CVW72" s="4"/>
      <c r="CVX72" s="4"/>
      <c r="CVY72" s="4"/>
      <c r="CVZ72" s="4"/>
      <c r="CWA72" s="4"/>
      <c r="CWB72" s="4"/>
      <c r="CWC72" s="4"/>
      <c r="CWD72" s="4"/>
      <c r="CWE72" s="4"/>
      <c r="CWF72" s="4"/>
      <c r="CWG72" s="4"/>
      <c r="CWH72" s="4"/>
      <c r="CWI72" s="4"/>
      <c r="CWJ72" s="4"/>
      <c r="CWK72" s="4"/>
      <c r="CWL72" s="4"/>
      <c r="CWM72" s="4"/>
      <c r="CWN72" s="4"/>
      <c r="CWO72" s="4"/>
      <c r="CWP72" s="4"/>
      <c r="CWQ72" s="4"/>
      <c r="CWR72" s="4"/>
      <c r="CWS72" s="4"/>
      <c r="CWT72" s="4"/>
      <c r="CWU72" s="4"/>
      <c r="CWV72" s="4"/>
      <c r="CWW72" s="4"/>
      <c r="CWX72" s="4"/>
      <c r="CWY72" s="4"/>
      <c r="CWZ72" s="4"/>
      <c r="CXA72" s="4"/>
      <c r="CXB72" s="4"/>
      <c r="CXC72" s="4"/>
      <c r="CXD72" s="4"/>
      <c r="CXE72" s="4"/>
      <c r="CXF72" s="4"/>
      <c r="CXG72" s="4"/>
      <c r="CXH72" s="4"/>
      <c r="CXI72" s="4"/>
      <c r="CXJ72" s="4"/>
      <c r="CXK72" s="4"/>
      <c r="CXL72" s="4"/>
      <c r="CXM72" s="4"/>
      <c r="CXN72" s="4"/>
      <c r="CXO72" s="4"/>
      <c r="CXP72" s="4"/>
      <c r="CXQ72" s="4"/>
      <c r="CXR72" s="4"/>
      <c r="CXS72" s="4"/>
      <c r="CXT72" s="4"/>
      <c r="CXU72" s="4"/>
      <c r="CXV72" s="4"/>
      <c r="CXW72" s="4"/>
      <c r="CXX72" s="4"/>
      <c r="CXY72" s="4"/>
      <c r="CXZ72" s="4"/>
      <c r="CYA72" s="4"/>
      <c r="CYB72" s="4"/>
      <c r="CYC72" s="4"/>
      <c r="CYD72" s="4"/>
      <c r="CYE72" s="4"/>
      <c r="CYF72" s="4"/>
      <c r="CYG72" s="4"/>
      <c r="CYH72" s="4"/>
      <c r="CYI72" s="4"/>
      <c r="CYJ72" s="4"/>
      <c r="CYK72" s="4"/>
      <c r="CYL72" s="4"/>
      <c r="CYM72" s="4"/>
      <c r="CYN72" s="4"/>
      <c r="CYO72" s="4"/>
      <c r="CYP72" s="4"/>
      <c r="CYQ72" s="4"/>
      <c r="CYR72" s="4"/>
      <c r="CYS72" s="4"/>
      <c r="CYT72" s="4"/>
      <c r="CYU72" s="4"/>
      <c r="CYV72" s="4"/>
      <c r="CYW72" s="4"/>
      <c r="CYX72" s="4"/>
      <c r="CYY72" s="4"/>
      <c r="CYZ72" s="4"/>
      <c r="CZA72" s="4"/>
      <c r="CZB72" s="4"/>
      <c r="CZC72" s="4"/>
      <c r="CZD72" s="4"/>
      <c r="CZE72" s="4"/>
      <c r="CZF72" s="4"/>
      <c r="CZG72" s="4"/>
      <c r="CZH72" s="4"/>
      <c r="CZI72" s="4"/>
      <c r="CZJ72" s="4"/>
      <c r="CZK72" s="4"/>
      <c r="CZL72" s="4"/>
      <c r="CZM72" s="4"/>
      <c r="CZN72" s="4"/>
      <c r="CZO72" s="4"/>
      <c r="CZP72" s="4"/>
      <c r="CZQ72" s="4"/>
      <c r="CZR72" s="4"/>
      <c r="CZS72" s="4"/>
      <c r="CZT72" s="4"/>
      <c r="CZU72" s="4"/>
      <c r="CZV72" s="4"/>
      <c r="CZW72" s="4"/>
      <c r="CZX72" s="4"/>
      <c r="CZY72" s="4"/>
      <c r="CZZ72" s="4"/>
      <c r="DAA72" s="4"/>
      <c r="DAB72" s="4"/>
      <c r="DAC72" s="4"/>
      <c r="DAD72" s="4"/>
      <c r="DAE72" s="4"/>
      <c r="DAF72" s="4"/>
      <c r="DAG72" s="4"/>
      <c r="DAH72" s="4"/>
      <c r="DAI72" s="4"/>
      <c r="DAJ72" s="4"/>
      <c r="DAK72" s="4"/>
      <c r="DAL72" s="4"/>
      <c r="DAM72" s="4"/>
      <c r="DAN72" s="4"/>
      <c r="DAO72" s="4"/>
      <c r="DAP72" s="4"/>
      <c r="DAQ72" s="4"/>
      <c r="DAR72" s="4"/>
      <c r="DAS72" s="4"/>
      <c r="DAT72" s="4"/>
      <c r="DAU72" s="4"/>
      <c r="DAV72" s="4"/>
      <c r="DAW72" s="4"/>
      <c r="DAX72" s="4"/>
      <c r="DAY72" s="4"/>
      <c r="DAZ72" s="4"/>
      <c r="DBA72" s="4"/>
      <c r="DBB72" s="4"/>
      <c r="DBC72" s="4"/>
      <c r="DBD72" s="4"/>
      <c r="DBE72" s="4"/>
      <c r="DBF72" s="4"/>
      <c r="DBG72" s="4"/>
      <c r="DBH72" s="4"/>
      <c r="DBI72" s="4"/>
      <c r="DBJ72" s="4"/>
      <c r="DBK72" s="4"/>
      <c r="DBL72" s="4"/>
      <c r="DBM72" s="4"/>
      <c r="DBN72" s="4"/>
      <c r="DBO72" s="4"/>
      <c r="DBP72" s="4"/>
      <c r="DBQ72" s="4"/>
      <c r="DBR72" s="4"/>
      <c r="DBS72" s="4"/>
      <c r="DBT72" s="4"/>
      <c r="DBU72" s="4"/>
      <c r="DBV72" s="4"/>
      <c r="DBW72" s="4"/>
      <c r="DBX72" s="4"/>
      <c r="DBY72" s="4"/>
      <c r="DBZ72" s="4"/>
      <c r="DCA72" s="4"/>
      <c r="DCB72" s="4"/>
      <c r="DCC72" s="4"/>
      <c r="DCD72" s="4"/>
      <c r="DCE72" s="4"/>
      <c r="DCF72" s="4"/>
      <c r="DCG72" s="4"/>
      <c r="DCH72" s="4"/>
      <c r="DCI72" s="4"/>
      <c r="DCJ72" s="4"/>
      <c r="DCK72" s="4"/>
      <c r="DCL72" s="4"/>
      <c r="DCM72" s="4"/>
      <c r="DCN72" s="4"/>
      <c r="DCO72" s="4"/>
      <c r="DCP72" s="4"/>
      <c r="DCQ72" s="4"/>
      <c r="DCR72" s="4"/>
      <c r="DCS72" s="4"/>
      <c r="DCT72" s="4"/>
      <c r="DCU72" s="4"/>
      <c r="DCV72" s="4"/>
      <c r="DCW72" s="4"/>
      <c r="DCX72" s="4"/>
      <c r="DCY72" s="4"/>
      <c r="DCZ72" s="4"/>
      <c r="DDA72" s="4"/>
      <c r="DDB72" s="4"/>
      <c r="DDC72" s="4"/>
      <c r="DDD72" s="4"/>
      <c r="DDE72" s="4"/>
      <c r="DDF72" s="4"/>
      <c r="DDG72" s="4"/>
      <c r="DDH72" s="4"/>
      <c r="DDI72" s="4"/>
      <c r="DDJ72" s="4"/>
      <c r="DDK72" s="4"/>
      <c r="DDL72" s="4"/>
      <c r="DDM72" s="4"/>
      <c r="DDN72" s="4"/>
      <c r="DDO72" s="4"/>
      <c r="DDP72" s="4"/>
      <c r="DDQ72" s="4"/>
      <c r="DDR72" s="4"/>
      <c r="DDS72" s="4"/>
      <c r="DDT72" s="4"/>
      <c r="DDU72" s="4"/>
      <c r="DDV72" s="4"/>
      <c r="DDW72" s="4"/>
      <c r="DDX72" s="4"/>
      <c r="DDY72" s="4"/>
      <c r="DDZ72" s="4"/>
      <c r="DEA72" s="4"/>
      <c r="DEB72" s="4"/>
      <c r="DEC72" s="4"/>
      <c r="DED72" s="4"/>
      <c r="DEE72" s="4"/>
      <c r="DEF72" s="4"/>
      <c r="DEG72" s="4"/>
      <c r="DEH72" s="4"/>
      <c r="DEI72" s="4"/>
      <c r="DEJ72" s="4"/>
      <c r="DEK72" s="4"/>
      <c r="DEL72" s="4"/>
      <c r="DEM72" s="4"/>
      <c r="DEN72" s="4"/>
      <c r="DEO72" s="4"/>
      <c r="DEP72" s="4"/>
      <c r="DEQ72" s="4"/>
      <c r="DER72" s="4"/>
      <c r="DES72" s="4"/>
      <c r="DET72" s="4"/>
      <c r="DEU72" s="4"/>
      <c r="DEV72" s="4"/>
      <c r="DEW72" s="4"/>
      <c r="DEX72" s="4"/>
      <c r="DEY72" s="4"/>
      <c r="DEZ72" s="4"/>
      <c r="DFA72" s="4"/>
      <c r="DFB72" s="4"/>
      <c r="DFC72" s="4"/>
      <c r="DFD72" s="4"/>
      <c r="DFE72" s="4"/>
      <c r="DFF72" s="4"/>
      <c r="DFG72" s="4"/>
      <c r="DFH72" s="4"/>
      <c r="DFI72" s="4"/>
      <c r="DFJ72" s="4"/>
      <c r="DFK72" s="4"/>
      <c r="DFL72" s="4"/>
      <c r="DFM72" s="4"/>
      <c r="DFN72" s="4"/>
      <c r="DFO72" s="4"/>
      <c r="DFP72" s="4"/>
      <c r="DFQ72" s="4"/>
      <c r="DFR72" s="4"/>
      <c r="DFS72" s="4"/>
      <c r="DFT72" s="4"/>
      <c r="DFU72" s="4"/>
      <c r="DFV72" s="4"/>
      <c r="DFW72" s="4"/>
      <c r="DFX72" s="4"/>
      <c r="DFY72" s="4"/>
      <c r="DFZ72" s="4"/>
      <c r="DGA72" s="4"/>
      <c r="DGB72" s="4"/>
      <c r="DGC72" s="4"/>
      <c r="DGD72" s="4"/>
      <c r="DGE72" s="4"/>
      <c r="DGF72" s="4"/>
      <c r="DGG72" s="4"/>
      <c r="DGH72" s="4"/>
      <c r="DGI72" s="4"/>
      <c r="DGJ72" s="4"/>
      <c r="DGK72" s="4"/>
      <c r="DGL72" s="4"/>
      <c r="DGM72" s="4"/>
      <c r="DGN72" s="4"/>
      <c r="DGO72" s="4"/>
      <c r="DGP72" s="4"/>
      <c r="DGQ72" s="4"/>
      <c r="DGR72" s="4"/>
      <c r="DGS72" s="4"/>
      <c r="DGT72" s="4"/>
      <c r="DGU72" s="4"/>
      <c r="DGV72" s="4"/>
      <c r="DGW72" s="4"/>
      <c r="DGX72" s="4"/>
      <c r="DGY72" s="4"/>
      <c r="DGZ72" s="4"/>
      <c r="DHA72" s="4"/>
      <c r="DHB72" s="4"/>
      <c r="DHC72" s="4"/>
      <c r="DHD72" s="4"/>
      <c r="DHE72" s="4"/>
      <c r="DHF72" s="4"/>
      <c r="DHG72" s="4"/>
      <c r="DHH72" s="4"/>
      <c r="DHI72" s="4"/>
      <c r="DHJ72" s="4"/>
      <c r="DHK72" s="4"/>
      <c r="DHL72" s="4"/>
      <c r="DHM72" s="4"/>
      <c r="DHN72" s="4"/>
      <c r="DHO72" s="4"/>
      <c r="DHP72" s="4"/>
      <c r="DHQ72" s="4"/>
      <c r="DHR72" s="4"/>
      <c r="DHS72" s="4"/>
      <c r="DHT72" s="4"/>
      <c r="DHU72" s="4"/>
      <c r="DHV72" s="4"/>
      <c r="DHW72" s="4"/>
      <c r="DHX72" s="4"/>
      <c r="DHY72" s="4"/>
      <c r="DHZ72" s="4"/>
      <c r="DIA72" s="4"/>
      <c r="DIB72" s="4"/>
      <c r="DIC72" s="4"/>
      <c r="DID72" s="4"/>
      <c r="DIE72" s="4"/>
      <c r="DIF72" s="4"/>
      <c r="DIG72" s="4"/>
      <c r="DIH72" s="4"/>
      <c r="DII72" s="4"/>
      <c r="DIJ72" s="4"/>
      <c r="DIK72" s="4"/>
      <c r="DIL72" s="4"/>
      <c r="DIM72" s="4"/>
      <c r="DIN72" s="4"/>
      <c r="DIO72" s="4"/>
      <c r="DIP72" s="4"/>
      <c r="DIQ72" s="4"/>
      <c r="DIR72" s="4"/>
      <c r="DIS72" s="4"/>
      <c r="DIT72" s="4"/>
      <c r="DIU72" s="4"/>
      <c r="DIV72" s="4"/>
      <c r="DIW72" s="4"/>
      <c r="DIX72" s="4"/>
      <c r="DIY72" s="4"/>
      <c r="DIZ72" s="4"/>
      <c r="DJA72" s="4"/>
      <c r="DJB72" s="4"/>
      <c r="DJC72" s="4"/>
      <c r="DJD72" s="4"/>
      <c r="DJE72" s="4"/>
      <c r="DJF72" s="4"/>
      <c r="DJG72" s="4"/>
      <c r="DJH72" s="4"/>
      <c r="DJI72" s="4"/>
      <c r="DJJ72" s="4"/>
      <c r="DJK72" s="4"/>
      <c r="DJL72" s="4"/>
      <c r="DJM72" s="4"/>
      <c r="DJN72" s="4"/>
      <c r="DJO72" s="4"/>
      <c r="DJP72" s="4"/>
      <c r="DJQ72" s="4"/>
      <c r="DJR72" s="4"/>
      <c r="DJS72" s="4"/>
      <c r="DJT72" s="4"/>
      <c r="DJU72" s="4"/>
      <c r="DJV72" s="4"/>
      <c r="DJW72" s="4"/>
      <c r="DJX72" s="4"/>
      <c r="DJY72" s="4"/>
      <c r="DJZ72" s="4"/>
      <c r="DKA72" s="4"/>
      <c r="DKB72" s="4"/>
      <c r="DKC72" s="4"/>
      <c r="DKD72" s="4"/>
      <c r="DKE72" s="4"/>
      <c r="DKF72" s="4"/>
      <c r="DKG72" s="4"/>
      <c r="DKH72" s="4"/>
      <c r="DKI72" s="4"/>
      <c r="DKJ72" s="4"/>
      <c r="DKK72" s="4"/>
      <c r="DKL72" s="4"/>
      <c r="DKM72" s="4"/>
      <c r="DKN72" s="4"/>
      <c r="DKO72" s="4"/>
      <c r="DKP72" s="4"/>
      <c r="DKQ72" s="4"/>
      <c r="DKR72" s="4"/>
      <c r="DKS72" s="4"/>
      <c r="DKT72" s="4"/>
      <c r="DKU72" s="4"/>
      <c r="DKV72" s="4"/>
      <c r="DKW72" s="4"/>
      <c r="DKX72" s="4"/>
      <c r="DKY72" s="4"/>
      <c r="DKZ72" s="4"/>
      <c r="DLA72" s="4"/>
      <c r="DLB72" s="4"/>
      <c r="DLC72" s="4"/>
      <c r="DLD72" s="4"/>
      <c r="DLE72" s="4"/>
      <c r="DLF72" s="4"/>
      <c r="DLG72" s="4"/>
      <c r="DLH72" s="4"/>
      <c r="DLI72" s="4"/>
      <c r="DLJ72" s="4"/>
      <c r="DLK72" s="4"/>
      <c r="DLL72" s="4"/>
      <c r="DLM72" s="4"/>
      <c r="DLN72" s="4"/>
      <c r="DLO72" s="4"/>
      <c r="DLP72" s="4"/>
      <c r="DLQ72" s="4"/>
      <c r="DLR72" s="4"/>
      <c r="DLS72" s="4"/>
      <c r="DLT72" s="4"/>
      <c r="DLU72" s="4"/>
      <c r="DLV72" s="4"/>
      <c r="DLW72" s="4"/>
      <c r="DLX72" s="4"/>
      <c r="DLY72" s="4"/>
      <c r="DLZ72" s="4"/>
      <c r="DMA72" s="4"/>
      <c r="DMB72" s="4"/>
      <c r="DMC72" s="4"/>
      <c r="DMD72" s="4"/>
      <c r="DME72" s="4"/>
      <c r="DMF72" s="4"/>
      <c r="DMG72" s="4"/>
      <c r="DMH72" s="4"/>
      <c r="DMI72" s="4"/>
      <c r="DMJ72" s="4"/>
      <c r="DMK72" s="4"/>
      <c r="DML72" s="4"/>
      <c r="DMM72" s="4"/>
      <c r="DMN72" s="4"/>
      <c r="DMO72" s="4"/>
      <c r="DMP72" s="4"/>
      <c r="DMQ72" s="4"/>
      <c r="DMR72" s="4"/>
      <c r="DMS72" s="4"/>
      <c r="DMT72" s="4"/>
      <c r="DMU72" s="4"/>
      <c r="DMV72" s="4"/>
      <c r="DMW72" s="4"/>
      <c r="DMX72" s="4"/>
      <c r="DMY72" s="4"/>
      <c r="DMZ72" s="4"/>
      <c r="DNA72" s="4"/>
      <c r="DNB72" s="4"/>
      <c r="DNC72" s="4"/>
      <c r="DND72" s="4"/>
      <c r="DNE72" s="4"/>
      <c r="DNF72" s="4"/>
      <c r="DNG72" s="4"/>
      <c r="DNH72" s="4"/>
      <c r="DNI72" s="4"/>
      <c r="DNJ72" s="4"/>
      <c r="DNK72" s="4"/>
      <c r="DNL72" s="4"/>
      <c r="DNM72" s="4"/>
      <c r="DNN72" s="4"/>
      <c r="DNO72" s="4"/>
      <c r="DNP72" s="4"/>
      <c r="DNQ72" s="4"/>
      <c r="DNR72" s="4"/>
      <c r="DNS72" s="4"/>
      <c r="DNT72" s="4"/>
      <c r="DNU72" s="4"/>
      <c r="DNV72" s="4"/>
      <c r="DNW72" s="4"/>
      <c r="DNX72" s="4"/>
      <c r="DNY72" s="4"/>
      <c r="DNZ72" s="4"/>
      <c r="DOA72" s="4"/>
      <c r="DOB72" s="4"/>
      <c r="DOC72" s="4"/>
      <c r="DOD72" s="4"/>
      <c r="DOE72" s="4"/>
      <c r="DOF72" s="4"/>
      <c r="DOG72" s="4"/>
      <c r="DOH72" s="4"/>
      <c r="DOI72" s="4"/>
      <c r="DOJ72" s="4"/>
      <c r="DOK72" s="4"/>
      <c r="DOL72" s="4"/>
      <c r="DOM72" s="4"/>
      <c r="DON72" s="4"/>
      <c r="DOO72" s="4"/>
      <c r="DOP72" s="4"/>
      <c r="DOQ72" s="4"/>
      <c r="DOR72" s="4"/>
      <c r="DOS72" s="4"/>
      <c r="DOT72" s="4"/>
      <c r="DOU72" s="4"/>
      <c r="DOV72" s="4"/>
      <c r="DOW72" s="4"/>
      <c r="DOX72" s="4"/>
      <c r="DOY72" s="4"/>
      <c r="DOZ72" s="4"/>
      <c r="DPA72" s="4"/>
      <c r="DPB72" s="4"/>
      <c r="DPC72" s="4"/>
      <c r="DPD72" s="4"/>
      <c r="DPE72" s="4"/>
      <c r="DPF72" s="4"/>
      <c r="DPG72" s="4"/>
      <c r="DPH72" s="4"/>
      <c r="DPI72" s="4"/>
      <c r="DPJ72" s="4"/>
      <c r="DPK72" s="4"/>
      <c r="DPL72" s="4"/>
      <c r="DPM72" s="4"/>
      <c r="DPN72" s="4"/>
      <c r="DPO72" s="4"/>
      <c r="DPP72" s="4"/>
      <c r="DPQ72" s="4"/>
      <c r="DPR72" s="4"/>
      <c r="DPS72" s="4"/>
      <c r="DPT72" s="4"/>
      <c r="DPU72" s="4"/>
      <c r="DPV72" s="4"/>
      <c r="DPW72" s="4"/>
      <c r="DPX72" s="4"/>
      <c r="DPY72" s="4"/>
      <c r="DPZ72" s="4"/>
      <c r="DQA72" s="4"/>
      <c r="DQB72" s="4"/>
      <c r="DQC72" s="4"/>
      <c r="DQD72" s="4"/>
      <c r="DQE72" s="4"/>
      <c r="DQF72" s="4"/>
      <c r="DQG72" s="4"/>
      <c r="DQH72" s="4"/>
      <c r="DQI72" s="4"/>
      <c r="DQJ72" s="4"/>
      <c r="DQK72" s="4"/>
      <c r="DQL72" s="4"/>
      <c r="DQM72" s="4"/>
      <c r="DQN72" s="4"/>
      <c r="DQO72" s="4"/>
      <c r="DQP72" s="4"/>
      <c r="DQQ72" s="4"/>
      <c r="DQR72" s="4"/>
      <c r="DQS72" s="4"/>
      <c r="DQT72" s="4"/>
      <c r="DQU72" s="4"/>
      <c r="DQV72" s="4"/>
      <c r="DQW72" s="4"/>
      <c r="DQX72" s="4"/>
      <c r="DQY72" s="4"/>
      <c r="DQZ72" s="4"/>
      <c r="DRA72" s="4"/>
      <c r="DRB72" s="4"/>
      <c r="DRC72" s="4"/>
      <c r="DRD72" s="4"/>
      <c r="DRE72" s="4"/>
      <c r="DRF72" s="4"/>
      <c r="DRG72" s="4"/>
      <c r="DRH72" s="4"/>
      <c r="DRI72" s="4"/>
      <c r="DRJ72" s="4"/>
      <c r="DRK72" s="4"/>
      <c r="DRL72" s="4"/>
      <c r="DRM72" s="4"/>
      <c r="DRN72" s="4"/>
      <c r="DRO72" s="4"/>
      <c r="DRP72" s="4"/>
      <c r="DRQ72" s="4"/>
      <c r="DRR72" s="4"/>
      <c r="DRS72" s="4"/>
      <c r="DRT72" s="4"/>
      <c r="DRU72" s="4"/>
      <c r="DRV72" s="4"/>
      <c r="DRW72" s="4"/>
      <c r="DRX72" s="4"/>
      <c r="DRY72" s="4"/>
      <c r="DRZ72" s="4"/>
      <c r="DSA72" s="4"/>
      <c r="DSB72" s="4"/>
      <c r="DSC72" s="4"/>
      <c r="DSD72" s="4"/>
      <c r="DSE72" s="4"/>
      <c r="DSF72" s="4"/>
      <c r="DSG72" s="4"/>
      <c r="DSH72" s="4"/>
      <c r="DSI72" s="4"/>
      <c r="DSJ72" s="4"/>
      <c r="DSK72" s="4"/>
      <c r="DSL72" s="4"/>
      <c r="DSM72" s="4"/>
      <c r="DSN72" s="4"/>
      <c r="DSO72" s="4"/>
      <c r="DSP72" s="4"/>
      <c r="DSQ72" s="4"/>
      <c r="DSR72" s="4"/>
      <c r="DSS72" s="4"/>
      <c r="DST72" s="4"/>
      <c r="DSU72" s="4"/>
      <c r="DSV72" s="4"/>
      <c r="DSW72" s="4"/>
      <c r="DSX72" s="4"/>
      <c r="DSY72" s="4"/>
      <c r="DSZ72" s="4"/>
      <c r="DTA72" s="4"/>
      <c r="DTB72" s="4"/>
      <c r="DTC72" s="4"/>
      <c r="DTD72" s="4"/>
      <c r="DTE72" s="4"/>
      <c r="DTF72" s="4"/>
      <c r="DTG72" s="4"/>
      <c r="DTH72" s="4"/>
      <c r="DTI72" s="4"/>
      <c r="DTJ72" s="4"/>
      <c r="DTK72" s="4"/>
      <c r="DTL72" s="4"/>
      <c r="DTM72" s="4"/>
      <c r="DTN72" s="4"/>
      <c r="DTO72" s="4"/>
      <c r="DTP72" s="4"/>
      <c r="DTQ72" s="4"/>
      <c r="DTR72" s="4"/>
      <c r="DTS72" s="4"/>
      <c r="DTT72" s="4"/>
      <c r="DTU72" s="4"/>
      <c r="DTV72" s="4"/>
      <c r="DTW72" s="4"/>
      <c r="DTX72" s="4"/>
      <c r="DTY72" s="4"/>
      <c r="DTZ72" s="4"/>
      <c r="DUA72" s="4"/>
      <c r="DUB72" s="4"/>
      <c r="DUC72" s="4"/>
      <c r="DUD72" s="4"/>
      <c r="DUE72" s="4"/>
      <c r="DUF72" s="4"/>
      <c r="DUG72" s="4"/>
      <c r="DUH72" s="4"/>
      <c r="DUI72" s="4"/>
      <c r="DUJ72" s="4"/>
      <c r="DUK72" s="4"/>
      <c r="DUL72" s="4"/>
      <c r="DUM72" s="4"/>
      <c r="DUN72" s="4"/>
      <c r="DUO72" s="4"/>
      <c r="DUP72" s="4"/>
      <c r="DUQ72" s="4"/>
      <c r="DUR72" s="4"/>
      <c r="DUS72" s="4"/>
      <c r="DUT72" s="4"/>
      <c r="DUU72" s="4"/>
      <c r="DUV72" s="4"/>
      <c r="DUW72" s="4"/>
      <c r="DUX72" s="4"/>
      <c r="DUY72" s="4"/>
      <c r="DUZ72" s="4"/>
      <c r="DVA72" s="4"/>
      <c r="DVB72" s="4"/>
      <c r="DVC72" s="4"/>
      <c r="DVD72" s="4"/>
      <c r="DVE72" s="4"/>
      <c r="DVF72" s="4"/>
      <c r="DVG72" s="4"/>
      <c r="DVH72" s="4"/>
      <c r="DVI72" s="4"/>
      <c r="DVJ72" s="4"/>
      <c r="DVK72" s="4"/>
      <c r="DVL72" s="4"/>
      <c r="DVM72" s="4"/>
      <c r="DVN72" s="4"/>
      <c r="DVO72" s="4"/>
      <c r="DVP72" s="4"/>
      <c r="DVQ72" s="4"/>
      <c r="DVR72" s="4"/>
      <c r="DVS72" s="4"/>
      <c r="DVT72" s="4"/>
      <c r="DVU72" s="4"/>
      <c r="DVV72" s="4"/>
      <c r="DVW72" s="4"/>
      <c r="DVX72" s="4"/>
      <c r="DVY72" s="4"/>
      <c r="DVZ72" s="4"/>
      <c r="DWA72" s="4"/>
      <c r="DWB72" s="4"/>
      <c r="DWC72" s="4"/>
      <c r="DWD72" s="4"/>
      <c r="DWE72" s="4"/>
      <c r="DWF72" s="4"/>
      <c r="DWG72" s="4"/>
      <c r="DWH72" s="4"/>
      <c r="DWI72" s="4"/>
      <c r="DWJ72" s="4"/>
      <c r="DWK72" s="4"/>
      <c r="DWL72" s="4"/>
      <c r="DWM72" s="4"/>
      <c r="DWN72" s="4"/>
      <c r="DWO72" s="4"/>
      <c r="DWP72" s="4"/>
      <c r="DWQ72" s="4"/>
      <c r="DWR72" s="4"/>
      <c r="DWS72" s="4"/>
      <c r="DWT72" s="4"/>
      <c r="DWU72" s="4"/>
      <c r="DWV72" s="4"/>
      <c r="DWW72" s="4"/>
      <c r="DWX72" s="4"/>
      <c r="DWY72" s="4"/>
      <c r="DWZ72" s="4"/>
      <c r="DXA72" s="4"/>
      <c r="DXB72" s="4"/>
      <c r="DXC72" s="4"/>
      <c r="DXD72" s="4"/>
      <c r="DXE72" s="4"/>
      <c r="DXF72" s="4"/>
      <c r="DXG72" s="4"/>
      <c r="DXH72" s="4"/>
      <c r="DXI72" s="4"/>
      <c r="DXJ72" s="4"/>
      <c r="DXK72" s="4"/>
      <c r="DXL72" s="4"/>
      <c r="DXM72" s="4"/>
      <c r="DXN72" s="4"/>
      <c r="DXO72" s="4"/>
      <c r="DXP72" s="4"/>
      <c r="DXQ72" s="4"/>
      <c r="DXR72" s="4"/>
      <c r="DXS72" s="4"/>
      <c r="DXT72" s="4"/>
      <c r="DXU72" s="4"/>
      <c r="DXV72" s="4"/>
      <c r="DXW72" s="4"/>
      <c r="DXX72" s="4"/>
      <c r="DXY72" s="4"/>
      <c r="DXZ72" s="4"/>
      <c r="DYA72" s="4"/>
      <c r="DYB72" s="4"/>
      <c r="DYC72" s="4"/>
      <c r="DYD72" s="4"/>
      <c r="DYE72" s="4"/>
      <c r="DYF72" s="4"/>
      <c r="DYG72" s="4"/>
      <c r="DYH72" s="4"/>
      <c r="DYI72" s="4"/>
      <c r="DYJ72" s="4"/>
      <c r="DYK72" s="4"/>
      <c r="DYL72" s="4"/>
      <c r="DYM72" s="4"/>
      <c r="DYN72" s="4"/>
      <c r="DYO72" s="4"/>
      <c r="DYP72" s="4"/>
      <c r="DYQ72" s="4"/>
      <c r="DYR72" s="4"/>
      <c r="DYS72" s="4"/>
      <c r="DYT72" s="4"/>
      <c r="DYU72" s="4"/>
      <c r="DYV72" s="4"/>
      <c r="DYW72" s="4"/>
      <c r="DYX72" s="4"/>
      <c r="DYY72" s="4"/>
      <c r="DYZ72" s="4"/>
      <c r="DZA72" s="4"/>
      <c r="DZB72" s="4"/>
      <c r="DZC72" s="4"/>
      <c r="DZD72" s="4"/>
      <c r="DZE72" s="4"/>
      <c r="DZF72" s="4"/>
      <c r="DZG72" s="4"/>
      <c r="DZH72" s="4"/>
      <c r="DZI72" s="4"/>
      <c r="DZJ72" s="4"/>
      <c r="DZK72" s="4"/>
      <c r="DZL72" s="4"/>
      <c r="DZM72" s="4"/>
      <c r="DZN72" s="4"/>
      <c r="DZO72" s="4"/>
      <c r="DZP72" s="4"/>
      <c r="DZQ72" s="4"/>
      <c r="DZR72" s="4"/>
      <c r="DZS72" s="4"/>
      <c r="DZT72" s="4"/>
      <c r="DZU72" s="4"/>
      <c r="DZV72" s="4"/>
      <c r="DZW72" s="4"/>
      <c r="DZX72" s="4"/>
      <c r="DZY72" s="4"/>
      <c r="DZZ72" s="4"/>
      <c r="EAA72" s="4"/>
      <c r="EAB72" s="4"/>
      <c r="EAC72" s="4"/>
      <c r="EAD72" s="4"/>
      <c r="EAE72" s="4"/>
      <c r="EAF72" s="4"/>
      <c r="EAG72" s="4"/>
      <c r="EAH72" s="4"/>
      <c r="EAI72" s="4"/>
      <c r="EAJ72" s="4"/>
      <c r="EAK72" s="4"/>
      <c r="EAL72" s="4"/>
      <c r="EAM72" s="4"/>
      <c r="EAN72" s="4"/>
      <c r="EAO72" s="4"/>
      <c r="EAP72" s="4"/>
      <c r="EAQ72" s="4"/>
      <c r="EAR72" s="4"/>
      <c r="EAS72" s="4"/>
      <c r="EAT72" s="4"/>
      <c r="EAU72" s="4"/>
      <c r="EAV72" s="4"/>
      <c r="EAW72" s="4"/>
      <c r="EAX72" s="4"/>
      <c r="EAY72" s="4"/>
      <c r="EAZ72" s="4"/>
      <c r="EBA72" s="4"/>
      <c r="EBB72" s="4"/>
      <c r="EBC72" s="4"/>
      <c r="EBD72" s="4"/>
      <c r="EBE72" s="4"/>
      <c r="EBF72" s="4"/>
      <c r="EBG72" s="4"/>
      <c r="EBH72" s="4"/>
      <c r="EBI72" s="4"/>
      <c r="EBJ72" s="4"/>
      <c r="EBK72" s="4"/>
      <c r="EBL72" s="4"/>
      <c r="EBM72" s="4"/>
      <c r="EBN72" s="4"/>
      <c r="EBO72" s="4"/>
      <c r="EBP72" s="4"/>
      <c r="EBQ72" s="4"/>
      <c r="EBR72" s="4"/>
      <c r="EBS72" s="4"/>
      <c r="EBT72" s="4"/>
      <c r="EBU72" s="4"/>
      <c r="EBV72" s="4"/>
      <c r="EBW72" s="4"/>
      <c r="EBX72" s="4"/>
      <c r="EBY72" s="4"/>
      <c r="EBZ72" s="4"/>
      <c r="ECA72" s="4"/>
      <c r="ECB72" s="4"/>
      <c r="ECC72" s="4"/>
      <c r="ECD72" s="4"/>
      <c r="ECE72" s="4"/>
      <c r="ECF72" s="4"/>
      <c r="ECG72" s="4"/>
      <c r="ECH72" s="4"/>
      <c r="ECI72" s="4"/>
      <c r="ECJ72" s="4"/>
      <c r="ECK72" s="4"/>
      <c r="ECL72" s="4"/>
      <c r="ECM72" s="4"/>
      <c r="ECN72" s="4"/>
      <c r="ECO72" s="4"/>
      <c r="ECP72" s="4"/>
      <c r="ECQ72" s="4"/>
      <c r="ECR72" s="4"/>
      <c r="ECS72" s="4"/>
      <c r="ECT72" s="4"/>
      <c r="ECU72" s="4"/>
      <c r="ECV72" s="4"/>
      <c r="ECW72" s="4"/>
      <c r="ECX72" s="4"/>
      <c r="ECY72" s="4"/>
      <c r="ECZ72" s="4"/>
      <c r="EDA72" s="4"/>
      <c r="EDB72" s="4"/>
      <c r="EDC72" s="4"/>
      <c r="EDD72" s="4"/>
      <c r="EDE72" s="4"/>
      <c r="EDF72" s="4"/>
      <c r="EDG72" s="4"/>
      <c r="EDH72" s="4"/>
      <c r="EDI72" s="4"/>
      <c r="EDJ72" s="4"/>
      <c r="EDK72" s="4"/>
      <c r="EDL72" s="4"/>
      <c r="EDM72" s="4"/>
      <c r="EDN72" s="4"/>
      <c r="EDO72" s="4"/>
      <c r="EDP72" s="4"/>
      <c r="EDQ72" s="4"/>
      <c r="EDR72" s="4"/>
      <c r="EDS72" s="4"/>
      <c r="EDT72" s="4"/>
      <c r="EDU72" s="4"/>
      <c r="EDV72" s="4"/>
      <c r="EDW72" s="4"/>
      <c r="EDX72" s="4"/>
      <c r="EDY72" s="4"/>
      <c r="EDZ72" s="4"/>
      <c r="EEA72" s="4"/>
      <c r="EEB72" s="4"/>
      <c r="EEC72" s="4"/>
      <c r="EED72" s="4"/>
      <c r="EEE72" s="4"/>
      <c r="EEF72" s="4"/>
      <c r="EEG72" s="4"/>
      <c r="EEH72" s="4"/>
      <c r="EEI72" s="4"/>
      <c r="EEJ72" s="4"/>
      <c r="EEK72" s="4"/>
      <c r="EEL72" s="4"/>
      <c r="EEM72" s="4"/>
      <c r="EEN72" s="4"/>
      <c r="EEO72" s="4"/>
      <c r="EEP72" s="4"/>
      <c r="EEQ72" s="4"/>
      <c r="EER72" s="4"/>
      <c r="EES72" s="4"/>
      <c r="EET72" s="4"/>
      <c r="EEU72" s="4"/>
      <c r="EEV72" s="4"/>
      <c r="EEW72" s="4"/>
      <c r="EEX72" s="4"/>
      <c r="EEY72" s="4"/>
      <c r="EEZ72" s="4"/>
      <c r="EFA72" s="4"/>
      <c r="EFB72" s="4"/>
      <c r="EFC72" s="4"/>
      <c r="EFD72" s="4"/>
      <c r="EFE72" s="4"/>
      <c r="EFF72" s="4"/>
      <c r="EFG72" s="4"/>
      <c r="EFH72" s="4"/>
      <c r="EFI72" s="4"/>
      <c r="EFJ72" s="4"/>
      <c r="EFK72" s="4"/>
      <c r="EFL72" s="4"/>
      <c r="EFM72" s="4"/>
      <c r="EFN72" s="4"/>
      <c r="EFO72" s="4"/>
      <c r="EFP72" s="4"/>
      <c r="EFQ72" s="4"/>
      <c r="EFR72" s="4"/>
      <c r="EFS72" s="4"/>
      <c r="EFT72" s="4"/>
      <c r="EFU72" s="4"/>
      <c r="EFV72" s="4"/>
      <c r="EFW72" s="4"/>
      <c r="EFX72" s="4"/>
      <c r="EFY72" s="4"/>
      <c r="EFZ72" s="4"/>
      <c r="EGA72" s="4"/>
      <c r="EGB72" s="4"/>
      <c r="EGC72" s="4"/>
      <c r="EGD72" s="4"/>
      <c r="EGE72" s="4"/>
      <c r="EGF72" s="4"/>
      <c r="EGG72" s="4"/>
      <c r="EGH72" s="4"/>
      <c r="EGI72" s="4"/>
      <c r="EGJ72" s="4"/>
      <c r="EGK72" s="4"/>
      <c r="EGL72" s="4"/>
      <c r="EGM72" s="4"/>
      <c r="EGN72" s="4"/>
      <c r="EGO72" s="4"/>
      <c r="EGP72" s="4"/>
      <c r="EGQ72" s="4"/>
      <c r="EGR72" s="4"/>
      <c r="EGS72" s="4"/>
      <c r="EGT72" s="4"/>
      <c r="EGU72" s="4"/>
      <c r="EGV72" s="4"/>
      <c r="EGW72" s="4"/>
      <c r="EGX72" s="4"/>
      <c r="EGY72" s="4"/>
      <c r="EGZ72" s="4"/>
      <c r="EHA72" s="4"/>
      <c r="EHB72" s="4"/>
      <c r="EHC72" s="4"/>
      <c r="EHD72" s="4"/>
      <c r="EHE72" s="4"/>
      <c r="EHF72" s="4"/>
      <c r="EHG72" s="4"/>
      <c r="EHH72" s="4"/>
      <c r="EHI72" s="4"/>
      <c r="EHJ72" s="4"/>
      <c r="EHK72" s="4"/>
      <c r="EHL72" s="4"/>
      <c r="EHM72" s="4"/>
      <c r="EHN72" s="4"/>
      <c r="EHO72" s="4"/>
      <c r="EHP72" s="4"/>
      <c r="EHQ72" s="4"/>
      <c r="EHR72" s="4"/>
      <c r="EHS72" s="4"/>
      <c r="EHT72" s="4"/>
      <c r="EHU72" s="4"/>
      <c r="EHV72" s="4"/>
      <c r="EHW72" s="4"/>
      <c r="EHX72" s="4"/>
      <c r="EHY72" s="4"/>
      <c r="EHZ72" s="4"/>
      <c r="EIA72" s="4"/>
      <c r="EIB72" s="4"/>
      <c r="EIC72" s="4"/>
      <c r="EID72" s="4"/>
      <c r="EIE72" s="4"/>
      <c r="EIF72" s="4"/>
      <c r="EIG72" s="4"/>
      <c r="EIH72" s="4"/>
      <c r="EII72" s="4"/>
      <c r="EIJ72" s="4"/>
      <c r="EIK72" s="4"/>
      <c r="EIL72" s="4"/>
      <c r="EIM72" s="4"/>
      <c r="EIN72" s="4"/>
      <c r="EIO72" s="4"/>
      <c r="EIP72" s="4"/>
      <c r="EIQ72" s="4"/>
      <c r="EIR72" s="4"/>
      <c r="EIS72" s="4"/>
      <c r="EIT72" s="4"/>
      <c r="EIU72" s="4"/>
      <c r="EIV72" s="4"/>
      <c r="EIW72" s="4"/>
      <c r="EIX72" s="4"/>
      <c r="EIY72" s="4"/>
      <c r="EIZ72" s="4"/>
      <c r="EJA72" s="4"/>
      <c r="EJB72" s="4"/>
      <c r="EJC72" s="4"/>
      <c r="EJD72" s="4"/>
      <c r="EJE72" s="4"/>
      <c r="EJF72" s="4"/>
      <c r="EJG72" s="4"/>
      <c r="EJH72" s="4"/>
      <c r="EJI72" s="4"/>
      <c r="EJJ72" s="4"/>
      <c r="EJK72" s="4"/>
      <c r="EJL72" s="4"/>
      <c r="EJM72" s="4"/>
      <c r="EJN72" s="4"/>
      <c r="EJO72" s="4"/>
      <c r="EJP72" s="4"/>
      <c r="EJQ72" s="4"/>
      <c r="EJR72" s="4"/>
      <c r="EJS72" s="4"/>
      <c r="EJT72" s="4"/>
      <c r="EJU72" s="4"/>
      <c r="EJV72" s="4"/>
      <c r="EJW72" s="4"/>
      <c r="EJX72" s="4"/>
      <c r="EJY72" s="4"/>
      <c r="EJZ72" s="4"/>
      <c r="EKA72" s="4"/>
      <c r="EKB72" s="4"/>
      <c r="EKC72" s="4"/>
      <c r="EKD72" s="4"/>
      <c r="EKE72" s="4"/>
      <c r="EKF72" s="4"/>
      <c r="EKG72" s="4"/>
      <c r="EKH72" s="4"/>
      <c r="EKI72" s="4"/>
      <c r="EKJ72" s="4"/>
      <c r="EKK72" s="4"/>
      <c r="EKL72" s="4"/>
      <c r="EKM72" s="4"/>
      <c r="EKN72" s="4"/>
      <c r="EKO72" s="4"/>
      <c r="EKP72" s="4"/>
      <c r="EKQ72" s="4"/>
      <c r="EKR72" s="4"/>
      <c r="EKS72" s="4"/>
      <c r="EKT72" s="4"/>
      <c r="EKU72" s="4"/>
      <c r="EKV72" s="4"/>
      <c r="EKW72" s="4"/>
      <c r="EKX72" s="4"/>
      <c r="EKY72" s="4"/>
      <c r="EKZ72" s="4"/>
      <c r="ELA72" s="4"/>
      <c r="ELB72" s="4"/>
      <c r="ELC72" s="4"/>
      <c r="ELD72" s="4"/>
      <c r="ELE72" s="4"/>
      <c r="ELF72" s="4"/>
      <c r="ELG72" s="4"/>
      <c r="ELH72" s="4"/>
      <c r="ELI72" s="4"/>
      <c r="ELJ72" s="4"/>
      <c r="ELK72" s="4"/>
      <c r="ELL72" s="4"/>
      <c r="ELM72" s="4"/>
      <c r="ELN72" s="4"/>
      <c r="ELO72" s="4"/>
      <c r="ELP72" s="4"/>
      <c r="ELQ72" s="4"/>
      <c r="ELR72" s="4"/>
      <c r="ELS72" s="4"/>
      <c r="ELT72" s="4"/>
      <c r="ELU72" s="4"/>
      <c r="ELV72" s="4"/>
      <c r="ELW72" s="4"/>
      <c r="ELX72" s="4"/>
      <c r="ELY72" s="4"/>
      <c r="ELZ72" s="4"/>
      <c r="EMA72" s="4"/>
      <c r="EMB72" s="4"/>
      <c r="EMC72" s="4"/>
      <c r="EMD72" s="4"/>
      <c r="EME72" s="4"/>
      <c r="EMF72" s="4"/>
      <c r="EMG72" s="4"/>
      <c r="EMH72" s="4"/>
      <c r="EMI72" s="4"/>
      <c r="EMJ72" s="4"/>
      <c r="EMK72" s="4"/>
      <c r="EML72" s="4"/>
      <c r="EMM72" s="4"/>
      <c r="EMN72" s="4"/>
      <c r="EMO72" s="4"/>
      <c r="EMP72" s="4"/>
      <c r="EMQ72" s="4"/>
      <c r="EMR72" s="4"/>
      <c r="EMS72" s="4"/>
      <c r="EMT72" s="4"/>
      <c r="EMU72" s="4"/>
      <c r="EMV72" s="4"/>
      <c r="EMW72" s="4"/>
      <c r="EMX72" s="4"/>
      <c r="EMY72" s="4"/>
      <c r="EMZ72" s="4"/>
      <c r="ENA72" s="4"/>
      <c r="ENB72" s="4"/>
      <c r="ENC72" s="4"/>
      <c r="END72" s="4"/>
      <c r="ENE72" s="4"/>
      <c r="ENF72" s="4"/>
      <c r="ENG72" s="4"/>
      <c r="ENH72" s="4"/>
      <c r="ENI72" s="4"/>
      <c r="ENJ72" s="4"/>
      <c r="ENK72" s="4"/>
      <c r="ENL72" s="4"/>
      <c r="ENM72" s="4"/>
      <c r="ENN72" s="4"/>
      <c r="ENO72" s="4"/>
      <c r="ENP72" s="4"/>
      <c r="ENQ72" s="4"/>
      <c r="ENR72" s="4"/>
      <c r="ENS72" s="4"/>
      <c r="ENT72" s="4"/>
      <c r="ENU72" s="4"/>
      <c r="ENV72" s="4"/>
      <c r="ENW72" s="4"/>
      <c r="ENX72" s="4"/>
      <c r="ENY72" s="4"/>
      <c r="ENZ72" s="4"/>
      <c r="EOA72" s="4"/>
      <c r="EOB72" s="4"/>
      <c r="EOC72" s="4"/>
      <c r="EOD72" s="4"/>
      <c r="EOE72" s="4"/>
      <c r="EOF72" s="4"/>
      <c r="EOG72" s="4"/>
      <c r="EOH72" s="4"/>
      <c r="EOI72" s="4"/>
      <c r="EOJ72" s="4"/>
      <c r="EOK72" s="4"/>
      <c r="EOL72" s="4"/>
      <c r="EOM72" s="4"/>
      <c r="EON72" s="4"/>
      <c r="EOO72" s="4"/>
      <c r="EOP72" s="4"/>
      <c r="EOQ72" s="4"/>
      <c r="EOR72" s="4"/>
      <c r="EOS72" s="4"/>
      <c r="EOT72" s="4"/>
      <c r="EOU72" s="4"/>
      <c r="EOV72" s="4"/>
      <c r="EOW72" s="4"/>
      <c r="EOX72" s="4"/>
      <c r="EOY72" s="4"/>
      <c r="EOZ72" s="4"/>
      <c r="EPA72" s="4"/>
      <c r="EPB72" s="4"/>
      <c r="EPC72" s="4"/>
      <c r="EPD72" s="4"/>
      <c r="EPE72" s="4"/>
      <c r="EPF72" s="4"/>
      <c r="EPG72" s="4"/>
      <c r="EPH72" s="4"/>
      <c r="EPI72" s="4"/>
      <c r="EPJ72" s="4"/>
      <c r="EPK72" s="4"/>
      <c r="EPL72" s="4"/>
      <c r="EPM72" s="4"/>
      <c r="EPN72" s="4"/>
      <c r="EPO72" s="4"/>
      <c r="EPP72" s="4"/>
      <c r="EPQ72" s="4"/>
      <c r="EPR72" s="4"/>
      <c r="EPS72" s="4"/>
      <c r="EPT72" s="4"/>
      <c r="EPU72" s="4"/>
      <c r="EPV72" s="4"/>
      <c r="EPW72" s="4"/>
      <c r="EPX72" s="4"/>
      <c r="EPY72" s="4"/>
      <c r="EPZ72" s="4"/>
      <c r="EQA72" s="4"/>
      <c r="EQB72" s="4"/>
      <c r="EQC72" s="4"/>
      <c r="EQD72" s="4"/>
      <c r="EQE72" s="4"/>
      <c r="EQF72" s="4"/>
      <c r="EQG72" s="4"/>
      <c r="EQH72" s="4"/>
      <c r="EQI72" s="4"/>
      <c r="EQJ72" s="4"/>
      <c r="EQK72" s="4"/>
      <c r="EQL72" s="4"/>
      <c r="EQM72" s="4"/>
      <c r="EQN72" s="4"/>
      <c r="EQO72" s="4"/>
      <c r="EQP72" s="4"/>
      <c r="EQQ72" s="4"/>
      <c r="EQR72" s="4"/>
      <c r="EQS72" s="4"/>
      <c r="EQT72" s="4"/>
      <c r="EQU72" s="4"/>
      <c r="EQV72" s="4"/>
      <c r="EQW72" s="4"/>
      <c r="EQX72" s="4"/>
      <c r="EQY72" s="4"/>
      <c r="EQZ72" s="4"/>
      <c r="ERA72" s="4"/>
      <c r="ERB72" s="4"/>
      <c r="ERC72" s="4"/>
      <c r="ERD72" s="4"/>
      <c r="ERE72" s="4"/>
      <c r="ERF72" s="4"/>
      <c r="ERG72" s="4"/>
      <c r="ERH72" s="4"/>
      <c r="ERI72" s="4"/>
      <c r="ERJ72" s="4"/>
      <c r="ERK72" s="4"/>
      <c r="ERL72" s="4"/>
      <c r="ERM72" s="4"/>
      <c r="ERN72" s="4"/>
      <c r="ERO72" s="4"/>
      <c r="ERP72" s="4"/>
      <c r="ERQ72" s="4"/>
      <c r="ERR72" s="4"/>
      <c r="ERS72" s="4"/>
      <c r="ERT72" s="4"/>
      <c r="ERU72" s="4"/>
      <c r="ERV72" s="4"/>
      <c r="ERW72" s="4"/>
      <c r="ERX72" s="4"/>
      <c r="ERY72" s="4"/>
      <c r="ERZ72" s="4"/>
      <c r="ESA72" s="4"/>
      <c r="ESB72" s="4"/>
      <c r="ESC72" s="4"/>
      <c r="ESD72" s="4"/>
      <c r="ESE72" s="4"/>
      <c r="ESF72" s="4"/>
      <c r="ESG72" s="4"/>
      <c r="ESH72" s="4"/>
      <c r="ESI72" s="4"/>
      <c r="ESJ72" s="4"/>
      <c r="ESK72" s="4"/>
      <c r="ESL72" s="4"/>
      <c r="ESM72" s="4"/>
      <c r="ESN72" s="4"/>
      <c r="ESO72" s="4"/>
      <c r="ESP72" s="4"/>
      <c r="ESQ72" s="4"/>
      <c r="ESR72" s="4"/>
      <c r="ESS72" s="4"/>
      <c r="EST72" s="4"/>
      <c r="ESU72" s="4"/>
      <c r="ESV72" s="4"/>
      <c r="ESW72" s="4"/>
      <c r="ESX72" s="4"/>
      <c r="ESY72" s="4"/>
      <c r="ESZ72" s="4"/>
      <c r="ETA72" s="4"/>
      <c r="ETB72" s="4"/>
      <c r="ETC72" s="4"/>
      <c r="ETD72" s="4"/>
      <c r="ETE72" s="4"/>
      <c r="ETF72" s="4"/>
      <c r="ETG72" s="4"/>
      <c r="ETH72" s="4"/>
      <c r="ETI72" s="4"/>
      <c r="ETJ72" s="4"/>
      <c r="ETK72" s="4"/>
      <c r="ETL72" s="4"/>
      <c r="ETM72" s="4"/>
      <c r="ETN72" s="4"/>
      <c r="ETO72" s="4"/>
      <c r="ETP72" s="4"/>
      <c r="ETQ72" s="4"/>
      <c r="ETR72" s="4"/>
      <c r="ETS72" s="4"/>
      <c r="ETT72" s="4"/>
      <c r="ETU72" s="4"/>
      <c r="ETV72" s="4"/>
      <c r="ETW72" s="4"/>
      <c r="ETX72" s="4"/>
      <c r="ETY72" s="4"/>
      <c r="ETZ72" s="4"/>
      <c r="EUA72" s="4"/>
      <c r="EUB72" s="4"/>
      <c r="EUC72" s="4"/>
      <c r="EUD72" s="4"/>
      <c r="EUE72" s="4"/>
      <c r="EUF72" s="4"/>
      <c r="EUG72" s="4"/>
      <c r="EUH72" s="4"/>
      <c r="EUI72" s="4"/>
      <c r="EUJ72" s="4"/>
      <c r="EUK72" s="4"/>
      <c r="EUL72" s="4"/>
      <c r="EUM72" s="4"/>
      <c r="EUN72" s="4"/>
      <c r="EUO72" s="4"/>
      <c r="EUP72" s="4"/>
      <c r="EUQ72" s="4"/>
      <c r="EUR72" s="4"/>
      <c r="EUS72" s="4"/>
      <c r="EUT72" s="4"/>
      <c r="EUU72" s="4"/>
      <c r="EUV72" s="4"/>
      <c r="EUW72" s="4"/>
      <c r="EUX72" s="4"/>
      <c r="EUY72" s="4"/>
      <c r="EUZ72" s="4"/>
      <c r="EVA72" s="4"/>
      <c r="EVB72" s="4"/>
      <c r="EVC72" s="4"/>
      <c r="EVD72" s="4"/>
      <c r="EVE72" s="4"/>
      <c r="EVF72" s="4"/>
      <c r="EVG72" s="4"/>
      <c r="EVH72" s="4"/>
      <c r="EVI72" s="4"/>
      <c r="EVJ72" s="4"/>
      <c r="EVK72" s="4"/>
      <c r="EVL72" s="4"/>
      <c r="EVM72" s="4"/>
      <c r="EVN72" s="4"/>
      <c r="EVO72" s="4"/>
      <c r="EVP72" s="4"/>
      <c r="EVQ72" s="4"/>
      <c r="EVR72" s="4"/>
      <c r="EVS72" s="4"/>
      <c r="EVT72" s="4"/>
      <c r="EVU72" s="4"/>
      <c r="EVV72" s="4"/>
      <c r="EVW72" s="4"/>
      <c r="EVX72" s="4"/>
      <c r="EVY72" s="4"/>
      <c r="EVZ72" s="4"/>
      <c r="EWA72" s="4"/>
      <c r="EWB72" s="4"/>
      <c r="EWC72" s="4"/>
      <c r="EWD72" s="4"/>
      <c r="EWE72" s="4"/>
      <c r="EWF72" s="4"/>
      <c r="EWG72" s="4"/>
      <c r="EWH72" s="4"/>
      <c r="EWI72" s="4"/>
      <c r="EWJ72" s="4"/>
      <c r="EWK72" s="4"/>
      <c r="EWL72" s="4"/>
      <c r="EWM72" s="4"/>
      <c r="EWN72" s="4"/>
      <c r="EWO72" s="4"/>
      <c r="EWP72" s="4"/>
      <c r="EWQ72" s="4"/>
      <c r="EWR72" s="4"/>
      <c r="EWS72" s="4"/>
      <c r="EWT72" s="4"/>
      <c r="EWU72" s="4"/>
      <c r="EWV72" s="4"/>
      <c r="EWW72" s="4"/>
      <c r="EWX72" s="4"/>
      <c r="EWY72" s="4"/>
      <c r="EWZ72" s="4"/>
      <c r="EXA72" s="4"/>
      <c r="EXB72" s="4"/>
      <c r="EXC72" s="4"/>
      <c r="EXD72" s="4"/>
      <c r="EXE72" s="4"/>
      <c r="EXF72" s="4"/>
      <c r="EXG72" s="4"/>
      <c r="EXH72" s="4"/>
      <c r="EXI72" s="4"/>
      <c r="EXJ72" s="4"/>
      <c r="EXK72" s="4"/>
      <c r="EXL72" s="4"/>
      <c r="EXM72" s="4"/>
      <c r="EXN72" s="4"/>
      <c r="EXO72" s="4"/>
      <c r="EXP72" s="4"/>
      <c r="EXQ72" s="4"/>
      <c r="EXR72" s="4"/>
      <c r="EXS72" s="4"/>
      <c r="EXT72" s="4"/>
      <c r="EXU72" s="4"/>
      <c r="EXV72" s="4"/>
      <c r="EXW72" s="4"/>
      <c r="EXX72" s="4"/>
      <c r="EXY72" s="4"/>
      <c r="EXZ72" s="4"/>
      <c r="EYA72" s="4"/>
      <c r="EYB72" s="4"/>
      <c r="EYC72" s="4"/>
      <c r="EYD72" s="4"/>
      <c r="EYE72" s="4"/>
      <c r="EYF72" s="4"/>
      <c r="EYG72" s="4"/>
      <c r="EYH72" s="4"/>
      <c r="EYI72" s="4"/>
      <c r="EYJ72" s="4"/>
      <c r="EYK72" s="4"/>
      <c r="EYL72" s="4"/>
      <c r="EYM72" s="4"/>
      <c r="EYN72" s="4"/>
      <c r="EYO72" s="4"/>
      <c r="EYP72" s="4"/>
      <c r="EYQ72" s="4"/>
      <c r="EYR72" s="4"/>
      <c r="EYS72" s="4"/>
      <c r="EYT72" s="4"/>
      <c r="EYU72" s="4"/>
      <c r="EYV72" s="4"/>
      <c r="EYW72" s="4"/>
      <c r="EYX72" s="4"/>
      <c r="EYY72" s="4"/>
      <c r="EYZ72" s="4"/>
      <c r="EZA72" s="4"/>
      <c r="EZB72" s="4"/>
      <c r="EZC72" s="4"/>
      <c r="EZD72" s="4"/>
      <c r="EZE72" s="4"/>
      <c r="EZF72" s="4"/>
      <c r="EZG72" s="4"/>
      <c r="EZH72" s="4"/>
      <c r="EZI72" s="4"/>
      <c r="EZJ72" s="4"/>
      <c r="EZK72" s="4"/>
      <c r="EZL72" s="4"/>
      <c r="EZM72" s="4"/>
      <c r="EZN72" s="4"/>
      <c r="EZO72" s="4"/>
      <c r="EZP72" s="4"/>
      <c r="EZQ72" s="4"/>
      <c r="EZR72" s="4"/>
      <c r="EZS72" s="4"/>
      <c r="EZT72" s="4"/>
      <c r="EZU72" s="4"/>
      <c r="EZV72" s="4"/>
      <c r="EZW72" s="4"/>
      <c r="EZX72" s="4"/>
      <c r="EZY72" s="4"/>
      <c r="EZZ72" s="4"/>
      <c r="FAA72" s="4"/>
      <c r="FAB72" s="4"/>
      <c r="FAC72" s="4"/>
      <c r="FAD72" s="4"/>
      <c r="FAE72" s="4"/>
      <c r="FAF72" s="4"/>
      <c r="FAG72" s="4"/>
      <c r="FAH72" s="4"/>
      <c r="FAI72" s="4"/>
      <c r="FAJ72" s="4"/>
      <c r="FAK72" s="4"/>
      <c r="FAL72" s="4"/>
      <c r="FAM72" s="4"/>
      <c r="FAN72" s="4"/>
      <c r="FAO72" s="4"/>
      <c r="FAP72" s="4"/>
      <c r="FAQ72" s="4"/>
      <c r="FAR72" s="4"/>
      <c r="FAS72" s="4"/>
      <c r="FAT72" s="4"/>
      <c r="FAU72" s="4"/>
      <c r="FAV72" s="4"/>
      <c r="FAW72" s="4"/>
      <c r="FAX72" s="4"/>
      <c r="FAY72" s="4"/>
      <c r="FAZ72" s="4"/>
      <c r="FBA72" s="4"/>
      <c r="FBB72" s="4"/>
      <c r="FBC72" s="4"/>
      <c r="FBD72" s="4"/>
      <c r="FBE72" s="4"/>
      <c r="FBF72" s="4"/>
      <c r="FBG72" s="4"/>
      <c r="FBH72" s="4"/>
      <c r="FBI72" s="4"/>
      <c r="FBJ72" s="4"/>
      <c r="FBK72" s="4"/>
      <c r="FBL72" s="4"/>
      <c r="FBM72" s="4"/>
      <c r="FBN72" s="4"/>
      <c r="FBO72" s="4"/>
      <c r="FBP72" s="4"/>
      <c r="FBQ72" s="4"/>
      <c r="FBR72" s="4"/>
      <c r="FBS72" s="4"/>
      <c r="FBT72" s="4"/>
      <c r="FBU72" s="4"/>
      <c r="FBV72" s="4"/>
      <c r="FBW72" s="4"/>
      <c r="FBX72" s="4"/>
      <c r="FBY72" s="4"/>
      <c r="FBZ72" s="4"/>
      <c r="FCA72" s="4"/>
      <c r="FCB72" s="4"/>
      <c r="FCC72" s="4"/>
      <c r="FCD72" s="4"/>
      <c r="FCE72" s="4"/>
      <c r="FCF72" s="4"/>
      <c r="FCG72" s="4"/>
      <c r="FCH72" s="4"/>
      <c r="FCI72" s="4"/>
      <c r="FCJ72" s="4"/>
      <c r="FCK72" s="4"/>
      <c r="FCL72" s="4"/>
      <c r="FCM72" s="4"/>
      <c r="FCN72" s="4"/>
      <c r="FCO72" s="4"/>
      <c r="FCP72" s="4"/>
      <c r="FCQ72" s="4"/>
      <c r="FCR72" s="4"/>
      <c r="FCS72" s="4"/>
      <c r="FCT72" s="4"/>
      <c r="FCU72" s="4"/>
      <c r="FCV72" s="4"/>
      <c r="FCW72" s="4"/>
      <c r="FCX72" s="4"/>
      <c r="FCY72" s="4"/>
      <c r="FCZ72" s="4"/>
      <c r="FDA72" s="4"/>
      <c r="FDB72" s="4"/>
      <c r="FDC72" s="4"/>
      <c r="FDD72" s="4"/>
      <c r="FDE72" s="4"/>
      <c r="FDF72" s="4"/>
      <c r="FDG72" s="4"/>
      <c r="FDH72" s="4"/>
      <c r="FDI72" s="4"/>
      <c r="FDJ72" s="4"/>
      <c r="FDK72" s="4"/>
      <c r="FDL72" s="4"/>
      <c r="FDM72" s="4"/>
      <c r="FDN72" s="4"/>
      <c r="FDO72" s="4"/>
      <c r="FDP72" s="4"/>
      <c r="FDQ72" s="4"/>
      <c r="FDR72" s="4"/>
      <c r="FDS72" s="4"/>
      <c r="FDT72" s="4"/>
      <c r="FDU72" s="4"/>
      <c r="FDV72" s="4"/>
      <c r="FDW72" s="4"/>
      <c r="FDX72" s="4"/>
      <c r="FDY72" s="4"/>
      <c r="FDZ72" s="4"/>
      <c r="FEA72" s="4"/>
      <c r="FEB72" s="4"/>
      <c r="FEC72" s="4"/>
      <c r="FED72" s="4"/>
      <c r="FEE72" s="4"/>
      <c r="FEF72" s="4"/>
      <c r="FEG72" s="4"/>
      <c r="FEH72" s="4"/>
      <c r="FEI72" s="4"/>
      <c r="FEJ72" s="4"/>
      <c r="FEK72" s="4"/>
      <c r="FEL72" s="4"/>
      <c r="FEM72" s="4"/>
      <c r="FEN72" s="4"/>
      <c r="FEO72" s="4"/>
      <c r="FEP72" s="4"/>
      <c r="FEQ72" s="4"/>
      <c r="FER72" s="4"/>
      <c r="FES72" s="4"/>
      <c r="FET72" s="4"/>
      <c r="FEU72" s="4"/>
      <c r="FEV72" s="4"/>
      <c r="FEW72" s="4"/>
      <c r="FEX72" s="4"/>
      <c r="FEY72" s="4"/>
      <c r="FEZ72" s="4"/>
      <c r="FFA72" s="4"/>
      <c r="FFB72" s="4"/>
      <c r="FFC72" s="4"/>
      <c r="FFD72" s="4"/>
      <c r="FFE72" s="4"/>
      <c r="FFF72" s="4"/>
      <c r="FFG72" s="4"/>
      <c r="FFH72" s="4"/>
      <c r="FFI72" s="4"/>
      <c r="FFJ72" s="4"/>
      <c r="FFK72" s="4"/>
      <c r="FFL72" s="4"/>
      <c r="FFM72" s="4"/>
      <c r="FFN72" s="4"/>
      <c r="FFO72" s="4"/>
      <c r="FFP72" s="4"/>
      <c r="FFQ72" s="4"/>
      <c r="FFR72" s="4"/>
      <c r="FFS72" s="4"/>
      <c r="FFT72" s="4"/>
      <c r="FFU72" s="4"/>
      <c r="FFV72" s="4"/>
      <c r="FFW72" s="4"/>
      <c r="FFX72" s="4"/>
      <c r="FFY72" s="4"/>
      <c r="FFZ72" s="4"/>
      <c r="FGA72" s="4"/>
      <c r="FGB72" s="4"/>
      <c r="FGC72" s="4"/>
      <c r="FGD72" s="4"/>
      <c r="FGE72" s="4"/>
      <c r="FGF72" s="4"/>
      <c r="FGG72" s="4"/>
      <c r="FGH72" s="4"/>
      <c r="FGI72" s="4"/>
      <c r="FGJ72" s="4"/>
      <c r="FGK72" s="4"/>
      <c r="FGL72" s="4"/>
      <c r="FGM72" s="4"/>
      <c r="FGN72" s="4"/>
      <c r="FGO72" s="4"/>
      <c r="FGP72" s="4"/>
      <c r="FGQ72" s="4"/>
      <c r="FGR72" s="4"/>
      <c r="FGS72" s="4"/>
      <c r="FGT72" s="4"/>
      <c r="FGU72" s="4"/>
      <c r="FGV72" s="4"/>
      <c r="FGW72" s="4"/>
      <c r="FGX72" s="4"/>
      <c r="FGY72" s="4"/>
      <c r="FGZ72" s="4"/>
      <c r="FHA72" s="4"/>
      <c r="FHB72" s="4"/>
      <c r="FHC72" s="4"/>
      <c r="FHD72" s="4"/>
      <c r="FHE72" s="4"/>
      <c r="FHF72" s="4"/>
      <c r="FHG72" s="4"/>
      <c r="FHH72" s="4"/>
      <c r="FHI72" s="4"/>
      <c r="FHJ72" s="4"/>
      <c r="FHK72" s="4"/>
      <c r="FHL72" s="4"/>
      <c r="FHM72" s="4"/>
      <c r="FHN72" s="4"/>
      <c r="FHO72" s="4"/>
      <c r="FHP72" s="4"/>
      <c r="FHQ72" s="4"/>
      <c r="FHR72" s="4"/>
      <c r="FHS72" s="4"/>
      <c r="FHT72" s="4"/>
      <c r="FHU72" s="4"/>
      <c r="FHV72" s="4"/>
      <c r="FHW72" s="4"/>
      <c r="FHX72" s="4"/>
      <c r="FHY72" s="4"/>
      <c r="FHZ72" s="4"/>
      <c r="FIA72" s="4"/>
      <c r="FIB72" s="4"/>
      <c r="FIC72" s="4"/>
      <c r="FID72" s="4"/>
      <c r="FIE72" s="4"/>
      <c r="FIF72" s="4"/>
      <c r="FIG72" s="4"/>
      <c r="FIH72" s="4"/>
      <c r="FII72" s="4"/>
      <c r="FIJ72" s="4"/>
      <c r="FIK72" s="4"/>
      <c r="FIL72" s="4"/>
      <c r="FIM72" s="4"/>
      <c r="FIN72" s="4"/>
      <c r="FIO72" s="4"/>
      <c r="FIP72" s="4"/>
      <c r="FIQ72" s="4"/>
      <c r="FIR72" s="4"/>
      <c r="FIS72" s="4"/>
      <c r="FIT72" s="4"/>
      <c r="FIU72" s="4"/>
      <c r="FIV72" s="4"/>
      <c r="FIW72" s="4"/>
      <c r="FIX72" s="4"/>
      <c r="FIY72" s="4"/>
      <c r="FIZ72" s="4"/>
      <c r="FJA72" s="4"/>
      <c r="FJB72" s="4"/>
      <c r="FJC72" s="4"/>
      <c r="FJD72" s="4"/>
      <c r="FJE72" s="4"/>
      <c r="FJF72" s="4"/>
      <c r="FJG72" s="4"/>
      <c r="FJH72" s="4"/>
      <c r="FJI72" s="4"/>
      <c r="FJJ72" s="4"/>
      <c r="FJK72" s="4"/>
      <c r="FJL72" s="4"/>
      <c r="FJM72" s="4"/>
      <c r="FJN72" s="4"/>
      <c r="FJO72" s="4"/>
      <c r="FJP72" s="4"/>
      <c r="FJQ72" s="4"/>
      <c r="FJR72" s="4"/>
      <c r="FJS72" s="4"/>
      <c r="FJT72" s="4"/>
      <c r="FJU72" s="4"/>
      <c r="FJV72" s="4"/>
      <c r="FJW72" s="4"/>
      <c r="FJX72" s="4"/>
      <c r="FJY72" s="4"/>
      <c r="FJZ72" s="4"/>
      <c r="FKA72" s="4"/>
      <c r="FKB72" s="4"/>
      <c r="FKC72" s="4"/>
      <c r="FKD72" s="4"/>
      <c r="FKE72" s="4"/>
      <c r="FKF72" s="4"/>
      <c r="FKG72" s="4"/>
      <c r="FKH72" s="4"/>
      <c r="FKI72" s="4"/>
      <c r="FKJ72" s="4"/>
      <c r="FKK72" s="4"/>
      <c r="FKL72" s="4"/>
      <c r="FKM72" s="4"/>
      <c r="FKN72" s="4"/>
      <c r="FKO72" s="4"/>
      <c r="FKP72" s="4"/>
      <c r="FKQ72" s="4"/>
      <c r="FKR72" s="4"/>
      <c r="FKS72" s="4"/>
      <c r="FKT72" s="4"/>
      <c r="FKU72" s="4"/>
      <c r="FKV72" s="4"/>
      <c r="FKW72" s="4"/>
      <c r="FKX72" s="4"/>
      <c r="FKY72" s="4"/>
      <c r="FKZ72" s="4"/>
      <c r="FLA72" s="4"/>
      <c r="FLB72" s="4"/>
      <c r="FLC72" s="4"/>
      <c r="FLD72" s="4"/>
      <c r="FLE72" s="4"/>
      <c r="FLF72" s="4"/>
      <c r="FLG72" s="4"/>
      <c r="FLH72" s="4"/>
      <c r="FLI72" s="4"/>
      <c r="FLJ72" s="4"/>
      <c r="FLK72" s="4"/>
      <c r="FLL72" s="4"/>
      <c r="FLM72" s="4"/>
      <c r="FLN72" s="4"/>
      <c r="FLO72" s="4"/>
      <c r="FLP72" s="4"/>
      <c r="FLQ72" s="4"/>
      <c r="FLR72" s="4"/>
      <c r="FLS72" s="4"/>
      <c r="FLT72" s="4"/>
      <c r="FLU72" s="4"/>
      <c r="FLV72" s="4"/>
      <c r="FLW72" s="4"/>
      <c r="FLX72" s="4"/>
      <c r="FLY72" s="4"/>
      <c r="FLZ72" s="4"/>
      <c r="FMA72" s="4"/>
      <c r="FMB72" s="4"/>
      <c r="FMC72" s="4"/>
      <c r="FMD72" s="4"/>
      <c r="FME72" s="4"/>
      <c r="FMF72" s="4"/>
      <c r="FMG72" s="4"/>
      <c r="FMH72" s="4"/>
      <c r="FMI72" s="4"/>
      <c r="FMJ72" s="4"/>
      <c r="FMK72" s="4"/>
      <c r="FML72" s="4"/>
      <c r="FMM72" s="4"/>
      <c r="FMN72" s="4"/>
      <c r="FMO72" s="4"/>
      <c r="FMP72" s="4"/>
      <c r="FMQ72" s="4"/>
      <c r="FMR72" s="4"/>
      <c r="FMS72" s="4"/>
      <c r="FMT72" s="4"/>
      <c r="FMU72" s="4"/>
      <c r="FMV72" s="4"/>
      <c r="FMW72" s="4"/>
      <c r="FMX72" s="4"/>
      <c r="FMY72" s="4"/>
      <c r="FMZ72" s="4"/>
      <c r="FNA72" s="4"/>
      <c r="FNB72" s="4"/>
      <c r="FNC72" s="4"/>
      <c r="FND72" s="4"/>
      <c r="FNE72" s="4"/>
      <c r="FNF72" s="4"/>
      <c r="FNG72" s="4"/>
      <c r="FNH72" s="4"/>
      <c r="FNI72" s="4"/>
      <c r="FNJ72" s="4"/>
      <c r="FNK72" s="4"/>
      <c r="FNL72" s="4"/>
      <c r="FNM72" s="4"/>
      <c r="FNN72" s="4"/>
      <c r="FNO72" s="4"/>
      <c r="FNP72" s="4"/>
      <c r="FNQ72" s="4"/>
      <c r="FNR72" s="4"/>
      <c r="FNS72" s="4"/>
      <c r="FNT72" s="4"/>
      <c r="FNU72" s="4"/>
      <c r="FNV72" s="4"/>
      <c r="FNW72" s="4"/>
      <c r="FNX72" s="4"/>
      <c r="FNY72" s="4"/>
      <c r="FNZ72" s="4"/>
      <c r="FOA72" s="4"/>
      <c r="FOB72" s="4"/>
      <c r="FOC72" s="4"/>
      <c r="FOD72" s="4"/>
      <c r="FOE72" s="4"/>
      <c r="FOF72" s="4"/>
      <c r="FOG72" s="4"/>
      <c r="FOH72" s="4"/>
      <c r="FOI72" s="4"/>
      <c r="FOJ72" s="4"/>
      <c r="FOK72" s="4"/>
      <c r="FOL72" s="4"/>
      <c r="FOM72" s="4"/>
      <c r="FON72" s="4"/>
      <c r="FOO72" s="4"/>
      <c r="FOP72" s="4"/>
      <c r="FOQ72" s="4"/>
      <c r="FOR72" s="4"/>
      <c r="FOS72" s="4"/>
      <c r="FOT72" s="4"/>
      <c r="FOU72" s="4"/>
      <c r="FOV72" s="4"/>
      <c r="FOW72" s="4"/>
      <c r="FOX72" s="4"/>
      <c r="FOY72" s="4"/>
      <c r="FOZ72" s="4"/>
      <c r="FPA72" s="4"/>
      <c r="FPB72" s="4"/>
      <c r="FPC72" s="4"/>
      <c r="FPD72" s="4"/>
      <c r="FPE72" s="4"/>
      <c r="FPF72" s="4"/>
      <c r="FPG72" s="4"/>
      <c r="FPH72" s="4"/>
      <c r="FPI72" s="4"/>
      <c r="FPJ72" s="4"/>
      <c r="FPK72" s="4"/>
      <c r="FPL72" s="4"/>
      <c r="FPM72" s="4"/>
      <c r="FPN72" s="4"/>
      <c r="FPO72" s="4"/>
      <c r="FPP72" s="4"/>
      <c r="FPQ72" s="4"/>
      <c r="FPR72" s="4"/>
      <c r="FPS72" s="4"/>
      <c r="FPT72" s="4"/>
      <c r="FPU72" s="4"/>
      <c r="FPV72" s="4"/>
      <c r="FPW72" s="4"/>
      <c r="FPX72" s="4"/>
      <c r="FPY72" s="4"/>
      <c r="FPZ72" s="4"/>
      <c r="FQA72" s="4"/>
      <c r="FQB72" s="4"/>
      <c r="FQC72" s="4"/>
      <c r="FQD72" s="4"/>
      <c r="FQE72" s="4"/>
      <c r="FQF72" s="4"/>
      <c r="FQG72" s="4"/>
      <c r="FQH72" s="4"/>
      <c r="FQI72" s="4"/>
      <c r="FQJ72" s="4"/>
      <c r="FQK72" s="4"/>
      <c r="FQL72" s="4"/>
      <c r="FQM72" s="4"/>
      <c r="FQN72" s="4"/>
      <c r="FQO72" s="4"/>
      <c r="FQP72" s="4"/>
      <c r="FQQ72" s="4"/>
      <c r="FQR72" s="4"/>
      <c r="FQS72" s="4"/>
      <c r="FQT72" s="4"/>
      <c r="FQU72" s="4"/>
      <c r="FQV72" s="4"/>
      <c r="FQW72" s="4"/>
      <c r="FQX72" s="4"/>
      <c r="FQY72" s="4"/>
      <c r="FQZ72" s="4"/>
      <c r="FRA72" s="4"/>
      <c r="FRB72" s="4"/>
      <c r="FRC72" s="4"/>
      <c r="FRD72" s="4"/>
      <c r="FRE72" s="4"/>
      <c r="FRF72" s="4"/>
      <c r="FRG72" s="4"/>
      <c r="FRH72" s="4"/>
      <c r="FRI72" s="4"/>
      <c r="FRJ72" s="4"/>
      <c r="FRK72" s="4"/>
      <c r="FRL72" s="4"/>
      <c r="FRM72" s="4"/>
      <c r="FRN72" s="4"/>
      <c r="FRO72" s="4"/>
      <c r="FRP72" s="4"/>
      <c r="FRQ72" s="4"/>
      <c r="FRR72" s="4"/>
      <c r="FRS72" s="4"/>
      <c r="FRT72" s="4"/>
      <c r="FRU72" s="4"/>
      <c r="FRV72" s="4"/>
      <c r="FRW72" s="4"/>
      <c r="FRX72" s="4"/>
      <c r="FRY72" s="4"/>
      <c r="FRZ72" s="4"/>
      <c r="FSA72" s="4"/>
      <c r="FSB72" s="4"/>
      <c r="FSC72" s="4"/>
      <c r="FSD72" s="4"/>
      <c r="FSE72" s="4"/>
      <c r="FSF72" s="4"/>
      <c r="FSG72" s="4"/>
      <c r="FSH72" s="4"/>
      <c r="FSI72" s="4"/>
      <c r="FSJ72" s="4"/>
      <c r="FSK72" s="4"/>
      <c r="FSL72" s="4"/>
      <c r="FSM72" s="4"/>
      <c r="FSN72" s="4"/>
      <c r="FSO72" s="4"/>
      <c r="FSP72" s="4"/>
      <c r="FSQ72" s="4"/>
      <c r="FSR72" s="4"/>
      <c r="FSS72" s="4"/>
      <c r="FST72" s="4"/>
      <c r="FSU72" s="4"/>
      <c r="FSV72" s="4"/>
      <c r="FSW72" s="4"/>
      <c r="FSX72" s="4"/>
      <c r="FSY72" s="4"/>
      <c r="FSZ72" s="4"/>
      <c r="FTA72" s="4"/>
      <c r="FTB72" s="4"/>
      <c r="FTC72" s="4"/>
      <c r="FTD72" s="4"/>
      <c r="FTE72" s="4"/>
      <c r="FTF72" s="4"/>
      <c r="FTG72" s="4"/>
      <c r="FTH72" s="4"/>
      <c r="FTI72" s="4"/>
      <c r="FTJ72" s="4"/>
      <c r="FTK72" s="4"/>
      <c r="FTL72" s="4"/>
      <c r="FTM72" s="4"/>
      <c r="FTN72" s="4"/>
      <c r="FTO72" s="4"/>
      <c r="FTP72" s="4"/>
      <c r="FTQ72" s="4"/>
      <c r="FTR72" s="4"/>
      <c r="FTS72" s="4"/>
      <c r="FTT72" s="4"/>
      <c r="FTU72" s="4"/>
      <c r="FTV72" s="4"/>
      <c r="FTW72" s="4"/>
      <c r="FTX72" s="4"/>
      <c r="FTY72" s="4"/>
      <c r="FTZ72" s="4"/>
      <c r="FUA72" s="4"/>
      <c r="FUB72" s="4"/>
      <c r="FUC72" s="4"/>
      <c r="FUD72" s="4"/>
      <c r="FUE72" s="4"/>
      <c r="FUF72" s="4"/>
      <c r="FUG72" s="4"/>
      <c r="FUH72" s="4"/>
      <c r="FUI72" s="4"/>
      <c r="FUJ72" s="4"/>
      <c r="FUK72" s="4"/>
      <c r="FUL72" s="4"/>
      <c r="FUM72" s="4"/>
      <c r="FUN72" s="4"/>
      <c r="FUO72" s="4"/>
      <c r="FUP72" s="4"/>
      <c r="FUQ72" s="4"/>
      <c r="FUR72" s="4"/>
      <c r="FUS72" s="4"/>
      <c r="FUT72" s="4"/>
      <c r="FUU72" s="4"/>
      <c r="FUV72" s="4"/>
      <c r="FUW72" s="4"/>
      <c r="FUX72" s="4"/>
      <c r="FUY72" s="4"/>
      <c r="FUZ72" s="4"/>
      <c r="FVA72" s="4"/>
      <c r="FVB72" s="4"/>
      <c r="FVC72" s="4"/>
      <c r="FVD72" s="4"/>
      <c r="FVE72" s="4"/>
      <c r="FVF72" s="4"/>
      <c r="FVG72" s="4"/>
      <c r="FVH72" s="4"/>
      <c r="FVI72" s="4"/>
      <c r="FVJ72" s="4"/>
      <c r="FVK72" s="4"/>
      <c r="FVL72" s="4"/>
      <c r="FVM72" s="4"/>
      <c r="FVN72" s="4"/>
      <c r="FVO72" s="4"/>
      <c r="FVP72" s="4"/>
      <c r="FVQ72" s="4"/>
      <c r="FVR72" s="4"/>
      <c r="FVS72" s="4"/>
      <c r="FVT72" s="4"/>
      <c r="FVU72" s="4"/>
      <c r="FVV72" s="4"/>
      <c r="FVW72" s="4"/>
      <c r="FVX72" s="4"/>
      <c r="FVY72" s="4"/>
      <c r="FVZ72" s="4"/>
      <c r="FWA72" s="4"/>
      <c r="FWB72" s="4"/>
      <c r="FWC72" s="4"/>
      <c r="FWD72" s="4"/>
      <c r="FWE72" s="4"/>
      <c r="FWF72" s="4"/>
      <c r="FWG72" s="4"/>
      <c r="FWH72" s="4"/>
      <c r="FWI72" s="4"/>
      <c r="FWJ72" s="4"/>
      <c r="FWK72" s="4"/>
      <c r="FWL72" s="4"/>
      <c r="FWM72" s="4"/>
      <c r="FWN72" s="4"/>
      <c r="FWO72" s="4"/>
      <c r="FWP72" s="4"/>
      <c r="FWQ72" s="4"/>
      <c r="FWR72" s="4"/>
      <c r="FWS72" s="4"/>
      <c r="FWT72" s="4"/>
      <c r="FWU72" s="4"/>
      <c r="FWV72" s="4"/>
      <c r="FWW72" s="4"/>
      <c r="FWX72" s="4"/>
      <c r="FWY72" s="4"/>
      <c r="FWZ72" s="4"/>
      <c r="FXA72" s="4"/>
      <c r="FXB72" s="4"/>
      <c r="FXC72" s="4"/>
      <c r="FXD72" s="4"/>
      <c r="FXE72" s="4"/>
      <c r="FXF72" s="4"/>
      <c r="FXG72" s="4"/>
      <c r="FXH72" s="4"/>
      <c r="FXI72" s="4"/>
      <c r="FXJ72" s="4"/>
      <c r="FXK72" s="4"/>
      <c r="FXL72" s="4"/>
      <c r="FXM72" s="4"/>
      <c r="FXN72" s="4"/>
      <c r="FXO72" s="4"/>
      <c r="FXP72" s="4"/>
      <c r="FXQ72" s="4"/>
      <c r="FXR72" s="4"/>
      <c r="FXS72" s="4"/>
      <c r="FXT72" s="4"/>
      <c r="FXU72" s="4"/>
      <c r="FXV72" s="4"/>
      <c r="FXW72" s="4"/>
      <c r="FXX72" s="4"/>
      <c r="FXY72" s="4"/>
      <c r="FXZ72" s="4"/>
      <c r="FYA72" s="4"/>
      <c r="FYB72" s="4"/>
      <c r="FYC72" s="4"/>
      <c r="FYD72" s="4"/>
      <c r="FYE72" s="4"/>
      <c r="FYF72" s="4"/>
      <c r="FYG72" s="4"/>
      <c r="FYH72" s="4"/>
      <c r="FYI72" s="4"/>
      <c r="FYJ72" s="4"/>
      <c r="FYK72" s="4"/>
      <c r="FYL72" s="4"/>
      <c r="FYM72" s="4"/>
      <c r="FYN72" s="4"/>
      <c r="FYO72" s="4"/>
      <c r="FYP72" s="4"/>
      <c r="FYQ72" s="4"/>
      <c r="FYR72" s="4"/>
      <c r="FYS72" s="4"/>
      <c r="FYT72" s="4"/>
      <c r="FYU72" s="4"/>
      <c r="FYV72" s="4"/>
      <c r="FYW72" s="4"/>
      <c r="FYX72" s="4"/>
      <c r="FYY72" s="4"/>
      <c r="FYZ72" s="4"/>
      <c r="FZA72" s="4"/>
      <c r="FZB72" s="4"/>
      <c r="FZC72" s="4"/>
      <c r="FZD72" s="4"/>
      <c r="FZE72" s="4"/>
      <c r="FZF72" s="4"/>
      <c r="FZG72" s="4"/>
      <c r="FZH72" s="4"/>
      <c r="FZI72" s="4"/>
      <c r="FZJ72" s="4"/>
      <c r="FZK72" s="4"/>
      <c r="FZL72" s="4"/>
      <c r="FZM72" s="4"/>
      <c r="FZN72" s="4"/>
      <c r="FZO72" s="4"/>
      <c r="FZP72" s="4"/>
      <c r="FZQ72" s="4"/>
      <c r="FZR72" s="4"/>
      <c r="FZS72" s="4"/>
      <c r="FZT72" s="4"/>
      <c r="FZU72" s="4"/>
      <c r="FZV72" s="4"/>
      <c r="FZW72" s="4"/>
      <c r="FZX72" s="4"/>
      <c r="FZY72" s="4"/>
      <c r="FZZ72" s="4"/>
      <c r="GAA72" s="4"/>
      <c r="GAB72" s="4"/>
      <c r="GAC72" s="4"/>
      <c r="GAD72" s="4"/>
      <c r="GAE72" s="4"/>
      <c r="GAF72" s="4"/>
      <c r="GAG72" s="4"/>
      <c r="GAH72" s="4"/>
      <c r="GAI72" s="4"/>
      <c r="GAJ72" s="4"/>
      <c r="GAK72" s="4"/>
      <c r="GAL72" s="4"/>
      <c r="GAM72" s="4"/>
      <c r="GAN72" s="4"/>
      <c r="GAO72" s="4"/>
      <c r="GAP72" s="4"/>
      <c r="GAQ72" s="4"/>
      <c r="GAR72" s="4"/>
      <c r="GAS72" s="4"/>
      <c r="GAT72" s="4"/>
      <c r="GAU72" s="4"/>
      <c r="GAV72" s="4"/>
      <c r="GAW72" s="4"/>
      <c r="GAX72" s="4"/>
      <c r="GAY72" s="4"/>
      <c r="GAZ72" s="4"/>
      <c r="GBA72" s="4"/>
      <c r="GBB72" s="4"/>
      <c r="GBC72" s="4"/>
      <c r="GBD72" s="4"/>
      <c r="GBE72" s="4"/>
      <c r="GBF72" s="4"/>
      <c r="GBG72" s="4"/>
      <c r="GBH72" s="4"/>
      <c r="GBI72" s="4"/>
      <c r="GBJ72" s="4"/>
      <c r="GBK72" s="4"/>
      <c r="GBL72" s="4"/>
      <c r="GBM72" s="4"/>
      <c r="GBN72" s="4"/>
      <c r="GBO72" s="4"/>
      <c r="GBP72" s="4"/>
      <c r="GBQ72" s="4"/>
      <c r="GBR72" s="4"/>
      <c r="GBS72" s="4"/>
      <c r="GBT72" s="4"/>
      <c r="GBU72" s="4"/>
      <c r="GBV72" s="4"/>
      <c r="GBW72" s="4"/>
      <c r="GBX72" s="4"/>
      <c r="GBY72" s="4"/>
      <c r="GBZ72" s="4"/>
      <c r="GCA72" s="4"/>
      <c r="GCB72" s="4"/>
      <c r="GCC72" s="4"/>
      <c r="GCD72" s="4"/>
      <c r="GCE72" s="4"/>
      <c r="GCF72" s="4"/>
      <c r="GCG72" s="4"/>
      <c r="GCH72" s="4"/>
      <c r="GCI72" s="4"/>
      <c r="GCJ72" s="4"/>
      <c r="GCK72" s="4"/>
      <c r="GCL72" s="4"/>
      <c r="GCM72" s="4"/>
      <c r="GCN72" s="4"/>
      <c r="GCO72" s="4"/>
      <c r="GCP72" s="4"/>
      <c r="GCQ72" s="4"/>
      <c r="GCR72" s="4"/>
      <c r="GCS72" s="4"/>
      <c r="GCT72" s="4"/>
      <c r="GCU72" s="4"/>
      <c r="GCV72" s="4"/>
      <c r="GCW72" s="4"/>
      <c r="GCX72" s="4"/>
      <c r="GCY72" s="4"/>
      <c r="GCZ72" s="4"/>
      <c r="GDA72" s="4"/>
      <c r="GDB72" s="4"/>
      <c r="GDC72" s="4"/>
      <c r="GDD72" s="4"/>
      <c r="GDE72" s="4"/>
      <c r="GDF72" s="4"/>
      <c r="GDG72" s="4"/>
      <c r="GDH72" s="4"/>
      <c r="GDI72" s="4"/>
      <c r="GDJ72" s="4"/>
      <c r="GDK72" s="4"/>
      <c r="GDL72" s="4"/>
      <c r="GDM72" s="4"/>
      <c r="GDN72" s="4"/>
      <c r="GDO72" s="4"/>
      <c r="GDP72" s="4"/>
      <c r="GDQ72" s="4"/>
      <c r="GDR72" s="4"/>
      <c r="GDS72" s="4"/>
      <c r="GDT72" s="4"/>
      <c r="GDU72" s="4"/>
      <c r="GDV72" s="4"/>
      <c r="GDW72" s="4"/>
      <c r="GDX72" s="4"/>
      <c r="GDY72" s="4"/>
      <c r="GDZ72" s="4"/>
      <c r="GEA72" s="4"/>
      <c r="GEB72" s="4"/>
      <c r="GEC72" s="4"/>
      <c r="GED72" s="4"/>
      <c r="GEE72" s="4"/>
      <c r="GEF72" s="4"/>
      <c r="GEG72" s="4"/>
      <c r="GEH72" s="4"/>
      <c r="GEI72" s="4"/>
      <c r="GEJ72" s="4"/>
      <c r="GEK72" s="4"/>
      <c r="GEL72" s="4"/>
      <c r="GEM72" s="4"/>
      <c r="GEN72" s="4"/>
      <c r="GEO72" s="4"/>
      <c r="GEP72" s="4"/>
      <c r="GEQ72" s="4"/>
      <c r="GER72" s="4"/>
      <c r="GES72" s="4"/>
      <c r="GET72" s="4"/>
      <c r="GEU72" s="4"/>
      <c r="GEV72" s="4"/>
      <c r="GEW72" s="4"/>
      <c r="GEX72" s="4"/>
      <c r="GEY72" s="4"/>
      <c r="GEZ72" s="4"/>
      <c r="GFA72" s="4"/>
      <c r="GFB72" s="4"/>
      <c r="GFC72" s="4"/>
      <c r="GFD72" s="4"/>
      <c r="GFE72" s="4"/>
      <c r="GFF72" s="4"/>
      <c r="GFG72" s="4"/>
      <c r="GFH72" s="4"/>
      <c r="GFI72" s="4"/>
      <c r="GFJ72" s="4"/>
      <c r="GFK72" s="4"/>
      <c r="GFL72" s="4"/>
      <c r="GFM72" s="4"/>
      <c r="GFN72" s="4"/>
      <c r="GFO72" s="4"/>
      <c r="GFP72" s="4"/>
      <c r="GFQ72" s="4"/>
      <c r="GFR72" s="4"/>
      <c r="GFS72" s="4"/>
      <c r="GFT72" s="4"/>
      <c r="GFU72" s="4"/>
      <c r="GFV72" s="4"/>
      <c r="GFW72" s="4"/>
      <c r="GFX72" s="4"/>
      <c r="GFY72" s="4"/>
      <c r="GFZ72" s="4"/>
      <c r="GGA72" s="4"/>
      <c r="GGB72" s="4"/>
      <c r="GGC72" s="4"/>
      <c r="GGD72" s="4"/>
      <c r="GGE72" s="4"/>
      <c r="GGF72" s="4"/>
      <c r="GGG72" s="4"/>
      <c r="GGH72" s="4"/>
      <c r="GGI72" s="4"/>
      <c r="GGJ72" s="4"/>
      <c r="GGK72" s="4"/>
      <c r="GGL72" s="4"/>
      <c r="GGM72" s="4"/>
      <c r="GGN72" s="4"/>
      <c r="GGO72" s="4"/>
      <c r="GGP72" s="4"/>
      <c r="GGQ72" s="4"/>
      <c r="GGR72" s="4"/>
      <c r="GGS72" s="4"/>
      <c r="GGT72" s="4"/>
      <c r="GGU72" s="4"/>
      <c r="GGV72" s="4"/>
      <c r="GGW72" s="4"/>
      <c r="GGX72" s="4"/>
      <c r="GGY72" s="4"/>
      <c r="GGZ72" s="4"/>
      <c r="GHA72" s="4"/>
      <c r="GHB72" s="4"/>
      <c r="GHC72" s="4"/>
      <c r="GHD72" s="4"/>
      <c r="GHE72" s="4"/>
      <c r="GHF72" s="4"/>
      <c r="GHG72" s="4"/>
      <c r="GHH72" s="4"/>
      <c r="GHI72" s="4"/>
      <c r="GHJ72" s="4"/>
      <c r="GHK72" s="4"/>
      <c r="GHL72" s="4"/>
      <c r="GHM72" s="4"/>
      <c r="GHN72" s="4"/>
      <c r="GHO72" s="4"/>
      <c r="GHP72" s="4"/>
      <c r="GHQ72" s="4"/>
      <c r="GHR72" s="4"/>
      <c r="GHS72" s="4"/>
      <c r="GHT72" s="4"/>
      <c r="GHU72" s="4"/>
      <c r="GHV72" s="4"/>
      <c r="GHW72" s="4"/>
      <c r="GHX72" s="4"/>
      <c r="GHY72" s="4"/>
      <c r="GHZ72" s="4"/>
      <c r="GIA72" s="4"/>
      <c r="GIB72" s="4"/>
      <c r="GIC72" s="4"/>
      <c r="GID72" s="4"/>
      <c r="GIE72" s="4"/>
      <c r="GIF72" s="4"/>
      <c r="GIG72" s="4"/>
      <c r="GIH72" s="4"/>
      <c r="GII72" s="4"/>
      <c r="GIJ72" s="4"/>
      <c r="GIK72" s="4"/>
      <c r="GIL72" s="4"/>
      <c r="GIM72" s="4"/>
      <c r="GIN72" s="4"/>
      <c r="GIO72" s="4"/>
      <c r="GIP72" s="4"/>
      <c r="GIQ72" s="4"/>
      <c r="GIR72" s="4"/>
      <c r="GIS72" s="4"/>
      <c r="GIT72" s="4"/>
      <c r="GIU72" s="4"/>
      <c r="GIV72" s="4"/>
      <c r="GIW72" s="4"/>
      <c r="GIX72" s="4"/>
      <c r="GIY72" s="4"/>
      <c r="GIZ72" s="4"/>
      <c r="GJA72" s="4"/>
      <c r="GJB72" s="4"/>
      <c r="GJC72" s="4"/>
      <c r="GJD72" s="4"/>
      <c r="GJE72" s="4"/>
      <c r="GJF72" s="4"/>
      <c r="GJG72" s="4"/>
      <c r="GJH72" s="4"/>
      <c r="GJI72" s="4"/>
      <c r="GJJ72" s="4"/>
      <c r="GJK72" s="4"/>
      <c r="GJL72" s="4"/>
      <c r="GJM72" s="4"/>
      <c r="GJN72" s="4"/>
      <c r="GJO72" s="4"/>
      <c r="GJP72" s="4"/>
      <c r="GJQ72" s="4"/>
      <c r="GJR72" s="4"/>
      <c r="GJS72" s="4"/>
      <c r="GJT72" s="4"/>
      <c r="GJU72" s="4"/>
      <c r="GJV72" s="4"/>
      <c r="GJW72" s="4"/>
      <c r="GJX72" s="4"/>
      <c r="GJY72" s="4"/>
      <c r="GJZ72" s="4"/>
      <c r="GKA72" s="4"/>
      <c r="GKB72" s="4"/>
      <c r="GKC72" s="4"/>
      <c r="GKD72" s="4"/>
      <c r="GKE72" s="4"/>
      <c r="GKF72" s="4"/>
      <c r="GKG72" s="4"/>
      <c r="GKH72" s="4"/>
      <c r="GKI72" s="4"/>
      <c r="GKJ72" s="4"/>
      <c r="GKK72" s="4"/>
      <c r="GKL72" s="4"/>
      <c r="GKM72" s="4"/>
      <c r="GKN72" s="4"/>
      <c r="GKO72" s="4"/>
      <c r="GKP72" s="4"/>
      <c r="GKQ72" s="4"/>
      <c r="GKR72" s="4"/>
      <c r="GKS72" s="4"/>
      <c r="GKT72" s="4"/>
      <c r="GKU72" s="4"/>
      <c r="GKV72" s="4"/>
      <c r="GKW72" s="4"/>
      <c r="GKX72" s="4"/>
      <c r="GKY72" s="4"/>
      <c r="GKZ72" s="4"/>
      <c r="GLA72" s="4"/>
      <c r="GLB72" s="4"/>
      <c r="GLC72" s="4"/>
      <c r="GLD72" s="4"/>
      <c r="GLE72" s="4"/>
      <c r="GLF72" s="4"/>
      <c r="GLG72" s="4"/>
      <c r="GLH72" s="4"/>
      <c r="GLI72" s="4"/>
      <c r="GLJ72" s="4"/>
      <c r="GLK72" s="4"/>
      <c r="GLL72" s="4"/>
      <c r="GLM72" s="4"/>
      <c r="GLN72" s="4"/>
      <c r="GLO72" s="4"/>
      <c r="GLP72" s="4"/>
      <c r="GLQ72" s="4"/>
      <c r="GLR72" s="4"/>
      <c r="GLS72" s="4"/>
      <c r="GLT72" s="4"/>
      <c r="GLU72" s="4"/>
      <c r="GLV72" s="4"/>
      <c r="GLW72" s="4"/>
      <c r="GLX72" s="4"/>
      <c r="GLY72" s="4"/>
      <c r="GLZ72" s="4"/>
      <c r="GMA72" s="4"/>
      <c r="GMB72" s="4"/>
      <c r="GMC72" s="4"/>
      <c r="GMD72" s="4"/>
      <c r="GME72" s="4"/>
      <c r="GMF72" s="4"/>
      <c r="GMG72" s="4"/>
      <c r="GMH72" s="4"/>
      <c r="GMI72" s="4"/>
      <c r="GMJ72" s="4"/>
      <c r="GMK72" s="4"/>
      <c r="GML72" s="4"/>
      <c r="GMM72" s="4"/>
      <c r="GMN72" s="4"/>
      <c r="GMO72" s="4"/>
      <c r="GMP72" s="4"/>
      <c r="GMQ72" s="4"/>
      <c r="GMR72" s="4"/>
      <c r="GMS72" s="4"/>
      <c r="GMT72" s="4"/>
      <c r="GMU72" s="4"/>
      <c r="GMV72" s="4"/>
      <c r="GMW72" s="4"/>
      <c r="GMX72" s="4"/>
      <c r="GMY72" s="4"/>
      <c r="GMZ72" s="4"/>
      <c r="GNA72" s="4"/>
      <c r="GNB72" s="4"/>
      <c r="GNC72" s="4"/>
      <c r="GND72" s="4"/>
      <c r="GNE72" s="4"/>
      <c r="GNF72" s="4"/>
      <c r="GNG72" s="4"/>
      <c r="GNH72" s="4"/>
      <c r="GNI72" s="4"/>
      <c r="GNJ72" s="4"/>
      <c r="GNK72" s="4"/>
      <c r="GNL72" s="4"/>
      <c r="GNM72" s="4"/>
      <c r="GNN72" s="4"/>
      <c r="GNO72" s="4"/>
      <c r="GNP72" s="4"/>
      <c r="GNQ72" s="4"/>
      <c r="GNR72" s="4"/>
      <c r="GNS72" s="4"/>
      <c r="GNT72" s="4"/>
      <c r="GNU72" s="4"/>
      <c r="GNV72" s="4"/>
      <c r="GNW72" s="4"/>
      <c r="GNX72" s="4"/>
      <c r="GNY72" s="4"/>
      <c r="GNZ72" s="4"/>
      <c r="GOA72" s="4"/>
      <c r="GOB72" s="4"/>
      <c r="GOC72" s="4"/>
      <c r="GOD72" s="4"/>
      <c r="GOE72" s="4"/>
      <c r="GOF72" s="4"/>
      <c r="GOG72" s="4"/>
      <c r="GOH72" s="4"/>
      <c r="GOI72" s="4"/>
      <c r="GOJ72" s="4"/>
      <c r="GOK72" s="4"/>
      <c r="GOL72" s="4"/>
      <c r="GOM72" s="4"/>
      <c r="GON72" s="4"/>
      <c r="GOO72" s="4"/>
      <c r="GOP72" s="4"/>
      <c r="GOQ72" s="4"/>
      <c r="GOR72" s="4"/>
      <c r="GOS72" s="4"/>
      <c r="GOT72" s="4"/>
      <c r="GOU72" s="4"/>
      <c r="GOV72" s="4"/>
      <c r="GOW72" s="4"/>
      <c r="GOX72" s="4"/>
      <c r="GOY72" s="4"/>
      <c r="GOZ72" s="4"/>
      <c r="GPA72" s="4"/>
      <c r="GPB72" s="4"/>
      <c r="GPC72" s="4"/>
      <c r="GPD72" s="4"/>
      <c r="GPE72" s="4"/>
      <c r="GPF72" s="4"/>
      <c r="GPG72" s="4"/>
      <c r="GPH72" s="4"/>
      <c r="GPI72" s="4"/>
      <c r="GPJ72" s="4"/>
      <c r="GPK72" s="4"/>
      <c r="GPL72" s="4"/>
      <c r="GPM72" s="4"/>
      <c r="GPN72" s="4"/>
      <c r="GPO72" s="4"/>
      <c r="GPP72" s="4"/>
      <c r="GPQ72" s="4"/>
      <c r="GPR72" s="4"/>
      <c r="GPS72" s="4"/>
      <c r="GPT72" s="4"/>
      <c r="GPU72" s="4"/>
      <c r="GPV72" s="4"/>
      <c r="GPW72" s="4"/>
      <c r="GPX72" s="4"/>
      <c r="GPY72" s="4"/>
      <c r="GPZ72" s="4"/>
      <c r="GQA72" s="4"/>
      <c r="GQB72" s="4"/>
      <c r="GQC72" s="4"/>
      <c r="GQD72" s="4"/>
      <c r="GQE72" s="4"/>
      <c r="GQF72" s="4"/>
      <c r="GQG72" s="4"/>
      <c r="GQH72" s="4"/>
      <c r="GQI72" s="4"/>
      <c r="GQJ72" s="4"/>
      <c r="GQK72" s="4"/>
      <c r="GQL72" s="4"/>
      <c r="GQM72" s="4"/>
      <c r="GQN72" s="4"/>
      <c r="GQO72" s="4"/>
      <c r="GQP72" s="4"/>
      <c r="GQQ72" s="4"/>
      <c r="GQR72" s="4"/>
      <c r="GQS72" s="4"/>
      <c r="GQT72" s="4"/>
      <c r="GQU72" s="4"/>
      <c r="GQV72" s="4"/>
      <c r="GQW72" s="4"/>
      <c r="GQX72" s="4"/>
      <c r="GQY72" s="4"/>
      <c r="GQZ72" s="4"/>
      <c r="GRA72" s="4"/>
      <c r="GRB72" s="4"/>
      <c r="GRC72" s="4"/>
      <c r="GRD72" s="4"/>
      <c r="GRE72" s="4"/>
      <c r="GRF72" s="4"/>
      <c r="GRG72" s="4"/>
      <c r="GRH72" s="4"/>
      <c r="GRI72" s="4"/>
      <c r="GRJ72" s="4"/>
      <c r="GRK72" s="4"/>
      <c r="GRL72" s="4"/>
      <c r="GRM72" s="4"/>
      <c r="GRN72" s="4"/>
      <c r="GRO72" s="4"/>
      <c r="GRP72" s="4"/>
      <c r="GRQ72" s="4"/>
      <c r="GRR72" s="4"/>
      <c r="GRS72" s="4"/>
      <c r="GRT72" s="4"/>
      <c r="GRU72" s="4"/>
      <c r="GRV72" s="4"/>
      <c r="GRW72" s="4"/>
      <c r="GRX72" s="4"/>
      <c r="GRY72" s="4"/>
      <c r="GRZ72" s="4"/>
      <c r="GSA72" s="4"/>
      <c r="GSB72" s="4"/>
      <c r="GSC72" s="4"/>
      <c r="GSD72" s="4"/>
      <c r="GSE72" s="4"/>
      <c r="GSF72" s="4"/>
      <c r="GSG72" s="4"/>
      <c r="GSH72" s="4"/>
      <c r="GSI72" s="4"/>
      <c r="GSJ72" s="4"/>
      <c r="GSK72" s="4"/>
      <c r="GSL72" s="4"/>
      <c r="GSM72" s="4"/>
      <c r="GSN72" s="4"/>
      <c r="GSO72" s="4"/>
      <c r="GSP72" s="4"/>
      <c r="GSQ72" s="4"/>
      <c r="GSR72" s="4"/>
      <c r="GSS72" s="4"/>
      <c r="GST72" s="4"/>
      <c r="GSU72" s="4"/>
      <c r="GSV72" s="4"/>
      <c r="GSW72" s="4"/>
      <c r="GSX72" s="4"/>
      <c r="GSY72" s="4"/>
      <c r="GSZ72" s="4"/>
      <c r="GTA72" s="4"/>
      <c r="GTB72" s="4"/>
      <c r="GTC72" s="4"/>
      <c r="GTD72" s="4"/>
      <c r="GTE72" s="4"/>
      <c r="GTF72" s="4"/>
      <c r="GTG72" s="4"/>
      <c r="GTH72" s="4"/>
      <c r="GTI72" s="4"/>
      <c r="GTJ72" s="4"/>
      <c r="GTK72" s="4"/>
      <c r="GTL72" s="4"/>
      <c r="GTM72" s="4"/>
      <c r="GTN72" s="4"/>
      <c r="GTO72" s="4"/>
      <c r="GTP72" s="4"/>
      <c r="GTQ72" s="4"/>
      <c r="GTR72" s="4"/>
      <c r="GTS72" s="4"/>
      <c r="GTT72" s="4"/>
      <c r="GTU72" s="4"/>
      <c r="GTV72" s="4"/>
      <c r="GTW72" s="4"/>
      <c r="GTX72" s="4"/>
      <c r="GTY72" s="4"/>
      <c r="GTZ72" s="4"/>
      <c r="GUA72" s="4"/>
      <c r="GUB72" s="4"/>
      <c r="GUC72" s="4"/>
      <c r="GUD72" s="4"/>
      <c r="GUE72" s="4"/>
      <c r="GUF72" s="4"/>
      <c r="GUG72" s="4"/>
      <c r="GUH72" s="4"/>
      <c r="GUI72" s="4"/>
      <c r="GUJ72" s="4"/>
      <c r="GUK72" s="4"/>
      <c r="GUL72" s="4"/>
      <c r="GUM72" s="4"/>
      <c r="GUN72" s="4"/>
      <c r="GUO72" s="4"/>
      <c r="GUP72" s="4"/>
      <c r="GUQ72" s="4"/>
      <c r="GUR72" s="4"/>
      <c r="GUS72" s="4"/>
      <c r="GUT72" s="4"/>
      <c r="GUU72" s="4"/>
      <c r="GUV72" s="4"/>
      <c r="GUW72" s="4"/>
      <c r="GUX72" s="4"/>
      <c r="GUY72" s="4"/>
      <c r="GUZ72" s="4"/>
      <c r="GVA72" s="4"/>
      <c r="GVB72" s="4"/>
      <c r="GVC72" s="4"/>
      <c r="GVD72" s="4"/>
      <c r="GVE72" s="4"/>
      <c r="GVF72" s="4"/>
      <c r="GVG72" s="4"/>
      <c r="GVH72" s="4"/>
      <c r="GVI72" s="4"/>
      <c r="GVJ72" s="4"/>
      <c r="GVK72" s="4"/>
      <c r="GVL72" s="4"/>
      <c r="GVM72" s="4"/>
      <c r="GVN72" s="4"/>
      <c r="GVO72" s="4"/>
      <c r="GVP72" s="4"/>
      <c r="GVQ72" s="4"/>
      <c r="GVR72" s="4"/>
      <c r="GVS72" s="4"/>
      <c r="GVT72" s="4"/>
      <c r="GVU72" s="4"/>
      <c r="GVV72" s="4"/>
      <c r="GVW72" s="4"/>
      <c r="GVX72" s="4"/>
      <c r="GVY72" s="4"/>
      <c r="GVZ72" s="4"/>
      <c r="GWA72" s="4"/>
      <c r="GWB72" s="4"/>
      <c r="GWC72" s="4"/>
      <c r="GWD72" s="4"/>
      <c r="GWE72" s="4"/>
      <c r="GWF72" s="4"/>
      <c r="GWG72" s="4"/>
      <c r="GWH72" s="4"/>
      <c r="GWI72" s="4"/>
      <c r="GWJ72" s="4"/>
      <c r="GWK72" s="4"/>
      <c r="GWL72" s="4"/>
      <c r="GWM72" s="4"/>
      <c r="GWN72" s="4"/>
      <c r="GWO72" s="4"/>
      <c r="GWP72" s="4"/>
      <c r="GWQ72" s="4"/>
      <c r="GWR72" s="4"/>
      <c r="GWS72" s="4"/>
      <c r="GWT72" s="4"/>
      <c r="GWU72" s="4"/>
      <c r="GWV72" s="4"/>
      <c r="GWW72" s="4"/>
      <c r="GWX72" s="4"/>
      <c r="GWY72" s="4"/>
      <c r="GWZ72" s="4"/>
      <c r="GXA72" s="4"/>
      <c r="GXB72" s="4"/>
      <c r="GXC72" s="4"/>
      <c r="GXD72" s="4"/>
      <c r="GXE72" s="4"/>
      <c r="GXF72" s="4"/>
      <c r="GXG72" s="4"/>
      <c r="GXH72" s="4"/>
      <c r="GXI72" s="4"/>
      <c r="GXJ72" s="4"/>
      <c r="GXK72" s="4"/>
      <c r="GXL72" s="4"/>
      <c r="GXM72" s="4"/>
      <c r="GXN72" s="4"/>
      <c r="GXO72" s="4"/>
      <c r="GXP72" s="4"/>
      <c r="GXQ72" s="4"/>
      <c r="GXR72" s="4"/>
      <c r="GXS72" s="4"/>
      <c r="GXT72" s="4"/>
      <c r="GXU72" s="4"/>
      <c r="GXV72" s="4"/>
      <c r="GXW72" s="4"/>
      <c r="GXX72" s="4"/>
      <c r="GXY72" s="4"/>
      <c r="GXZ72" s="4"/>
      <c r="GYA72" s="4"/>
      <c r="GYB72" s="4"/>
      <c r="GYC72" s="4"/>
      <c r="GYD72" s="4"/>
      <c r="GYE72" s="4"/>
      <c r="GYF72" s="4"/>
      <c r="GYG72" s="4"/>
      <c r="GYH72" s="4"/>
      <c r="GYI72" s="4"/>
      <c r="GYJ72" s="4"/>
      <c r="GYK72" s="4"/>
      <c r="GYL72" s="4"/>
      <c r="GYM72" s="4"/>
      <c r="GYN72" s="4"/>
      <c r="GYO72" s="4"/>
      <c r="GYP72" s="4"/>
      <c r="GYQ72" s="4"/>
      <c r="GYR72" s="4"/>
      <c r="GYS72" s="4"/>
      <c r="GYT72" s="4"/>
      <c r="GYU72" s="4"/>
      <c r="GYV72" s="4"/>
      <c r="GYW72" s="4"/>
      <c r="GYX72" s="4"/>
      <c r="GYY72" s="4"/>
      <c r="GYZ72" s="4"/>
      <c r="GZA72" s="4"/>
      <c r="GZB72" s="4"/>
      <c r="GZC72" s="4"/>
      <c r="GZD72" s="4"/>
      <c r="GZE72" s="4"/>
      <c r="GZF72" s="4"/>
      <c r="GZG72" s="4"/>
      <c r="GZH72" s="4"/>
      <c r="GZI72" s="4"/>
      <c r="GZJ72" s="4"/>
      <c r="GZK72" s="4"/>
      <c r="GZL72" s="4"/>
      <c r="GZM72" s="4"/>
      <c r="GZN72" s="4"/>
      <c r="GZO72" s="4"/>
      <c r="GZP72" s="4"/>
      <c r="GZQ72" s="4"/>
      <c r="GZR72" s="4"/>
      <c r="GZS72" s="4"/>
      <c r="GZT72" s="4"/>
      <c r="GZU72" s="4"/>
      <c r="GZV72" s="4"/>
      <c r="GZW72" s="4"/>
      <c r="GZX72" s="4"/>
      <c r="GZY72" s="4"/>
      <c r="GZZ72" s="4"/>
      <c r="HAA72" s="4"/>
      <c r="HAB72" s="4"/>
      <c r="HAC72" s="4"/>
      <c r="HAD72" s="4"/>
      <c r="HAE72" s="4"/>
      <c r="HAF72" s="4"/>
      <c r="HAG72" s="4"/>
      <c r="HAH72" s="4"/>
      <c r="HAI72" s="4"/>
      <c r="HAJ72" s="4"/>
      <c r="HAK72" s="4"/>
      <c r="HAL72" s="4"/>
      <c r="HAM72" s="4"/>
      <c r="HAN72" s="4"/>
      <c r="HAO72" s="4"/>
      <c r="HAP72" s="4"/>
      <c r="HAQ72" s="4"/>
      <c r="HAR72" s="4"/>
      <c r="HAS72" s="4"/>
      <c r="HAT72" s="4"/>
      <c r="HAU72" s="4"/>
      <c r="HAV72" s="4"/>
      <c r="HAW72" s="4"/>
      <c r="HAX72" s="4"/>
      <c r="HAY72" s="4"/>
      <c r="HAZ72" s="4"/>
      <c r="HBA72" s="4"/>
      <c r="HBB72" s="4"/>
      <c r="HBC72" s="4"/>
      <c r="HBD72" s="4"/>
      <c r="HBE72" s="4"/>
      <c r="HBF72" s="4"/>
      <c r="HBG72" s="4"/>
      <c r="HBH72" s="4"/>
      <c r="HBI72" s="4"/>
      <c r="HBJ72" s="4"/>
      <c r="HBK72" s="4"/>
      <c r="HBL72" s="4"/>
      <c r="HBM72" s="4"/>
      <c r="HBN72" s="4"/>
      <c r="HBO72" s="4"/>
      <c r="HBP72" s="4"/>
      <c r="HBQ72" s="4"/>
      <c r="HBR72" s="4"/>
      <c r="HBS72" s="4"/>
      <c r="HBT72" s="4"/>
      <c r="HBU72" s="4"/>
      <c r="HBV72" s="4"/>
      <c r="HBW72" s="4"/>
      <c r="HBX72" s="4"/>
      <c r="HBY72" s="4"/>
      <c r="HBZ72" s="4"/>
      <c r="HCA72" s="4"/>
      <c r="HCB72" s="4"/>
      <c r="HCC72" s="4"/>
      <c r="HCD72" s="4"/>
      <c r="HCE72" s="4"/>
      <c r="HCF72" s="4"/>
      <c r="HCG72" s="4"/>
      <c r="HCH72" s="4"/>
      <c r="HCI72" s="4"/>
      <c r="HCJ72" s="4"/>
      <c r="HCK72" s="4"/>
      <c r="HCL72" s="4"/>
      <c r="HCM72" s="4"/>
      <c r="HCN72" s="4"/>
      <c r="HCO72" s="4"/>
      <c r="HCP72" s="4"/>
      <c r="HCQ72" s="4"/>
      <c r="HCR72" s="4"/>
      <c r="HCS72" s="4"/>
      <c r="HCT72" s="4"/>
      <c r="HCU72" s="4"/>
      <c r="HCV72" s="4"/>
      <c r="HCW72" s="4"/>
      <c r="HCX72" s="4"/>
      <c r="HCY72" s="4"/>
      <c r="HCZ72" s="4"/>
      <c r="HDA72" s="4"/>
      <c r="HDB72" s="4"/>
      <c r="HDC72" s="4"/>
      <c r="HDD72" s="4"/>
      <c r="HDE72" s="4"/>
      <c r="HDF72" s="4"/>
      <c r="HDG72" s="4"/>
      <c r="HDH72" s="4"/>
      <c r="HDI72" s="4"/>
      <c r="HDJ72" s="4"/>
      <c r="HDK72" s="4"/>
      <c r="HDL72" s="4"/>
      <c r="HDM72" s="4"/>
      <c r="HDN72" s="4"/>
      <c r="HDO72" s="4"/>
      <c r="HDP72" s="4"/>
      <c r="HDQ72" s="4"/>
      <c r="HDR72" s="4"/>
      <c r="HDS72" s="4"/>
      <c r="HDT72" s="4"/>
      <c r="HDU72" s="4"/>
      <c r="HDV72" s="4"/>
      <c r="HDW72" s="4"/>
      <c r="HDX72" s="4"/>
      <c r="HDY72" s="4"/>
      <c r="HDZ72" s="4"/>
      <c r="HEA72" s="4"/>
      <c r="HEB72" s="4"/>
      <c r="HEC72" s="4"/>
      <c r="HED72" s="4"/>
      <c r="HEE72" s="4"/>
      <c r="HEF72" s="4"/>
      <c r="HEG72" s="4"/>
      <c r="HEH72" s="4"/>
      <c r="HEI72" s="4"/>
      <c r="HEJ72" s="4"/>
      <c r="HEK72" s="4"/>
      <c r="HEL72" s="4"/>
      <c r="HEM72" s="4"/>
      <c r="HEN72" s="4"/>
      <c r="HEO72" s="4"/>
      <c r="HEP72" s="4"/>
      <c r="HEQ72" s="4"/>
      <c r="HER72" s="4"/>
      <c r="HES72" s="4"/>
      <c r="HET72" s="4"/>
      <c r="HEU72" s="4"/>
      <c r="HEV72" s="4"/>
      <c r="HEW72" s="4"/>
      <c r="HEX72" s="4"/>
      <c r="HEY72" s="4"/>
      <c r="HEZ72" s="4"/>
      <c r="HFA72" s="4"/>
      <c r="HFB72" s="4"/>
      <c r="HFC72" s="4"/>
      <c r="HFD72" s="4"/>
      <c r="HFE72" s="4"/>
      <c r="HFF72" s="4"/>
      <c r="HFG72" s="4"/>
      <c r="HFH72" s="4"/>
      <c r="HFI72" s="4"/>
      <c r="HFJ72" s="4"/>
      <c r="HFK72" s="4"/>
      <c r="HFL72" s="4"/>
      <c r="HFM72" s="4"/>
      <c r="HFN72" s="4"/>
      <c r="HFO72" s="4"/>
      <c r="HFP72" s="4"/>
      <c r="HFQ72" s="4"/>
      <c r="HFR72" s="4"/>
      <c r="HFS72" s="4"/>
      <c r="HFT72" s="4"/>
      <c r="HFU72" s="4"/>
      <c r="HFV72" s="4"/>
      <c r="HFW72" s="4"/>
      <c r="HFX72" s="4"/>
      <c r="HFY72" s="4"/>
      <c r="HFZ72" s="4"/>
      <c r="HGA72" s="4"/>
      <c r="HGB72" s="4"/>
      <c r="HGC72" s="4"/>
      <c r="HGD72" s="4"/>
      <c r="HGE72" s="4"/>
      <c r="HGF72" s="4"/>
      <c r="HGG72" s="4"/>
      <c r="HGH72" s="4"/>
      <c r="HGI72" s="4"/>
      <c r="HGJ72" s="4"/>
      <c r="HGK72" s="4"/>
      <c r="HGL72" s="4"/>
      <c r="HGM72" s="4"/>
      <c r="HGN72" s="4"/>
      <c r="HGO72" s="4"/>
      <c r="HGP72" s="4"/>
      <c r="HGQ72" s="4"/>
      <c r="HGR72" s="4"/>
      <c r="HGS72" s="4"/>
      <c r="HGT72" s="4"/>
      <c r="HGU72" s="4"/>
      <c r="HGV72" s="4"/>
      <c r="HGW72" s="4"/>
      <c r="HGX72" s="4"/>
      <c r="HGY72" s="4"/>
      <c r="HGZ72" s="4"/>
      <c r="HHA72" s="4"/>
      <c r="HHB72" s="4"/>
      <c r="HHC72" s="4"/>
      <c r="HHD72" s="4"/>
      <c r="HHE72" s="4"/>
      <c r="HHF72" s="4"/>
      <c r="HHG72" s="4"/>
      <c r="HHH72" s="4"/>
      <c r="HHI72" s="4"/>
      <c r="HHJ72" s="4"/>
      <c r="HHK72" s="4"/>
      <c r="HHL72" s="4"/>
      <c r="HHM72" s="4"/>
      <c r="HHN72" s="4"/>
      <c r="HHO72" s="4"/>
      <c r="HHP72" s="4"/>
      <c r="HHQ72" s="4"/>
      <c r="HHR72" s="4"/>
      <c r="HHS72" s="4"/>
      <c r="HHT72" s="4"/>
      <c r="HHU72" s="4"/>
      <c r="HHV72" s="4"/>
      <c r="HHW72" s="4"/>
      <c r="HHX72" s="4"/>
      <c r="HHY72" s="4"/>
      <c r="HHZ72" s="4"/>
      <c r="HIA72" s="4"/>
      <c r="HIB72" s="4"/>
      <c r="HIC72" s="4"/>
      <c r="HID72" s="4"/>
      <c r="HIE72" s="4"/>
      <c r="HIF72" s="4"/>
      <c r="HIG72" s="4"/>
      <c r="HIH72" s="4"/>
      <c r="HII72" s="4"/>
      <c r="HIJ72" s="4"/>
      <c r="HIK72" s="4"/>
      <c r="HIL72" s="4"/>
      <c r="HIM72" s="4"/>
      <c r="HIN72" s="4"/>
      <c r="HIO72" s="4"/>
      <c r="HIP72" s="4"/>
      <c r="HIQ72" s="4"/>
      <c r="HIR72" s="4"/>
      <c r="HIS72" s="4"/>
      <c r="HIT72" s="4"/>
      <c r="HIU72" s="4"/>
      <c r="HIV72" s="4"/>
      <c r="HIW72" s="4"/>
      <c r="HIX72" s="4"/>
      <c r="HIY72" s="4"/>
      <c r="HIZ72" s="4"/>
      <c r="HJA72" s="4"/>
      <c r="HJB72" s="4"/>
      <c r="HJC72" s="4"/>
      <c r="HJD72" s="4"/>
      <c r="HJE72" s="4"/>
      <c r="HJF72" s="4"/>
      <c r="HJG72" s="4"/>
      <c r="HJH72" s="4"/>
      <c r="HJI72" s="4"/>
      <c r="HJJ72" s="4"/>
      <c r="HJK72" s="4"/>
      <c r="HJL72" s="4"/>
      <c r="HJM72" s="4"/>
      <c r="HJN72" s="4"/>
      <c r="HJO72" s="4"/>
      <c r="HJP72" s="4"/>
      <c r="HJQ72" s="4"/>
      <c r="HJR72" s="4"/>
      <c r="HJS72" s="4"/>
      <c r="HJT72" s="4"/>
      <c r="HJU72" s="4"/>
      <c r="HJV72" s="4"/>
      <c r="HJW72" s="4"/>
      <c r="HJX72" s="4"/>
      <c r="HJY72" s="4"/>
      <c r="HJZ72" s="4"/>
      <c r="HKA72" s="4"/>
      <c r="HKB72" s="4"/>
      <c r="HKC72" s="4"/>
      <c r="HKD72" s="4"/>
      <c r="HKE72" s="4"/>
      <c r="HKF72" s="4"/>
      <c r="HKG72" s="4"/>
      <c r="HKH72" s="4"/>
      <c r="HKI72" s="4"/>
      <c r="HKJ72" s="4"/>
      <c r="HKK72" s="4"/>
      <c r="HKL72" s="4"/>
      <c r="HKM72" s="4"/>
      <c r="HKN72" s="4"/>
      <c r="HKO72" s="4"/>
      <c r="HKP72" s="4"/>
      <c r="HKQ72" s="4"/>
      <c r="HKR72" s="4"/>
      <c r="HKS72" s="4"/>
      <c r="HKT72" s="4"/>
      <c r="HKU72" s="4"/>
      <c r="HKV72" s="4"/>
      <c r="HKW72" s="4"/>
      <c r="HKX72" s="4"/>
      <c r="HKY72" s="4"/>
      <c r="HKZ72" s="4"/>
      <c r="HLA72" s="4"/>
      <c r="HLB72" s="4"/>
      <c r="HLC72" s="4"/>
      <c r="HLD72" s="4"/>
      <c r="HLE72" s="4"/>
      <c r="HLF72" s="4"/>
      <c r="HLG72" s="4"/>
      <c r="HLH72" s="4"/>
      <c r="HLI72" s="4"/>
      <c r="HLJ72" s="4"/>
      <c r="HLK72" s="4"/>
      <c r="HLL72" s="4"/>
      <c r="HLM72" s="4"/>
      <c r="HLN72" s="4"/>
      <c r="HLO72" s="4"/>
      <c r="HLP72" s="4"/>
      <c r="HLQ72" s="4"/>
      <c r="HLR72" s="4"/>
      <c r="HLS72" s="4"/>
      <c r="HLT72" s="4"/>
      <c r="HLU72" s="4"/>
      <c r="HLV72" s="4"/>
      <c r="HLW72" s="4"/>
      <c r="HLX72" s="4"/>
      <c r="HLY72" s="4"/>
      <c r="HLZ72" s="4"/>
      <c r="HMA72" s="4"/>
      <c r="HMB72" s="4"/>
      <c r="HMC72" s="4"/>
      <c r="HMD72" s="4"/>
      <c r="HME72" s="4"/>
      <c r="HMF72" s="4"/>
      <c r="HMG72" s="4"/>
      <c r="HMH72" s="4"/>
      <c r="HMI72" s="4"/>
      <c r="HMJ72" s="4"/>
      <c r="HMK72" s="4"/>
      <c r="HML72" s="4"/>
      <c r="HMM72" s="4"/>
      <c r="HMN72" s="4"/>
      <c r="HMO72" s="4"/>
      <c r="HMP72" s="4"/>
      <c r="HMQ72" s="4"/>
      <c r="HMR72" s="4"/>
      <c r="HMS72" s="4"/>
      <c r="HMT72" s="4"/>
      <c r="HMU72" s="4"/>
      <c r="HMV72" s="4"/>
      <c r="HMW72" s="4"/>
      <c r="HMX72" s="4"/>
      <c r="HMY72" s="4"/>
      <c r="HMZ72" s="4"/>
      <c r="HNA72" s="4"/>
      <c r="HNB72" s="4"/>
      <c r="HNC72" s="4"/>
      <c r="HND72" s="4"/>
      <c r="HNE72" s="4"/>
      <c r="HNF72" s="4"/>
      <c r="HNG72" s="4"/>
      <c r="HNH72" s="4"/>
      <c r="HNI72" s="4"/>
      <c r="HNJ72" s="4"/>
      <c r="HNK72" s="4"/>
      <c r="HNL72" s="4"/>
      <c r="HNM72" s="4"/>
      <c r="HNN72" s="4"/>
      <c r="HNO72" s="4"/>
      <c r="HNP72" s="4"/>
      <c r="HNQ72" s="4"/>
      <c r="HNR72" s="4"/>
      <c r="HNS72" s="4"/>
      <c r="HNT72" s="4"/>
      <c r="HNU72" s="4"/>
      <c r="HNV72" s="4"/>
      <c r="HNW72" s="4"/>
      <c r="HNX72" s="4"/>
      <c r="HNY72" s="4"/>
      <c r="HNZ72" s="4"/>
      <c r="HOA72" s="4"/>
      <c r="HOB72" s="4"/>
      <c r="HOC72" s="4"/>
      <c r="HOD72" s="4"/>
      <c r="HOE72" s="4"/>
      <c r="HOF72" s="4"/>
      <c r="HOG72" s="4"/>
      <c r="HOH72" s="4"/>
      <c r="HOI72" s="4"/>
      <c r="HOJ72" s="4"/>
      <c r="HOK72" s="4"/>
      <c r="HOL72" s="4"/>
      <c r="HOM72" s="4"/>
      <c r="HON72" s="4"/>
      <c r="HOO72" s="4"/>
      <c r="HOP72" s="4"/>
      <c r="HOQ72" s="4"/>
      <c r="HOR72" s="4"/>
      <c r="HOS72" s="4"/>
      <c r="HOT72" s="4"/>
      <c r="HOU72" s="4"/>
      <c r="HOV72" s="4"/>
      <c r="HOW72" s="4"/>
      <c r="HOX72" s="4"/>
      <c r="HOY72" s="4"/>
      <c r="HOZ72" s="4"/>
      <c r="HPA72" s="4"/>
      <c r="HPB72" s="4"/>
      <c r="HPC72" s="4"/>
      <c r="HPD72" s="4"/>
      <c r="HPE72" s="4"/>
      <c r="HPF72" s="4"/>
      <c r="HPG72" s="4"/>
      <c r="HPH72" s="4"/>
      <c r="HPI72" s="4"/>
      <c r="HPJ72" s="4"/>
      <c r="HPK72" s="4"/>
      <c r="HPL72" s="4"/>
      <c r="HPM72" s="4"/>
      <c r="HPN72" s="4"/>
      <c r="HPO72" s="4"/>
      <c r="HPP72" s="4"/>
      <c r="HPQ72" s="4"/>
      <c r="HPR72" s="4"/>
      <c r="HPS72" s="4"/>
      <c r="HPT72" s="4"/>
      <c r="HPU72" s="4"/>
      <c r="HPV72" s="4"/>
      <c r="HPW72" s="4"/>
      <c r="HPX72" s="4"/>
      <c r="HPY72" s="4"/>
      <c r="HPZ72" s="4"/>
      <c r="HQA72" s="4"/>
      <c r="HQB72" s="4"/>
      <c r="HQC72" s="4"/>
      <c r="HQD72" s="4"/>
      <c r="HQE72" s="4"/>
      <c r="HQF72" s="4"/>
      <c r="HQG72" s="4"/>
      <c r="HQH72" s="4"/>
      <c r="HQI72" s="4"/>
      <c r="HQJ72" s="4"/>
      <c r="HQK72" s="4"/>
      <c r="HQL72" s="4"/>
      <c r="HQM72" s="4"/>
      <c r="HQN72" s="4"/>
      <c r="HQO72" s="4"/>
      <c r="HQP72" s="4"/>
      <c r="HQQ72" s="4"/>
      <c r="HQR72" s="4"/>
      <c r="HQS72" s="4"/>
      <c r="HQT72" s="4"/>
      <c r="HQU72" s="4"/>
      <c r="HQV72" s="4"/>
      <c r="HQW72" s="4"/>
      <c r="HQX72" s="4"/>
      <c r="HQY72" s="4"/>
      <c r="HQZ72" s="4"/>
      <c r="HRA72" s="4"/>
      <c r="HRB72" s="4"/>
      <c r="HRC72" s="4"/>
      <c r="HRD72" s="4"/>
      <c r="HRE72" s="4"/>
      <c r="HRF72" s="4"/>
      <c r="HRG72" s="4"/>
      <c r="HRH72" s="4"/>
      <c r="HRI72" s="4"/>
      <c r="HRJ72" s="4"/>
      <c r="HRK72" s="4"/>
      <c r="HRL72" s="4"/>
      <c r="HRM72" s="4"/>
      <c r="HRN72" s="4"/>
      <c r="HRO72" s="4"/>
      <c r="HRP72" s="4"/>
      <c r="HRQ72" s="4"/>
      <c r="HRR72" s="4"/>
      <c r="HRS72" s="4"/>
      <c r="HRT72" s="4"/>
      <c r="HRU72" s="4"/>
      <c r="HRV72" s="4"/>
      <c r="HRW72" s="4"/>
      <c r="HRX72" s="4"/>
      <c r="HRY72" s="4"/>
      <c r="HRZ72" s="4"/>
      <c r="HSA72" s="4"/>
      <c r="HSB72" s="4"/>
      <c r="HSC72" s="4"/>
      <c r="HSD72" s="4"/>
      <c r="HSE72" s="4"/>
      <c r="HSF72" s="4"/>
      <c r="HSG72" s="4"/>
      <c r="HSH72" s="4"/>
      <c r="HSI72" s="4"/>
      <c r="HSJ72" s="4"/>
      <c r="HSK72" s="4"/>
      <c r="HSL72" s="4"/>
      <c r="HSM72" s="4"/>
      <c r="HSN72" s="4"/>
      <c r="HSO72" s="4"/>
      <c r="HSP72" s="4"/>
      <c r="HSQ72" s="4"/>
      <c r="HSR72" s="4"/>
      <c r="HSS72" s="4"/>
      <c r="HST72" s="4"/>
      <c r="HSU72" s="4"/>
      <c r="HSV72" s="4"/>
      <c r="HSW72" s="4"/>
      <c r="HSX72" s="4"/>
      <c r="HSY72" s="4"/>
      <c r="HSZ72" s="4"/>
      <c r="HTA72" s="4"/>
      <c r="HTB72" s="4"/>
      <c r="HTC72" s="4"/>
      <c r="HTD72" s="4"/>
      <c r="HTE72" s="4"/>
      <c r="HTF72" s="4"/>
      <c r="HTG72" s="4"/>
      <c r="HTH72" s="4"/>
      <c r="HTI72" s="4"/>
      <c r="HTJ72" s="4"/>
      <c r="HTK72" s="4"/>
      <c r="HTL72" s="4"/>
      <c r="HTM72" s="4"/>
      <c r="HTN72" s="4"/>
      <c r="HTO72" s="4"/>
      <c r="HTP72" s="4"/>
      <c r="HTQ72" s="4"/>
      <c r="HTR72" s="4"/>
      <c r="HTS72" s="4"/>
      <c r="HTT72" s="4"/>
      <c r="HTU72" s="4"/>
      <c r="HTV72" s="4"/>
      <c r="HTW72" s="4"/>
      <c r="HTX72" s="4"/>
      <c r="HTY72" s="4"/>
      <c r="HTZ72" s="4"/>
      <c r="HUA72" s="4"/>
      <c r="HUB72" s="4"/>
      <c r="HUC72" s="4"/>
      <c r="HUD72" s="4"/>
      <c r="HUE72" s="4"/>
      <c r="HUF72" s="4"/>
      <c r="HUG72" s="4"/>
      <c r="HUH72" s="4"/>
      <c r="HUI72" s="4"/>
      <c r="HUJ72" s="4"/>
      <c r="HUK72" s="4"/>
      <c r="HUL72" s="4"/>
      <c r="HUM72" s="4"/>
      <c r="HUN72" s="4"/>
      <c r="HUO72" s="4"/>
      <c r="HUP72" s="4"/>
      <c r="HUQ72" s="4"/>
      <c r="HUR72" s="4"/>
      <c r="HUS72" s="4"/>
      <c r="HUT72" s="4"/>
      <c r="HUU72" s="4"/>
      <c r="HUV72" s="4"/>
      <c r="HUW72" s="4"/>
      <c r="HUX72" s="4"/>
      <c r="HUY72" s="4"/>
      <c r="HUZ72" s="4"/>
      <c r="HVA72" s="4"/>
      <c r="HVB72" s="4"/>
      <c r="HVC72" s="4"/>
      <c r="HVD72" s="4"/>
      <c r="HVE72" s="4"/>
      <c r="HVF72" s="4"/>
      <c r="HVG72" s="4"/>
      <c r="HVH72" s="4"/>
      <c r="HVI72" s="4"/>
      <c r="HVJ72" s="4"/>
      <c r="HVK72" s="4"/>
      <c r="HVL72" s="4"/>
      <c r="HVM72" s="4"/>
      <c r="HVN72" s="4"/>
      <c r="HVO72" s="4"/>
      <c r="HVP72" s="4"/>
      <c r="HVQ72" s="4"/>
      <c r="HVR72" s="4"/>
      <c r="HVS72" s="4"/>
      <c r="HVT72" s="4"/>
      <c r="HVU72" s="4"/>
      <c r="HVV72" s="4"/>
      <c r="HVW72" s="4"/>
      <c r="HVX72" s="4"/>
      <c r="HVY72" s="4"/>
      <c r="HVZ72" s="4"/>
      <c r="HWA72" s="4"/>
      <c r="HWB72" s="4"/>
      <c r="HWC72" s="4"/>
      <c r="HWD72" s="4"/>
      <c r="HWE72" s="4"/>
      <c r="HWF72" s="4"/>
      <c r="HWG72" s="4"/>
      <c r="HWH72" s="4"/>
      <c r="HWI72" s="4"/>
      <c r="HWJ72" s="4"/>
      <c r="HWK72" s="4"/>
      <c r="HWL72" s="4"/>
      <c r="HWM72" s="4"/>
      <c r="HWN72" s="4"/>
      <c r="HWO72" s="4"/>
      <c r="HWP72" s="4"/>
      <c r="HWQ72" s="4"/>
      <c r="HWR72" s="4"/>
      <c r="HWS72" s="4"/>
      <c r="HWT72" s="4"/>
      <c r="HWU72" s="4"/>
      <c r="HWV72" s="4"/>
      <c r="HWW72" s="4"/>
      <c r="HWX72" s="4"/>
      <c r="HWY72" s="4"/>
      <c r="HWZ72" s="4"/>
      <c r="HXA72" s="4"/>
      <c r="HXB72" s="4"/>
      <c r="HXC72" s="4"/>
      <c r="HXD72" s="4"/>
      <c r="HXE72" s="4"/>
      <c r="HXF72" s="4"/>
      <c r="HXG72" s="4"/>
      <c r="HXH72" s="4"/>
      <c r="HXI72" s="4"/>
      <c r="HXJ72" s="4"/>
      <c r="HXK72" s="4"/>
      <c r="HXL72" s="4"/>
      <c r="HXM72" s="4"/>
      <c r="HXN72" s="4"/>
      <c r="HXO72" s="4"/>
      <c r="HXP72" s="4"/>
      <c r="HXQ72" s="4"/>
      <c r="HXR72" s="4"/>
      <c r="HXS72" s="4"/>
      <c r="HXT72" s="4"/>
      <c r="HXU72" s="4"/>
      <c r="HXV72" s="4"/>
      <c r="HXW72" s="4"/>
      <c r="HXX72" s="4"/>
      <c r="HXY72" s="4"/>
      <c r="HXZ72" s="4"/>
      <c r="HYA72" s="4"/>
      <c r="HYB72" s="4"/>
      <c r="HYC72" s="4"/>
      <c r="HYD72" s="4"/>
      <c r="HYE72" s="4"/>
      <c r="HYF72" s="4"/>
      <c r="HYG72" s="4"/>
      <c r="HYH72" s="4"/>
      <c r="HYI72" s="4"/>
      <c r="HYJ72" s="4"/>
      <c r="HYK72" s="4"/>
      <c r="HYL72" s="4"/>
      <c r="HYM72" s="4"/>
      <c r="HYN72" s="4"/>
      <c r="HYO72" s="4"/>
      <c r="HYP72" s="4"/>
      <c r="HYQ72" s="4"/>
      <c r="HYR72" s="4"/>
      <c r="HYS72" s="4"/>
      <c r="HYT72" s="4"/>
      <c r="HYU72" s="4"/>
      <c r="HYV72" s="4"/>
      <c r="HYW72" s="4"/>
      <c r="HYX72" s="4"/>
      <c r="HYY72" s="4"/>
      <c r="HYZ72" s="4"/>
      <c r="HZA72" s="4"/>
      <c r="HZB72" s="4"/>
      <c r="HZC72" s="4"/>
      <c r="HZD72" s="4"/>
      <c r="HZE72" s="4"/>
      <c r="HZF72" s="4"/>
      <c r="HZG72" s="4"/>
      <c r="HZH72" s="4"/>
      <c r="HZI72" s="4"/>
      <c r="HZJ72" s="4"/>
      <c r="HZK72" s="4"/>
      <c r="HZL72" s="4"/>
      <c r="HZM72" s="4"/>
      <c r="HZN72" s="4"/>
      <c r="HZO72" s="4"/>
      <c r="HZP72" s="4"/>
      <c r="HZQ72" s="4"/>
      <c r="HZR72" s="4"/>
      <c r="HZS72" s="4"/>
      <c r="HZT72" s="4"/>
      <c r="HZU72" s="4"/>
      <c r="HZV72" s="4"/>
      <c r="HZW72" s="4"/>
      <c r="HZX72" s="4"/>
      <c r="HZY72" s="4"/>
      <c r="HZZ72" s="4"/>
      <c r="IAA72" s="4"/>
      <c r="IAB72" s="4"/>
      <c r="IAC72" s="4"/>
      <c r="IAD72" s="4"/>
      <c r="IAE72" s="4"/>
      <c r="IAF72" s="4"/>
      <c r="IAG72" s="4"/>
      <c r="IAH72" s="4"/>
      <c r="IAI72" s="4"/>
      <c r="IAJ72" s="4"/>
      <c r="IAK72" s="4"/>
      <c r="IAL72" s="4"/>
      <c r="IAM72" s="4"/>
      <c r="IAN72" s="4"/>
      <c r="IAO72" s="4"/>
      <c r="IAP72" s="4"/>
      <c r="IAQ72" s="4"/>
      <c r="IAR72" s="4"/>
      <c r="IAS72" s="4"/>
      <c r="IAT72" s="4"/>
      <c r="IAU72" s="4"/>
      <c r="IAV72" s="4"/>
      <c r="IAW72" s="4"/>
      <c r="IAX72" s="4"/>
      <c r="IAY72" s="4"/>
      <c r="IAZ72" s="4"/>
      <c r="IBA72" s="4"/>
      <c r="IBB72" s="4"/>
      <c r="IBC72" s="4"/>
      <c r="IBD72" s="4"/>
      <c r="IBE72" s="4"/>
      <c r="IBF72" s="4"/>
      <c r="IBG72" s="4"/>
      <c r="IBH72" s="4"/>
      <c r="IBI72" s="4"/>
      <c r="IBJ72" s="4"/>
      <c r="IBK72" s="4"/>
      <c r="IBL72" s="4"/>
      <c r="IBM72" s="4"/>
      <c r="IBN72" s="4"/>
      <c r="IBO72" s="4"/>
      <c r="IBP72" s="4"/>
      <c r="IBQ72" s="4"/>
      <c r="IBR72" s="4"/>
      <c r="IBS72" s="4"/>
      <c r="IBT72" s="4"/>
      <c r="IBU72" s="4"/>
      <c r="IBV72" s="4"/>
      <c r="IBW72" s="4"/>
      <c r="IBX72" s="4"/>
      <c r="IBY72" s="4"/>
      <c r="IBZ72" s="4"/>
      <c r="ICA72" s="4"/>
      <c r="ICB72" s="4"/>
      <c r="ICC72" s="4"/>
      <c r="ICD72" s="4"/>
      <c r="ICE72" s="4"/>
      <c r="ICF72" s="4"/>
      <c r="ICG72" s="4"/>
      <c r="ICH72" s="4"/>
      <c r="ICI72" s="4"/>
      <c r="ICJ72" s="4"/>
      <c r="ICK72" s="4"/>
      <c r="ICL72" s="4"/>
      <c r="ICM72" s="4"/>
      <c r="ICN72" s="4"/>
      <c r="ICO72" s="4"/>
      <c r="ICP72" s="4"/>
      <c r="ICQ72" s="4"/>
      <c r="ICR72" s="4"/>
      <c r="ICS72" s="4"/>
      <c r="ICT72" s="4"/>
      <c r="ICU72" s="4"/>
      <c r="ICV72" s="4"/>
      <c r="ICW72" s="4"/>
      <c r="ICX72" s="4"/>
      <c r="ICY72" s="4"/>
      <c r="ICZ72" s="4"/>
      <c r="IDA72" s="4"/>
      <c r="IDB72" s="4"/>
      <c r="IDC72" s="4"/>
      <c r="IDD72" s="4"/>
      <c r="IDE72" s="4"/>
      <c r="IDF72" s="4"/>
      <c r="IDG72" s="4"/>
      <c r="IDH72" s="4"/>
      <c r="IDI72" s="4"/>
      <c r="IDJ72" s="4"/>
      <c r="IDK72" s="4"/>
      <c r="IDL72" s="4"/>
      <c r="IDM72" s="4"/>
      <c r="IDN72" s="4"/>
      <c r="IDO72" s="4"/>
      <c r="IDP72" s="4"/>
      <c r="IDQ72" s="4"/>
      <c r="IDR72" s="4"/>
      <c r="IDS72" s="4"/>
      <c r="IDT72" s="4"/>
      <c r="IDU72" s="4"/>
      <c r="IDV72" s="4"/>
      <c r="IDW72" s="4"/>
      <c r="IDX72" s="4"/>
      <c r="IDY72" s="4"/>
      <c r="IDZ72" s="4"/>
      <c r="IEA72" s="4"/>
      <c r="IEB72" s="4"/>
      <c r="IEC72" s="4"/>
      <c r="IED72" s="4"/>
      <c r="IEE72" s="4"/>
      <c r="IEF72" s="4"/>
      <c r="IEG72" s="4"/>
      <c r="IEH72" s="4"/>
      <c r="IEI72" s="4"/>
      <c r="IEJ72" s="4"/>
      <c r="IEK72" s="4"/>
      <c r="IEL72" s="4"/>
      <c r="IEM72" s="4"/>
      <c r="IEN72" s="4"/>
      <c r="IEO72" s="4"/>
      <c r="IEP72" s="4"/>
      <c r="IEQ72" s="4"/>
      <c r="IER72" s="4"/>
      <c r="IES72" s="4"/>
      <c r="IET72" s="4"/>
      <c r="IEU72" s="4"/>
      <c r="IEV72" s="4"/>
      <c r="IEW72" s="4"/>
      <c r="IEX72" s="4"/>
      <c r="IEY72" s="4"/>
      <c r="IEZ72" s="4"/>
      <c r="IFA72" s="4"/>
      <c r="IFB72" s="4"/>
      <c r="IFC72" s="4"/>
      <c r="IFD72" s="4"/>
      <c r="IFE72" s="4"/>
      <c r="IFF72" s="4"/>
      <c r="IFG72" s="4"/>
      <c r="IFH72" s="4"/>
      <c r="IFI72" s="4"/>
      <c r="IFJ72" s="4"/>
      <c r="IFK72" s="4"/>
      <c r="IFL72" s="4"/>
      <c r="IFM72" s="4"/>
      <c r="IFN72" s="4"/>
      <c r="IFO72" s="4"/>
      <c r="IFP72" s="4"/>
      <c r="IFQ72" s="4"/>
      <c r="IFR72" s="4"/>
      <c r="IFS72" s="4"/>
      <c r="IFT72" s="4"/>
      <c r="IFU72" s="4"/>
      <c r="IFV72" s="4"/>
      <c r="IFW72" s="4"/>
      <c r="IFX72" s="4"/>
      <c r="IFY72" s="4"/>
      <c r="IFZ72" s="4"/>
      <c r="IGA72" s="4"/>
      <c r="IGB72" s="4"/>
      <c r="IGC72" s="4"/>
      <c r="IGD72" s="4"/>
      <c r="IGE72" s="4"/>
      <c r="IGF72" s="4"/>
      <c r="IGG72" s="4"/>
      <c r="IGH72" s="4"/>
      <c r="IGI72" s="4"/>
      <c r="IGJ72" s="4"/>
      <c r="IGK72" s="4"/>
      <c r="IGL72" s="4"/>
      <c r="IGM72" s="4"/>
      <c r="IGN72" s="4"/>
      <c r="IGO72" s="4"/>
      <c r="IGP72" s="4"/>
      <c r="IGQ72" s="4"/>
      <c r="IGR72" s="4"/>
      <c r="IGS72" s="4"/>
      <c r="IGT72" s="4"/>
      <c r="IGU72" s="4"/>
      <c r="IGV72" s="4"/>
      <c r="IGW72" s="4"/>
      <c r="IGX72" s="4"/>
      <c r="IGY72" s="4"/>
      <c r="IGZ72" s="4"/>
      <c r="IHA72" s="4"/>
      <c r="IHB72" s="4"/>
      <c r="IHC72" s="4"/>
      <c r="IHD72" s="4"/>
      <c r="IHE72" s="4"/>
      <c r="IHF72" s="4"/>
      <c r="IHG72" s="4"/>
      <c r="IHH72" s="4"/>
      <c r="IHI72" s="4"/>
      <c r="IHJ72" s="4"/>
      <c r="IHK72" s="4"/>
      <c r="IHL72" s="4"/>
      <c r="IHM72" s="4"/>
      <c r="IHN72" s="4"/>
      <c r="IHO72" s="4"/>
      <c r="IHP72" s="4"/>
      <c r="IHQ72" s="4"/>
      <c r="IHR72" s="4"/>
      <c r="IHS72" s="4"/>
      <c r="IHT72" s="4"/>
      <c r="IHU72" s="4"/>
      <c r="IHV72" s="4"/>
      <c r="IHW72" s="4"/>
      <c r="IHX72" s="4"/>
      <c r="IHY72" s="4"/>
      <c r="IHZ72" s="4"/>
      <c r="IIA72" s="4"/>
      <c r="IIB72" s="4"/>
      <c r="IIC72" s="4"/>
      <c r="IID72" s="4"/>
      <c r="IIE72" s="4"/>
      <c r="IIF72" s="4"/>
      <c r="IIG72" s="4"/>
      <c r="IIH72" s="4"/>
      <c r="III72" s="4"/>
      <c r="IIJ72" s="4"/>
      <c r="IIK72" s="4"/>
      <c r="IIL72" s="4"/>
      <c r="IIM72" s="4"/>
      <c r="IIN72" s="4"/>
      <c r="IIO72" s="4"/>
      <c r="IIP72" s="4"/>
      <c r="IIQ72" s="4"/>
      <c r="IIR72" s="4"/>
      <c r="IIS72" s="4"/>
      <c r="IIT72" s="4"/>
      <c r="IIU72" s="4"/>
      <c r="IIV72" s="4"/>
      <c r="IIW72" s="4"/>
      <c r="IIX72" s="4"/>
      <c r="IIY72" s="4"/>
      <c r="IIZ72" s="4"/>
      <c r="IJA72" s="4"/>
      <c r="IJB72" s="4"/>
      <c r="IJC72" s="4"/>
      <c r="IJD72" s="4"/>
      <c r="IJE72" s="4"/>
      <c r="IJF72" s="4"/>
      <c r="IJG72" s="4"/>
      <c r="IJH72" s="4"/>
      <c r="IJI72" s="4"/>
      <c r="IJJ72" s="4"/>
      <c r="IJK72" s="4"/>
      <c r="IJL72" s="4"/>
      <c r="IJM72" s="4"/>
      <c r="IJN72" s="4"/>
      <c r="IJO72" s="4"/>
      <c r="IJP72" s="4"/>
      <c r="IJQ72" s="4"/>
      <c r="IJR72" s="4"/>
      <c r="IJS72" s="4"/>
      <c r="IJT72" s="4"/>
      <c r="IJU72" s="4"/>
      <c r="IJV72" s="4"/>
      <c r="IJW72" s="4"/>
      <c r="IJX72" s="4"/>
      <c r="IJY72" s="4"/>
      <c r="IJZ72" s="4"/>
      <c r="IKA72" s="4"/>
      <c r="IKB72" s="4"/>
      <c r="IKC72" s="4"/>
      <c r="IKD72" s="4"/>
      <c r="IKE72" s="4"/>
      <c r="IKF72" s="4"/>
      <c r="IKG72" s="4"/>
      <c r="IKH72" s="4"/>
      <c r="IKI72" s="4"/>
      <c r="IKJ72" s="4"/>
      <c r="IKK72" s="4"/>
      <c r="IKL72" s="4"/>
      <c r="IKM72" s="4"/>
      <c r="IKN72" s="4"/>
      <c r="IKO72" s="4"/>
      <c r="IKP72" s="4"/>
      <c r="IKQ72" s="4"/>
      <c r="IKR72" s="4"/>
      <c r="IKS72" s="4"/>
      <c r="IKT72" s="4"/>
      <c r="IKU72" s="4"/>
      <c r="IKV72" s="4"/>
      <c r="IKW72" s="4"/>
      <c r="IKX72" s="4"/>
      <c r="IKY72" s="4"/>
      <c r="IKZ72" s="4"/>
      <c r="ILA72" s="4"/>
      <c r="ILB72" s="4"/>
      <c r="ILC72" s="4"/>
      <c r="ILD72" s="4"/>
      <c r="ILE72" s="4"/>
      <c r="ILF72" s="4"/>
      <c r="ILG72" s="4"/>
      <c r="ILH72" s="4"/>
      <c r="ILI72" s="4"/>
      <c r="ILJ72" s="4"/>
      <c r="ILK72" s="4"/>
      <c r="ILL72" s="4"/>
      <c r="ILM72" s="4"/>
      <c r="ILN72" s="4"/>
      <c r="ILO72" s="4"/>
      <c r="ILP72" s="4"/>
      <c r="ILQ72" s="4"/>
      <c r="ILR72" s="4"/>
      <c r="ILS72" s="4"/>
      <c r="ILT72" s="4"/>
      <c r="ILU72" s="4"/>
      <c r="ILV72" s="4"/>
      <c r="ILW72" s="4"/>
      <c r="ILX72" s="4"/>
      <c r="ILY72" s="4"/>
      <c r="ILZ72" s="4"/>
      <c r="IMA72" s="4"/>
      <c r="IMB72" s="4"/>
      <c r="IMC72" s="4"/>
      <c r="IMD72" s="4"/>
      <c r="IME72" s="4"/>
      <c r="IMF72" s="4"/>
      <c r="IMG72" s="4"/>
      <c r="IMH72" s="4"/>
      <c r="IMI72" s="4"/>
      <c r="IMJ72" s="4"/>
      <c r="IMK72" s="4"/>
      <c r="IML72" s="4"/>
      <c r="IMM72" s="4"/>
      <c r="IMN72" s="4"/>
      <c r="IMO72" s="4"/>
      <c r="IMP72" s="4"/>
      <c r="IMQ72" s="4"/>
      <c r="IMR72" s="4"/>
      <c r="IMS72" s="4"/>
      <c r="IMT72" s="4"/>
      <c r="IMU72" s="4"/>
      <c r="IMV72" s="4"/>
      <c r="IMW72" s="4"/>
      <c r="IMX72" s="4"/>
      <c r="IMY72" s="4"/>
      <c r="IMZ72" s="4"/>
      <c r="INA72" s="4"/>
      <c r="INB72" s="4"/>
      <c r="INC72" s="4"/>
      <c r="IND72" s="4"/>
      <c r="INE72" s="4"/>
      <c r="INF72" s="4"/>
      <c r="ING72" s="4"/>
      <c r="INH72" s="4"/>
      <c r="INI72" s="4"/>
      <c r="INJ72" s="4"/>
      <c r="INK72" s="4"/>
      <c r="INL72" s="4"/>
      <c r="INM72" s="4"/>
      <c r="INN72" s="4"/>
      <c r="INO72" s="4"/>
      <c r="INP72" s="4"/>
      <c r="INQ72" s="4"/>
      <c r="INR72" s="4"/>
      <c r="INS72" s="4"/>
      <c r="INT72" s="4"/>
      <c r="INU72" s="4"/>
      <c r="INV72" s="4"/>
      <c r="INW72" s="4"/>
      <c r="INX72" s="4"/>
      <c r="INY72" s="4"/>
      <c r="INZ72" s="4"/>
      <c r="IOA72" s="4"/>
      <c r="IOB72" s="4"/>
      <c r="IOC72" s="4"/>
      <c r="IOD72" s="4"/>
      <c r="IOE72" s="4"/>
      <c r="IOF72" s="4"/>
      <c r="IOG72" s="4"/>
      <c r="IOH72" s="4"/>
      <c r="IOI72" s="4"/>
      <c r="IOJ72" s="4"/>
      <c r="IOK72" s="4"/>
      <c r="IOL72" s="4"/>
      <c r="IOM72" s="4"/>
      <c r="ION72" s="4"/>
      <c r="IOO72" s="4"/>
      <c r="IOP72" s="4"/>
      <c r="IOQ72" s="4"/>
      <c r="IOR72" s="4"/>
      <c r="IOS72" s="4"/>
      <c r="IOT72" s="4"/>
      <c r="IOU72" s="4"/>
      <c r="IOV72" s="4"/>
      <c r="IOW72" s="4"/>
      <c r="IOX72" s="4"/>
      <c r="IOY72" s="4"/>
      <c r="IOZ72" s="4"/>
      <c r="IPA72" s="4"/>
      <c r="IPB72" s="4"/>
      <c r="IPC72" s="4"/>
      <c r="IPD72" s="4"/>
      <c r="IPE72" s="4"/>
      <c r="IPF72" s="4"/>
      <c r="IPG72" s="4"/>
      <c r="IPH72" s="4"/>
      <c r="IPI72" s="4"/>
      <c r="IPJ72" s="4"/>
      <c r="IPK72" s="4"/>
      <c r="IPL72" s="4"/>
      <c r="IPM72" s="4"/>
      <c r="IPN72" s="4"/>
      <c r="IPO72" s="4"/>
      <c r="IPP72" s="4"/>
      <c r="IPQ72" s="4"/>
      <c r="IPR72" s="4"/>
      <c r="IPS72" s="4"/>
      <c r="IPT72" s="4"/>
      <c r="IPU72" s="4"/>
      <c r="IPV72" s="4"/>
      <c r="IPW72" s="4"/>
      <c r="IPX72" s="4"/>
      <c r="IPY72" s="4"/>
      <c r="IPZ72" s="4"/>
      <c r="IQA72" s="4"/>
      <c r="IQB72" s="4"/>
      <c r="IQC72" s="4"/>
      <c r="IQD72" s="4"/>
      <c r="IQE72" s="4"/>
      <c r="IQF72" s="4"/>
      <c r="IQG72" s="4"/>
      <c r="IQH72" s="4"/>
      <c r="IQI72" s="4"/>
      <c r="IQJ72" s="4"/>
      <c r="IQK72" s="4"/>
      <c r="IQL72" s="4"/>
      <c r="IQM72" s="4"/>
      <c r="IQN72" s="4"/>
      <c r="IQO72" s="4"/>
      <c r="IQP72" s="4"/>
      <c r="IQQ72" s="4"/>
      <c r="IQR72" s="4"/>
      <c r="IQS72" s="4"/>
      <c r="IQT72" s="4"/>
      <c r="IQU72" s="4"/>
      <c r="IQV72" s="4"/>
      <c r="IQW72" s="4"/>
      <c r="IQX72" s="4"/>
      <c r="IQY72" s="4"/>
      <c r="IQZ72" s="4"/>
      <c r="IRA72" s="4"/>
      <c r="IRB72" s="4"/>
      <c r="IRC72" s="4"/>
      <c r="IRD72" s="4"/>
      <c r="IRE72" s="4"/>
      <c r="IRF72" s="4"/>
      <c r="IRG72" s="4"/>
      <c r="IRH72" s="4"/>
      <c r="IRI72" s="4"/>
      <c r="IRJ72" s="4"/>
      <c r="IRK72" s="4"/>
      <c r="IRL72" s="4"/>
      <c r="IRM72" s="4"/>
      <c r="IRN72" s="4"/>
      <c r="IRO72" s="4"/>
      <c r="IRP72" s="4"/>
      <c r="IRQ72" s="4"/>
      <c r="IRR72" s="4"/>
      <c r="IRS72" s="4"/>
      <c r="IRT72" s="4"/>
      <c r="IRU72" s="4"/>
      <c r="IRV72" s="4"/>
      <c r="IRW72" s="4"/>
      <c r="IRX72" s="4"/>
      <c r="IRY72" s="4"/>
      <c r="IRZ72" s="4"/>
      <c r="ISA72" s="4"/>
      <c r="ISB72" s="4"/>
      <c r="ISC72" s="4"/>
      <c r="ISD72" s="4"/>
      <c r="ISE72" s="4"/>
      <c r="ISF72" s="4"/>
      <c r="ISG72" s="4"/>
      <c r="ISH72" s="4"/>
      <c r="ISI72" s="4"/>
      <c r="ISJ72" s="4"/>
      <c r="ISK72" s="4"/>
      <c r="ISL72" s="4"/>
      <c r="ISM72" s="4"/>
      <c r="ISN72" s="4"/>
      <c r="ISO72" s="4"/>
      <c r="ISP72" s="4"/>
      <c r="ISQ72" s="4"/>
      <c r="ISR72" s="4"/>
      <c r="ISS72" s="4"/>
      <c r="IST72" s="4"/>
      <c r="ISU72" s="4"/>
      <c r="ISV72" s="4"/>
      <c r="ISW72" s="4"/>
      <c r="ISX72" s="4"/>
      <c r="ISY72" s="4"/>
      <c r="ISZ72" s="4"/>
      <c r="ITA72" s="4"/>
      <c r="ITB72" s="4"/>
      <c r="ITC72" s="4"/>
      <c r="ITD72" s="4"/>
      <c r="ITE72" s="4"/>
      <c r="ITF72" s="4"/>
      <c r="ITG72" s="4"/>
      <c r="ITH72" s="4"/>
      <c r="ITI72" s="4"/>
      <c r="ITJ72" s="4"/>
      <c r="ITK72" s="4"/>
      <c r="ITL72" s="4"/>
      <c r="ITM72" s="4"/>
      <c r="ITN72" s="4"/>
      <c r="ITO72" s="4"/>
      <c r="ITP72" s="4"/>
      <c r="ITQ72" s="4"/>
      <c r="ITR72" s="4"/>
      <c r="ITS72" s="4"/>
      <c r="ITT72" s="4"/>
      <c r="ITU72" s="4"/>
      <c r="ITV72" s="4"/>
      <c r="ITW72" s="4"/>
      <c r="ITX72" s="4"/>
      <c r="ITY72" s="4"/>
      <c r="ITZ72" s="4"/>
      <c r="IUA72" s="4"/>
      <c r="IUB72" s="4"/>
      <c r="IUC72" s="4"/>
      <c r="IUD72" s="4"/>
      <c r="IUE72" s="4"/>
      <c r="IUF72" s="4"/>
      <c r="IUG72" s="4"/>
      <c r="IUH72" s="4"/>
      <c r="IUI72" s="4"/>
      <c r="IUJ72" s="4"/>
      <c r="IUK72" s="4"/>
      <c r="IUL72" s="4"/>
      <c r="IUM72" s="4"/>
      <c r="IUN72" s="4"/>
      <c r="IUO72" s="4"/>
      <c r="IUP72" s="4"/>
      <c r="IUQ72" s="4"/>
      <c r="IUR72" s="4"/>
      <c r="IUS72" s="4"/>
      <c r="IUT72" s="4"/>
      <c r="IUU72" s="4"/>
      <c r="IUV72" s="4"/>
      <c r="IUW72" s="4"/>
      <c r="IUX72" s="4"/>
      <c r="IUY72" s="4"/>
      <c r="IUZ72" s="4"/>
      <c r="IVA72" s="4"/>
      <c r="IVB72" s="4"/>
      <c r="IVC72" s="4"/>
      <c r="IVD72" s="4"/>
      <c r="IVE72" s="4"/>
      <c r="IVF72" s="4"/>
      <c r="IVG72" s="4"/>
      <c r="IVH72" s="4"/>
      <c r="IVI72" s="4"/>
      <c r="IVJ72" s="4"/>
      <c r="IVK72" s="4"/>
      <c r="IVL72" s="4"/>
      <c r="IVM72" s="4"/>
      <c r="IVN72" s="4"/>
      <c r="IVO72" s="4"/>
      <c r="IVP72" s="4"/>
      <c r="IVQ72" s="4"/>
      <c r="IVR72" s="4"/>
      <c r="IVS72" s="4"/>
      <c r="IVT72" s="4"/>
      <c r="IVU72" s="4"/>
      <c r="IVV72" s="4"/>
      <c r="IVW72" s="4"/>
      <c r="IVX72" s="4"/>
      <c r="IVY72" s="4"/>
      <c r="IVZ72" s="4"/>
      <c r="IWA72" s="4"/>
      <c r="IWB72" s="4"/>
      <c r="IWC72" s="4"/>
      <c r="IWD72" s="4"/>
      <c r="IWE72" s="4"/>
      <c r="IWF72" s="4"/>
      <c r="IWG72" s="4"/>
      <c r="IWH72" s="4"/>
      <c r="IWI72" s="4"/>
      <c r="IWJ72" s="4"/>
      <c r="IWK72" s="4"/>
      <c r="IWL72" s="4"/>
      <c r="IWM72" s="4"/>
      <c r="IWN72" s="4"/>
      <c r="IWO72" s="4"/>
      <c r="IWP72" s="4"/>
      <c r="IWQ72" s="4"/>
      <c r="IWR72" s="4"/>
      <c r="IWS72" s="4"/>
      <c r="IWT72" s="4"/>
      <c r="IWU72" s="4"/>
      <c r="IWV72" s="4"/>
      <c r="IWW72" s="4"/>
      <c r="IWX72" s="4"/>
      <c r="IWY72" s="4"/>
      <c r="IWZ72" s="4"/>
      <c r="IXA72" s="4"/>
      <c r="IXB72" s="4"/>
      <c r="IXC72" s="4"/>
      <c r="IXD72" s="4"/>
      <c r="IXE72" s="4"/>
      <c r="IXF72" s="4"/>
      <c r="IXG72" s="4"/>
      <c r="IXH72" s="4"/>
      <c r="IXI72" s="4"/>
      <c r="IXJ72" s="4"/>
      <c r="IXK72" s="4"/>
      <c r="IXL72" s="4"/>
      <c r="IXM72" s="4"/>
      <c r="IXN72" s="4"/>
      <c r="IXO72" s="4"/>
      <c r="IXP72" s="4"/>
      <c r="IXQ72" s="4"/>
      <c r="IXR72" s="4"/>
      <c r="IXS72" s="4"/>
      <c r="IXT72" s="4"/>
      <c r="IXU72" s="4"/>
      <c r="IXV72" s="4"/>
      <c r="IXW72" s="4"/>
      <c r="IXX72" s="4"/>
      <c r="IXY72" s="4"/>
      <c r="IXZ72" s="4"/>
      <c r="IYA72" s="4"/>
      <c r="IYB72" s="4"/>
      <c r="IYC72" s="4"/>
      <c r="IYD72" s="4"/>
      <c r="IYE72" s="4"/>
      <c r="IYF72" s="4"/>
      <c r="IYG72" s="4"/>
      <c r="IYH72" s="4"/>
      <c r="IYI72" s="4"/>
      <c r="IYJ72" s="4"/>
      <c r="IYK72" s="4"/>
      <c r="IYL72" s="4"/>
      <c r="IYM72" s="4"/>
      <c r="IYN72" s="4"/>
      <c r="IYO72" s="4"/>
      <c r="IYP72" s="4"/>
      <c r="IYQ72" s="4"/>
      <c r="IYR72" s="4"/>
      <c r="IYS72" s="4"/>
      <c r="IYT72" s="4"/>
      <c r="IYU72" s="4"/>
      <c r="IYV72" s="4"/>
      <c r="IYW72" s="4"/>
      <c r="IYX72" s="4"/>
      <c r="IYY72" s="4"/>
      <c r="IYZ72" s="4"/>
      <c r="IZA72" s="4"/>
      <c r="IZB72" s="4"/>
      <c r="IZC72" s="4"/>
      <c r="IZD72" s="4"/>
      <c r="IZE72" s="4"/>
      <c r="IZF72" s="4"/>
      <c r="IZG72" s="4"/>
      <c r="IZH72" s="4"/>
      <c r="IZI72" s="4"/>
      <c r="IZJ72" s="4"/>
      <c r="IZK72" s="4"/>
      <c r="IZL72" s="4"/>
      <c r="IZM72" s="4"/>
      <c r="IZN72" s="4"/>
      <c r="IZO72" s="4"/>
      <c r="IZP72" s="4"/>
      <c r="IZQ72" s="4"/>
      <c r="IZR72" s="4"/>
      <c r="IZS72" s="4"/>
      <c r="IZT72" s="4"/>
      <c r="IZU72" s="4"/>
      <c r="IZV72" s="4"/>
      <c r="IZW72" s="4"/>
      <c r="IZX72" s="4"/>
      <c r="IZY72" s="4"/>
      <c r="IZZ72" s="4"/>
      <c r="JAA72" s="4"/>
      <c r="JAB72" s="4"/>
      <c r="JAC72" s="4"/>
      <c r="JAD72" s="4"/>
      <c r="JAE72" s="4"/>
      <c r="JAF72" s="4"/>
      <c r="JAG72" s="4"/>
      <c r="JAH72" s="4"/>
      <c r="JAI72" s="4"/>
      <c r="JAJ72" s="4"/>
      <c r="JAK72" s="4"/>
      <c r="JAL72" s="4"/>
      <c r="JAM72" s="4"/>
      <c r="JAN72" s="4"/>
      <c r="JAO72" s="4"/>
      <c r="JAP72" s="4"/>
      <c r="JAQ72" s="4"/>
      <c r="JAR72" s="4"/>
      <c r="JAS72" s="4"/>
      <c r="JAT72" s="4"/>
      <c r="JAU72" s="4"/>
      <c r="JAV72" s="4"/>
      <c r="JAW72" s="4"/>
      <c r="JAX72" s="4"/>
      <c r="JAY72" s="4"/>
      <c r="JAZ72" s="4"/>
      <c r="JBA72" s="4"/>
      <c r="JBB72" s="4"/>
      <c r="JBC72" s="4"/>
      <c r="JBD72" s="4"/>
      <c r="JBE72" s="4"/>
      <c r="JBF72" s="4"/>
      <c r="JBG72" s="4"/>
      <c r="JBH72" s="4"/>
      <c r="JBI72" s="4"/>
      <c r="JBJ72" s="4"/>
      <c r="JBK72" s="4"/>
      <c r="JBL72" s="4"/>
      <c r="JBM72" s="4"/>
      <c r="JBN72" s="4"/>
      <c r="JBO72" s="4"/>
      <c r="JBP72" s="4"/>
      <c r="JBQ72" s="4"/>
      <c r="JBR72" s="4"/>
      <c r="JBS72" s="4"/>
      <c r="JBT72" s="4"/>
      <c r="JBU72" s="4"/>
      <c r="JBV72" s="4"/>
      <c r="JBW72" s="4"/>
      <c r="JBX72" s="4"/>
      <c r="JBY72" s="4"/>
      <c r="JBZ72" s="4"/>
      <c r="JCA72" s="4"/>
      <c r="JCB72" s="4"/>
      <c r="JCC72" s="4"/>
      <c r="JCD72" s="4"/>
      <c r="JCE72" s="4"/>
      <c r="JCF72" s="4"/>
      <c r="JCG72" s="4"/>
      <c r="JCH72" s="4"/>
      <c r="JCI72" s="4"/>
      <c r="JCJ72" s="4"/>
      <c r="JCK72" s="4"/>
      <c r="JCL72" s="4"/>
      <c r="JCM72" s="4"/>
      <c r="JCN72" s="4"/>
      <c r="JCO72" s="4"/>
      <c r="JCP72" s="4"/>
      <c r="JCQ72" s="4"/>
      <c r="JCR72" s="4"/>
      <c r="JCS72" s="4"/>
      <c r="JCT72" s="4"/>
      <c r="JCU72" s="4"/>
      <c r="JCV72" s="4"/>
      <c r="JCW72" s="4"/>
      <c r="JCX72" s="4"/>
      <c r="JCY72" s="4"/>
      <c r="JCZ72" s="4"/>
      <c r="JDA72" s="4"/>
      <c r="JDB72" s="4"/>
      <c r="JDC72" s="4"/>
      <c r="JDD72" s="4"/>
      <c r="JDE72" s="4"/>
      <c r="JDF72" s="4"/>
      <c r="JDG72" s="4"/>
      <c r="JDH72" s="4"/>
      <c r="JDI72" s="4"/>
      <c r="JDJ72" s="4"/>
      <c r="JDK72" s="4"/>
      <c r="JDL72" s="4"/>
      <c r="JDM72" s="4"/>
      <c r="JDN72" s="4"/>
      <c r="JDO72" s="4"/>
      <c r="JDP72" s="4"/>
      <c r="JDQ72" s="4"/>
      <c r="JDR72" s="4"/>
      <c r="JDS72" s="4"/>
      <c r="JDT72" s="4"/>
      <c r="JDU72" s="4"/>
      <c r="JDV72" s="4"/>
      <c r="JDW72" s="4"/>
      <c r="JDX72" s="4"/>
      <c r="JDY72" s="4"/>
      <c r="JDZ72" s="4"/>
      <c r="JEA72" s="4"/>
      <c r="JEB72" s="4"/>
      <c r="JEC72" s="4"/>
      <c r="JED72" s="4"/>
      <c r="JEE72" s="4"/>
      <c r="JEF72" s="4"/>
      <c r="JEG72" s="4"/>
      <c r="JEH72" s="4"/>
      <c r="JEI72" s="4"/>
      <c r="JEJ72" s="4"/>
      <c r="JEK72" s="4"/>
      <c r="JEL72" s="4"/>
      <c r="JEM72" s="4"/>
      <c r="JEN72" s="4"/>
      <c r="JEO72" s="4"/>
      <c r="JEP72" s="4"/>
      <c r="JEQ72" s="4"/>
      <c r="JER72" s="4"/>
      <c r="JES72" s="4"/>
      <c r="JET72" s="4"/>
      <c r="JEU72" s="4"/>
      <c r="JEV72" s="4"/>
      <c r="JEW72" s="4"/>
      <c r="JEX72" s="4"/>
      <c r="JEY72" s="4"/>
      <c r="JEZ72" s="4"/>
      <c r="JFA72" s="4"/>
      <c r="JFB72" s="4"/>
      <c r="JFC72" s="4"/>
      <c r="JFD72" s="4"/>
      <c r="JFE72" s="4"/>
      <c r="JFF72" s="4"/>
      <c r="JFG72" s="4"/>
      <c r="JFH72" s="4"/>
      <c r="JFI72" s="4"/>
      <c r="JFJ72" s="4"/>
      <c r="JFK72" s="4"/>
      <c r="JFL72" s="4"/>
      <c r="JFM72" s="4"/>
      <c r="JFN72" s="4"/>
      <c r="JFO72" s="4"/>
      <c r="JFP72" s="4"/>
      <c r="JFQ72" s="4"/>
      <c r="JFR72" s="4"/>
      <c r="JFS72" s="4"/>
      <c r="JFT72" s="4"/>
      <c r="JFU72" s="4"/>
      <c r="JFV72" s="4"/>
      <c r="JFW72" s="4"/>
      <c r="JFX72" s="4"/>
      <c r="JFY72" s="4"/>
      <c r="JFZ72" s="4"/>
      <c r="JGA72" s="4"/>
      <c r="JGB72" s="4"/>
      <c r="JGC72" s="4"/>
      <c r="JGD72" s="4"/>
      <c r="JGE72" s="4"/>
      <c r="JGF72" s="4"/>
      <c r="JGG72" s="4"/>
      <c r="JGH72" s="4"/>
      <c r="JGI72" s="4"/>
      <c r="JGJ72" s="4"/>
      <c r="JGK72" s="4"/>
      <c r="JGL72" s="4"/>
      <c r="JGM72" s="4"/>
      <c r="JGN72" s="4"/>
      <c r="JGO72" s="4"/>
      <c r="JGP72" s="4"/>
      <c r="JGQ72" s="4"/>
      <c r="JGR72" s="4"/>
      <c r="JGS72" s="4"/>
      <c r="JGT72" s="4"/>
      <c r="JGU72" s="4"/>
      <c r="JGV72" s="4"/>
      <c r="JGW72" s="4"/>
      <c r="JGX72" s="4"/>
      <c r="JGY72" s="4"/>
      <c r="JGZ72" s="4"/>
      <c r="JHA72" s="4"/>
      <c r="JHB72" s="4"/>
      <c r="JHC72" s="4"/>
      <c r="JHD72" s="4"/>
      <c r="JHE72" s="4"/>
      <c r="JHF72" s="4"/>
      <c r="JHG72" s="4"/>
      <c r="JHH72" s="4"/>
      <c r="JHI72" s="4"/>
      <c r="JHJ72" s="4"/>
      <c r="JHK72" s="4"/>
      <c r="JHL72" s="4"/>
      <c r="JHM72" s="4"/>
      <c r="JHN72" s="4"/>
      <c r="JHO72" s="4"/>
      <c r="JHP72" s="4"/>
      <c r="JHQ72" s="4"/>
      <c r="JHR72" s="4"/>
      <c r="JHS72" s="4"/>
      <c r="JHT72" s="4"/>
      <c r="JHU72" s="4"/>
      <c r="JHV72" s="4"/>
      <c r="JHW72" s="4"/>
      <c r="JHX72" s="4"/>
      <c r="JHY72" s="4"/>
      <c r="JHZ72" s="4"/>
      <c r="JIA72" s="4"/>
      <c r="JIB72" s="4"/>
      <c r="JIC72" s="4"/>
      <c r="JID72" s="4"/>
      <c r="JIE72" s="4"/>
      <c r="JIF72" s="4"/>
      <c r="JIG72" s="4"/>
      <c r="JIH72" s="4"/>
      <c r="JII72" s="4"/>
      <c r="JIJ72" s="4"/>
      <c r="JIK72" s="4"/>
      <c r="JIL72" s="4"/>
      <c r="JIM72" s="4"/>
      <c r="JIN72" s="4"/>
      <c r="JIO72" s="4"/>
      <c r="JIP72" s="4"/>
      <c r="JIQ72" s="4"/>
      <c r="JIR72" s="4"/>
      <c r="JIS72" s="4"/>
      <c r="JIT72" s="4"/>
      <c r="JIU72" s="4"/>
      <c r="JIV72" s="4"/>
      <c r="JIW72" s="4"/>
      <c r="JIX72" s="4"/>
      <c r="JIY72" s="4"/>
      <c r="JIZ72" s="4"/>
      <c r="JJA72" s="4"/>
      <c r="JJB72" s="4"/>
      <c r="JJC72" s="4"/>
      <c r="JJD72" s="4"/>
      <c r="JJE72" s="4"/>
      <c r="JJF72" s="4"/>
      <c r="JJG72" s="4"/>
      <c r="JJH72" s="4"/>
      <c r="JJI72" s="4"/>
      <c r="JJJ72" s="4"/>
      <c r="JJK72" s="4"/>
      <c r="JJL72" s="4"/>
      <c r="JJM72" s="4"/>
      <c r="JJN72" s="4"/>
      <c r="JJO72" s="4"/>
      <c r="JJP72" s="4"/>
      <c r="JJQ72" s="4"/>
      <c r="JJR72" s="4"/>
      <c r="JJS72" s="4"/>
      <c r="JJT72" s="4"/>
      <c r="JJU72" s="4"/>
      <c r="JJV72" s="4"/>
      <c r="JJW72" s="4"/>
      <c r="JJX72" s="4"/>
      <c r="JJY72" s="4"/>
      <c r="JJZ72" s="4"/>
      <c r="JKA72" s="4"/>
      <c r="JKB72" s="4"/>
      <c r="JKC72" s="4"/>
      <c r="JKD72" s="4"/>
      <c r="JKE72" s="4"/>
      <c r="JKF72" s="4"/>
      <c r="JKG72" s="4"/>
      <c r="JKH72" s="4"/>
      <c r="JKI72" s="4"/>
      <c r="JKJ72" s="4"/>
      <c r="JKK72" s="4"/>
      <c r="JKL72" s="4"/>
      <c r="JKM72" s="4"/>
      <c r="JKN72" s="4"/>
      <c r="JKO72" s="4"/>
      <c r="JKP72" s="4"/>
      <c r="JKQ72" s="4"/>
      <c r="JKR72" s="4"/>
      <c r="JKS72" s="4"/>
      <c r="JKT72" s="4"/>
      <c r="JKU72" s="4"/>
      <c r="JKV72" s="4"/>
      <c r="JKW72" s="4"/>
      <c r="JKX72" s="4"/>
      <c r="JKY72" s="4"/>
      <c r="JKZ72" s="4"/>
      <c r="JLA72" s="4"/>
      <c r="JLB72" s="4"/>
      <c r="JLC72" s="4"/>
      <c r="JLD72" s="4"/>
      <c r="JLE72" s="4"/>
      <c r="JLF72" s="4"/>
      <c r="JLG72" s="4"/>
      <c r="JLH72" s="4"/>
      <c r="JLI72" s="4"/>
      <c r="JLJ72" s="4"/>
      <c r="JLK72" s="4"/>
      <c r="JLL72" s="4"/>
      <c r="JLM72" s="4"/>
      <c r="JLN72" s="4"/>
      <c r="JLO72" s="4"/>
      <c r="JLP72" s="4"/>
      <c r="JLQ72" s="4"/>
      <c r="JLR72" s="4"/>
      <c r="JLS72" s="4"/>
      <c r="JLT72" s="4"/>
      <c r="JLU72" s="4"/>
      <c r="JLV72" s="4"/>
      <c r="JLW72" s="4"/>
      <c r="JLX72" s="4"/>
      <c r="JLY72" s="4"/>
      <c r="JLZ72" s="4"/>
      <c r="JMA72" s="4"/>
      <c r="JMB72" s="4"/>
      <c r="JMC72" s="4"/>
      <c r="JMD72" s="4"/>
      <c r="JME72" s="4"/>
      <c r="JMF72" s="4"/>
      <c r="JMG72" s="4"/>
      <c r="JMH72" s="4"/>
      <c r="JMI72" s="4"/>
      <c r="JMJ72" s="4"/>
      <c r="JMK72" s="4"/>
      <c r="JML72" s="4"/>
      <c r="JMM72" s="4"/>
      <c r="JMN72" s="4"/>
      <c r="JMO72" s="4"/>
      <c r="JMP72" s="4"/>
      <c r="JMQ72" s="4"/>
      <c r="JMR72" s="4"/>
      <c r="JMS72" s="4"/>
      <c r="JMT72" s="4"/>
      <c r="JMU72" s="4"/>
      <c r="JMV72" s="4"/>
      <c r="JMW72" s="4"/>
      <c r="JMX72" s="4"/>
      <c r="JMY72" s="4"/>
      <c r="JMZ72" s="4"/>
      <c r="JNA72" s="4"/>
      <c r="JNB72" s="4"/>
      <c r="JNC72" s="4"/>
      <c r="JND72" s="4"/>
      <c r="JNE72" s="4"/>
      <c r="JNF72" s="4"/>
      <c r="JNG72" s="4"/>
      <c r="JNH72" s="4"/>
      <c r="JNI72" s="4"/>
      <c r="JNJ72" s="4"/>
      <c r="JNK72" s="4"/>
      <c r="JNL72" s="4"/>
      <c r="JNM72" s="4"/>
      <c r="JNN72" s="4"/>
      <c r="JNO72" s="4"/>
      <c r="JNP72" s="4"/>
      <c r="JNQ72" s="4"/>
      <c r="JNR72" s="4"/>
      <c r="JNS72" s="4"/>
      <c r="JNT72" s="4"/>
      <c r="JNU72" s="4"/>
      <c r="JNV72" s="4"/>
      <c r="JNW72" s="4"/>
      <c r="JNX72" s="4"/>
      <c r="JNY72" s="4"/>
      <c r="JNZ72" s="4"/>
      <c r="JOA72" s="4"/>
      <c r="JOB72" s="4"/>
      <c r="JOC72" s="4"/>
      <c r="JOD72" s="4"/>
      <c r="JOE72" s="4"/>
      <c r="JOF72" s="4"/>
      <c r="JOG72" s="4"/>
      <c r="JOH72" s="4"/>
      <c r="JOI72" s="4"/>
      <c r="JOJ72" s="4"/>
      <c r="JOK72" s="4"/>
      <c r="JOL72" s="4"/>
      <c r="JOM72" s="4"/>
      <c r="JON72" s="4"/>
      <c r="JOO72" s="4"/>
      <c r="JOP72" s="4"/>
      <c r="JOQ72" s="4"/>
      <c r="JOR72" s="4"/>
      <c r="JOS72" s="4"/>
      <c r="JOT72" s="4"/>
      <c r="JOU72" s="4"/>
      <c r="JOV72" s="4"/>
      <c r="JOW72" s="4"/>
      <c r="JOX72" s="4"/>
      <c r="JOY72" s="4"/>
      <c r="JOZ72" s="4"/>
      <c r="JPA72" s="4"/>
      <c r="JPB72" s="4"/>
      <c r="JPC72" s="4"/>
      <c r="JPD72" s="4"/>
      <c r="JPE72" s="4"/>
      <c r="JPF72" s="4"/>
      <c r="JPG72" s="4"/>
      <c r="JPH72" s="4"/>
      <c r="JPI72" s="4"/>
      <c r="JPJ72" s="4"/>
      <c r="JPK72" s="4"/>
      <c r="JPL72" s="4"/>
      <c r="JPM72" s="4"/>
      <c r="JPN72" s="4"/>
      <c r="JPO72" s="4"/>
      <c r="JPP72" s="4"/>
      <c r="JPQ72" s="4"/>
      <c r="JPR72" s="4"/>
      <c r="JPS72" s="4"/>
      <c r="JPT72" s="4"/>
      <c r="JPU72" s="4"/>
      <c r="JPV72" s="4"/>
      <c r="JPW72" s="4"/>
      <c r="JPX72" s="4"/>
      <c r="JPY72" s="4"/>
      <c r="JPZ72" s="4"/>
      <c r="JQA72" s="4"/>
      <c r="JQB72" s="4"/>
      <c r="JQC72" s="4"/>
      <c r="JQD72" s="4"/>
      <c r="JQE72" s="4"/>
      <c r="JQF72" s="4"/>
      <c r="JQG72" s="4"/>
      <c r="JQH72" s="4"/>
      <c r="JQI72" s="4"/>
      <c r="JQJ72" s="4"/>
      <c r="JQK72" s="4"/>
      <c r="JQL72" s="4"/>
      <c r="JQM72" s="4"/>
      <c r="JQN72" s="4"/>
      <c r="JQO72" s="4"/>
      <c r="JQP72" s="4"/>
      <c r="JQQ72" s="4"/>
      <c r="JQR72" s="4"/>
      <c r="JQS72" s="4"/>
      <c r="JQT72" s="4"/>
      <c r="JQU72" s="4"/>
      <c r="JQV72" s="4"/>
      <c r="JQW72" s="4"/>
      <c r="JQX72" s="4"/>
      <c r="JQY72" s="4"/>
      <c r="JQZ72" s="4"/>
      <c r="JRA72" s="4"/>
      <c r="JRB72" s="4"/>
      <c r="JRC72" s="4"/>
      <c r="JRD72" s="4"/>
      <c r="JRE72" s="4"/>
      <c r="JRF72" s="4"/>
      <c r="JRG72" s="4"/>
      <c r="JRH72" s="4"/>
      <c r="JRI72" s="4"/>
      <c r="JRJ72" s="4"/>
      <c r="JRK72" s="4"/>
      <c r="JRL72" s="4"/>
      <c r="JRM72" s="4"/>
      <c r="JRN72" s="4"/>
      <c r="JRO72" s="4"/>
      <c r="JRP72" s="4"/>
      <c r="JRQ72" s="4"/>
      <c r="JRR72" s="4"/>
      <c r="JRS72" s="4"/>
      <c r="JRT72" s="4"/>
      <c r="JRU72" s="4"/>
      <c r="JRV72" s="4"/>
      <c r="JRW72" s="4"/>
      <c r="JRX72" s="4"/>
      <c r="JRY72" s="4"/>
      <c r="JRZ72" s="4"/>
      <c r="JSA72" s="4"/>
      <c r="JSB72" s="4"/>
      <c r="JSC72" s="4"/>
      <c r="JSD72" s="4"/>
      <c r="JSE72" s="4"/>
      <c r="JSF72" s="4"/>
      <c r="JSG72" s="4"/>
      <c r="JSH72" s="4"/>
      <c r="JSI72" s="4"/>
      <c r="JSJ72" s="4"/>
      <c r="JSK72" s="4"/>
      <c r="JSL72" s="4"/>
      <c r="JSM72" s="4"/>
      <c r="JSN72" s="4"/>
      <c r="JSO72" s="4"/>
      <c r="JSP72" s="4"/>
      <c r="JSQ72" s="4"/>
      <c r="JSR72" s="4"/>
      <c r="JSS72" s="4"/>
      <c r="JST72" s="4"/>
      <c r="JSU72" s="4"/>
      <c r="JSV72" s="4"/>
      <c r="JSW72" s="4"/>
      <c r="JSX72" s="4"/>
      <c r="JSY72" s="4"/>
      <c r="JSZ72" s="4"/>
      <c r="JTA72" s="4"/>
      <c r="JTB72" s="4"/>
      <c r="JTC72" s="4"/>
      <c r="JTD72" s="4"/>
      <c r="JTE72" s="4"/>
      <c r="JTF72" s="4"/>
      <c r="JTG72" s="4"/>
      <c r="JTH72" s="4"/>
      <c r="JTI72" s="4"/>
      <c r="JTJ72" s="4"/>
      <c r="JTK72" s="4"/>
      <c r="JTL72" s="4"/>
      <c r="JTM72" s="4"/>
      <c r="JTN72" s="4"/>
      <c r="JTO72" s="4"/>
      <c r="JTP72" s="4"/>
      <c r="JTQ72" s="4"/>
      <c r="JTR72" s="4"/>
      <c r="JTS72" s="4"/>
      <c r="JTT72" s="4"/>
      <c r="JTU72" s="4"/>
      <c r="JTV72" s="4"/>
      <c r="JTW72" s="4"/>
      <c r="JTX72" s="4"/>
      <c r="JTY72" s="4"/>
      <c r="JTZ72" s="4"/>
      <c r="JUA72" s="4"/>
      <c r="JUB72" s="4"/>
      <c r="JUC72" s="4"/>
      <c r="JUD72" s="4"/>
      <c r="JUE72" s="4"/>
      <c r="JUF72" s="4"/>
      <c r="JUG72" s="4"/>
      <c r="JUH72" s="4"/>
      <c r="JUI72" s="4"/>
      <c r="JUJ72" s="4"/>
      <c r="JUK72" s="4"/>
      <c r="JUL72" s="4"/>
      <c r="JUM72" s="4"/>
      <c r="JUN72" s="4"/>
      <c r="JUO72" s="4"/>
      <c r="JUP72" s="4"/>
      <c r="JUQ72" s="4"/>
      <c r="JUR72" s="4"/>
      <c r="JUS72" s="4"/>
      <c r="JUT72" s="4"/>
      <c r="JUU72" s="4"/>
      <c r="JUV72" s="4"/>
      <c r="JUW72" s="4"/>
      <c r="JUX72" s="4"/>
      <c r="JUY72" s="4"/>
      <c r="JUZ72" s="4"/>
      <c r="JVA72" s="4"/>
      <c r="JVB72" s="4"/>
      <c r="JVC72" s="4"/>
      <c r="JVD72" s="4"/>
      <c r="JVE72" s="4"/>
      <c r="JVF72" s="4"/>
      <c r="JVG72" s="4"/>
      <c r="JVH72" s="4"/>
      <c r="JVI72" s="4"/>
      <c r="JVJ72" s="4"/>
      <c r="JVK72" s="4"/>
      <c r="JVL72" s="4"/>
      <c r="JVM72" s="4"/>
      <c r="JVN72" s="4"/>
      <c r="JVO72" s="4"/>
      <c r="JVP72" s="4"/>
      <c r="JVQ72" s="4"/>
      <c r="JVR72" s="4"/>
      <c r="JVS72" s="4"/>
      <c r="JVT72" s="4"/>
      <c r="JVU72" s="4"/>
      <c r="JVV72" s="4"/>
      <c r="JVW72" s="4"/>
      <c r="JVX72" s="4"/>
      <c r="JVY72" s="4"/>
      <c r="JVZ72" s="4"/>
      <c r="JWA72" s="4"/>
      <c r="JWB72" s="4"/>
      <c r="JWC72" s="4"/>
      <c r="JWD72" s="4"/>
      <c r="JWE72" s="4"/>
      <c r="JWF72" s="4"/>
      <c r="JWG72" s="4"/>
      <c r="JWH72" s="4"/>
      <c r="JWI72" s="4"/>
      <c r="JWJ72" s="4"/>
      <c r="JWK72" s="4"/>
      <c r="JWL72" s="4"/>
      <c r="JWM72" s="4"/>
      <c r="JWN72" s="4"/>
      <c r="JWO72" s="4"/>
      <c r="JWP72" s="4"/>
      <c r="JWQ72" s="4"/>
      <c r="JWR72" s="4"/>
      <c r="JWS72" s="4"/>
      <c r="JWT72" s="4"/>
      <c r="JWU72" s="4"/>
      <c r="JWV72" s="4"/>
      <c r="JWW72" s="4"/>
      <c r="JWX72" s="4"/>
      <c r="JWY72" s="4"/>
      <c r="JWZ72" s="4"/>
      <c r="JXA72" s="4"/>
      <c r="JXB72" s="4"/>
      <c r="JXC72" s="4"/>
      <c r="JXD72" s="4"/>
      <c r="JXE72" s="4"/>
      <c r="JXF72" s="4"/>
      <c r="JXG72" s="4"/>
      <c r="JXH72" s="4"/>
      <c r="JXI72" s="4"/>
      <c r="JXJ72" s="4"/>
      <c r="JXK72" s="4"/>
      <c r="JXL72" s="4"/>
      <c r="JXM72" s="4"/>
      <c r="JXN72" s="4"/>
      <c r="JXO72" s="4"/>
      <c r="JXP72" s="4"/>
      <c r="JXQ72" s="4"/>
      <c r="JXR72" s="4"/>
      <c r="JXS72" s="4"/>
      <c r="JXT72" s="4"/>
      <c r="JXU72" s="4"/>
      <c r="JXV72" s="4"/>
      <c r="JXW72" s="4"/>
      <c r="JXX72" s="4"/>
      <c r="JXY72" s="4"/>
      <c r="JXZ72" s="4"/>
      <c r="JYA72" s="4"/>
      <c r="JYB72" s="4"/>
      <c r="JYC72" s="4"/>
      <c r="JYD72" s="4"/>
      <c r="JYE72" s="4"/>
      <c r="JYF72" s="4"/>
      <c r="JYG72" s="4"/>
      <c r="JYH72" s="4"/>
      <c r="JYI72" s="4"/>
      <c r="JYJ72" s="4"/>
      <c r="JYK72" s="4"/>
      <c r="JYL72" s="4"/>
      <c r="JYM72" s="4"/>
      <c r="JYN72" s="4"/>
      <c r="JYO72" s="4"/>
      <c r="JYP72" s="4"/>
      <c r="JYQ72" s="4"/>
      <c r="JYR72" s="4"/>
      <c r="JYS72" s="4"/>
      <c r="JYT72" s="4"/>
      <c r="JYU72" s="4"/>
      <c r="JYV72" s="4"/>
      <c r="JYW72" s="4"/>
      <c r="JYX72" s="4"/>
      <c r="JYY72" s="4"/>
      <c r="JYZ72" s="4"/>
      <c r="JZA72" s="4"/>
      <c r="JZB72" s="4"/>
      <c r="JZC72" s="4"/>
      <c r="JZD72" s="4"/>
      <c r="JZE72" s="4"/>
      <c r="JZF72" s="4"/>
      <c r="JZG72" s="4"/>
      <c r="JZH72" s="4"/>
      <c r="JZI72" s="4"/>
      <c r="JZJ72" s="4"/>
      <c r="JZK72" s="4"/>
      <c r="JZL72" s="4"/>
      <c r="JZM72" s="4"/>
      <c r="JZN72" s="4"/>
      <c r="JZO72" s="4"/>
      <c r="JZP72" s="4"/>
      <c r="JZQ72" s="4"/>
      <c r="JZR72" s="4"/>
      <c r="JZS72" s="4"/>
      <c r="JZT72" s="4"/>
      <c r="JZU72" s="4"/>
      <c r="JZV72" s="4"/>
      <c r="JZW72" s="4"/>
      <c r="JZX72" s="4"/>
      <c r="JZY72" s="4"/>
      <c r="JZZ72" s="4"/>
      <c r="KAA72" s="4"/>
      <c r="KAB72" s="4"/>
      <c r="KAC72" s="4"/>
      <c r="KAD72" s="4"/>
      <c r="KAE72" s="4"/>
      <c r="KAF72" s="4"/>
      <c r="KAG72" s="4"/>
      <c r="KAH72" s="4"/>
      <c r="KAI72" s="4"/>
      <c r="KAJ72" s="4"/>
      <c r="KAK72" s="4"/>
      <c r="KAL72" s="4"/>
      <c r="KAM72" s="4"/>
      <c r="KAN72" s="4"/>
      <c r="KAO72" s="4"/>
      <c r="KAP72" s="4"/>
      <c r="KAQ72" s="4"/>
      <c r="KAR72" s="4"/>
      <c r="KAS72" s="4"/>
      <c r="KAT72" s="4"/>
      <c r="KAU72" s="4"/>
      <c r="KAV72" s="4"/>
      <c r="KAW72" s="4"/>
      <c r="KAX72" s="4"/>
      <c r="KAY72" s="4"/>
      <c r="KAZ72" s="4"/>
      <c r="KBA72" s="4"/>
      <c r="KBB72" s="4"/>
      <c r="KBC72" s="4"/>
      <c r="KBD72" s="4"/>
      <c r="KBE72" s="4"/>
      <c r="KBF72" s="4"/>
      <c r="KBG72" s="4"/>
      <c r="KBH72" s="4"/>
      <c r="KBI72" s="4"/>
      <c r="KBJ72" s="4"/>
      <c r="KBK72" s="4"/>
      <c r="KBL72" s="4"/>
      <c r="KBM72" s="4"/>
      <c r="KBN72" s="4"/>
      <c r="KBO72" s="4"/>
      <c r="KBP72" s="4"/>
      <c r="KBQ72" s="4"/>
      <c r="KBR72" s="4"/>
      <c r="KBS72" s="4"/>
      <c r="KBT72" s="4"/>
      <c r="KBU72" s="4"/>
      <c r="KBV72" s="4"/>
      <c r="KBW72" s="4"/>
      <c r="KBX72" s="4"/>
      <c r="KBY72" s="4"/>
      <c r="KBZ72" s="4"/>
      <c r="KCA72" s="4"/>
      <c r="KCB72" s="4"/>
      <c r="KCC72" s="4"/>
      <c r="KCD72" s="4"/>
      <c r="KCE72" s="4"/>
      <c r="KCF72" s="4"/>
      <c r="KCG72" s="4"/>
      <c r="KCH72" s="4"/>
      <c r="KCI72" s="4"/>
      <c r="KCJ72" s="4"/>
      <c r="KCK72" s="4"/>
      <c r="KCL72" s="4"/>
      <c r="KCM72" s="4"/>
      <c r="KCN72" s="4"/>
      <c r="KCO72" s="4"/>
      <c r="KCP72" s="4"/>
      <c r="KCQ72" s="4"/>
      <c r="KCR72" s="4"/>
      <c r="KCS72" s="4"/>
      <c r="KCT72" s="4"/>
      <c r="KCU72" s="4"/>
      <c r="KCV72" s="4"/>
      <c r="KCW72" s="4"/>
      <c r="KCX72" s="4"/>
      <c r="KCY72" s="4"/>
      <c r="KCZ72" s="4"/>
      <c r="KDA72" s="4"/>
      <c r="KDB72" s="4"/>
      <c r="KDC72" s="4"/>
      <c r="KDD72" s="4"/>
      <c r="KDE72" s="4"/>
      <c r="KDF72" s="4"/>
      <c r="KDG72" s="4"/>
      <c r="KDH72" s="4"/>
      <c r="KDI72" s="4"/>
      <c r="KDJ72" s="4"/>
      <c r="KDK72" s="4"/>
      <c r="KDL72" s="4"/>
      <c r="KDM72" s="4"/>
      <c r="KDN72" s="4"/>
      <c r="KDO72" s="4"/>
      <c r="KDP72" s="4"/>
      <c r="KDQ72" s="4"/>
      <c r="KDR72" s="4"/>
      <c r="KDS72" s="4"/>
      <c r="KDT72" s="4"/>
      <c r="KDU72" s="4"/>
      <c r="KDV72" s="4"/>
      <c r="KDW72" s="4"/>
      <c r="KDX72" s="4"/>
      <c r="KDY72" s="4"/>
      <c r="KDZ72" s="4"/>
      <c r="KEA72" s="4"/>
      <c r="KEB72" s="4"/>
      <c r="KEC72" s="4"/>
      <c r="KED72" s="4"/>
      <c r="KEE72" s="4"/>
      <c r="KEF72" s="4"/>
      <c r="KEG72" s="4"/>
      <c r="KEH72" s="4"/>
      <c r="KEI72" s="4"/>
      <c r="KEJ72" s="4"/>
      <c r="KEK72" s="4"/>
      <c r="KEL72" s="4"/>
      <c r="KEM72" s="4"/>
      <c r="KEN72" s="4"/>
      <c r="KEO72" s="4"/>
      <c r="KEP72" s="4"/>
      <c r="KEQ72" s="4"/>
      <c r="KER72" s="4"/>
      <c r="KES72" s="4"/>
      <c r="KET72" s="4"/>
      <c r="KEU72" s="4"/>
      <c r="KEV72" s="4"/>
      <c r="KEW72" s="4"/>
      <c r="KEX72" s="4"/>
      <c r="KEY72" s="4"/>
      <c r="KEZ72" s="4"/>
      <c r="KFA72" s="4"/>
      <c r="KFB72" s="4"/>
      <c r="KFC72" s="4"/>
      <c r="KFD72" s="4"/>
      <c r="KFE72" s="4"/>
      <c r="KFF72" s="4"/>
      <c r="KFG72" s="4"/>
      <c r="KFH72" s="4"/>
      <c r="KFI72" s="4"/>
      <c r="KFJ72" s="4"/>
      <c r="KFK72" s="4"/>
      <c r="KFL72" s="4"/>
      <c r="KFM72" s="4"/>
      <c r="KFN72" s="4"/>
      <c r="KFO72" s="4"/>
      <c r="KFP72" s="4"/>
      <c r="KFQ72" s="4"/>
      <c r="KFR72" s="4"/>
      <c r="KFS72" s="4"/>
      <c r="KFT72" s="4"/>
      <c r="KFU72" s="4"/>
      <c r="KFV72" s="4"/>
      <c r="KFW72" s="4"/>
      <c r="KFX72" s="4"/>
      <c r="KFY72" s="4"/>
      <c r="KFZ72" s="4"/>
      <c r="KGA72" s="4"/>
      <c r="KGB72" s="4"/>
      <c r="KGC72" s="4"/>
      <c r="KGD72" s="4"/>
      <c r="KGE72" s="4"/>
      <c r="KGF72" s="4"/>
      <c r="KGG72" s="4"/>
      <c r="KGH72" s="4"/>
      <c r="KGI72" s="4"/>
      <c r="KGJ72" s="4"/>
      <c r="KGK72" s="4"/>
      <c r="KGL72" s="4"/>
      <c r="KGM72" s="4"/>
      <c r="KGN72" s="4"/>
      <c r="KGO72" s="4"/>
      <c r="KGP72" s="4"/>
      <c r="KGQ72" s="4"/>
      <c r="KGR72" s="4"/>
      <c r="KGS72" s="4"/>
      <c r="KGT72" s="4"/>
      <c r="KGU72" s="4"/>
      <c r="KGV72" s="4"/>
      <c r="KGW72" s="4"/>
      <c r="KGX72" s="4"/>
      <c r="KGY72" s="4"/>
      <c r="KGZ72" s="4"/>
      <c r="KHA72" s="4"/>
      <c r="KHB72" s="4"/>
      <c r="KHC72" s="4"/>
      <c r="KHD72" s="4"/>
      <c r="KHE72" s="4"/>
      <c r="KHF72" s="4"/>
      <c r="KHG72" s="4"/>
      <c r="KHH72" s="4"/>
      <c r="KHI72" s="4"/>
      <c r="KHJ72" s="4"/>
      <c r="KHK72" s="4"/>
      <c r="KHL72" s="4"/>
      <c r="KHM72" s="4"/>
      <c r="KHN72" s="4"/>
      <c r="KHO72" s="4"/>
      <c r="KHP72" s="4"/>
      <c r="KHQ72" s="4"/>
      <c r="KHR72" s="4"/>
      <c r="KHS72" s="4"/>
      <c r="KHT72" s="4"/>
      <c r="KHU72" s="4"/>
      <c r="KHV72" s="4"/>
      <c r="KHW72" s="4"/>
      <c r="KHX72" s="4"/>
      <c r="KHY72" s="4"/>
      <c r="KHZ72" s="4"/>
      <c r="KIA72" s="4"/>
      <c r="KIB72" s="4"/>
      <c r="KIC72" s="4"/>
      <c r="KID72" s="4"/>
      <c r="KIE72" s="4"/>
      <c r="KIF72" s="4"/>
      <c r="KIG72" s="4"/>
      <c r="KIH72" s="4"/>
      <c r="KII72" s="4"/>
      <c r="KIJ72" s="4"/>
      <c r="KIK72" s="4"/>
      <c r="KIL72" s="4"/>
      <c r="KIM72" s="4"/>
      <c r="KIN72" s="4"/>
      <c r="KIO72" s="4"/>
      <c r="KIP72" s="4"/>
      <c r="KIQ72" s="4"/>
      <c r="KIR72" s="4"/>
      <c r="KIS72" s="4"/>
      <c r="KIT72" s="4"/>
      <c r="KIU72" s="4"/>
      <c r="KIV72" s="4"/>
      <c r="KIW72" s="4"/>
      <c r="KIX72" s="4"/>
      <c r="KIY72" s="4"/>
      <c r="KIZ72" s="4"/>
      <c r="KJA72" s="4"/>
      <c r="KJB72" s="4"/>
      <c r="KJC72" s="4"/>
      <c r="KJD72" s="4"/>
      <c r="KJE72" s="4"/>
      <c r="KJF72" s="4"/>
      <c r="KJG72" s="4"/>
      <c r="KJH72" s="4"/>
      <c r="KJI72" s="4"/>
      <c r="KJJ72" s="4"/>
      <c r="KJK72" s="4"/>
      <c r="KJL72" s="4"/>
      <c r="KJM72" s="4"/>
      <c r="KJN72" s="4"/>
      <c r="KJO72" s="4"/>
      <c r="KJP72" s="4"/>
      <c r="KJQ72" s="4"/>
      <c r="KJR72" s="4"/>
      <c r="KJS72" s="4"/>
      <c r="KJT72" s="4"/>
      <c r="KJU72" s="4"/>
      <c r="KJV72" s="4"/>
      <c r="KJW72" s="4"/>
      <c r="KJX72" s="4"/>
      <c r="KJY72" s="4"/>
      <c r="KJZ72" s="4"/>
      <c r="KKA72" s="4"/>
      <c r="KKB72" s="4"/>
      <c r="KKC72" s="4"/>
      <c r="KKD72" s="4"/>
      <c r="KKE72" s="4"/>
      <c r="KKF72" s="4"/>
      <c r="KKG72" s="4"/>
      <c r="KKH72" s="4"/>
      <c r="KKI72" s="4"/>
      <c r="KKJ72" s="4"/>
      <c r="KKK72" s="4"/>
      <c r="KKL72" s="4"/>
      <c r="KKM72" s="4"/>
      <c r="KKN72" s="4"/>
      <c r="KKO72" s="4"/>
      <c r="KKP72" s="4"/>
      <c r="KKQ72" s="4"/>
      <c r="KKR72" s="4"/>
      <c r="KKS72" s="4"/>
      <c r="KKT72" s="4"/>
      <c r="KKU72" s="4"/>
      <c r="KKV72" s="4"/>
      <c r="KKW72" s="4"/>
      <c r="KKX72" s="4"/>
      <c r="KKY72" s="4"/>
      <c r="KKZ72" s="4"/>
      <c r="KLA72" s="4"/>
      <c r="KLB72" s="4"/>
      <c r="KLC72" s="4"/>
      <c r="KLD72" s="4"/>
      <c r="KLE72" s="4"/>
      <c r="KLF72" s="4"/>
      <c r="KLG72" s="4"/>
      <c r="KLH72" s="4"/>
      <c r="KLI72" s="4"/>
      <c r="KLJ72" s="4"/>
      <c r="KLK72" s="4"/>
      <c r="KLL72" s="4"/>
      <c r="KLM72" s="4"/>
      <c r="KLN72" s="4"/>
      <c r="KLO72" s="4"/>
      <c r="KLP72" s="4"/>
      <c r="KLQ72" s="4"/>
      <c r="KLR72" s="4"/>
      <c r="KLS72" s="4"/>
      <c r="KLT72" s="4"/>
      <c r="KLU72" s="4"/>
      <c r="KLV72" s="4"/>
      <c r="KLW72" s="4"/>
      <c r="KLX72" s="4"/>
      <c r="KLY72" s="4"/>
      <c r="KLZ72" s="4"/>
      <c r="KMA72" s="4"/>
      <c r="KMB72" s="4"/>
      <c r="KMC72" s="4"/>
      <c r="KMD72" s="4"/>
      <c r="KME72" s="4"/>
      <c r="KMF72" s="4"/>
      <c r="KMG72" s="4"/>
      <c r="KMH72" s="4"/>
      <c r="KMI72" s="4"/>
      <c r="KMJ72" s="4"/>
      <c r="KMK72" s="4"/>
      <c r="KML72" s="4"/>
      <c r="KMM72" s="4"/>
      <c r="KMN72" s="4"/>
      <c r="KMO72" s="4"/>
      <c r="KMP72" s="4"/>
      <c r="KMQ72" s="4"/>
      <c r="KMR72" s="4"/>
      <c r="KMS72" s="4"/>
      <c r="KMT72" s="4"/>
      <c r="KMU72" s="4"/>
      <c r="KMV72" s="4"/>
      <c r="KMW72" s="4"/>
      <c r="KMX72" s="4"/>
      <c r="KMY72" s="4"/>
      <c r="KMZ72" s="4"/>
      <c r="KNA72" s="4"/>
      <c r="KNB72" s="4"/>
      <c r="KNC72" s="4"/>
      <c r="KND72" s="4"/>
      <c r="KNE72" s="4"/>
      <c r="KNF72" s="4"/>
      <c r="KNG72" s="4"/>
      <c r="KNH72" s="4"/>
      <c r="KNI72" s="4"/>
      <c r="KNJ72" s="4"/>
      <c r="KNK72" s="4"/>
      <c r="KNL72" s="4"/>
      <c r="KNM72" s="4"/>
      <c r="KNN72" s="4"/>
      <c r="KNO72" s="4"/>
      <c r="KNP72" s="4"/>
      <c r="KNQ72" s="4"/>
      <c r="KNR72" s="4"/>
      <c r="KNS72" s="4"/>
      <c r="KNT72" s="4"/>
      <c r="KNU72" s="4"/>
      <c r="KNV72" s="4"/>
      <c r="KNW72" s="4"/>
      <c r="KNX72" s="4"/>
      <c r="KNY72" s="4"/>
      <c r="KNZ72" s="4"/>
      <c r="KOA72" s="4"/>
      <c r="KOB72" s="4"/>
      <c r="KOC72" s="4"/>
      <c r="KOD72" s="4"/>
      <c r="KOE72" s="4"/>
      <c r="KOF72" s="4"/>
      <c r="KOG72" s="4"/>
      <c r="KOH72" s="4"/>
      <c r="KOI72" s="4"/>
      <c r="KOJ72" s="4"/>
      <c r="KOK72" s="4"/>
      <c r="KOL72" s="4"/>
      <c r="KOM72" s="4"/>
      <c r="KON72" s="4"/>
      <c r="KOO72" s="4"/>
      <c r="KOP72" s="4"/>
      <c r="KOQ72" s="4"/>
      <c r="KOR72" s="4"/>
      <c r="KOS72" s="4"/>
      <c r="KOT72" s="4"/>
      <c r="KOU72" s="4"/>
      <c r="KOV72" s="4"/>
      <c r="KOW72" s="4"/>
      <c r="KOX72" s="4"/>
      <c r="KOY72" s="4"/>
      <c r="KOZ72" s="4"/>
      <c r="KPA72" s="4"/>
      <c r="KPB72" s="4"/>
      <c r="KPC72" s="4"/>
      <c r="KPD72" s="4"/>
      <c r="KPE72" s="4"/>
      <c r="KPF72" s="4"/>
      <c r="KPG72" s="4"/>
      <c r="KPH72" s="4"/>
      <c r="KPI72" s="4"/>
      <c r="KPJ72" s="4"/>
      <c r="KPK72" s="4"/>
      <c r="KPL72" s="4"/>
      <c r="KPM72" s="4"/>
      <c r="KPN72" s="4"/>
      <c r="KPO72" s="4"/>
      <c r="KPP72" s="4"/>
      <c r="KPQ72" s="4"/>
      <c r="KPR72" s="4"/>
      <c r="KPS72" s="4"/>
      <c r="KPT72" s="4"/>
      <c r="KPU72" s="4"/>
      <c r="KPV72" s="4"/>
      <c r="KPW72" s="4"/>
      <c r="KPX72" s="4"/>
      <c r="KPY72" s="4"/>
      <c r="KPZ72" s="4"/>
      <c r="KQA72" s="4"/>
      <c r="KQB72" s="4"/>
      <c r="KQC72" s="4"/>
      <c r="KQD72" s="4"/>
      <c r="KQE72" s="4"/>
      <c r="KQF72" s="4"/>
      <c r="KQG72" s="4"/>
      <c r="KQH72" s="4"/>
      <c r="KQI72" s="4"/>
      <c r="KQJ72" s="4"/>
      <c r="KQK72" s="4"/>
      <c r="KQL72" s="4"/>
      <c r="KQM72" s="4"/>
      <c r="KQN72" s="4"/>
      <c r="KQO72" s="4"/>
      <c r="KQP72" s="4"/>
      <c r="KQQ72" s="4"/>
      <c r="KQR72" s="4"/>
      <c r="KQS72" s="4"/>
      <c r="KQT72" s="4"/>
      <c r="KQU72" s="4"/>
      <c r="KQV72" s="4"/>
      <c r="KQW72" s="4"/>
      <c r="KQX72" s="4"/>
      <c r="KQY72" s="4"/>
      <c r="KQZ72" s="4"/>
      <c r="KRA72" s="4"/>
      <c r="KRB72" s="4"/>
      <c r="KRC72" s="4"/>
      <c r="KRD72" s="4"/>
      <c r="KRE72" s="4"/>
      <c r="KRF72" s="4"/>
      <c r="KRG72" s="4"/>
      <c r="KRH72" s="4"/>
      <c r="KRI72" s="4"/>
      <c r="KRJ72" s="4"/>
      <c r="KRK72" s="4"/>
      <c r="KRL72" s="4"/>
      <c r="KRM72" s="4"/>
      <c r="KRN72" s="4"/>
      <c r="KRO72" s="4"/>
      <c r="KRP72" s="4"/>
      <c r="KRQ72" s="4"/>
      <c r="KRR72" s="4"/>
      <c r="KRS72" s="4"/>
      <c r="KRT72" s="4"/>
      <c r="KRU72" s="4"/>
      <c r="KRV72" s="4"/>
      <c r="KRW72" s="4"/>
      <c r="KRX72" s="4"/>
      <c r="KRY72" s="4"/>
      <c r="KRZ72" s="4"/>
      <c r="KSA72" s="4"/>
      <c r="KSB72" s="4"/>
      <c r="KSC72" s="4"/>
      <c r="KSD72" s="4"/>
      <c r="KSE72" s="4"/>
      <c r="KSF72" s="4"/>
      <c r="KSG72" s="4"/>
      <c r="KSH72" s="4"/>
      <c r="KSI72" s="4"/>
      <c r="KSJ72" s="4"/>
      <c r="KSK72" s="4"/>
      <c r="KSL72" s="4"/>
      <c r="KSM72" s="4"/>
      <c r="KSN72" s="4"/>
      <c r="KSO72" s="4"/>
      <c r="KSP72" s="4"/>
      <c r="KSQ72" s="4"/>
      <c r="KSR72" s="4"/>
      <c r="KSS72" s="4"/>
      <c r="KST72" s="4"/>
      <c r="KSU72" s="4"/>
      <c r="KSV72" s="4"/>
      <c r="KSW72" s="4"/>
      <c r="KSX72" s="4"/>
      <c r="KSY72" s="4"/>
      <c r="KSZ72" s="4"/>
      <c r="KTA72" s="4"/>
      <c r="KTB72" s="4"/>
      <c r="KTC72" s="4"/>
      <c r="KTD72" s="4"/>
      <c r="KTE72" s="4"/>
      <c r="KTF72" s="4"/>
      <c r="KTG72" s="4"/>
      <c r="KTH72" s="4"/>
      <c r="KTI72" s="4"/>
      <c r="KTJ72" s="4"/>
      <c r="KTK72" s="4"/>
      <c r="KTL72" s="4"/>
      <c r="KTM72" s="4"/>
      <c r="KTN72" s="4"/>
      <c r="KTO72" s="4"/>
      <c r="KTP72" s="4"/>
      <c r="KTQ72" s="4"/>
      <c r="KTR72" s="4"/>
      <c r="KTS72" s="4"/>
      <c r="KTT72" s="4"/>
      <c r="KTU72" s="4"/>
      <c r="KTV72" s="4"/>
      <c r="KTW72" s="4"/>
      <c r="KTX72" s="4"/>
      <c r="KTY72" s="4"/>
      <c r="KTZ72" s="4"/>
      <c r="KUA72" s="4"/>
      <c r="KUB72" s="4"/>
      <c r="KUC72" s="4"/>
      <c r="KUD72" s="4"/>
      <c r="KUE72" s="4"/>
      <c r="KUF72" s="4"/>
      <c r="KUG72" s="4"/>
      <c r="KUH72" s="4"/>
      <c r="KUI72" s="4"/>
      <c r="KUJ72" s="4"/>
      <c r="KUK72" s="4"/>
      <c r="KUL72" s="4"/>
      <c r="KUM72" s="4"/>
      <c r="KUN72" s="4"/>
      <c r="KUO72" s="4"/>
      <c r="KUP72" s="4"/>
      <c r="KUQ72" s="4"/>
      <c r="KUR72" s="4"/>
      <c r="KUS72" s="4"/>
      <c r="KUT72" s="4"/>
      <c r="KUU72" s="4"/>
      <c r="KUV72" s="4"/>
      <c r="KUW72" s="4"/>
      <c r="KUX72" s="4"/>
      <c r="KUY72" s="4"/>
      <c r="KUZ72" s="4"/>
      <c r="KVA72" s="4"/>
      <c r="KVB72" s="4"/>
      <c r="KVC72" s="4"/>
      <c r="KVD72" s="4"/>
      <c r="KVE72" s="4"/>
      <c r="KVF72" s="4"/>
      <c r="KVG72" s="4"/>
      <c r="KVH72" s="4"/>
      <c r="KVI72" s="4"/>
      <c r="KVJ72" s="4"/>
      <c r="KVK72" s="4"/>
      <c r="KVL72" s="4"/>
      <c r="KVM72" s="4"/>
      <c r="KVN72" s="4"/>
      <c r="KVO72" s="4"/>
      <c r="KVP72" s="4"/>
      <c r="KVQ72" s="4"/>
      <c r="KVR72" s="4"/>
      <c r="KVS72" s="4"/>
      <c r="KVT72" s="4"/>
      <c r="KVU72" s="4"/>
      <c r="KVV72" s="4"/>
      <c r="KVW72" s="4"/>
      <c r="KVX72" s="4"/>
      <c r="KVY72" s="4"/>
      <c r="KVZ72" s="4"/>
      <c r="KWA72" s="4"/>
      <c r="KWB72" s="4"/>
      <c r="KWC72" s="4"/>
      <c r="KWD72" s="4"/>
      <c r="KWE72" s="4"/>
      <c r="KWF72" s="4"/>
      <c r="KWG72" s="4"/>
      <c r="KWH72" s="4"/>
      <c r="KWI72" s="4"/>
      <c r="KWJ72" s="4"/>
      <c r="KWK72" s="4"/>
      <c r="KWL72" s="4"/>
      <c r="KWM72" s="4"/>
      <c r="KWN72" s="4"/>
      <c r="KWO72" s="4"/>
      <c r="KWP72" s="4"/>
      <c r="KWQ72" s="4"/>
      <c r="KWR72" s="4"/>
      <c r="KWS72" s="4"/>
      <c r="KWT72" s="4"/>
      <c r="KWU72" s="4"/>
      <c r="KWV72" s="4"/>
      <c r="KWW72" s="4"/>
      <c r="KWX72" s="4"/>
      <c r="KWY72" s="4"/>
      <c r="KWZ72" s="4"/>
      <c r="KXA72" s="4"/>
      <c r="KXB72" s="4"/>
      <c r="KXC72" s="4"/>
      <c r="KXD72" s="4"/>
      <c r="KXE72" s="4"/>
      <c r="KXF72" s="4"/>
      <c r="KXG72" s="4"/>
      <c r="KXH72" s="4"/>
      <c r="KXI72" s="4"/>
      <c r="KXJ72" s="4"/>
      <c r="KXK72" s="4"/>
      <c r="KXL72" s="4"/>
      <c r="KXM72" s="4"/>
      <c r="KXN72" s="4"/>
      <c r="KXO72" s="4"/>
      <c r="KXP72" s="4"/>
      <c r="KXQ72" s="4"/>
      <c r="KXR72" s="4"/>
      <c r="KXS72" s="4"/>
      <c r="KXT72" s="4"/>
      <c r="KXU72" s="4"/>
      <c r="KXV72" s="4"/>
      <c r="KXW72" s="4"/>
      <c r="KXX72" s="4"/>
      <c r="KXY72" s="4"/>
      <c r="KXZ72" s="4"/>
      <c r="KYA72" s="4"/>
      <c r="KYB72" s="4"/>
      <c r="KYC72" s="4"/>
      <c r="KYD72" s="4"/>
      <c r="KYE72" s="4"/>
      <c r="KYF72" s="4"/>
      <c r="KYG72" s="4"/>
      <c r="KYH72" s="4"/>
      <c r="KYI72" s="4"/>
      <c r="KYJ72" s="4"/>
      <c r="KYK72" s="4"/>
      <c r="KYL72" s="4"/>
      <c r="KYM72" s="4"/>
      <c r="KYN72" s="4"/>
      <c r="KYO72" s="4"/>
      <c r="KYP72" s="4"/>
      <c r="KYQ72" s="4"/>
      <c r="KYR72" s="4"/>
      <c r="KYS72" s="4"/>
      <c r="KYT72" s="4"/>
      <c r="KYU72" s="4"/>
      <c r="KYV72" s="4"/>
      <c r="KYW72" s="4"/>
      <c r="KYX72" s="4"/>
      <c r="KYY72" s="4"/>
      <c r="KYZ72" s="4"/>
      <c r="KZA72" s="4"/>
      <c r="KZB72" s="4"/>
      <c r="KZC72" s="4"/>
      <c r="KZD72" s="4"/>
      <c r="KZE72" s="4"/>
      <c r="KZF72" s="4"/>
      <c r="KZG72" s="4"/>
      <c r="KZH72" s="4"/>
      <c r="KZI72" s="4"/>
      <c r="KZJ72" s="4"/>
      <c r="KZK72" s="4"/>
      <c r="KZL72" s="4"/>
      <c r="KZM72" s="4"/>
      <c r="KZN72" s="4"/>
      <c r="KZO72" s="4"/>
      <c r="KZP72" s="4"/>
      <c r="KZQ72" s="4"/>
      <c r="KZR72" s="4"/>
      <c r="KZS72" s="4"/>
      <c r="KZT72" s="4"/>
      <c r="KZU72" s="4"/>
      <c r="KZV72" s="4"/>
      <c r="KZW72" s="4"/>
      <c r="KZX72" s="4"/>
      <c r="KZY72" s="4"/>
      <c r="KZZ72" s="4"/>
      <c r="LAA72" s="4"/>
      <c r="LAB72" s="4"/>
      <c r="LAC72" s="4"/>
      <c r="LAD72" s="4"/>
      <c r="LAE72" s="4"/>
      <c r="LAF72" s="4"/>
      <c r="LAG72" s="4"/>
      <c r="LAH72" s="4"/>
      <c r="LAI72" s="4"/>
      <c r="LAJ72" s="4"/>
      <c r="LAK72" s="4"/>
      <c r="LAL72" s="4"/>
      <c r="LAM72" s="4"/>
      <c r="LAN72" s="4"/>
      <c r="LAO72" s="4"/>
      <c r="LAP72" s="4"/>
      <c r="LAQ72" s="4"/>
      <c r="LAR72" s="4"/>
      <c r="LAS72" s="4"/>
      <c r="LAT72" s="4"/>
      <c r="LAU72" s="4"/>
      <c r="LAV72" s="4"/>
      <c r="LAW72" s="4"/>
      <c r="LAX72" s="4"/>
      <c r="LAY72" s="4"/>
      <c r="LAZ72" s="4"/>
      <c r="LBA72" s="4"/>
      <c r="LBB72" s="4"/>
      <c r="LBC72" s="4"/>
      <c r="LBD72" s="4"/>
      <c r="LBE72" s="4"/>
      <c r="LBF72" s="4"/>
      <c r="LBG72" s="4"/>
      <c r="LBH72" s="4"/>
      <c r="LBI72" s="4"/>
      <c r="LBJ72" s="4"/>
      <c r="LBK72" s="4"/>
      <c r="LBL72" s="4"/>
      <c r="LBM72" s="4"/>
      <c r="LBN72" s="4"/>
      <c r="LBO72" s="4"/>
      <c r="LBP72" s="4"/>
      <c r="LBQ72" s="4"/>
      <c r="LBR72" s="4"/>
      <c r="LBS72" s="4"/>
      <c r="LBT72" s="4"/>
      <c r="LBU72" s="4"/>
      <c r="LBV72" s="4"/>
      <c r="LBW72" s="4"/>
      <c r="LBX72" s="4"/>
      <c r="LBY72" s="4"/>
      <c r="LBZ72" s="4"/>
      <c r="LCA72" s="4"/>
      <c r="LCB72" s="4"/>
      <c r="LCC72" s="4"/>
      <c r="LCD72" s="4"/>
      <c r="LCE72" s="4"/>
      <c r="LCF72" s="4"/>
      <c r="LCG72" s="4"/>
      <c r="LCH72" s="4"/>
      <c r="LCI72" s="4"/>
      <c r="LCJ72" s="4"/>
      <c r="LCK72" s="4"/>
      <c r="LCL72" s="4"/>
      <c r="LCM72" s="4"/>
      <c r="LCN72" s="4"/>
      <c r="LCO72" s="4"/>
      <c r="LCP72" s="4"/>
      <c r="LCQ72" s="4"/>
      <c r="LCR72" s="4"/>
      <c r="LCS72" s="4"/>
      <c r="LCT72" s="4"/>
      <c r="LCU72" s="4"/>
      <c r="LCV72" s="4"/>
      <c r="LCW72" s="4"/>
      <c r="LCX72" s="4"/>
      <c r="LCY72" s="4"/>
      <c r="LCZ72" s="4"/>
      <c r="LDA72" s="4"/>
      <c r="LDB72" s="4"/>
      <c r="LDC72" s="4"/>
      <c r="LDD72" s="4"/>
      <c r="LDE72" s="4"/>
      <c r="LDF72" s="4"/>
      <c r="LDG72" s="4"/>
      <c r="LDH72" s="4"/>
      <c r="LDI72" s="4"/>
      <c r="LDJ72" s="4"/>
      <c r="LDK72" s="4"/>
      <c r="LDL72" s="4"/>
      <c r="LDM72" s="4"/>
      <c r="LDN72" s="4"/>
      <c r="LDO72" s="4"/>
      <c r="LDP72" s="4"/>
      <c r="LDQ72" s="4"/>
      <c r="LDR72" s="4"/>
      <c r="LDS72" s="4"/>
      <c r="LDT72" s="4"/>
      <c r="LDU72" s="4"/>
      <c r="LDV72" s="4"/>
      <c r="LDW72" s="4"/>
      <c r="LDX72" s="4"/>
      <c r="LDY72" s="4"/>
      <c r="LDZ72" s="4"/>
      <c r="LEA72" s="4"/>
      <c r="LEB72" s="4"/>
      <c r="LEC72" s="4"/>
      <c r="LED72" s="4"/>
      <c r="LEE72" s="4"/>
      <c r="LEF72" s="4"/>
      <c r="LEG72" s="4"/>
      <c r="LEH72" s="4"/>
      <c r="LEI72" s="4"/>
      <c r="LEJ72" s="4"/>
      <c r="LEK72" s="4"/>
      <c r="LEL72" s="4"/>
      <c r="LEM72" s="4"/>
      <c r="LEN72" s="4"/>
      <c r="LEO72" s="4"/>
      <c r="LEP72" s="4"/>
      <c r="LEQ72" s="4"/>
      <c r="LER72" s="4"/>
      <c r="LES72" s="4"/>
      <c r="LET72" s="4"/>
      <c r="LEU72" s="4"/>
      <c r="LEV72" s="4"/>
      <c r="LEW72" s="4"/>
      <c r="LEX72" s="4"/>
      <c r="LEY72" s="4"/>
      <c r="LEZ72" s="4"/>
      <c r="LFA72" s="4"/>
      <c r="LFB72" s="4"/>
      <c r="LFC72" s="4"/>
      <c r="LFD72" s="4"/>
      <c r="LFE72" s="4"/>
      <c r="LFF72" s="4"/>
      <c r="LFG72" s="4"/>
      <c r="LFH72" s="4"/>
      <c r="LFI72" s="4"/>
      <c r="LFJ72" s="4"/>
      <c r="LFK72" s="4"/>
      <c r="LFL72" s="4"/>
      <c r="LFM72" s="4"/>
      <c r="LFN72" s="4"/>
      <c r="LFO72" s="4"/>
      <c r="LFP72" s="4"/>
      <c r="LFQ72" s="4"/>
      <c r="LFR72" s="4"/>
      <c r="LFS72" s="4"/>
      <c r="LFT72" s="4"/>
      <c r="LFU72" s="4"/>
      <c r="LFV72" s="4"/>
      <c r="LFW72" s="4"/>
      <c r="LFX72" s="4"/>
      <c r="LFY72" s="4"/>
      <c r="LFZ72" s="4"/>
      <c r="LGA72" s="4"/>
      <c r="LGB72" s="4"/>
      <c r="LGC72" s="4"/>
      <c r="LGD72" s="4"/>
      <c r="LGE72" s="4"/>
      <c r="LGF72" s="4"/>
      <c r="LGG72" s="4"/>
      <c r="LGH72" s="4"/>
      <c r="LGI72" s="4"/>
      <c r="LGJ72" s="4"/>
      <c r="LGK72" s="4"/>
      <c r="LGL72" s="4"/>
      <c r="LGM72" s="4"/>
      <c r="LGN72" s="4"/>
      <c r="LGO72" s="4"/>
      <c r="LGP72" s="4"/>
      <c r="LGQ72" s="4"/>
      <c r="LGR72" s="4"/>
      <c r="LGS72" s="4"/>
      <c r="LGT72" s="4"/>
      <c r="LGU72" s="4"/>
      <c r="LGV72" s="4"/>
      <c r="LGW72" s="4"/>
      <c r="LGX72" s="4"/>
      <c r="LGY72" s="4"/>
      <c r="LGZ72" s="4"/>
      <c r="LHA72" s="4"/>
      <c r="LHB72" s="4"/>
      <c r="LHC72" s="4"/>
      <c r="LHD72" s="4"/>
      <c r="LHE72" s="4"/>
      <c r="LHF72" s="4"/>
      <c r="LHG72" s="4"/>
      <c r="LHH72" s="4"/>
      <c r="LHI72" s="4"/>
      <c r="LHJ72" s="4"/>
      <c r="LHK72" s="4"/>
      <c r="LHL72" s="4"/>
      <c r="LHM72" s="4"/>
      <c r="LHN72" s="4"/>
      <c r="LHO72" s="4"/>
      <c r="LHP72" s="4"/>
      <c r="LHQ72" s="4"/>
      <c r="LHR72" s="4"/>
      <c r="LHS72" s="4"/>
      <c r="LHT72" s="4"/>
      <c r="LHU72" s="4"/>
      <c r="LHV72" s="4"/>
      <c r="LHW72" s="4"/>
      <c r="LHX72" s="4"/>
      <c r="LHY72" s="4"/>
      <c r="LHZ72" s="4"/>
      <c r="LIA72" s="4"/>
      <c r="LIB72" s="4"/>
      <c r="LIC72" s="4"/>
      <c r="LID72" s="4"/>
      <c r="LIE72" s="4"/>
      <c r="LIF72" s="4"/>
      <c r="LIG72" s="4"/>
      <c r="LIH72" s="4"/>
      <c r="LII72" s="4"/>
      <c r="LIJ72" s="4"/>
      <c r="LIK72" s="4"/>
      <c r="LIL72" s="4"/>
      <c r="LIM72" s="4"/>
      <c r="LIN72" s="4"/>
      <c r="LIO72" s="4"/>
      <c r="LIP72" s="4"/>
      <c r="LIQ72" s="4"/>
      <c r="LIR72" s="4"/>
      <c r="LIS72" s="4"/>
      <c r="LIT72" s="4"/>
      <c r="LIU72" s="4"/>
      <c r="LIV72" s="4"/>
      <c r="LIW72" s="4"/>
      <c r="LIX72" s="4"/>
      <c r="LIY72" s="4"/>
      <c r="LIZ72" s="4"/>
      <c r="LJA72" s="4"/>
      <c r="LJB72" s="4"/>
      <c r="LJC72" s="4"/>
      <c r="LJD72" s="4"/>
      <c r="LJE72" s="4"/>
      <c r="LJF72" s="4"/>
      <c r="LJG72" s="4"/>
      <c r="LJH72" s="4"/>
      <c r="LJI72" s="4"/>
      <c r="LJJ72" s="4"/>
      <c r="LJK72" s="4"/>
      <c r="LJL72" s="4"/>
      <c r="LJM72" s="4"/>
      <c r="LJN72" s="4"/>
      <c r="LJO72" s="4"/>
      <c r="LJP72" s="4"/>
      <c r="LJQ72" s="4"/>
      <c r="LJR72" s="4"/>
      <c r="LJS72" s="4"/>
      <c r="LJT72" s="4"/>
      <c r="LJU72" s="4"/>
      <c r="LJV72" s="4"/>
      <c r="LJW72" s="4"/>
      <c r="LJX72" s="4"/>
      <c r="LJY72" s="4"/>
      <c r="LJZ72" s="4"/>
      <c r="LKA72" s="4"/>
      <c r="LKB72" s="4"/>
      <c r="LKC72" s="4"/>
      <c r="LKD72" s="4"/>
      <c r="LKE72" s="4"/>
      <c r="LKF72" s="4"/>
      <c r="LKG72" s="4"/>
      <c r="LKH72" s="4"/>
      <c r="LKI72" s="4"/>
      <c r="LKJ72" s="4"/>
      <c r="LKK72" s="4"/>
      <c r="LKL72" s="4"/>
      <c r="LKM72" s="4"/>
      <c r="LKN72" s="4"/>
      <c r="LKO72" s="4"/>
      <c r="LKP72" s="4"/>
      <c r="LKQ72" s="4"/>
      <c r="LKR72" s="4"/>
      <c r="LKS72" s="4"/>
      <c r="LKT72" s="4"/>
      <c r="LKU72" s="4"/>
      <c r="LKV72" s="4"/>
      <c r="LKW72" s="4"/>
      <c r="LKX72" s="4"/>
      <c r="LKY72" s="4"/>
      <c r="LKZ72" s="4"/>
      <c r="LLA72" s="4"/>
      <c r="LLB72" s="4"/>
      <c r="LLC72" s="4"/>
      <c r="LLD72" s="4"/>
      <c r="LLE72" s="4"/>
      <c r="LLF72" s="4"/>
      <c r="LLG72" s="4"/>
      <c r="LLH72" s="4"/>
      <c r="LLI72" s="4"/>
      <c r="LLJ72" s="4"/>
      <c r="LLK72" s="4"/>
      <c r="LLL72" s="4"/>
      <c r="LLM72" s="4"/>
      <c r="LLN72" s="4"/>
      <c r="LLO72" s="4"/>
      <c r="LLP72" s="4"/>
      <c r="LLQ72" s="4"/>
      <c r="LLR72" s="4"/>
      <c r="LLS72" s="4"/>
      <c r="LLT72" s="4"/>
      <c r="LLU72" s="4"/>
      <c r="LLV72" s="4"/>
      <c r="LLW72" s="4"/>
      <c r="LLX72" s="4"/>
      <c r="LLY72" s="4"/>
      <c r="LLZ72" s="4"/>
      <c r="LMA72" s="4"/>
      <c r="LMB72" s="4"/>
      <c r="LMC72" s="4"/>
      <c r="LMD72" s="4"/>
      <c r="LME72" s="4"/>
      <c r="LMF72" s="4"/>
      <c r="LMG72" s="4"/>
      <c r="LMH72" s="4"/>
      <c r="LMI72" s="4"/>
      <c r="LMJ72" s="4"/>
      <c r="LMK72" s="4"/>
      <c r="LML72" s="4"/>
      <c r="LMM72" s="4"/>
      <c r="LMN72" s="4"/>
      <c r="LMO72" s="4"/>
      <c r="LMP72" s="4"/>
      <c r="LMQ72" s="4"/>
      <c r="LMR72" s="4"/>
      <c r="LMS72" s="4"/>
      <c r="LMT72" s="4"/>
      <c r="LMU72" s="4"/>
      <c r="LMV72" s="4"/>
      <c r="LMW72" s="4"/>
      <c r="LMX72" s="4"/>
      <c r="LMY72" s="4"/>
      <c r="LMZ72" s="4"/>
      <c r="LNA72" s="4"/>
      <c r="LNB72" s="4"/>
      <c r="LNC72" s="4"/>
      <c r="LND72" s="4"/>
      <c r="LNE72" s="4"/>
      <c r="LNF72" s="4"/>
      <c r="LNG72" s="4"/>
      <c r="LNH72" s="4"/>
      <c r="LNI72" s="4"/>
      <c r="LNJ72" s="4"/>
      <c r="LNK72" s="4"/>
      <c r="LNL72" s="4"/>
      <c r="LNM72" s="4"/>
      <c r="LNN72" s="4"/>
      <c r="LNO72" s="4"/>
      <c r="LNP72" s="4"/>
      <c r="LNQ72" s="4"/>
      <c r="LNR72" s="4"/>
      <c r="LNS72" s="4"/>
      <c r="LNT72" s="4"/>
      <c r="LNU72" s="4"/>
      <c r="LNV72" s="4"/>
      <c r="LNW72" s="4"/>
      <c r="LNX72" s="4"/>
      <c r="LNY72" s="4"/>
      <c r="LNZ72" s="4"/>
      <c r="LOA72" s="4"/>
      <c r="LOB72" s="4"/>
      <c r="LOC72" s="4"/>
      <c r="LOD72" s="4"/>
      <c r="LOE72" s="4"/>
      <c r="LOF72" s="4"/>
      <c r="LOG72" s="4"/>
      <c r="LOH72" s="4"/>
      <c r="LOI72" s="4"/>
      <c r="LOJ72" s="4"/>
      <c r="LOK72" s="4"/>
      <c r="LOL72" s="4"/>
      <c r="LOM72" s="4"/>
      <c r="LON72" s="4"/>
      <c r="LOO72" s="4"/>
      <c r="LOP72" s="4"/>
      <c r="LOQ72" s="4"/>
      <c r="LOR72" s="4"/>
      <c r="LOS72" s="4"/>
      <c r="LOT72" s="4"/>
      <c r="LOU72" s="4"/>
      <c r="LOV72" s="4"/>
      <c r="LOW72" s="4"/>
      <c r="LOX72" s="4"/>
      <c r="LOY72" s="4"/>
      <c r="LOZ72" s="4"/>
      <c r="LPA72" s="4"/>
      <c r="LPB72" s="4"/>
      <c r="LPC72" s="4"/>
      <c r="LPD72" s="4"/>
      <c r="LPE72" s="4"/>
      <c r="LPF72" s="4"/>
      <c r="LPG72" s="4"/>
      <c r="LPH72" s="4"/>
      <c r="LPI72" s="4"/>
      <c r="LPJ72" s="4"/>
      <c r="LPK72" s="4"/>
      <c r="LPL72" s="4"/>
      <c r="LPM72" s="4"/>
      <c r="LPN72" s="4"/>
      <c r="LPO72" s="4"/>
      <c r="LPP72" s="4"/>
      <c r="LPQ72" s="4"/>
      <c r="LPR72" s="4"/>
      <c r="LPS72" s="4"/>
      <c r="LPT72" s="4"/>
      <c r="LPU72" s="4"/>
      <c r="LPV72" s="4"/>
      <c r="LPW72" s="4"/>
      <c r="LPX72" s="4"/>
      <c r="LPY72" s="4"/>
      <c r="LPZ72" s="4"/>
      <c r="LQA72" s="4"/>
      <c r="LQB72" s="4"/>
      <c r="LQC72" s="4"/>
      <c r="LQD72" s="4"/>
      <c r="LQE72" s="4"/>
      <c r="LQF72" s="4"/>
      <c r="LQG72" s="4"/>
      <c r="LQH72" s="4"/>
      <c r="LQI72" s="4"/>
      <c r="LQJ72" s="4"/>
      <c r="LQK72" s="4"/>
      <c r="LQL72" s="4"/>
      <c r="LQM72" s="4"/>
      <c r="LQN72" s="4"/>
      <c r="LQO72" s="4"/>
      <c r="LQP72" s="4"/>
      <c r="LQQ72" s="4"/>
      <c r="LQR72" s="4"/>
      <c r="LQS72" s="4"/>
      <c r="LQT72" s="4"/>
      <c r="LQU72" s="4"/>
      <c r="LQV72" s="4"/>
      <c r="LQW72" s="4"/>
      <c r="LQX72" s="4"/>
      <c r="LQY72" s="4"/>
      <c r="LQZ72" s="4"/>
      <c r="LRA72" s="4"/>
      <c r="LRB72" s="4"/>
      <c r="LRC72" s="4"/>
      <c r="LRD72" s="4"/>
      <c r="LRE72" s="4"/>
      <c r="LRF72" s="4"/>
      <c r="LRG72" s="4"/>
      <c r="LRH72" s="4"/>
      <c r="LRI72" s="4"/>
      <c r="LRJ72" s="4"/>
      <c r="LRK72" s="4"/>
      <c r="LRL72" s="4"/>
      <c r="LRM72" s="4"/>
      <c r="LRN72" s="4"/>
      <c r="LRO72" s="4"/>
      <c r="LRP72" s="4"/>
      <c r="LRQ72" s="4"/>
      <c r="LRR72" s="4"/>
      <c r="LRS72" s="4"/>
      <c r="LRT72" s="4"/>
      <c r="LRU72" s="4"/>
      <c r="LRV72" s="4"/>
      <c r="LRW72" s="4"/>
      <c r="LRX72" s="4"/>
      <c r="LRY72" s="4"/>
      <c r="LRZ72" s="4"/>
      <c r="LSA72" s="4"/>
      <c r="LSB72" s="4"/>
      <c r="LSC72" s="4"/>
      <c r="LSD72" s="4"/>
      <c r="LSE72" s="4"/>
      <c r="LSF72" s="4"/>
      <c r="LSG72" s="4"/>
      <c r="LSH72" s="4"/>
      <c r="LSI72" s="4"/>
      <c r="LSJ72" s="4"/>
      <c r="LSK72" s="4"/>
      <c r="LSL72" s="4"/>
      <c r="LSM72" s="4"/>
      <c r="LSN72" s="4"/>
      <c r="LSO72" s="4"/>
      <c r="LSP72" s="4"/>
      <c r="LSQ72" s="4"/>
      <c r="LSR72" s="4"/>
      <c r="LSS72" s="4"/>
      <c r="LST72" s="4"/>
      <c r="LSU72" s="4"/>
      <c r="LSV72" s="4"/>
      <c r="LSW72" s="4"/>
      <c r="LSX72" s="4"/>
      <c r="LSY72" s="4"/>
      <c r="LSZ72" s="4"/>
      <c r="LTA72" s="4"/>
      <c r="LTB72" s="4"/>
      <c r="LTC72" s="4"/>
      <c r="LTD72" s="4"/>
      <c r="LTE72" s="4"/>
      <c r="LTF72" s="4"/>
      <c r="LTG72" s="4"/>
      <c r="LTH72" s="4"/>
      <c r="LTI72" s="4"/>
      <c r="LTJ72" s="4"/>
      <c r="LTK72" s="4"/>
      <c r="LTL72" s="4"/>
      <c r="LTM72" s="4"/>
      <c r="LTN72" s="4"/>
      <c r="LTO72" s="4"/>
      <c r="LTP72" s="4"/>
      <c r="LTQ72" s="4"/>
      <c r="LTR72" s="4"/>
      <c r="LTS72" s="4"/>
      <c r="LTT72" s="4"/>
      <c r="LTU72" s="4"/>
      <c r="LTV72" s="4"/>
      <c r="LTW72" s="4"/>
      <c r="LTX72" s="4"/>
      <c r="LTY72" s="4"/>
      <c r="LTZ72" s="4"/>
      <c r="LUA72" s="4"/>
      <c r="LUB72" s="4"/>
      <c r="LUC72" s="4"/>
      <c r="LUD72" s="4"/>
      <c r="LUE72" s="4"/>
      <c r="LUF72" s="4"/>
      <c r="LUG72" s="4"/>
      <c r="LUH72" s="4"/>
      <c r="LUI72" s="4"/>
      <c r="LUJ72" s="4"/>
      <c r="LUK72" s="4"/>
      <c r="LUL72" s="4"/>
      <c r="LUM72" s="4"/>
      <c r="LUN72" s="4"/>
      <c r="LUO72" s="4"/>
      <c r="LUP72" s="4"/>
      <c r="LUQ72" s="4"/>
      <c r="LUR72" s="4"/>
      <c r="LUS72" s="4"/>
      <c r="LUT72" s="4"/>
      <c r="LUU72" s="4"/>
      <c r="LUV72" s="4"/>
      <c r="LUW72" s="4"/>
      <c r="LUX72" s="4"/>
      <c r="LUY72" s="4"/>
      <c r="LUZ72" s="4"/>
      <c r="LVA72" s="4"/>
      <c r="LVB72" s="4"/>
      <c r="LVC72" s="4"/>
      <c r="LVD72" s="4"/>
      <c r="LVE72" s="4"/>
      <c r="LVF72" s="4"/>
      <c r="LVG72" s="4"/>
      <c r="LVH72" s="4"/>
      <c r="LVI72" s="4"/>
      <c r="LVJ72" s="4"/>
      <c r="LVK72" s="4"/>
      <c r="LVL72" s="4"/>
      <c r="LVM72" s="4"/>
      <c r="LVN72" s="4"/>
      <c r="LVO72" s="4"/>
      <c r="LVP72" s="4"/>
      <c r="LVQ72" s="4"/>
      <c r="LVR72" s="4"/>
      <c r="LVS72" s="4"/>
      <c r="LVT72" s="4"/>
      <c r="LVU72" s="4"/>
      <c r="LVV72" s="4"/>
      <c r="LVW72" s="4"/>
      <c r="LVX72" s="4"/>
      <c r="LVY72" s="4"/>
      <c r="LVZ72" s="4"/>
      <c r="LWA72" s="4"/>
      <c r="LWB72" s="4"/>
      <c r="LWC72" s="4"/>
      <c r="LWD72" s="4"/>
      <c r="LWE72" s="4"/>
      <c r="LWF72" s="4"/>
      <c r="LWG72" s="4"/>
      <c r="LWH72" s="4"/>
      <c r="LWI72" s="4"/>
      <c r="LWJ72" s="4"/>
      <c r="LWK72" s="4"/>
      <c r="LWL72" s="4"/>
      <c r="LWM72" s="4"/>
      <c r="LWN72" s="4"/>
      <c r="LWO72" s="4"/>
      <c r="LWP72" s="4"/>
      <c r="LWQ72" s="4"/>
      <c r="LWR72" s="4"/>
      <c r="LWS72" s="4"/>
      <c r="LWT72" s="4"/>
      <c r="LWU72" s="4"/>
      <c r="LWV72" s="4"/>
      <c r="LWW72" s="4"/>
      <c r="LWX72" s="4"/>
      <c r="LWY72" s="4"/>
      <c r="LWZ72" s="4"/>
      <c r="LXA72" s="4"/>
      <c r="LXB72" s="4"/>
      <c r="LXC72" s="4"/>
      <c r="LXD72" s="4"/>
      <c r="LXE72" s="4"/>
      <c r="LXF72" s="4"/>
      <c r="LXG72" s="4"/>
      <c r="LXH72" s="4"/>
      <c r="LXI72" s="4"/>
      <c r="LXJ72" s="4"/>
      <c r="LXK72" s="4"/>
      <c r="LXL72" s="4"/>
      <c r="LXM72" s="4"/>
      <c r="LXN72" s="4"/>
      <c r="LXO72" s="4"/>
      <c r="LXP72" s="4"/>
      <c r="LXQ72" s="4"/>
      <c r="LXR72" s="4"/>
      <c r="LXS72" s="4"/>
      <c r="LXT72" s="4"/>
      <c r="LXU72" s="4"/>
      <c r="LXV72" s="4"/>
      <c r="LXW72" s="4"/>
      <c r="LXX72" s="4"/>
      <c r="LXY72" s="4"/>
      <c r="LXZ72" s="4"/>
      <c r="LYA72" s="4"/>
      <c r="LYB72" s="4"/>
      <c r="LYC72" s="4"/>
      <c r="LYD72" s="4"/>
      <c r="LYE72" s="4"/>
      <c r="LYF72" s="4"/>
      <c r="LYG72" s="4"/>
      <c r="LYH72" s="4"/>
      <c r="LYI72" s="4"/>
      <c r="LYJ72" s="4"/>
      <c r="LYK72" s="4"/>
      <c r="LYL72" s="4"/>
      <c r="LYM72" s="4"/>
      <c r="LYN72" s="4"/>
      <c r="LYO72" s="4"/>
      <c r="LYP72" s="4"/>
      <c r="LYQ72" s="4"/>
      <c r="LYR72" s="4"/>
      <c r="LYS72" s="4"/>
      <c r="LYT72" s="4"/>
      <c r="LYU72" s="4"/>
      <c r="LYV72" s="4"/>
      <c r="LYW72" s="4"/>
      <c r="LYX72" s="4"/>
      <c r="LYY72" s="4"/>
      <c r="LYZ72" s="4"/>
      <c r="LZA72" s="4"/>
      <c r="LZB72" s="4"/>
      <c r="LZC72" s="4"/>
      <c r="LZD72" s="4"/>
      <c r="LZE72" s="4"/>
      <c r="LZF72" s="4"/>
      <c r="LZG72" s="4"/>
      <c r="LZH72" s="4"/>
      <c r="LZI72" s="4"/>
      <c r="LZJ72" s="4"/>
      <c r="LZK72" s="4"/>
      <c r="LZL72" s="4"/>
      <c r="LZM72" s="4"/>
      <c r="LZN72" s="4"/>
      <c r="LZO72" s="4"/>
      <c r="LZP72" s="4"/>
      <c r="LZQ72" s="4"/>
      <c r="LZR72" s="4"/>
      <c r="LZS72" s="4"/>
      <c r="LZT72" s="4"/>
      <c r="LZU72" s="4"/>
      <c r="LZV72" s="4"/>
      <c r="LZW72" s="4"/>
      <c r="LZX72" s="4"/>
      <c r="LZY72" s="4"/>
      <c r="LZZ72" s="4"/>
      <c r="MAA72" s="4"/>
      <c r="MAB72" s="4"/>
      <c r="MAC72" s="4"/>
      <c r="MAD72" s="4"/>
      <c r="MAE72" s="4"/>
      <c r="MAF72" s="4"/>
      <c r="MAG72" s="4"/>
      <c r="MAH72" s="4"/>
      <c r="MAI72" s="4"/>
      <c r="MAJ72" s="4"/>
      <c r="MAK72" s="4"/>
      <c r="MAL72" s="4"/>
      <c r="MAM72" s="4"/>
      <c r="MAN72" s="4"/>
      <c r="MAO72" s="4"/>
      <c r="MAP72" s="4"/>
      <c r="MAQ72" s="4"/>
      <c r="MAR72" s="4"/>
      <c r="MAS72" s="4"/>
      <c r="MAT72" s="4"/>
      <c r="MAU72" s="4"/>
      <c r="MAV72" s="4"/>
      <c r="MAW72" s="4"/>
      <c r="MAX72" s="4"/>
      <c r="MAY72" s="4"/>
      <c r="MAZ72" s="4"/>
      <c r="MBA72" s="4"/>
      <c r="MBB72" s="4"/>
      <c r="MBC72" s="4"/>
      <c r="MBD72" s="4"/>
      <c r="MBE72" s="4"/>
      <c r="MBF72" s="4"/>
      <c r="MBG72" s="4"/>
      <c r="MBH72" s="4"/>
      <c r="MBI72" s="4"/>
      <c r="MBJ72" s="4"/>
      <c r="MBK72" s="4"/>
      <c r="MBL72" s="4"/>
      <c r="MBM72" s="4"/>
      <c r="MBN72" s="4"/>
      <c r="MBO72" s="4"/>
      <c r="MBP72" s="4"/>
      <c r="MBQ72" s="4"/>
      <c r="MBR72" s="4"/>
      <c r="MBS72" s="4"/>
      <c r="MBT72" s="4"/>
      <c r="MBU72" s="4"/>
      <c r="MBV72" s="4"/>
      <c r="MBW72" s="4"/>
      <c r="MBX72" s="4"/>
      <c r="MBY72" s="4"/>
      <c r="MBZ72" s="4"/>
      <c r="MCA72" s="4"/>
      <c r="MCB72" s="4"/>
      <c r="MCC72" s="4"/>
      <c r="MCD72" s="4"/>
      <c r="MCE72" s="4"/>
      <c r="MCF72" s="4"/>
      <c r="MCG72" s="4"/>
      <c r="MCH72" s="4"/>
      <c r="MCI72" s="4"/>
      <c r="MCJ72" s="4"/>
      <c r="MCK72" s="4"/>
      <c r="MCL72" s="4"/>
      <c r="MCM72" s="4"/>
      <c r="MCN72" s="4"/>
      <c r="MCO72" s="4"/>
      <c r="MCP72" s="4"/>
      <c r="MCQ72" s="4"/>
      <c r="MCR72" s="4"/>
      <c r="MCS72" s="4"/>
      <c r="MCT72" s="4"/>
      <c r="MCU72" s="4"/>
      <c r="MCV72" s="4"/>
      <c r="MCW72" s="4"/>
      <c r="MCX72" s="4"/>
      <c r="MCY72" s="4"/>
      <c r="MCZ72" s="4"/>
      <c r="MDA72" s="4"/>
      <c r="MDB72" s="4"/>
      <c r="MDC72" s="4"/>
      <c r="MDD72" s="4"/>
      <c r="MDE72" s="4"/>
      <c r="MDF72" s="4"/>
      <c r="MDG72" s="4"/>
      <c r="MDH72" s="4"/>
      <c r="MDI72" s="4"/>
      <c r="MDJ72" s="4"/>
      <c r="MDK72" s="4"/>
      <c r="MDL72" s="4"/>
      <c r="MDM72" s="4"/>
      <c r="MDN72" s="4"/>
      <c r="MDO72" s="4"/>
      <c r="MDP72" s="4"/>
      <c r="MDQ72" s="4"/>
      <c r="MDR72" s="4"/>
      <c r="MDS72" s="4"/>
      <c r="MDT72" s="4"/>
      <c r="MDU72" s="4"/>
      <c r="MDV72" s="4"/>
      <c r="MDW72" s="4"/>
      <c r="MDX72" s="4"/>
      <c r="MDY72" s="4"/>
      <c r="MDZ72" s="4"/>
      <c r="MEA72" s="4"/>
      <c r="MEB72" s="4"/>
      <c r="MEC72" s="4"/>
      <c r="MED72" s="4"/>
      <c r="MEE72" s="4"/>
      <c r="MEF72" s="4"/>
      <c r="MEG72" s="4"/>
      <c r="MEH72" s="4"/>
      <c r="MEI72" s="4"/>
      <c r="MEJ72" s="4"/>
      <c r="MEK72" s="4"/>
      <c r="MEL72" s="4"/>
      <c r="MEM72" s="4"/>
      <c r="MEN72" s="4"/>
      <c r="MEO72" s="4"/>
      <c r="MEP72" s="4"/>
      <c r="MEQ72" s="4"/>
      <c r="MER72" s="4"/>
      <c r="MES72" s="4"/>
      <c r="MET72" s="4"/>
      <c r="MEU72" s="4"/>
      <c r="MEV72" s="4"/>
      <c r="MEW72" s="4"/>
      <c r="MEX72" s="4"/>
      <c r="MEY72" s="4"/>
      <c r="MEZ72" s="4"/>
      <c r="MFA72" s="4"/>
      <c r="MFB72" s="4"/>
      <c r="MFC72" s="4"/>
      <c r="MFD72" s="4"/>
      <c r="MFE72" s="4"/>
      <c r="MFF72" s="4"/>
      <c r="MFG72" s="4"/>
      <c r="MFH72" s="4"/>
      <c r="MFI72" s="4"/>
      <c r="MFJ72" s="4"/>
      <c r="MFK72" s="4"/>
      <c r="MFL72" s="4"/>
      <c r="MFM72" s="4"/>
      <c r="MFN72" s="4"/>
      <c r="MFO72" s="4"/>
      <c r="MFP72" s="4"/>
      <c r="MFQ72" s="4"/>
      <c r="MFR72" s="4"/>
      <c r="MFS72" s="4"/>
      <c r="MFT72" s="4"/>
      <c r="MFU72" s="4"/>
      <c r="MFV72" s="4"/>
      <c r="MFW72" s="4"/>
      <c r="MFX72" s="4"/>
      <c r="MFY72" s="4"/>
      <c r="MFZ72" s="4"/>
      <c r="MGA72" s="4"/>
      <c r="MGB72" s="4"/>
      <c r="MGC72" s="4"/>
      <c r="MGD72" s="4"/>
      <c r="MGE72" s="4"/>
      <c r="MGF72" s="4"/>
      <c r="MGG72" s="4"/>
      <c r="MGH72" s="4"/>
      <c r="MGI72" s="4"/>
      <c r="MGJ72" s="4"/>
      <c r="MGK72" s="4"/>
      <c r="MGL72" s="4"/>
      <c r="MGM72" s="4"/>
      <c r="MGN72" s="4"/>
      <c r="MGO72" s="4"/>
      <c r="MGP72" s="4"/>
      <c r="MGQ72" s="4"/>
      <c r="MGR72" s="4"/>
      <c r="MGS72" s="4"/>
      <c r="MGT72" s="4"/>
      <c r="MGU72" s="4"/>
      <c r="MGV72" s="4"/>
      <c r="MGW72" s="4"/>
      <c r="MGX72" s="4"/>
      <c r="MGY72" s="4"/>
      <c r="MGZ72" s="4"/>
      <c r="MHA72" s="4"/>
      <c r="MHB72" s="4"/>
      <c r="MHC72" s="4"/>
      <c r="MHD72" s="4"/>
      <c r="MHE72" s="4"/>
      <c r="MHF72" s="4"/>
      <c r="MHG72" s="4"/>
      <c r="MHH72" s="4"/>
      <c r="MHI72" s="4"/>
      <c r="MHJ72" s="4"/>
      <c r="MHK72" s="4"/>
      <c r="MHL72" s="4"/>
      <c r="MHM72" s="4"/>
      <c r="MHN72" s="4"/>
      <c r="MHO72" s="4"/>
      <c r="MHP72" s="4"/>
      <c r="MHQ72" s="4"/>
      <c r="MHR72" s="4"/>
      <c r="MHS72" s="4"/>
      <c r="MHT72" s="4"/>
      <c r="MHU72" s="4"/>
      <c r="MHV72" s="4"/>
      <c r="MHW72" s="4"/>
      <c r="MHX72" s="4"/>
      <c r="MHY72" s="4"/>
      <c r="MHZ72" s="4"/>
      <c r="MIA72" s="4"/>
      <c r="MIB72" s="4"/>
      <c r="MIC72" s="4"/>
      <c r="MID72" s="4"/>
      <c r="MIE72" s="4"/>
      <c r="MIF72" s="4"/>
      <c r="MIG72" s="4"/>
      <c r="MIH72" s="4"/>
      <c r="MII72" s="4"/>
      <c r="MIJ72" s="4"/>
      <c r="MIK72" s="4"/>
      <c r="MIL72" s="4"/>
      <c r="MIM72" s="4"/>
      <c r="MIN72" s="4"/>
      <c r="MIO72" s="4"/>
      <c r="MIP72" s="4"/>
      <c r="MIQ72" s="4"/>
      <c r="MIR72" s="4"/>
      <c r="MIS72" s="4"/>
      <c r="MIT72" s="4"/>
      <c r="MIU72" s="4"/>
      <c r="MIV72" s="4"/>
      <c r="MIW72" s="4"/>
      <c r="MIX72" s="4"/>
      <c r="MIY72" s="4"/>
      <c r="MIZ72" s="4"/>
      <c r="MJA72" s="4"/>
      <c r="MJB72" s="4"/>
      <c r="MJC72" s="4"/>
      <c r="MJD72" s="4"/>
      <c r="MJE72" s="4"/>
      <c r="MJF72" s="4"/>
      <c r="MJG72" s="4"/>
      <c r="MJH72" s="4"/>
      <c r="MJI72" s="4"/>
      <c r="MJJ72" s="4"/>
      <c r="MJK72" s="4"/>
      <c r="MJL72" s="4"/>
      <c r="MJM72" s="4"/>
      <c r="MJN72" s="4"/>
      <c r="MJO72" s="4"/>
      <c r="MJP72" s="4"/>
      <c r="MJQ72" s="4"/>
      <c r="MJR72" s="4"/>
      <c r="MJS72" s="4"/>
      <c r="MJT72" s="4"/>
      <c r="MJU72" s="4"/>
      <c r="MJV72" s="4"/>
      <c r="MJW72" s="4"/>
      <c r="MJX72" s="4"/>
      <c r="MJY72" s="4"/>
      <c r="MJZ72" s="4"/>
      <c r="MKA72" s="4"/>
      <c r="MKB72" s="4"/>
      <c r="MKC72" s="4"/>
      <c r="MKD72" s="4"/>
      <c r="MKE72" s="4"/>
      <c r="MKF72" s="4"/>
      <c r="MKG72" s="4"/>
      <c r="MKH72" s="4"/>
      <c r="MKI72" s="4"/>
      <c r="MKJ72" s="4"/>
      <c r="MKK72" s="4"/>
      <c r="MKL72" s="4"/>
      <c r="MKM72" s="4"/>
      <c r="MKN72" s="4"/>
      <c r="MKO72" s="4"/>
      <c r="MKP72" s="4"/>
      <c r="MKQ72" s="4"/>
      <c r="MKR72" s="4"/>
      <c r="MKS72" s="4"/>
      <c r="MKT72" s="4"/>
      <c r="MKU72" s="4"/>
      <c r="MKV72" s="4"/>
      <c r="MKW72" s="4"/>
      <c r="MKX72" s="4"/>
      <c r="MKY72" s="4"/>
      <c r="MKZ72" s="4"/>
      <c r="MLA72" s="4"/>
      <c r="MLB72" s="4"/>
      <c r="MLC72" s="4"/>
      <c r="MLD72" s="4"/>
      <c r="MLE72" s="4"/>
      <c r="MLF72" s="4"/>
      <c r="MLG72" s="4"/>
      <c r="MLH72" s="4"/>
      <c r="MLI72" s="4"/>
      <c r="MLJ72" s="4"/>
      <c r="MLK72" s="4"/>
      <c r="MLL72" s="4"/>
      <c r="MLM72" s="4"/>
      <c r="MLN72" s="4"/>
      <c r="MLO72" s="4"/>
      <c r="MLP72" s="4"/>
      <c r="MLQ72" s="4"/>
      <c r="MLR72" s="4"/>
      <c r="MLS72" s="4"/>
      <c r="MLT72" s="4"/>
      <c r="MLU72" s="4"/>
      <c r="MLV72" s="4"/>
      <c r="MLW72" s="4"/>
      <c r="MLX72" s="4"/>
      <c r="MLY72" s="4"/>
      <c r="MLZ72" s="4"/>
      <c r="MMA72" s="4"/>
      <c r="MMB72" s="4"/>
      <c r="MMC72" s="4"/>
      <c r="MMD72" s="4"/>
      <c r="MME72" s="4"/>
      <c r="MMF72" s="4"/>
      <c r="MMG72" s="4"/>
      <c r="MMH72" s="4"/>
      <c r="MMI72" s="4"/>
      <c r="MMJ72" s="4"/>
      <c r="MMK72" s="4"/>
      <c r="MML72" s="4"/>
      <c r="MMM72" s="4"/>
      <c r="MMN72" s="4"/>
      <c r="MMO72" s="4"/>
      <c r="MMP72" s="4"/>
      <c r="MMQ72" s="4"/>
      <c r="MMR72" s="4"/>
      <c r="MMS72" s="4"/>
      <c r="MMT72" s="4"/>
      <c r="MMU72" s="4"/>
      <c r="MMV72" s="4"/>
      <c r="MMW72" s="4"/>
      <c r="MMX72" s="4"/>
      <c r="MMY72" s="4"/>
      <c r="MMZ72" s="4"/>
      <c r="MNA72" s="4"/>
      <c r="MNB72" s="4"/>
      <c r="MNC72" s="4"/>
      <c r="MND72" s="4"/>
      <c r="MNE72" s="4"/>
      <c r="MNF72" s="4"/>
      <c r="MNG72" s="4"/>
      <c r="MNH72" s="4"/>
      <c r="MNI72" s="4"/>
      <c r="MNJ72" s="4"/>
      <c r="MNK72" s="4"/>
      <c r="MNL72" s="4"/>
      <c r="MNM72" s="4"/>
      <c r="MNN72" s="4"/>
      <c r="MNO72" s="4"/>
      <c r="MNP72" s="4"/>
      <c r="MNQ72" s="4"/>
      <c r="MNR72" s="4"/>
      <c r="MNS72" s="4"/>
      <c r="MNT72" s="4"/>
      <c r="MNU72" s="4"/>
      <c r="MNV72" s="4"/>
      <c r="MNW72" s="4"/>
      <c r="MNX72" s="4"/>
      <c r="MNY72" s="4"/>
      <c r="MNZ72" s="4"/>
      <c r="MOA72" s="4"/>
      <c r="MOB72" s="4"/>
      <c r="MOC72" s="4"/>
      <c r="MOD72" s="4"/>
      <c r="MOE72" s="4"/>
      <c r="MOF72" s="4"/>
      <c r="MOG72" s="4"/>
      <c r="MOH72" s="4"/>
      <c r="MOI72" s="4"/>
      <c r="MOJ72" s="4"/>
      <c r="MOK72" s="4"/>
      <c r="MOL72" s="4"/>
      <c r="MOM72" s="4"/>
      <c r="MON72" s="4"/>
      <c r="MOO72" s="4"/>
      <c r="MOP72" s="4"/>
      <c r="MOQ72" s="4"/>
      <c r="MOR72" s="4"/>
      <c r="MOS72" s="4"/>
      <c r="MOT72" s="4"/>
      <c r="MOU72" s="4"/>
      <c r="MOV72" s="4"/>
      <c r="MOW72" s="4"/>
      <c r="MOX72" s="4"/>
      <c r="MOY72" s="4"/>
      <c r="MOZ72" s="4"/>
      <c r="MPA72" s="4"/>
      <c r="MPB72" s="4"/>
      <c r="MPC72" s="4"/>
      <c r="MPD72" s="4"/>
      <c r="MPE72" s="4"/>
      <c r="MPF72" s="4"/>
      <c r="MPG72" s="4"/>
      <c r="MPH72" s="4"/>
      <c r="MPI72" s="4"/>
      <c r="MPJ72" s="4"/>
      <c r="MPK72" s="4"/>
      <c r="MPL72" s="4"/>
      <c r="MPM72" s="4"/>
      <c r="MPN72" s="4"/>
      <c r="MPO72" s="4"/>
      <c r="MPP72" s="4"/>
      <c r="MPQ72" s="4"/>
      <c r="MPR72" s="4"/>
      <c r="MPS72" s="4"/>
      <c r="MPT72" s="4"/>
      <c r="MPU72" s="4"/>
      <c r="MPV72" s="4"/>
      <c r="MPW72" s="4"/>
      <c r="MPX72" s="4"/>
      <c r="MPY72" s="4"/>
      <c r="MPZ72" s="4"/>
      <c r="MQA72" s="4"/>
      <c r="MQB72" s="4"/>
      <c r="MQC72" s="4"/>
      <c r="MQD72" s="4"/>
      <c r="MQE72" s="4"/>
      <c r="MQF72" s="4"/>
      <c r="MQG72" s="4"/>
      <c r="MQH72" s="4"/>
      <c r="MQI72" s="4"/>
      <c r="MQJ72" s="4"/>
      <c r="MQK72" s="4"/>
      <c r="MQL72" s="4"/>
      <c r="MQM72" s="4"/>
      <c r="MQN72" s="4"/>
      <c r="MQO72" s="4"/>
      <c r="MQP72" s="4"/>
      <c r="MQQ72" s="4"/>
      <c r="MQR72" s="4"/>
      <c r="MQS72" s="4"/>
      <c r="MQT72" s="4"/>
      <c r="MQU72" s="4"/>
      <c r="MQV72" s="4"/>
      <c r="MQW72" s="4"/>
      <c r="MQX72" s="4"/>
      <c r="MQY72" s="4"/>
      <c r="MQZ72" s="4"/>
      <c r="MRA72" s="4"/>
      <c r="MRB72" s="4"/>
      <c r="MRC72" s="4"/>
      <c r="MRD72" s="4"/>
      <c r="MRE72" s="4"/>
      <c r="MRF72" s="4"/>
      <c r="MRG72" s="4"/>
      <c r="MRH72" s="4"/>
      <c r="MRI72" s="4"/>
      <c r="MRJ72" s="4"/>
      <c r="MRK72" s="4"/>
      <c r="MRL72" s="4"/>
      <c r="MRM72" s="4"/>
      <c r="MRN72" s="4"/>
      <c r="MRO72" s="4"/>
      <c r="MRP72" s="4"/>
      <c r="MRQ72" s="4"/>
      <c r="MRR72" s="4"/>
      <c r="MRS72" s="4"/>
      <c r="MRT72" s="4"/>
      <c r="MRU72" s="4"/>
      <c r="MRV72" s="4"/>
      <c r="MRW72" s="4"/>
      <c r="MRX72" s="4"/>
      <c r="MRY72" s="4"/>
      <c r="MRZ72" s="4"/>
      <c r="MSA72" s="4"/>
      <c r="MSB72" s="4"/>
      <c r="MSC72" s="4"/>
      <c r="MSD72" s="4"/>
      <c r="MSE72" s="4"/>
      <c r="MSF72" s="4"/>
      <c r="MSG72" s="4"/>
      <c r="MSH72" s="4"/>
      <c r="MSI72" s="4"/>
      <c r="MSJ72" s="4"/>
      <c r="MSK72" s="4"/>
      <c r="MSL72" s="4"/>
      <c r="MSM72" s="4"/>
      <c r="MSN72" s="4"/>
      <c r="MSO72" s="4"/>
      <c r="MSP72" s="4"/>
      <c r="MSQ72" s="4"/>
      <c r="MSR72" s="4"/>
      <c r="MSS72" s="4"/>
      <c r="MST72" s="4"/>
      <c r="MSU72" s="4"/>
      <c r="MSV72" s="4"/>
      <c r="MSW72" s="4"/>
      <c r="MSX72" s="4"/>
      <c r="MSY72" s="4"/>
      <c r="MSZ72" s="4"/>
      <c r="MTA72" s="4"/>
      <c r="MTB72" s="4"/>
      <c r="MTC72" s="4"/>
      <c r="MTD72" s="4"/>
      <c r="MTE72" s="4"/>
      <c r="MTF72" s="4"/>
      <c r="MTG72" s="4"/>
      <c r="MTH72" s="4"/>
      <c r="MTI72" s="4"/>
      <c r="MTJ72" s="4"/>
      <c r="MTK72" s="4"/>
      <c r="MTL72" s="4"/>
      <c r="MTM72" s="4"/>
      <c r="MTN72" s="4"/>
      <c r="MTO72" s="4"/>
      <c r="MTP72" s="4"/>
      <c r="MTQ72" s="4"/>
      <c r="MTR72" s="4"/>
      <c r="MTS72" s="4"/>
      <c r="MTT72" s="4"/>
      <c r="MTU72" s="4"/>
      <c r="MTV72" s="4"/>
      <c r="MTW72" s="4"/>
      <c r="MTX72" s="4"/>
      <c r="MTY72" s="4"/>
      <c r="MTZ72" s="4"/>
      <c r="MUA72" s="4"/>
      <c r="MUB72" s="4"/>
      <c r="MUC72" s="4"/>
      <c r="MUD72" s="4"/>
      <c r="MUE72" s="4"/>
      <c r="MUF72" s="4"/>
      <c r="MUG72" s="4"/>
      <c r="MUH72" s="4"/>
      <c r="MUI72" s="4"/>
      <c r="MUJ72" s="4"/>
      <c r="MUK72" s="4"/>
      <c r="MUL72" s="4"/>
      <c r="MUM72" s="4"/>
      <c r="MUN72" s="4"/>
      <c r="MUO72" s="4"/>
      <c r="MUP72" s="4"/>
      <c r="MUQ72" s="4"/>
      <c r="MUR72" s="4"/>
      <c r="MUS72" s="4"/>
      <c r="MUT72" s="4"/>
      <c r="MUU72" s="4"/>
      <c r="MUV72" s="4"/>
      <c r="MUW72" s="4"/>
      <c r="MUX72" s="4"/>
      <c r="MUY72" s="4"/>
      <c r="MUZ72" s="4"/>
      <c r="MVA72" s="4"/>
      <c r="MVB72" s="4"/>
      <c r="MVC72" s="4"/>
      <c r="MVD72" s="4"/>
      <c r="MVE72" s="4"/>
      <c r="MVF72" s="4"/>
      <c r="MVG72" s="4"/>
      <c r="MVH72" s="4"/>
      <c r="MVI72" s="4"/>
      <c r="MVJ72" s="4"/>
      <c r="MVK72" s="4"/>
      <c r="MVL72" s="4"/>
      <c r="MVM72" s="4"/>
      <c r="MVN72" s="4"/>
      <c r="MVO72" s="4"/>
      <c r="MVP72" s="4"/>
      <c r="MVQ72" s="4"/>
      <c r="MVR72" s="4"/>
      <c r="MVS72" s="4"/>
      <c r="MVT72" s="4"/>
      <c r="MVU72" s="4"/>
      <c r="MVV72" s="4"/>
      <c r="MVW72" s="4"/>
      <c r="MVX72" s="4"/>
      <c r="MVY72" s="4"/>
      <c r="MVZ72" s="4"/>
      <c r="MWA72" s="4"/>
      <c r="MWB72" s="4"/>
      <c r="MWC72" s="4"/>
      <c r="MWD72" s="4"/>
      <c r="MWE72" s="4"/>
      <c r="MWF72" s="4"/>
      <c r="MWG72" s="4"/>
      <c r="MWH72" s="4"/>
      <c r="MWI72" s="4"/>
      <c r="MWJ72" s="4"/>
      <c r="MWK72" s="4"/>
      <c r="MWL72" s="4"/>
      <c r="MWM72" s="4"/>
      <c r="MWN72" s="4"/>
      <c r="MWO72" s="4"/>
      <c r="MWP72" s="4"/>
      <c r="MWQ72" s="4"/>
      <c r="MWR72" s="4"/>
      <c r="MWS72" s="4"/>
      <c r="MWT72" s="4"/>
      <c r="MWU72" s="4"/>
      <c r="MWV72" s="4"/>
      <c r="MWW72" s="4"/>
      <c r="MWX72" s="4"/>
      <c r="MWY72" s="4"/>
      <c r="MWZ72" s="4"/>
      <c r="MXA72" s="4"/>
      <c r="MXB72" s="4"/>
      <c r="MXC72" s="4"/>
      <c r="MXD72" s="4"/>
      <c r="MXE72" s="4"/>
      <c r="MXF72" s="4"/>
      <c r="MXG72" s="4"/>
      <c r="MXH72" s="4"/>
      <c r="MXI72" s="4"/>
      <c r="MXJ72" s="4"/>
      <c r="MXK72" s="4"/>
      <c r="MXL72" s="4"/>
      <c r="MXM72" s="4"/>
      <c r="MXN72" s="4"/>
      <c r="MXO72" s="4"/>
      <c r="MXP72" s="4"/>
      <c r="MXQ72" s="4"/>
      <c r="MXR72" s="4"/>
      <c r="MXS72" s="4"/>
      <c r="MXT72" s="4"/>
      <c r="MXU72" s="4"/>
      <c r="MXV72" s="4"/>
      <c r="MXW72" s="4"/>
      <c r="MXX72" s="4"/>
      <c r="MXY72" s="4"/>
      <c r="MXZ72" s="4"/>
      <c r="MYA72" s="4"/>
      <c r="MYB72" s="4"/>
      <c r="MYC72" s="4"/>
      <c r="MYD72" s="4"/>
      <c r="MYE72" s="4"/>
      <c r="MYF72" s="4"/>
      <c r="MYG72" s="4"/>
      <c r="MYH72" s="4"/>
      <c r="MYI72" s="4"/>
      <c r="MYJ72" s="4"/>
      <c r="MYK72" s="4"/>
      <c r="MYL72" s="4"/>
      <c r="MYM72" s="4"/>
      <c r="MYN72" s="4"/>
      <c r="MYO72" s="4"/>
      <c r="MYP72" s="4"/>
      <c r="MYQ72" s="4"/>
      <c r="MYR72" s="4"/>
      <c r="MYS72" s="4"/>
      <c r="MYT72" s="4"/>
      <c r="MYU72" s="4"/>
      <c r="MYV72" s="4"/>
      <c r="MYW72" s="4"/>
      <c r="MYX72" s="4"/>
      <c r="MYY72" s="4"/>
      <c r="MYZ72" s="4"/>
      <c r="MZA72" s="4"/>
      <c r="MZB72" s="4"/>
      <c r="MZC72" s="4"/>
      <c r="MZD72" s="4"/>
      <c r="MZE72" s="4"/>
      <c r="MZF72" s="4"/>
      <c r="MZG72" s="4"/>
      <c r="MZH72" s="4"/>
      <c r="MZI72" s="4"/>
      <c r="MZJ72" s="4"/>
      <c r="MZK72" s="4"/>
      <c r="MZL72" s="4"/>
      <c r="MZM72" s="4"/>
      <c r="MZN72" s="4"/>
      <c r="MZO72" s="4"/>
      <c r="MZP72" s="4"/>
      <c r="MZQ72" s="4"/>
      <c r="MZR72" s="4"/>
      <c r="MZS72" s="4"/>
      <c r="MZT72" s="4"/>
      <c r="MZU72" s="4"/>
      <c r="MZV72" s="4"/>
      <c r="MZW72" s="4"/>
      <c r="MZX72" s="4"/>
      <c r="MZY72" s="4"/>
      <c r="MZZ72" s="4"/>
      <c r="NAA72" s="4"/>
      <c r="NAB72" s="4"/>
      <c r="NAC72" s="4"/>
      <c r="NAD72" s="4"/>
      <c r="NAE72" s="4"/>
      <c r="NAF72" s="4"/>
      <c r="NAG72" s="4"/>
      <c r="NAH72" s="4"/>
      <c r="NAI72" s="4"/>
      <c r="NAJ72" s="4"/>
      <c r="NAK72" s="4"/>
      <c r="NAL72" s="4"/>
      <c r="NAM72" s="4"/>
      <c r="NAN72" s="4"/>
      <c r="NAO72" s="4"/>
      <c r="NAP72" s="4"/>
      <c r="NAQ72" s="4"/>
      <c r="NAR72" s="4"/>
      <c r="NAS72" s="4"/>
      <c r="NAT72" s="4"/>
      <c r="NAU72" s="4"/>
      <c r="NAV72" s="4"/>
      <c r="NAW72" s="4"/>
      <c r="NAX72" s="4"/>
      <c r="NAY72" s="4"/>
      <c r="NAZ72" s="4"/>
      <c r="NBA72" s="4"/>
      <c r="NBB72" s="4"/>
      <c r="NBC72" s="4"/>
      <c r="NBD72" s="4"/>
      <c r="NBE72" s="4"/>
      <c r="NBF72" s="4"/>
      <c r="NBG72" s="4"/>
      <c r="NBH72" s="4"/>
      <c r="NBI72" s="4"/>
      <c r="NBJ72" s="4"/>
      <c r="NBK72" s="4"/>
      <c r="NBL72" s="4"/>
      <c r="NBM72" s="4"/>
      <c r="NBN72" s="4"/>
      <c r="NBO72" s="4"/>
      <c r="NBP72" s="4"/>
      <c r="NBQ72" s="4"/>
      <c r="NBR72" s="4"/>
      <c r="NBS72" s="4"/>
      <c r="NBT72" s="4"/>
      <c r="NBU72" s="4"/>
      <c r="NBV72" s="4"/>
      <c r="NBW72" s="4"/>
      <c r="NBX72" s="4"/>
      <c r="NBY72" s="4"/>
      <c r="NBZ72" s="4"/>
      <c r="NCA72" s="4"/>
      <c r="NCB72" s="4"/>
      <c r="NCC72" s="4"/>
      <c r="NCD72" s="4"/>
      <c r="NCE72" s="4"/>
      <c r="NCF72" s="4"/>
      <c r="NCG72" s="4"/>
      <c r="NCH72" s="4"/>
      <c r="NCI72" s="4"/>
      <c r="NCJ72" s="4"/>
      <c r="NCK72" s="4"/>
      <c r="NCL72" s="4"/>
      <c r="NCM72" s="4"/>
      <c r="NCN72" s="4"/>
      <c r="NCO72" s="4"/>
      <c r="NCP72" s="4"/>
      <c r="NCQ72" s="4"/>
      <c r="NCR72" s="4"/>
      <c r="NCS72" s="4"/>
      <c r="NCT72" s="4"/>
      <c r="NCU72" s="4"/>
      <c r="NCV72" s="4"/>
      <c r="NCW72" s="4"/>
      <c r="NCX72" s="4"/>
      <c r="NCY72" s="4"/>
      <c r="NCZ72" s="4"/>
      <c r="NDA72" s="4"/>
      <c r="NDB72" s="4"/>
      <c r="NDC72" s="4"/>
      <c r="NDD72" s="4"/>
      <c r="NDE72" s="4"/>
      <c r="NDF72" s="4"/>
      <c r="NDG72" s="4"/>
      <c r="NDH72" s="4"/>
      <c r="NDI72" s="4"/>
      <c r="NDJ72" s="4"/>
      <c r="NDK72" s="4"/>
      <c r="NDL72" s="4"/>
      <c r="NDM72" s="4"/>
      <c r="NDN72" s="4"/>
      <c r="NDO72" s="4"/>
      <c r="NDP72" s="4"/>
      <c r="NDQ72" s="4"/>
      <c r="NDR72" s="4"/>
      <c r="NDS72" s="4"/>
      <c r="NDT72" s="4"/>
      <c r="NDU72" s="4"/>
      <c r="NDV72" s="4"/>
      <c r="NDW72" s="4"/>
      <c r="NDX72" s="4"/>
      <c r="NDY72" s="4"/>
      <c r="NDZ72" s="4"/>
      <c r="NEA72" s="4"/>
      <c r="NEB72" s="4"/>
      <c r="NEC72" s="4"/>
      <c r="NED72" s="4"/>
      <c r="NEE72" s="4"/>
      <c r="NEF72" s="4"/>
      <c r="NEG72" s="4"/>
      <c r="NEH72" s="4"/>
      <c r="NEI72" s="4"/>
      <c r="NEJ72" s="4"/>
      <c r="NEK72" s="4"/>
      <c r="NEL72" s="4"/>
      <c r="NEM72" s="4"/>
      <c r="NEN72" s="4"/>
      <c r="NEO72" s="4"/>
      <c r="NEP72" s="4"/>
      <c r="NEQ72" s="4"/>
      <c r="NER72" s="4"/>
      <c r="NES72" s="4"/>
      <c r="NET72" s="4"/>
      <c r="NEU72" s="4"/>
      <c r="NEV72" s="4"/>
      <c r="NEW72" s="4"/>
      <c r="NEX72" s="4"/>
      <c r="NEY72" s="4"/>
      <c r="NEZ72" s="4"/>
      <c r="NFA72" s="4"/>
      <c r="NFB72" s="4"/>
      <c r="NFC72" s="4"/>
      <c r="NFD72" s="4"/>
      <c r="NFE72" s="4"/>
      <c r="NFF72" s="4"/>
      <c r="NFG72" s="4"/>
      <c r="NFH72" s="4"/>
      <c r="NFI72" s="4"/>
      <c r="NFJ72" s="4"/>
      <c r="NFK72" s="4"/>
      <c r="NFL72" s="4"/>
      <c r="NFM72" s="4"/>
      <c r="NFN72" s="4"/>
      <c r="NFO72" s="4"/>
      <c r="NFP72" s="4"/>
      <c r="NFQ72" s="4"/>
      <c r="NFR72" s="4"/>
      <c r="NFS72" s="4"/>
      <c r="NFT72" s="4"/>
      <c r="NFU72" s="4"/>
      <c r="NFV72" s="4"/>
      <c r="NFW72" s="4"/>
      <c r="NFX72" s="4"/>
      <c r="NFY72" s="4"/>
      <c r="NFZ72" s="4"/>
      <c r="NGA72" s="4"/>
      <c r="NGB72" s="4"/>
      <c r="NGC72" s="4"/>
      <c r="NGD72" s="4"/>
      <c r="NGE72" s="4"/>
      <c r="NGF72" s="4"/>
      <c r="NGG72" s="4"/>
      <c r="NGH72" s="4"/>
      <c r="NGI72" s="4"/>
      <c r="NGJ72" s="4"/>
      <c r="NGK72" s="4"/>
      <c r="NGL72" s="4"/>
      <c r="NGM72" s="4"/>
      <c r="NGN72" s="4"/>
      <c r="NGO72" s="4"/>
      <c r="NGP72" s="4"/>
      <c r="NGQ72" s="4"/>
      <c r="NGR72" s="4"/>
      <c r="NGS72" s="4"/>
      <c r="NGT72" s="4"/>
      <c r="NGU72" s="4"/>
      <c r="NGV72" s="4"/>
      <c r="NGW72" s="4"/>
      <c r="NGX72" s="4"/>
      <c r="NGY72" s="4"/>
      <c r="NGZ72" s="4"/>
      <c r="NHA72" s="4"/>
      <c r="NHB72" s="4"/>
      <c r="NHC72" s="4"/>
      <c r="NHD72" s="4"/>
      <c r="NHE72" s="4"/>
      <c r="NHF72" s="4"/>
      <c r="NHG72" s="4"/>
      <c r="NHH72" s="4"/>
      <c r="NHI72" s="4"/>
      <c r="NHJ72" s="4"/>
      <c r="NHK72" s="4"/>
      <c r="NHL72" s="4"/>
      <c r="NHM72" s="4"/>
      <c r="NHN72" s="4"/>
      <c r="NHO72" s="4"/>
      <c r="NHP72" s="4"/>
      <c r="NHQ72" s="4"/>
      <c r="NHR72" s="4"/>
      <c r="NHS72" s="4"/>
      <c r="NHT72" s="4"/>
      <c r="NHU72" s="4"/>
      <c r="NHV72" s="4"/>
      <c r="NHW72" s="4"/>
      <c r="NHX72" s="4"/>
      <c r="NHY72" s="4"/>
      <c r="NHZ72" s="4"/>
      <c r="NIA72" s="4"/>
      <c r="NIB72" s="4"/>
      <c r="NIC72" s="4"/>
      <c r="NID72" s="4"/>
      <c r="NIE72" s="4"/>
      <c r="NIF72" s="4"/>
      <c r="NIG72" s="4"/>
      <c r="NIH72" s="4"/>
      <c r="NII72" s="4"/>
      <c r="NIJ72" s="4"/>
      <c r="NIK72" s="4"/>
      <c r="NIL72" s="4"/>
      <c r="NIM72" s="4"/>
      <c r="NIN72" s="4"/>
      <c r="NIO72" s="4"/>
      <c r="NIP72" s="4"/>
      <c r="NIQ72" s="4"/>
      <c r="NIR72" s="4"/>
      <c r="NIS72" s="4"/>
      <c r="NIT72" s="4"/>
      <c r="NIU72" s="4"/>
      <c r="NIV72" s="4"/>
      <c r="NIW72" s="4"/>
      <c r="NIX72" s="4"/>
      <c r="NIY72" s="4"/>
      <c r="NIZ72" s="4"/>
      <c r="NJA72" s="4"/>
      <c r="NJB72" s="4"/>
      <c r="NJC72" s="4"/>
      <c r="NJD72" s="4"/>
      <c r="NJE72" s="4"/>
      <c r="NJF72" s="4"/>
      <c r="NJG72" s="4"/>
      <c r="NJH72" s="4"/>
      <c r="NJI72" s="4"/>
      <c r="NJJ72" s="4"/>
      <c r="NJK72" s="4"/>
      <c r="NJL72" s="4"/>
      <c r="NJM72" s="4"/>
      <c r="NJN72" s="4"/>
      <c r="NJO72" s="4"/>
      <c r="NJP72" s="4"/>
      <c r="NJQ72" s="4"/>
      <c r="NJR72" s="4"/>
      <c r="NJS72" s="4"/>
      <c r="NJT72" s="4"/>
      <c r="NJU72" s="4"/>
      <c r="NJV72" s="4"/>
      <c r="NJW72" s="4"/>
      <c r="NJX72" s="4"/>
      <c r="NJY72" s="4"/>
      <c r="NJZ72" s="4"/>
      <c r="NKA72" s="4"/>
      <c r="NKB72" s="4"/>
      <c r="NKC72" s="4"/>
      <c r="NKD72" s="4"/>
      <c r="NKE72" s="4"/>
      <c r="NKF72" s="4"/>
      <c r="NKG72" s="4"/>
      <c r="NKH72" s="4"/>
      <c r="NKI72" s="4"/>
      <c r="NKJ72" s="4"/>
      <c r="NKK72" s="4"/>
      <c r="NKL72" s="4"/>
      <c r="NKM72" s="4"/>
      <c r="NKN72" s="4"/>
      <c r="NKO72" s="4"/>
      <c r="NKP72" s="4"/>
      <c r="NKQ72" s="4"/>
      <c r="NKR72" s="4"/>
      <c r="NKS72" s="4"/>
      <c r="NKT72" s="4"/>
      <c r="NKU72" s="4"/>
      <c r="NKV72" s="4"/>
      <c r="NKW72" s="4"/>
      <c r="NKX72" s="4"/>
      <c r="NKY72" s="4"/>
      <c r="NKZ72" s="4"/>
      <c r="NLA72" s="4"/>
      <c r="NLB72" s="4"/>
      <c r="NLC72" s="4"/>
      <c r="NLD72" s="4"/>
      <c r="NLE72" s="4"/>
      <c r="NLF72" s="4"/>
      <c r="NLG72" s="4"/>
      <c r="NLH72" s="4"/>
      <c r="NLI72" s="4"/>
      <c r="NLJ72" s="4"/>
      <c r="NLK72" s="4"/>
      <c r="NLL72" s="4"/>
      <c r="NLM72" s="4"/>
      <c r="NLN72" s="4"/>
      <c r="NLO72" s="4"/>
      <c r="NLP72" s="4"/>
      <c r="NLQ72" s="4"/>
      <c r="NLR72" s="4"/>
      <c r="NLS72" s="4"/>
      <c r="NLT72" s="4"/>
      <c r="NLU72" s="4"/>
      <c r="NLV72" s="4"/>
      <c r="NLW72" s="4"/>
      <c r="NLX72" s="4"/>
      <c r="NLY72" s="4"/>
      <c r="NLZ72" s="4"/>
      <c r="NMA72" s="4"/>
      <c r="NMB72" s="4"/>
      <c r="NMC72" s="4"/>
      <c r="NMD72" s="4"/>
      <c r="NME72" s="4"/>
      <c r="NMF72" s="4"/>
      <c r="NMG72" s="4"/>
      <c r="NMH72" s="4"/>
      <c r="NMI72" s="4"/>
      <c r="NMJ72" s="4"/>
      <c r="NMK72" s="4"/>
      <c r="NML72" s="4"/>
      <c r="NMM72" s="4"/>
      <c r="NMN72" s="4"/>
      <c r="NMO72" s="4"/>
      <c r="NMP72" s="4"/>
      <c r="NMQ72" s="4"/>
      <c r="NMR72" s="4"/>
      <c r="NMS72" s="4"/>
      <c r="NMT72" s="4"/>
      <c r="NMU72" s="4"/>
      <c r="NMV72" s="4"/>
      <c r="NMW72" s="4"/>
      <c r="NMX72" s="4"/>
      <c r="NMY72" s="4"/>
      <c r="NMZ72" s="4"/>
      <c r="NNA72" s="4"/>
      <c r="NNB72" s="4"/>
      <c r="NNC72" s="4"/>
      <c r="NND72" s="4"/>
      <c r="NNE72" s="4"/>
      <c r="NNF72" s="4"/>
      <c r="NNG72" s="4"/>
      <c r="NNH72" s="4"/>
      <c r="NNI72" s="4"/>
      <c r="NNJ72" s="4"/>
      <c r="NNK72" s="4"/>
      <c r="NNL72" s="4"/>
      <c r="NNM72" s="4"/>
      <c r="NNN72" s="4"/>
      <c r="NNO72" s="4"/>
      <c r="NNP72" s="4"/>
      <c r="NNQ72" s="4"/>
      <c r="NNR72" s="4"/>
      <c r="NNS72" s="4"/>
      <c r="NNT72" s="4"/>
      <c r="NNU72" s="4"/>
      <c r="NNV72" s="4"/>
      <c r="NNW72" s="4"/>
      <c r="NNX72" s="4"/>
      <c r="NNY72" s="4"/>
      <c r="NNZ72" s="4"/>
      <c r="NOA72" s="4"/>
      <c r="NOB72" s="4"/>
      <c r="NOC72" s="4"/>
      <c r="NOD72" s="4"/>
      <c r="NOE72" s="4"/>
      <c r="NOF72" s="4"/>
      <c r="NOG72" s="4"/>
      <c r="NOH72" s="4"/>
      <c r="NOI72" s="4"/>
      <c r="NOJ72" s="4"/>
      <c r="NOK72" s="4"/>
      <c r="NOL72" s="4"/>
      <c r="NOM72" s="4"/>
      <c r="NON72" s="4"/>
      <c r="NOO72" s="4"/>
      <c r="NOP72" s="4"/>
      <c r="NOQ72" s="4"/>
      <c r="NOR72" s="4"/>
      <c r="NOS72" s="4"/>
      <c r="NOT72" s="4"/>
      <c r="NOU72" s="4"/>
      <c r="NOV72" s="4"/>
      <c r="NOW72" s="4"/>
      <c r="NOX72" s="4"/>
      <c r="NOY72" s="4"/>
      <c r="NOZ72" s="4"/>
      <c r="NPA72" s="4"/>
      <c r="NPB72" s="4"/>
      <c r="NPC72" s="4"/>
      <c r="NPD72" s="4"/>
      <c r="NPE72" s="4"/>
      <c r="NPF72" s="4"/>
      <c r="NPG72" s="4"/>
      <c r="NPH72" s="4"/>
      <c r="NPI72" s="4"/>
      <c r="NPJ72" s="4"/>
      <c r="NPK72" s="4"/>
      <c r="NPL72" s="4"/>
      <c r="NPM72" s="4"/>
      <c r="NPN72" s="4"/>
      <c r="NPO72" s="4"/>
      <c r="NPP72" s="4"/>
      <c r="NPQ72" s="4"/>
      <c r="NPR72" s="4"/>
      <c r="NPS72" s="4"/>
      <c r="NPT72" s="4"/>
      <c r="NPU72" s="4"/>
      <c r="NPV72" s="4"/>
      <c r="NPW72" s="4"/>
      <c r="NPX72" s="4"/>
      <c r="NPY72" s="4"/>
      <c r="NPZ72" s="4"/>
      <c r="NQA72" s="4"/>
      <c r="NQB72" s="4"/>
      <c r="NQC72" s="4"/>
      <c r="NQD72" s="4"/>
      <c r="NQE72" s="4"/>
      <c r="NQF72" s="4"/>
      <c r="NQG72" s="4"/>
      <c r="NQH72" s="4"/>
      <c r="NQI72" s="4"/>
      <c r="NQJ72" s="4"/>
      <c r="NQK72" s="4"/>
      <c r="NQL72" s="4"/>
      <c r="NQM72" s="4"/>
      <c r="NQN72" s="4"/>
      <c r="NQO72" s="4"/>
      <c r="NQP72" s="4"/>
      <c r="NQQ72" s="4"/>
      <c r="NQR72" s="4"/>
      <c r="NQS72" s="4"/>
      <c r="NQT72" s="4"/>
      <c r="NQU72" s="4"/>
      <c r="NQV72" s="4"/>
      <c r="NQW72" s="4"/>
      <c r="NQX72" s="4"/>
      <c r="NQY72" s="4"/>
      <c r="NQZ72" s="4"/>
      <c r="NRA72" s="4"/>
      <c r="NRB72" s="4"/>
      <c r="NRC72" s="4"/>
      <c r="NRD72" s="4"/>
      <c r="NRE72" s="4"/>
      <c r="NRF72" s="4"/>
      <c r="NRG72" s="4"/>
      <c r="NRH72" s="4"/>
      <c r="NRI72" s="4"/>
      <c r="NRJ72" s="4"/>
      <c r="NRK72" s="4"/>
      <c r="NRL72" s="4"/>
      <c r="NRM72" s="4"/>
      <c r="NRN72" s="4"/>
      <c r="NRO72" s="4"/>
      <c r="NRP72" s="4"/>
      <c r="NRQ72" s="4"/>
      <c r="NRR72" s="4"/>
      <c r="NRS72" s="4"/>
      <c r="NRT72" s="4"/>
      <c r="NRU72" s="4"/>
      <c r="NRV72" s="4"/>
      <c r="NRW72" s="4"/>
      <c r="NRX72" s="4"/>
      <c r="NRY72" s="4"/>
      <c r="NRZ72" s="4"/>
      <c r="NSA72" s="4"/>
      <c r="NSB72" s="4"/>
      <c r="NSC72" s="4"/>
      <c r="NSD72" s="4"/>
      <c r="NSE72" s="4"/>
      <c r="NSF72" s="4"/>
      <c r="NSG72" s="4"/>
      <c r="NSH72" s="4"/>
      <c r="NSI72" s="4"/>
      <c r="NSJ72" s="4"/>
      <c r="NSK72" s="4"/>
      <c r="NSL72" s="4"/>
      <c r="NSM72" s="4"/>
      <c r="NSN72" s="4"/>
      <c r="NSO72" s="4"/>
      <c r="NSP72" s="4"/>
      <c r="NSQ72" s="4"/>
      <c r="NSR72" s="4"/>
      <c r="NSS72" s="4"/>
      <c r="NST72" s="4"/>
      <c r="NSU72" s="4"/>
      <c r="NSV72" s="4"/>
      <c r="NSW72" s="4"/>
      <c r="NSX72" s="4"/>
      <c r="NSY72" s="4"/>
      <c r="NSZ72" s="4"/>
      <c r="NTA72" s="4"/>
      <c r="NTB72" s="4"/>
      <c r="NTC72" s="4"/>
      <c r="NTD72" s="4"/>
      <c r="NTE72" s="4"/>
      <c r="NTF72" s="4"/>
      <c r="NTG72" s="4"/>
      <c r="NTH72" s="4"/>
      <c r="NTI72" s="4"/>
      <c r="NTJ72" s="4"/>
      <c r="NTK72" s="4"/>
      <c r="NTL72" s="4"/>
      <c r="NTM72" s="4"/>
      <c r="NTN72" s="4"/>
      <c r="NTO72" s="4"/>
      <c r="NTP72" s="4"/>
      <c r="NTQ72" s="4"/>
      <c r="NTR72" s="4"/>
      <c r="NTS72" s="4"/>
      <c r="NTT72" s="4"/>
      <c r="NTU72" s="4"/>
      <c r="NTV72" s="4"/>
      <c r="NTW72" s="4"/>
      <c r="NTX72" s="4"/>
      <c r="NTY72" s="4"/>
      <c r="NTZ72" s="4"/>
      <c r="NUA72" s="4"/>
      <c r="NUB72" s="4"/>
      <c r="NUC72" s="4"/>
      <c r="NUD72" s="4"/>
      <c r="NUE72" s="4"/>
      <c r="NUF72" s="4"/>
      <c r="NUG72" s="4"/>
      <c r="NUH72" s="4"/>
      <c r="NUI72" s="4"/>
      <c r="NUJ72" s="4"/>
      <c r="NUK72" s="4"/>
      <c r="NUL72" s="4"/>
      <c r="NUM72" s="4"/>
      <c r="NUN72" s="4"/>
      <c r="NUO72" s="4"/>
      <c r="NUP72" s="4"/>
      <c r="NUQ72" s="4"/>
      <c r="NUR72" s="4"/>
      <c r="NUS72" s="4"/>
      <c r="NUT72" s="4"/>
      <c r="NUU72" s="4"/>
      <c r="NUV72" s="4"/>
      <c r="NUW72" s="4"/>
      <c r="NUX72" s="4"/>
      <c r="NUY72" s="4"/>
      <c r="NUZ72" s="4"/>
      <c r="NVA72" s="4"/>
      <c r="NVB72" s="4"/>
      <c r="NVC72" s="4"/>
      <c r="NVD72" s="4"/>
      <c r="NVE72" s="4"/>
      <c r="NVF72" s="4"/>
      <c r="NVG72" s="4"/>
      <c r="NVH72" s="4"/>
      <c r="NVI72" s="4"/>
      <c r="NVJ72" s="4"/>
      <c r="NVK72" s="4"/>
      <c r="NVL72" s="4"/>
      <c r="NVM72" s="4"/>
      <c r="NVN72" s="4"/>
      <c r="NVO72" s="4"/>
      <c r="NVP72" s="4"/>
      <c r="NVQ72" s="4"/>
      <c r="NVR72" s="4"/>
      <c r="NVS72" s="4"/>
      <c r="NVT72" s="4"/>
      <c r="NVU72" s="4"/>
      <c r="NVV72" s="4"/>
      <c r="NVW72" s="4"/>
      <c r="NVX72" s="4"/>
      <c r="NVY72" s="4"/>
      <c r="NVZ72" s="4"/>
      <c r="NWA72" s="4"/>
      <c r="NWB72" s="4"/>
      <c r="NWC72" s="4"/>
      <c r="NWD72" s="4"/>
      <c r="NWE72" s="4"/>
      <c r="NWF72" s="4"/>
      <c r="NWG72" s="4"/>
      <c r="NWH72" s="4"/>
      <c r="NWI72" s="4"/>
      <c r="NWJ72" s="4"/>
      <c r="NWK72" s="4"/>
      <c r="NWL72" s="4"/>
      <c r="NWM72" s="4"/>
      <c r="NWN72" s="4"/>
      <c r="NWO72" s="4"/>
      <c r="NWP72" s="4"/>
      <c r="NWQ72" s="4"/>
      <c r="NWR72" s="4"/>
      <c r="NWS72" s="4"/>
      <c r="NWT72" s="4"/>
      <c r="NWU72" s="4"/>
      <c r="NWV72" s="4"/>
      <c r="NWW72" s="4"/>
      <c r="NWX72" s="4"/>
      <c r="NWY72" s="4"/>
      <c r="NWZ72" s="4"/>
      <c r="NXA72" s="4"/>
      <c r="NXB72" s="4"/>
      <c r="NXC72" s="4"/>
      <c r="NXD72" s="4"/>
      <c r="NXE72" s="4"/>
      <c r="NXF72" s="4"/>
      <c r="NXG72" s="4"/>
      <c r="NXH72" s="4"/>
      <c r="NXI72" s="4"/>
      <c r="NXJ72" s="4"/>
      <c r="NXK72" s="4"/>
      <c r="NXL72" s="4"/>
      <c r="NXM72" s="4"/>
      <c r="NXN72" s="4"/>
      <c r="NXO72" s="4"/>
      <c r="NXP72" s="4"/>
      <c r="NXQ72" s="4"/>
      <c r="NXR72" s="4"/>
      <c r="NXS72" s="4"/>
      <c r="NXT72" s="4"/>
      <c r="NXU72" s="4"/>
      <c r="NXV72" s="4"/>
      <c r="NXW72" s="4"/>
      <c r="NXX72" s="4"/>
      <c r="NXY72" s="4"/>
      <c r="NXZ72" s="4"/>
      <c r="NYA72" s="4"/>
      <c r="NYB72" s="4"/>
      <c r="NYC72" s="4"/>
      <c r="NYD72" s="4"/>
      <c r="NYE72" s="4"/>
      <c r="NYF72" s="4"/>
      <c r="NYG72" s="4"/>
      <c r="NYH72" s="4"/>
      <c r="NYI72" s="4"/>
      <c r="NYJ72" s="4"/>
      <c r="NYK72" s="4"/>
      <c r="NYL72" s="4"/>
      <c r="NYM72" s="4"/>
      <c r="NYN72" s="4"/>
      <c r="NYO72" s="4"/>
      <c r="NYP72" s="4"/>
      <c r="NYQ72" s="4"/>
      <c r="NYR72" s="4"/>
      <c r="NYS72" s="4"/>
      <c r="NYT72" s="4"/>
      <c r="NYU72" s="4"/>
      <c r="NYV72" s="4"/>
      <c r="NYW72" s="4"/>
      <c r="NYX72" s="4"/>
      <c r="NYY72" s="4"/>
      <c r="NYZ72" s="4"/>
      <c r="NZA72" s="4"/>
      <c r="NZB72" s="4"/>
      <c r="NZC72" s="4"/>
      <c r="NZD72" s="4"/>
      <c r="NZE72" s="4"/>
      <c r="NZF72" s="4"/>
      <c r="NZG72" s="4"/>
      <c r="NZH72" s="4"/>
      <c r="NZI72" s="4"/>
      <c r="NZJ72" s="4"/>
      <c r="NZK72" s="4"/>
      <c r="NZL72" s="4"/>
      <c r="NZM72" s="4"/>
      <c r="NZN72" s="4"/>
      <c r="NZO72" s="4"/>
      <c r="NZP72" s="4"/>
      <c r="NZQ72" s="4"/>
      <c r="NZR72" s="4"/>
      <c r="NZS72" s="4"/>
      <c r="NZT72" s="4"/>
      <c r="NZU72" s="4"/>
      <c r="NZV72" s="4"/>
      <c r="NZW72" s="4"/>
      <c r="NZX72" s="4"/>
      <c r="NZY72" s="4"/>
      <c r="NZZ72" s="4"/>
      <c r="OAA72" s="4"/>
      <c r="OAB72" s="4"/>
      <c r="OAC72" s="4"/>
      <c r="OAD72" s="4"/>
      <c r="OAE72" s="4"/>
      <c r="OAF72" s="4"/>
      <c r="OAG72" s="4"/>
      <c r="OAH72" s="4"/>
      <c r="OAI72" s="4"/>
      <c r="OAJ72" s="4"/>
      <c r="OAK72" s="4"/>
      <c r="OAL72" s="4"/>
      <c r="OAM72" s="4"/>
      <c r="OAN72" s="4"/>
      <c r="OAO72" s="4"/>
      <c r="OAP72" s="4"/>
      <c r="OAQ72" s="4"/>
      <c r="OAR72" s="4"/>
      <c r="OAS72" s="4"/>
      <c r="OAT72" s="4"/>
      <c r="OAU72" s="4"/>
      <c r="OAV72" s="4"/>
      <c r="OAW72" s="4"/>
      <c r="OAX72" s="4"/>
      <c r="OAY72" s="4"/>
      <c r="OAZ72" s="4"/>
      <c r="OBA72" s="4"/>
      <c r="OBB72" s="4"/>
      <c r="OBC72" s="4"/>
      <c r="OBD72" s="4"/>
      <c r="OBE72" s="4"/>
      <c r="OBF72" s="4"/>
      <c r="OBG72" s="4"/>
      <c r="OBH72" s="4"/>
      <c r="OBI72" s="4"/>
      <c r="OBJ72" s="4"/>
      <c r="OBK72" s="4"/>
      <c r="OBL72" s="4"/>
      <c r="OBM72" s="4"/>
      <c r="OBN72" s="4"/>
      <c r="OBO72" s="4"/>
      <c r="OBP72" s="4"/>
      <c r="OBQ72" s="4"/>
      <c r="OBR72" s="4"/>
      <c r="OBS72" s="4"/>
      <c r="OBT72" s="4"/>
      <c r="OBU72" s="4"/>
      <c r="OBV72" s="4"/>
      <c r="OBW72" s="4"/>
      <c r="OBX72" s="4"/>
      <c r="OBY72" s="4"/>
      <c r="OBZ72" s="4"/>
      <c r="OCA72" s="4"/>
      <c r="OCB72" s="4"/>
      <c r="OCC72" s="4"/>
      <c r="OCD72" s="4"/>
      <c r="OCE72" s="4"/>
      <c r="OCF72" s="4"/>
      <c r="OCG72" s="4"/>
      <c r="OCH72" s="4"/>
      <c r="OCI72" s="4"/>
      <c r="OCJ72" s="4"/>
      <c r="OCK72" s="4"/>
      <c r="OCL72" s="4"/>
      <c r="OCM72" s="4"/>
      <c r="OCN72" s="4"/>
      <c r="OCO72" s="4"/>
      <c r="OCP72" s="4"/>
      <c r="OCQ72" s="4"/>
      <c r="OCR72" s="4"/>
      <c r="OCS72" s="4"/>
      <c r="OCT72" s="4"/>
      <c r="OCU72" s="4"/>
      <c r="OCV72" s="4"/>
      <c r="OCW72" s="4"/>
      <c r="OCX72" s="4"/>
      <c r="OCY72" s="4"/>
      <c r="OCZ72" s="4"/>
      <c r="ODA72" s="4"/>
      <c r="ODB72" s="4"/>
      <c r="ODC72" s="4"/>
      <c r="ODD72" s="4"/>
      <c r="ODE72" s="4"/>
      <c r="ODF72" s="4"/>
      <c r="ODG72" s="4"/>
      <c r="ODH72" s="4"/>
      <c r="ODI72" s="4"/>
      <c r="ODJ72" s="4"/>
      <c r="ODK72" s="4"/>
      <c r="ODL72" s="4"/>
      <c r="ODM72" s="4"/>
      <c r="ODN72" s="4"/>
      <c r="ODO72" s="4"/>
      <c r="ODP72" s="4"/>
      <c r="ODQ72" s="4"/>
      <c r="ODR72" s="4"/>
      <c r="ODS72" s="4"/>
      <c r="ODT72" s="4"/>
      <c r="ODU72" s="4"/>
      <c r="ODV72" s="4"/>
      <c r="ODW72" s="4"/>
      <c r="ODX72" s="4"/>
      <c r="ODY72" s="4"/>
      <c r="ODZ72" s="4"/>
      <c r="OEA72" s="4"/>
      <c r="OEB72" s="4"/>
      <c r="OEC72" s="4"/>
      <c r="OED72" s="4"/>
      <c r="OEE72" s="4"/>
      <c r="OEF72" s="4"/>
      <c r="OEG72" s="4"/>
      <c r="OEH72" s="4"/>
      <c r="OEI72" s="4"/>
      <c r="OEJ72" s="4"/>
      <c r="OEK72" s="4"/>
      <c r="OEL72" s="4"/>
      <c r="OEM72" s="4"/>
      <c r="OEN72" s="4"/>
      <c r="OEO72" s="4"/>
      <c r="OEP72" s="4"/>
      <c r="OEQ72" s="4"/>
      <c r="OER72" s="4"/>
      <c r="OES72" s="4"/>
      <c r="OET72" s="4"/>
      <c r="OEU72" s="4"/>
      <c r="OEV72" s="4"/>
      <c r="OEW72" s="4"/>
      <c r="OEX72" s="4"/>
      <c r="OEY72" s="4"/>
      <c r="OEZ72" s="4"/>
      <c r="OFA72" s="4"/>
      <c r="OFB72" s="4"/>
      <c r="OFC72" s="4"/>
      <c r="OFD72" s="4"/>
      <c r="OFE72" s="4"/>
      <c r="OFF72" s="4"/>
      <c r="OFG72" s="4"/>
      <c r="OFH72" s="4"/>
      <c r="OFI72" s="4"/>
      <c r="OFJ72" s="4"/>
      <c r="OFK72" s="4"/>
      <c r="OFL72" s="4"/>
      <c r="OFM72" s="4"/>
      <c r="OFN72" s="4"/>
      <c r="OFO72" s="4"/>
      <c r="OFP72" s="4"/>
      <c r="OFQ72" s="4"/>
      <c r="OFR72" s="4"/>
      <c r="OFS72" s="4"/>
      <c r="OFT72" s="4"/>
      <c r="OFU72" s="4"/>
      <c r="OFV72" s="4"/>
      <c r="OFW72" s="4"/>
      <c r="OFX72" s="4"/>
      <c r="OFY72" s="4"/>
      <c r="OFZ72" s="4"/>
      <c r="OGA72" s="4"/>
      <c r="OGB72" s="4"/>
      <c r="OGC72" s="4"/>
      <c r="OGD72" s="4"/>
      <c r="OGE72" s="4"/>
      <c r="OGF72" s="4"/>
      <c r="OGG72" s="4"/>
      <c r="OGH72" s="4"/>
      <c r="OGI72" s="4"/>
      <c r="OGJ72" s="4"/>
      <c r="OGK72" s="4"/>
      <c r="OGL72" s="4"/>
      <c r="OGM72" s="4"/>
      <c r="OGN72" s="4"/>
      <c r="OGO72" s="4"/>
      <c r="OGP72" s="4"/>
      <c r="OGQ72" s="4"/>
      <c r="OGR72" s="4"/>
      <c r="OGS72" s="4"/>
      <c r="OGT72" s="4"/>
      <c r="OGU72" s="4"/>
      <c r="OGV72" s="4"/>
      <c r="OGW72" s="4"/>
      <c r="OGX72" s="4"/>
      <c r="OGY72" s="4"/>
      <c r="OGZ72" s="4"/>
      <c r="OHA72" s="4"/>
      <c r="OHB72" s="4"/>
      <c r="OHC72" s="4"/>
      <c r="OHD72" s="4"/>
      <c r="OHE72" s="4"/>
      <c r="OHF72" s="4"/>
      <c r="OHG72" s="4"/>
      <c r="OHH72" s="4"/>
      <c r="OHI72" s="4"/>
      <c r="OHJ72" s="4"/>
      <c r="OHK72" s="4"/>
      <c r="OHL72" s="4"/>
      <c r="OHM72" s="4"/>
      <c r="OHN72" s="4"/>
      <c r="OHO72" s="4"/>
      <c r="OHP72" s="4"/>
      <c r="OHQ72" s="4"/>
      <c r="OHR72" s="4"/>
      <c r="OHS72" s="4"/>
      <c r="OHT72" s="4"/>
      <c r="OHU72" s="4"/>
      <c r="OHV72" s="4"/>
      <c r="OHW72" s="4"/>
      <c r="OHX72" s="4"/>
      <c r="OHY72" s="4"/>
      <c r="OHZ72" s="4"/>
      <c r="OIA72" s="4"/>
      <c r="OIB72" s="4"/>
      <c r="OIC72" s="4"/>
      <c r="OID72" s="4"/>
      <c r="OIE72" s="4"/>
      <c r="OIF72" s="4"/>
      <c r="OIG72" s="4"/>
      <c r="OIH72" s="4"/>
      <c r="OII72" s="4"/>
      <c r="OIJ72" s="4"/>
      <c r="OIK72" s="4"/>
      <c r="OIL72" s="4"/>
      <c r="OIM72" s="4"/>
      <c r="OIN72" s="4"/>
      <c r="OIO72" s="4"/>
      <c r="OIP72" s="4"/>
      <c r="OIQ72" s="4"/>
      <c r="OIR72" s="4"/>
      <c r="OIS72" s="4"/>
      <c r="OIT72" s="4"/>
      <c r="OIU72" s="4"/>
      <c r="OIV72" s="4"/>
      <c r="OIW72" s="4"/>
      <c r="OIX72" s="4"/>
      <c r="OIY72" s="4"/>
      <c r="OIZ72" s="4"/>
      <c r="OJA72" s="4"/>
      <c r="OJB72" s="4"/>
      <c r="OJC72" s="4"/>
      <c r="OJD72" s="4"/>
      <c r="OJE72" s="4"/>
      <c r="OJF72" s="4"/>
      <c r="OJG72" s="4"/>
      <c r="OJH72" s="4"/>
      <c r="OJI72" s="4"/>
      <c r="OJJ72" s="4"/>
      <c r="OJK72" s="4"/>
      <c r="OJL72" s="4"/>
      <c r="OJM72" s="4"/>
      <c r="OJN72" s="4"/>
      <c r="OJO72" s="4"/>
      <c r="OJP72" s="4"/>
      <c r="OJQ72" s="4"/>
      <c r="OJR72" s="4"/>
      <c r="OJS72" s="4"/>
      <c r="OJT72" s="4"/>
      <c r="OJU72" s="4"/>
      <c r="OJV72" s="4"/>
      <c r="OJW72" s="4"/>
      <c r="OJX72" s="4"/>
      <c r="OJY72" s="4"/>
      <c r="OJZ72" s="4"/>
      <c r="OKA72" s="4"/>
      <c r="OKB72" s="4"/>
      <c r="OKC72" s="4"/>
      <c r="OKD72" s="4"/>
      <c r="OKE72" s="4"/>
      <c r="OKF72" s="4"/>
      <c r="OKG72" s="4"/>
      <c r="OKH72" s="4"/>
      <c r="OKI72" s="4"/>
      <c r="OKJ72" s="4"/>
      <c r="OKK72" s="4"/>
      <c r="OKL72" s="4"/>
      <c r="OKM72" s="4"/>
      <c r="OKN72" s="4"/>
      <c r="OKO72" s="4"/>
      <c r="OKP72" s="4"/>
      <c r="OKQ72" s="4"/>
      <c r="OKR72" s="4"/>
      <c r="OKS72" s="4"/>
      <c r="OKT72" s="4"/>
      <c r="OKU72" s="4"/>
      <c r="OKV72" s="4"/>
      <c r="OKW72" s="4"/>
      <c r="OKX72" s="4"/>
      <c r="OKY72" s="4"/>
      <c r="OKZ72" s="4"/>
      <c r="OLA72" s="4"/>
      <c r="OLB72" s="4"/>
      <c r="OLC72" s="4"/>
      <c r="OLD72" s="4"/>
      <c r="OLE72" s="4"/>
      <c r="OLF72" s="4"/>
      <c r="OLG72" s="4"/>
      <c r="OLH72" s="4"/>
      <c r="OLI72" s="4"/>
      <c r="OLJ72" s="4"/>
      <c r="OLK72" s="4"/>
      <c r="OLL72" s="4"/>
      <c r="OLM72" s="4"/>
      <c r="OLN72" s="4"/>
      <c r="OLO72" s="4"/>
      <c r="OLP72" s="4"/>
      <c r="OLQ72" s="4"/>
      <c r="OLR72" s="4"/>
      <c r="OLS72" s="4"/>
      <c r="OLT72" s="4"/>
      <c r="OLU72" s="4"/>
      <c r="OLV72" s="4"/>
      <c r="OLW72" s="4"/>
      <c r="OLX72" s="4"/>
      <c r="OLY72" s="4"/>
      <c r="OLZ72" s="4"/>
      <c r="OMA72" s="4"/>
      <c r="OMB72" s="4"/>
      <c r="OMC72" s="4"/>
      <c r="OMD72" s="4"/>
      <c r="OME72" s="4"/>
      <c r="OMF72" s="4"/>
      <c r="OMG72" s="4"/>
      <c r="OMH72" s="4"/>
      <c r="OMI72" s="4"/>
      <c r="OMJ72" s="4"/>
      <c r="OMK72" s="4"/>
      <c r="OML72" s="4"/>
      <c r="OMM72" s="4"/>
      <c r="OMN72" s="4"/>
      <c r="OMO72" s="4"/>
      <c r="OMP72" s="4"/>
      <c r="OMQ72" s="4"/>
      <c r="OMR72" s="4"/>
      <c r="OMS72" s="4"/>
      <c r="OMT72" s="4"/>
      <c r="OMU72" s="4"/>
      <c r="OMV72" s="4"/>
      <c r="OMW72" s="4"/>
      <c r="OMX72" s="4"/>
      <c r="OMY72" s="4"/>
      <c r="OMZ72" s="4"/>
      <c r="ONA72" s="4"/>
      <c r="ONB72" s="4"/>
      <c r="ONC72" s="4"/>
      <c r="OND72" s="4"/>
      <c r="ONE72" s="4"/>
      <c r="ONF72" s="4"/>
      <c r="ONG72" s="4"/>
      <c r="ONH72" s="4"/>
      <c r="ONI72" s="4"/>
      <c r="ONJ72" s="4"/>
      <c r="ONK72" s="4"/>
      <c r="ONL72" s="4"/>
      <c r="ONM72" s="4"/>
      <c r="ONN72" s="4"/>
      <c r="ONO72" s="4"/>
      <c r="ONP72" s="4"/>
      <c r="ONQ72" s="4"/>
      <c r="ONR72" s="4"/>
      <c r="ONS72" s="4"/>
      <c r="ONT72" s="4"/>
      <c r="ONU72" s="4"/>
      <c r="ONV72" s="4"/>
      <c r="ONW72" s="4"/>
      <c r="ONX72" s="4"/>
      <c r="ONY72" s="4"/>
      <c r="ONZ72" s="4"/>
      <c r="OOA72" s="4"/>
      <c r="OOB72" s="4"/>
      <c r="OOC72" s="4"/>
      <c r="OOD72" s="4"/>
      <c r="OOE72" s="4"/>
      <c r="OOF72" s="4"/>
      <c r="OOG72" s="4"/>
      <c r="OOH72" s="4"/>
      <c r="OOI72" s="4"/>
      <c r="OOJ72" s="4"/>
      <c r="OOK72" s="4"/>
      <c r="OOL72" s="4"/>
      <c r="OOM72" s="4"/>
      <c r="OON72" s="4"/>
      <c r="OOO72" s="4"/>
      <c r="OOP72" s="4"/>
      <c r="OOQ72" s="4"/>
      <c r="OOR72" s="4"/>
      <c r="OOS72" s="4"/>
      <c r="OOT72" s="4"/>
      <c r="OOU72" s="4"/>
      <c r="OOV72" s="4"/>
      <c r="OOW72" s="4"/>
      <c r="OOX72" s="4"/>
      <c r="OOY72" s="4"/>
      <c r="OOZ72" s="4"/>
      <c r="OPA72" s="4"/>
      <c r="OPB72" s="4"/>
      <c r="OPC72" s="4"/>
      <c r="OPD72" s="4"/>
      <c r="OPE72" s="4"/>
      <c r="OPF72" s="4"/>
      <c r="OPG72" s="4"/>
      <c r="OPH72" s="4"/>
      <c r="OPI72" s="4"/>
      <c r="OPJ72" s="4"/>
      <c r="OPK72" s="4"/>
      <c r="OPL72" s="4"/>
      <c r="OPM72" s="4"/>
      <c r="OPN72" s="4"/>
      <c r="OPO72" s="4"/>
      <c r="OPP72" s="4"/>
      <c r="OPQ72" s="4"/>
      <c r="OPR72" s="4"/>
      <c r="OPS72" s="4"/>
      <c r="OPT72" s="4"/>
      <c r="OPU72" s="4"/>
      <c r="OPV72" s="4"/>
      <c r="OPW72" s="4"/>
      <c r="OPX72" s="4"/>
      <c r="OPY72" s="4"/>
      <c r="OPZ72" s="4"/>
      <c r="OQA72" s="4"/>
      <c r="OQB72" s="4"/>
      <c r="OQC72" s="4"/>
      <c r="OQD72" s="4"/>
      <c r="OQE72" s="4"/>
      <c r="OQF72" s="4"/>
      <c r="OQG72" s="4"/>
      <c r="OQH72" s="4"/>
      <c r="OQI72" s="4"/>
      <c r="OQJ72" s="4"/>
      <c r="OQK72" s="4"/>
      <c r="OQL72" s="4"/>
      <c r="OQM72" s="4"/>
      <c r="OQN72" s="4"/>
      <c r="OQO72" s="4"/>
      <c r="OQP72" s="4"/>
      <c r="OQQ72" s="4"/>
      <c r="OQR72" s="4"/>
      <c r="OQS72" s="4"/>
      <c r="OQT72" s="4"/>
      <c r="OQU72" s="4"/>
      <c r="OQV72" s="4"/>
      <c r="OQW72" s="4"/>
      <c r="OQX72" s="4"/>
      <c r="OQY72" s="4"/>
      <c r="OQZ72" s="4"/>
      <c r="ORA72" s="4"/>
      <c r="ORB72" s="4"/>
      <c r="ORC72" s="4"/>
      <c r="ORD72" s="4"/>
      <c r="ORE72" s="4"/>
      <c r="ORF72" s="4"/>
      <c r="ORG72" s="4"/>
      <c r="ORH72" s="4"/>
      <c r="ORI72" s="4"/>
      <c r="ORJ72" s="4"/>
      <c r="ORK72" s="4"/>
      <c r="ORL72" s="4"/>
      <c r="ORM72" s="4"/>
      <c r="ORN72" s="4"/>
      <c r="ORO72" s="4"/>
      <c r="ORP72" s="4"/>
      <c r="ORQ72" s="4"/>
      <c r="ORR72" s="4"/>
      <c r="ORS72" s="4"/>
      <c r="ORT72" s="4"/>
      <c r="ORU72" s="4"/>
      <c r="ORV72" s="4"/>
      <c r="ORW72" s="4"/>
      <c r="ORX72" s="4"/>
      <c r="ORY72" s="4"/>
      <c r="ORZ72" s="4"/>
      <c r="OSA72" s="4"/>
      <c r="OSB72" s="4"/>
      <c r="OSC72" s="4"/>
      <c r="OSD72" s="4"/>
      <c r="OSE72" s="4"/>
      <c r="OSF72" s="4"/>
      <c r="OSG72" s="4"/>
      <c r="OSH72" s="4"/>
      <c r="OSI72" s="4"/>
      <c r="OSJ72" s="4"/>
      <c r="OSK72" s="4"/>
      <c r="OSL72" s="4"/>
      <c r="OSM72" s="4"/>
      <c r="OSN72" s="4"/>
      <c r="OSO72" s="4"/>
      <c r="OSP72" s="4"/>
      <c r="OSQ72" s="4"/>
      <c r="OSR72" s="4"/>
      <c r="OSS72" s="4"/>
      <c r="OST72" s="4"/>
      <c r="OSU72" s="4"/>
      <c r="OSV72" s="4"/>
      <c r="OSW72" s="4"/>
      <c r="OSX72" s="4"/>
      <c r="OSY72" s="4"/>
      <c r="OSZ72" s="4"/>
      <c r="OTA72" s="4"/>
      <c r="OTB72" s="4"/>
      <c r="OTC72" s="4"/>
      <c r="OTD72" s="4"/>
      <c r="OTE72" s="4"/>
      <c r="OTF72" s="4"/>
      <c r="OTG72" s="4"/>
      <c r="OTH72" s="4"/>
      <c r="OTI72" s="4"/>
      <c r="OTJ72" s="4"/>
      <c r="OTK72" s="4"/>
      <c r="OTL72" s="4"/>
      <c r="OTM72" s="4"/>
      <c r="OTN72" s="4"/>
      <c r="OTO72" s="4"/>
      <c r="OTP72" s="4"/>
      <c r="OTQ72" s="4"/>
      <c r="OTR72" s="4"/>
      <c r="OTS72" s="4"/>
      <c r="OTT72" s="4"/>
      <c r="OTU72" s="4"/>
      <c r="OTV72" s="4"/>
      <c r="OTW72" s="4"/>
      <c r="OTX72" s="4"/>
      <c r="OTY72" s="4"/>
      <c r="OTZ72" s="4"/>
      <c r="OUA72" s="4"/>
      <c r="OUB72" s="4"/>
      <c r="OUC72" s="4"/>
      <c r="OUD72" s="4"/>
      <c r="OUE72" s="4"/>
      <c r="OUF72" s="4"/>
      <c r="OUG72" s="4"/>
      <c r="OUH72" s="4"/>
      <c r="OUI72" s="4"/>
      <c r="OUJ72" s="4"/>
      <c r="OUK72" s="4"/>
      <c r="OUL72" s="4"/>
      <c r="OUM72" s="4"/>
      <c r="OUN72" s="4"/>
      <c r="OUO72" s="4"/>
      <c r="OUP72" s="4"/>
      <c r="OUQ72" s="4"/>
      <c r="OUR72" s="4"/>
      <c r="OUS72" s="4"/>
      <c r="OUT72" s="4"/>
      <c r="OUU72" s="4"/>
      <c r="OUV72" s="4"/>
      <c r="OUW72" s="4"/>
      <c r="OUX72" s="4"/>
      <c r="OUY72" s="4"/>
      <c r="OUZ72" s="4"/>
      <c r="OVA72" s="4"/>
      <c r="OVB72" s="4"/>
      <c r="OVC72" s="4"/>
      <c r="OVD72" s="4"/>
      <c r="OVE72" s="4"/>
      <c r="OVF72" s="4"/>
      <c r="OVG72" s="4"/>
      <c r="OVH72" s="4"/>
      <c r="OVI72" s="4"/>
      <c r="OVJ72" s="4"/>
      <c r="OVK72" s="4"/>
      <c r="OVL72" s="4"/>
      <c r="OVM72" s="4"/>
      <c r="OVN72" s="4"/>
      <c r="OVO72" s="4"/>
      <c r="OVP72" s="4"/>
      <c r="OVQ72" s="4"/>
      <c r="OVR72" s="4"/>
      <c r="OVS72" s="4"/>
      <c r="OVT72" s="4"/>
      <c r="OVU72" s="4"/>
      <c r="OVV72" s="4"/>
      <c r="OVW72" s="4"/>
      <c r="OVX72" s="4"/>
      <c r="OVY72" s="4"/>
      <c r="OVZ72" s="4"/>
      <c r="OWA72" s="4"/>
      <c r="OWB72" s="4"/>
      <c r="OWC72" s="4"/>
      <c r="OWD72" s="4"/>
      <c r="OWE72" s="4"/>
      <c r="OWF72" s="4"/>
      <c r="OWG72" s="4"/>
      <c r="OWH72" s="4"/>
      <c r="OWI72" s="4"/>
      <c r="OWJ72" s="4"/>
      <c r="OWK72" s="4"/>
      <c r="OWL72" s="4"/>
      <c r="OWM72" s="4"/>
      <c r="OWN72" s="4"/>
      <c r="OWO72" s="4"/>
      <c r="OWP72" s="4"/>
      <c r="OWQ72" s="4"/>
      <c r="OWR72" s="4"/>
      <c r="OWS72" s="4"/>
      <c r="OWT72" s="4"/>
      <c r="OWU72" s="4"/>
      <c r="OWV72" s="4"/>
      <c r="OWW72" s="4"/>
      <c r="OWX72" s="4"/>
      <c r="OWY72" s="4"/>
      <c r="OWZ72" s="4"/>
      <c r="OXA72" s="4"/>
      <c r="OXB72" s="4"/>
      <c r="OXC72" s="4"/>
      <c r="OXD72" s="4"/>
      <c r="OXE72" s="4"/>
      <c r="OXF72" s="4"/>
      <c r="OXG72" s="4"/>
      <c r="OXH72" s="4"/>
      <c r="OXI72" s="4"/>
      <c r="OXJ72" s="4"/>
      <c r="OXK72" s="4"/>
      <c r="OXL72" s="4"/>
      <c r="OXM72" s="4"/>
      <c r="OXN72" s="4"/>
      <c r="OXO72" s="4"/>
      <c r="OXP72" s="4"/>
      <c r="OXQ72" s="4"/>
      <c r="OXR72" s="4"/>
      <c r="OXS72" s="4"/>
      <c r="OXT72" s="4"/>
      <c r="OXU72" s="4"/>
      <c r="OXV72" s="4"/>
      <c r="OXW72" s="4"/>
      <c r="OXX72" s="4"/>
      <c r="OXY72" s="4"/>
      <c r="OXZ72" s="4"/>
      <c r="OYA72" s="4"/>
      <c r="OYB72" s="4"/>
      <c r="OYC72" s="4"/>
      <c r="OYD72" s="4"/>
      <c r="OYE72" s="4"/>
      <c r="OYF72" s="4"/>
      <c r="OYG72" s="4"/>
      <c r="OYH72" s="4"/>
      <c r="OYI72" s="4"/>
      <c r="OYJ72" s="4"/>
      <c r="OYK72" s="4"/>
      <c r="OYL72" s="4"/>
      <c r="OYM72" s="4"/>
      <c r="OYN72" s="4"/>
      <c r="OYO72" s="4"/>
      <c r="OYP72" s="4"/>
      <c r="OYQ72" s="4"/>
      <c r="OYR72" s="4"/>
      <c r="OYS72" s="4"/>
      <c r="OYT72" s="4"/>
      <c r="OYU72" s="4"/>
      <c r="OYV72" s="4"/>
      <c r="OYW72" s="4"/>
      <c r="OYX72" s="4"/>
      <c r="OYY72" s="4"/>
      <c r="OYZ72" s="4"/>
      <c r="OZA72" s="4"/>
      <c r="OZB72" s="4"/>
      <c r="OZC72" s="4"/>
      <c r="OZD72" s="4"/>
      <c r="OZE72" s="4"/>
      <c r="OZF72" s="4"/>
      <c r="OZG72" s="4"/>
      <c r="OZH72" s="4"/>
      <c r="OZI72" s="4"/>
      <c r="OZJ72" s="4"/>
      <c r="OZK72" s="4"/>
      <c r="OZL72" s="4"/>
      <c r="OZM72" s="4"/>
      <c r="OZN72" s="4"/>
      <c r="OZO72" s="4"/>
      <c r="OZP72" s="4"/>
      <c r="OZQ72" s="4"/>
      <c r="OZR72" s="4"/>
      <c r="OZS72" s="4"/>
      <c r="OZT72" s="4"/>
      <c r="OZU72" s="4"/>
      <c r="OZV72" s="4"/>
      <c r="OZW72" s="4"/>
      <c r="OZX72" s="4"/>
      <c r="OZY72" s="4"/>
      <c r="OZZ72" s="4"/>
      <c r="PAA72" s="4"/>
      <c r="PAB72" s="4"/>
      <c r="PAC72" s="4"/>
      <c r="PAD72" s="4"/>
      <c r="PAE72" s="4"/>
      <c r="PAF72" s="4"/>
      <c r="PAG72" s="4"/>
      <c r="PAH72" s="4"/>
      <c r="PAI72" s="4"/>
      <c r="PAJ72" s="4"/>
      <c r="PAK72" s="4"/>
      <c r="PAL72" s="4"/>
      <c r="PAM72" s="4"/>
      <c r="PAN72" s="4"/>
      <c r="PAO72" s="4"/>
      <c r="PAP72" s="4"/>
      <c r="PAQ72" s="4"/>
      <c r="PAR72" s="4"/>
      <c r="PAS72" s="4"/>
      <c r="PAT72" s="4"/>
      <c r="PAU72" s="4"/>
      <c r="PAV72" s="4"/>
      <c r="PAW72" s="4"/>
      <c r="PAX72" s="4"/>
      <c r="PAY72" s="4"/>
      <c r="PAZ72" s="4"/>
      <c r="PBA72" s="4"/>
      <c r="PBB72" s="4"/>
      <c r="PBC72" s="4"/>
      <c r="PBD72" s="4"/>
      <c r="PBE72" s="4"/>
      <c r="PBF72" s="4"/>
      <c r="PBG72" s="4"/>
      <c r="PBH72" s="4"/>
      <c r="PBI72" s="4"/>
      <c r="PBJ72" s="4"/>
      <c r="PBK72" s="4"/>
      <c r="PBL72" s="4"/>
      <c r="PBM72" s="4"/>
      <c r="PBN72" s="4"/>
      <c r="PBO72" s="4"/>
      <c r="PBP72" s="4"/>
      <c r="PBQ72" s="4"/>
      <c r="PBR72" s="4"/>
      <c r="PBS72" s="4"/>
      <c r="PBT72" s="4"/>
      <c r="PBU72" s="4"/>
      <c r="PBV72" s="4"/>
      <c r="PBW72" s="4"/>
      <c r="PBX72" s="4"/>
      <c r="PBY72" s="4"/>
      <c r="PBZ72" s="4"/>
      <c r="PCA72" s="4"/>
      <c r="PCB72" s="4"/>
      <c r="PCC72" s="4"/>
      <c r="PCD72" s="4"/>
      <c r="PCE72" s="4"/>
      <c r="PCF72" s="4"/>
      <c r="PCG72" s="4"/>
      <c r="PCH72" s="4"/>
      <c r="PCI72" s="4"/>
      <c r="PCJ72" s="4"/>
      <c r="PCK72" s="4"/>
      <c r="PCL72" s="4"/>
      <c r="PCM72" s="4"/>
      <c r="PCN72" s="4"/>
      <c r="PCO72" s="4"/>
      <c r="PCP72" s="4"/>
      <c r="PCQ72" s="4"/>
      <c r="PCR72" s="4"/>
      <c r="PCS72" s="4"/>
      <c r="PCT72" s="4"/>
      <c r="PCU72" s="4"/>
      <c r="PCV72" s="4"/>
      <c r="PCW72" s="4"/>
      <c r="PCX72" s="4"/>
      <c r="PCY72" s="4"/>
      <c r="PCZ72" s="4"/>
      <c r="PDA72" s="4"/>
      <c r="PDB72" s="4"/>
      <c r="PDC72" s="4"/>
      <c r="PDD72" s="4"/>
      <c r="PDE72" s="4"/>
      <c r="PDF72" s="4"/>
      <c r="PDG72" s="4"/>
      <c r="PDH72" s="4"/>
      <c r="PDI72" s="4"/>
      <c r="PDJ72" s="4"/>
      <c r="PDK72" s="4"/>
      <c r="PDL72" s="4"/>
      <c r="PDM72" s="4"/>
      <c r="PDN72" s="4"/>
      <c r="PDO72" s="4"/>
      <c r="PDP72" s="4"/>
      <c r="PDQ72" s="4"/>
      <c r="PDR72" s="4"/>
      <c r="PDS72" s="4"/>
      <c r="PDT72" s="4"/>
      <c r="PDU72" s="4"/>
      <c r="PDV72" s="4"/>
      <c r="PDW72" s="4"/>
      <c r="PDX72" s="4"/>
      <c r="PDY72" s="4"/>
      <c r="PDZ72" s="4"/>
      <c r="PEA72" s="4"/>
      <c r="PEB72" s="4"/>
      <c r="PEC72" s="4"/>
      <c r="PED72" s="4"/>
      <c r="PEE72" s="4"/>
      <c r="PEF72" s="4"/>
      <c r="PEG72" s="4"/>
      <c r="PEH72" s="4"/>
      <c r="PEI72" s="4"/>
      <c r="PEJ72" s="4"/>
      <c r="PEK72" s="4"/>
      <c r="PEL72" s="4"/>
      <c r="PEM72" s="4"/>
      <c r="PEN72" s="4"/>
      <c r="PEO72" s="4"/>
      <c r="PEP72" s="4"/>
      <c r="PEQ72" s="4"/>
      <c r="PER72" s="4"/>
      <c r="PES72" s="4"/>
      <c r="PET72" s="4"/>
      <c r="PEU72" s="4"/>
      <c r="PEV72" s="4"/>
      <c r="PEW72" s="4"/>
      <c r="PEX72" s="4"/>
      <c r="PEY72" s="4"/>
      <c r="PEZ72" s="4"/>
      <c r="PFA72" s="4"/>
      <c r="PFB72" s="4"/>
      <c r="PFC72" s="4"/>
      <c r="PFD72" s="4"/>
      <c r="PFE72" s="4"/>
      <c r="PFF72" s="4"/>
      <c r="PFG72" s="4"/>
      <c r="PFH72" s="4"/>
      <c r="PFI72" s="4"/>
      <c r="PFJ72" s="4"/>
      <c r="PFK72" s="4"/>
      <c r="PFL72" s="4"/>
      <c r="PFM72" s="4"/>
      <c r="PFN72" s="4"/>
      <c r="PFO72" s="4"/>
      <c r="PFP72" s="4"/>
      <c r="PFQ72" s="4"/>
      <c r="PFR72" s="4"/>
      <c r="PFS72" s="4"/>
      <c r="PFT72" s="4"/>
      <c r="PFU72" s="4"/>
      <c r="PFV72" s="4"/>
      <c r="PFW72" s="4"/>
      <c r="PFX72" s="4"/>
      <c r="PFY72" s="4"/>
      <c r="PFZ72" s="4"/>
      <c r="PGA72" s="4"/>
      <c r="PGB72" s="4"/>
      <c r="PGC72" s="4"/>
      <c r="PGD72" s="4"/>
      <c r="PGE72" s="4"/>
      <c r="PGF72" s="4"/>
      <c r="PGG72" s="4"/>
      <c r="PGH72" s="4"/>
      <c r="PGI72" s="4"/>
      <c r="PGJ72" s="4"/>
      <c r="PGK72" s="4"/>
      <c r="PGL72" s="4"/>
      <c r="PGM72" s="4"/>
      <c r="PGN72" s="4"/>
      <c r="PGO72" s="4"/>
      <c r="PGP72" s="4"/>
      <c r="PGQ72" s="4"/>
      <c r="PGR72" s="4"/>
      <c r="PGS72" s="4"/>
      <c r="PGT72" s="4"/>
      <c r="PGU72" s="4"/>
      <c r="PGV72" s="4"/>
      <c r="PGW72" s="4"/>
      <c r="PGX72" s="4"/>
      <c r="PGY72" s="4"/>
      <c r="PGZ72" s="4"/>
      <c r="PHA72" s="4"/>
      <c r="PHB72" s="4"/>
      <c r="PHC72" s="4"/>
      <c r="PHD72" s="4"/>
      <c r="PHE72" s="4"/>
      <c r="PHF72" s="4"/>
      <c r="PHG72" s="4"/>
      <c r="PHH72" s="4"/>
      <c r="PHI72" s="4"/>
      <c r="PHJ72" s="4"/>
      <c r="PHK72" s="4"/>
      <c r="PHL72" s="4"/>
      <c r="PHM72" s="4"/>
      <c r="PHN72" s="4"/>
      <c r="PHO72" s="4"/>
      <c r="PHP72" s="4"/>
      <c r="PHQ72" s="4"/>
      <c r="PHR72" s="4"/>
      <c r="PHS72" s="4"/>
      <c r="PHT72" s="4"/>
      <c r="PHU72" s="4"/>
      <c r="PHV72" s="4"/>
      <c r="PHW72" s="4"/>
      <c r="PHX72" s="4"/>
      <c r="PHY72" s="4"/>
      <c r="PHZ72" s="4"/>
      <c r="PIA72" s="4"/>
      <c r="PIB72" s="4"/>
      <c r="PIC72" s="4"/>
      <c r="PID72" s="4"/>
      <c r="PIE72" s="4"/>
      <c r="PIF72" s="4"/>
      <c r="PIG72" s="4"/>
      <c r="PIH72" s="4"/>
      <c r="PII72" s="4"/>
      <c r="PIJ72" s="4"/>
      <c r="PIK72" s="4"/>
      <c r="PIL72" s="4"/>
      <c r="PIM72" s="4"/>
      <c r="PIN72" s="4"/>
      <c r="PIO72" s="4"/>
      <c r="PIP72" s="4"/>
      <c r="PIQ72" s="4"/>
      <c r="PIR72" s="4"/>
      <c r="PIS72" s="4"/>
      <c r="PIT72" s="4"/>
      <c r="PIU72" s="4"/>
      <c r="PIV72" s="4"/>
      <c r="PIW72" s="4"/>
      <c r="PIX72" s="4"/>
      <c r="PIY72" s="4"/>
      <c r="PIZ72" s="4"/>
      <c r="PJA72" s="4"/>
      <c r="PJB72" s="4"/>
      <c r="PJC72" s="4"/>
      <c r="PJD72" s="4"/>
      <c r="PJE72" s="4"/>
      <c r="PJF72" s="4"/>
      <c r="PJG72" s="4"/>
      <c r="PJH72" s="4"/>
      <c r="PJI72" s="4"/>
      <c r="PJJ72" s="4"/>
      <c r="PJK72" s="4"/>
      <c r="PJL72" s="4"/>
      <c r="PJM72" s="4"/>
      <c r="PJN72" s="4"/>
      <c r="PJO72" s="4"/>
      <c r="PJP72" s="4"/>
      <c r="PJQ72" s="4"/>
      <c r="PJR72" s="4"/>
      <c r="PJS72" s="4"/>
      <c r="PJT72" s="4"/>
      <c r="PJU72" s="4"/>
      <c r="PJV72" s="4"/>
      <c r="PJW72" s="4"/>
      <c r="PJX72" s="4"/>
      <c r="PJY72" s="4"/>
      <c r="PJZ72" s="4"/>
      <c r="PKA72" s="4"/>
      <c r="PKB72" s="4"/>
      <c r="PKC72" s="4"/>
      <c r="PKD72" s="4"/>
      <c r="PKE72" s="4"/>
      <c r="PKF72" s="4"/>
      <c r="PKG72" s="4"/>
      <c r="PKH72" s="4"/>
      <c r="PKI72" s="4"/>
      <c r="PKJ72" s="4"/>
      <c r="PKK72" s="4"/>
      <c r="PKL72" s="4"/>
      <c r="PKM72" s="4"/>
      <c r="PKN72" s="4"/>
      <c r="PKO72" s="4"/>
      <c r="PKP72" s="4"/>
      <c r="PKQ72" s="4"/>
      <c r="PKR72" s="4"/>
      <c r="PKS72" s="4"/>
      <c r="PKT72" s="4"/>
      <c r="PKU72" s="4"/>
      <c r="PKV72" s="4"/>
      <c r="PKW72" s="4"/>
      <c r="PKX72" s="4"/>
      <c r="PKY72" s="4"/>
      <c r="PKZ72" s="4"/>
      <c r="PLA72" s="4"/>
      <c r="PLB72" s="4"/>
      <c r="PLC72" s="4"/>
      <c r="PLD72" s="4"/>
      <c r="PLE72" s="4"/>
      <c r="PLF72" s="4"/>
      <c r="PLG72" s="4"/>
      <c r="PLH72" s="4"/>
      <c r="PLI72" s="4"/>
      <c r="PLJ72" s="4"/>
      <c r="PLK72" s="4"/>
      <c r="PLL72" s="4"/>
      <c r="PLM72" s="4"/>
      <c r="PLN72" s="4"/>
      <c r="PLO72" s="4"/>
      <c r="PLP72" s="4"/>
      <c r="PLQ72" s="4"/>
      <c r="PLR72" s="4"/>
      <c r="PLS72" s="4"/>
      <c r="PLT72" s="4"/>
      <c r="PLU72" s="4"/>
      <c r="PLV72" s="4"/>
      <c r="PLW72" s="4"/>
      <c r="PLX72" s="4"/>
      <c r="PLY72" s="4"/>
      <c r="PLZ72" s="4"/>
      <c r="PMA72" s="4"/>
      <c r="PMB72" s="4"/>
      <c r="PMC72" s="4"/>
      <c r="PMD72" s="4"/>
      <c r="PME72" s="4"/>
      <c r="PMF72" s="4"/>
      <c r="PMG72" s="4"/>
      <c r="PMH72" s="4"/>
      <c r="PMI72" s="4"/>
      <c r="PMJ72" s="4"/>
      <c r="PMK72" s="4"/>
      <c r="PML72" s="4"/>
      <c r="PMM72" s="4"/>
      <c r="PMN72" s="4"/>
      <c r="PMO72" s="4"/>
      <c r="PMP72" s="4"/>
      <c r="PMQ72" s="4"/>
      <c r="PMR72" s="4"/>
      <c r="PMS72" s="4"/>
      <c r="PMT72" s="4"/>
      <c r="PMU72" s="4"/>
      <c r="PMV72" s="4"/>
      <c r="PMW72" s="4"/>
      <c r="PMX72" s="4"/>
      <c r="PMY72" s="4"/>
      <c r="PMZ72" s="4"/>
      <c r="PNA72" s="4"/>
      <c r="PNB72" s="4"/>
      <c r="PNC72" s="4"/>
      <c r="PND72" s="4"/>
      <c r="PNE72" s="4"/>
      <c r="PNF72" s="4"/>
      <c r="PNG72" s="4"/>
      <c r="PNH72" s="4"/>
      <c r="PNI72" s="4"/>
      <c r="PNJ72" s="4"/>
      <c r="PNK72" s="4"/>
      <c r="PNL72" s="4"/>
      <c r="PNM72" s="4"/>
      <c r="PNN72" s="4"/>
      <c r="PNO72" s="4"/>
      <c r="PNP72" s="4"/>
      <c r="PNQ72" s="4"/>
      <c r="PNR72" s="4"/>
      <c r="PNS72" s="4"/>
      <c r="PNT72" s="4"/>
      <c r="PNU72" s="4"/>
      <c r="PNV72" s="4"/>
      <c r="PNW72" s="4"/>
      <c r="PNX72" s="4"/>
      <c r="PNY72" s="4"/>
      <c r="PNZ72" s="4"/>
      <c r="POA72" s="4"/>
      <c r="POB72" s="4"/>
      <c r="POC72" s="4"/>
      <c r="POD72" s="4"/>
      <c r="POE72" s="4"/>
      <c r="POF72" s="4"/>
      <c r="POG72" s="4"/>
      <c r="POH72" s="4"/>
      <c r="POI72" s="4"/>
      <c r="POJ72" s="4"/>
      <c r="POK72" s="4"/>
      <c r="POL72" s="4"/>
      <c r="POM72" s="4"/>
      <c r="PON72" s="4"/>
      <c r="POO72" s="4"/>
      <c r="POP72" s="4"/>
      <c r="POQ72" s="4"/>
      <c r="POR72" s="4"/>
      <c r="POS72" s="4"/>
      <c r="POT72" s="4"/>
      <c r="POU72" s="4"/>
      <c r="POV72" s="4"/>
      <c r="POW72" s="4"/>
      <c r="POX72" s="4"/>
      <c r="POY72" s="4"/>
      <c r="POZ72" s="4"/>
      <c r="PPA72" s="4"/>
      <c r="PPB72" s="4"/>
      <c r="PPC72" s="4"/>
      <c r="PPD72" s="4"/>
      <c r="PPE72" s="4"/>
      <c r="PPF72" s="4"/>
      <c r="PPG72" s="4"/>
      <c r="PPH72" s="4"/>
      <c r="PPI72" s="4"/>
      <c r="PPJ72" s="4"/>
      <c r="PPK72" s="4"/>
      <c r="PPL72" s="4"/>
      <c r="PPM72" s="4"/>
      <c r="PPN72" s="4"/>
      <c r="PPO72" s="4"/>
      <c r="PPP72" s="4"/>
      <c r="PPQ72" s="4"/>
      <c r="PPR72" s="4"/>
      <c r="PPS72" s="4"/>
      <c r="PPT72" s="4"/>
      <c r="PPU72" s="4"/>
      <c r="PPV72" s="4"/>
      <c r="PPW72" s="4"/>
      <c r="PPX72" s="4"/>
      <c r="PPY72" s="4"/>
      <c r="PPZ72" s="4"/>
      <c r="PQA72" s="4"/>
      <c r="PQB72" s="4"/>
      <c r="PQC72" s="4"/>
      <c r="PQD72" s="4"/>
      <c r="PQE72" s="4"/>
      <c r="PQF72" s="4"/>
      <c r="PQG72" s="4"/>
      <c r="PQH72" s="4"/>
      <c r="PQI72" s="4"/>
      <c r="PQJ72" s="4"/>
      <c r="PQK72" s="4"/>
      <c r="PQL72" s="4"/>
      <c r="PQM72" s="4"/>
      <c r="PQN72" s="4"/>
      <c r="PQO72" s="4"/>
      <c r="PQP72" s="4"/>
      <c r="PQQ72" s="4"/>
      <c r="PQR72" s="4"/>
      <c r="PQS72" s="4"/>
      <c r="PQT72" s="4"/>
      <c r="PQU72" s="4"/>
      <c r="PQV72" s="4"/>
      <c r="PQW72" s="4"/>
      <c r="PQX72" s="4"/>
      <c r="PQY72" s="4"/>
      <c r="PQZ72" s="4"/>
      <c r="PRA72" s="4"/>
      <c r="PRB72" s="4"/>
      <c r="PRC72" s="4"/>
      <c r="PRD72" s="4"/>
      <c r="PRE72" s="4"/>
      <c r="PRF72" s="4"/>
      <c r="PRG72" s="4"/>
      <c r="PRH72" s="4"/>
      <c r="PRI72" s="4"/>
      <c r="PRJ72" s="4"/>
      <c r="PRK72" s="4"/>
      <c r="PRL72" s="4"/>
      <c r="PRM72" s="4"/>
      <c r="PRN72" s="4"/>
      <c r="PRO72" s="4"/>
      <c r="PRP72" s="4"/>
      <c r="PRQ72" s="4"/>
      <c r="PRR72" s="4"/>
      <c r="PRS72" s="4"/>
      <c r="PRT72" s="4"/>
      <c r="PRU72" s="4"/>
      <c r="PRV72" s="4"/>
      <c r="PRW72" s="4"/>
      <c r="PRX72" s="4"/>
      <c r="PRY72" s="4"/>
      <c r="PRZ72" s="4"/>
      <c r="PSA72" s="4"/>
      <c r="PSB72" s="4"/>
      <c r="PSC72" s="4"/>
      <c r="PSD72" s="4"/>
      <c r="PSE72" s="4"/>
      <c r="PSF72" s="4"/>
      <c r="PSG72" s="4"/>
      <c r="PSH72" s="4"/>
      <c r="PSI72" s="4"/>
      <c r="PSJ72" s="4"/>
      <c r="PSK72" s="4"/>
      <c r="PSL72" s="4"/>
      <c r="PSM72" s="4"/>
      <c r="PSN72" s="4"/>
      <c r="PSO72" s="4"/>
      <c r="PSP72" s="4"/>
      <c r="PSQ72" s="4"/>
      <c r="PSR72" s="4"/>
      <c r="PSS72" s="4"/>
      <c r="PST72" s="4"/>
      <c r="PSU72" s="4"/>
      <c r="PSV72" s="4"/>
      <c r="PSW72" s="4"/>
      <c r="PSX72" s="4"/>
      <c r="PSY72" s="4"/>
      <c r="PSZ72" s="4"/>
      <c r="PTA72" s="4"/>
      <c r="PTB72" s="4"/>
      <c r="PTC72" s="4"/>
      <c r="PTD72" s="4"/>
      <c r="PTE72" s="4"/>
      <c r="PTF72" s="4"/>
      <c r="PTG72" s="4"/>
      <c r="PTH72" s="4"/>
      <c r="PTI72" s="4"/>
      <c r="PTJ72" s="4"/>
      <c r="PTK72" s="4"/>
      <c r="PTL72" s="4"/>
      <c r="PTM72" s="4"/>
      <c r="PTN72" s="4"/>
      <c r="PTO72" s="4"/>
      <c r="PTP72" s="4"/>
      <c r="PTQ72" s="4"/>
      <c r="PTR72" s="4"/>
      <c r="PTS72" s="4"/>
      <c r="PTT72" s="4"/>
      <c r="PTU72" s="4"/>
      <c r="PTV72" s="4"/>
      <c r="PTW72" s="4"/>
      <c r="PTX72" s="4"/>
      <c r="PTY72" s="4"/>
      <c r="PTZ72" s="4"/>
      <c r="PUA72" s="4"/>
      <c r="PUB72" s="4"/>
      <c r="PUC72" s="4"/>
      <c r="PUD72" s="4"/>
      <c r="PUE72" s="4"/>
      <c r="PUF72" s="4"/>
      <c r="PUG72" s="4"/>
      <c r="PUH72" s="4"/>
      <c r="PUI72" s="4"/>
      <c r="PUJ72" s="4"/>
      <c r="PUK72" s="4"/>
      <c r="PUL72" s="4"/>
      <c r="PUM72" s="4"/>
      <c r="PUN72" s="4"/>
      <c r="PUO72" s="4"/>
      <c r="PUP72" s="4"/>
      <c r="PUQ72" s="4"/>
      <c r="PUR72" s="4"/>
      <c r="PUS72" s="4"/>
      <c r="PUT72" s="4"/>
      <c r="PUU72" s="4"/>
      <c r="PUV72" s="4"/>
      <c r="PUW72" s="4"/>
      <c r="PUX72" s="4"/>
      <c r="PUY72" s="4"/>
      <c r="PUZ72" s="4"/>
      <c r="PVA72" s="4"/>
      <c r="PVB72" s="4"/>
      <c r="PVC72" s="4"/>
      <c r="PVD72" s="4"/>
      <c r="PVE72" s="4"/>
      <c r="PVF72" s="4"/>
      <c r="PVG72" s="4"/>
      <c r="PVH72" s="4"/>
      <c r="PVI72" s="4"/>
      <c r="PVJ72" s="4"/>
      <c r="PVK72" s="4"/>
      <c r="PVL72" s="4"/>
      <c r="PVM72" s="4"/>
      <c r="PVN72" s="4"/>
      <c r="PVO72" s="4"/>
      <c r="PVP72" s="4"/>
      <c r="PVQ72" s="4"/>
      <c r="PVR72" s="4"/>
      <c r="PVS72" s="4"/>
      <c r="PVT72" s="4"/>
      <c r="PVU72" s="4"/>
      <c r="PVV72" s="4"/>
      <c r="PVW72" s="4"/>
      <c r="PVX72" s="4"/>
      <c r="PVY72" s="4"/>
      <c r="PVZ72" s="4"/>
      <c r="PWA72" s="4"/>
      <c r="PWB72" s="4"/>
      <c r="PWC72" s="4"/>
      <c r="PWD72" s="4"/>
      <c r="PWE72" s="4"/>
      <c r="PWF72" s="4"/>
      <c r="PWG72" s="4"/>
      <c r="PWH72" s="4"/>
      <c r="PWI72" s="4"/>
      <c r="PWJ72" s="4"/>
      <c r="PWK72" s="4"/>
      <c r="PWL72" s="4"/>
      <c r="PWM72" s="4"/>
      <c r="PWN72" s="4"/>
      <c r="PWO72" s="4"/>
      <c r="PWP72" s="4"/>
      <c r="PWQ72" s="4"/>
      <c r="PWR72" s="4"/>
      <c r="PWS72" s="4"/>
      <c r="PWT72" s="4"/>
      <c r="PWU72" s="4"/>
      <c r="PWV72" s="4"/>
      <c r="PWW72" s="4"/>
      <c r="PWX72" s="4"/>
      <c r="PWY72" s="4"/>
      <c r="PWZ72" s="4"/>
      <c r="PXA72" s="4"/>
      <c r="PXB72" s="4"/>
      <c r="PXC72" s="4"/>
      <c r="PXD72" s="4"/>
      <c r="PXE72" s="4"/>
      <c r="PXF72" s="4"/>
      <c r="PXG72" s="4"/>
      <c r="PXH72" s="4"/>
      <c r="PXI72" s="4"/>
      <c r="PXJ72" s="4"/>
      <c r="PXK72" s="4"/>
      <c r="PXL72" s="4"/>
      <c r="PXM72" s="4"/>
      <c r="PXN72" s="4"/>
      <c r="PXO72" s="4"/>
      <c r="PXP72" s="4"/>
      <c r="PXQ72" s="4"/>
      <c r="PXR72" s="4"/>
      <c r="PXS72" s="4"/>
      <c r="PXT72" s="4"/>
      <c r="PXU72" s="4"/>
      <c r="PXV72" s="4"/>
      <c r="PXW72" s="4"/>
      <c r="PXX72" s="4"/>
      <c r="PXY72" s="4"/>
      <c r="PXZ72" s="4"/>
      <c r="PYA72" s="4"/>
      <c r="PYB72" s="4"/>
      <c r="PYC72" s="4"/>
      <c r="PYD72" s="4"/>
      <c r="PYE72" s="4"/>
      <c r="PYF72" s="4"/>
      <c r="PYG72" s="4"/>
      <c r="PYH72" s="4"/>
      <c r="PYI72" s="4"/>
      <c r="PYJ72" s="4"/>
      <c r="PYK72" s="4"/>
      <c r="PYL72" s="4"/>
      <c r="PYM72" s="4"/>
      <c r="PYN72" s="4"/>
      <c r="PYO72" s="4"/>
      <c r="PYP72" s="4"/>
      <c r="PYQ72" s="4"/>
      <c r="PYR72" s="4"/>
      <c r="PYS72" s="4"/>
      <c r="PYT72" s="4"/>
      <c r="PYU72" s="4"/>
      <c r="PYV72" s="4"/>
      <c r="PYW72" s="4"/>
      <c r="PYX72" s="4"/>
      <c r="PYY72" s="4"/>
      <c r="PYZ72" s="4"/>
      <c r="PZA72" s="4"/>
      <c r="PZB72" s="4"/>
      <c r="PZC72" s="4"/>
      <c r="PZD72" s="4"/>
      <c r="PZE72" s="4"/>
      <c r="PZF72" s="4"/>
      <c r="PZG72" s="4"/>
      <c r="PZH72" s="4"/>
      <c r="PZI72" s="4"/>
      <c r="PZJ72" s="4"/>
      <c r="PZK72" s="4"/>
      <c r="PZL72" s="4"/>
      <c r="PZM72" s="4"/>
      <c r="PZN72" s="4"/>
      <c r="PZO72" s="4"/>
      <c r="PZP72" s="4"/>
      <c r="PZQ72" s="4"/>
      <c r="PZR72" s="4"/>
      <c r="PZS72" s="4"/>
      <c r="PZT72" s="4"/>
      <c r="PZU72" s="4"/>
      <c r="PZV72" s="4"/>
      <c r="PZW72" s="4"/>
      <c r="PZX72" s="4"/>
      <c r="PZY72" s="4"/>
      <c r="PZZ72" s="4"/>
      <c r="QAA72" s="4"/>
      <c r="QAB72" s="4"/>
      <c r="QAC72" s="4"/>
      <c r="QAD72" s="4"/>
      <c r="QAE72" s="4"/>
      <c r="QAF72" s="4"/>
      <c r="QAG72" s="4"/>
      <c r="QAH72" s="4"/>
      <c r="QAI72" s="4"/>
      <c r="QAJ72" s="4"/>
      <c r="QAK72" s="4"/>
      <c r="QAL72" s="4"/>
      <c r="QAM72" s="4"/>
      <c r="QAN72" s="4"/>
      <c r="QAO72" s="4"/>
      <c r="QAP72" s="4"/>
      <c r="QAQ72" s="4"/>
      <c r="QAR72" s="4"/>
      <c r="QAS72" s="4"/>
      <c r="QAT72" s="4"/>
      <c r="QAU72" s="4"/>
      <c r="QAV72" s="4"/>
      <c r="QAW72" s="4"/>
      <c r="QAX72" s="4"/>
      <c r="QAY72" s="4"/>
      <c r="QAZ72" s="4"/>
      <c r="QBA72" s="4"/>
      <c r="QBB72" s="4"/>
      <c r="QBC72" s="4"/>
      <c r="QBD72" s="4"/>
      <c r="QBE72" s="4"/>
      <c r="QBF72" s="4"/>
      <c r="QBG72" s="4"/>
      <c r="QBH72" s="4"/>
      <c r="QBI72" s="4"/>
      <c r="QBJ72" s="4"/>
      <c r="QBK72" s="4"/>
      <c r="QBL72" s="4"/>
      <c r="QBM72" s="4"/>
      <c r="QBN72" s="4"/>
      <c r="QBO72" s="4"/>
      <c r="QBP72" s="4"/>
      <c r="QBQ72" s="4"/>
      <c r="QBR72" s="4"/>
      <c r="QBS72" s="4"/>
      <c r="QBT72" s="4"/>
      <c r="QBU72" s="4"/>
      <c r="QBV72" s="4"/>
      <c r="QBW72" s="4"/>
      <c r="QBX72" s="4"/>
      <c r="QBY72" s="4"/>
      <c r="QBZ72" s="4"/>
      <c r="QCA72" s="4"/>
      <c r="QCB72" s="4"/>
      <c r="QCC72" s="4"/>
      <c r="QCD72" s="4"/>
      <c r="QCE72" s="4"/>
      <c r="QCF72" s="4"/>
      <c r="QCG72" s="4"/>
      <c r="QCH72" s="4"/>
      <c r="QCI72" s="4"/>
      <c r="QCJ72" s="4"/>
      <c r="QCK72" s="4"/>
      <c r="QCL72" s="4"/>
      <c r="QCM72" s="4"/>
      <c r="QCN72" s="4"/>
      <c r="QCO72" s="4"/>
      <c r="QCP72" s="4"/>
      <c r="QCQ72" s="4"/>
      <c r="QCR72" s="4"/>
      <c r="QCS72" s="4"/>
      <c r="QCT72" s="4"/>
      <c r="QCU72" s="4"/>
      <c r="QCV72" s="4"/>
      <c r="QCW72" s="4"/>
      <c r="QCX72" s="4"/>
      <c r="QCY72" s="4"/>
      <c r="QCZ72" s="4"/>
      <c r="QDA72" s="4"/>
      <c r="QDB72" s="4"/>
      <c r="QDC72" s="4"/>
      <c r="QDD72" s="4"/>
      <c r="QDE72" s="4"/>
      <c r="QDF72" s="4"/>
      <c r="QDG72" s="4"/>
      <c r="QDH72" s="4"/>
      <c r="QDI72" s="4"/>
      <c r="QDJ72" s="4"/>
      <c r="QDK72" s="4"/>
      <c r="QDL72" s="4"/>
      <c r="QDM72" s="4"/>
      <c r="QDN72" s="4"/>
      <c r="QDO72" s="4"/>
      <c r="QDP72" s="4"/>
      <c r="QDQ72" s="4"/>
      <c r="QDR72" s="4"/>
      <c r="QDS72" s="4"/>
      <c r="QDT72" s="4"/>
      <c r="QDU72" s="4"/>
      <c r="QDV72" s="4"/>
      <c r="QDW72" s="4"/>
      <c r="QDX72" s="4"/>
      <c r="QDY72" s="4"/>
      <c r="QDZ72" s="4"/>
      <c r="QEA72" s="4"/>
      <c r="QEB72" s="4"/>
      <c r="QEC72" s="4"/>
      <c r="QED72" s="4"/>
      <c r="QEE72" s="4"/>
      <c r="QEF72" s="4"/>
      <c r="QEG72" s="4"/>
      <c r="QEH72" s="4"/>
      <c r="QEI72" s="4"/>
      <c r="QEJ72" s="4"/>
      <c r="QEK72" s="4"/>
      <c r="QEL72" s="4"/>
      <c r="QEM72" s="4"/>
      <c r="QEN72" s="4"/>
      <c r="QEO72" s="4"/>
      <c r="QEP72" s="4"/>
      <c r="QEQ72" s="4"/>
      <c r="QER72" s="4"/>
      <c r="QES72" s="4"/>
      <c r="QET72" s="4"/>
      <c r="QEU72" s="4"/>
      <c r="QEV72" s="4"/>
      <c r="QEW72" s="4"/>
      <c r="QEX72" s="4"/>
      <c r="QEY72" s="4"/>
      <c r="QEZ72" s="4"/>
      <c r="QFA72" s="4"/>
      <c r="QFB72" s="4"/>
      <c r="QFC72" s="4"/>
      <c r="QFD72" s="4"/>
      <c r="QFE72" s="4"/>
      <c r="QFF72" s="4"/>
      <c r="QFG72" s="4"/>
      <c r="QFH72" s="4"/>
      <c r="QFI72" s="4"/>
      <c r="QFJ72" s="4"/>
      <c r="QFK72" s="4"/>
      <c r="QFL72" s="4"/>
      <c r="QFM72" s="4"/>
      <c r="QFN72" s="4"/>
      <c r="QFO72" s="4"/>
      <c r="QFP72" s="4"/>
      <c r="QFQ72" s="4"/>
      <c r="QFR72" s="4"/>
      <c r="QFS72" s="4"/>
      <c r="QFT72" s="4"/>
      <c r="QFU72" s="4"/>
      <c r="QFV72" s="4"/>
      <c r="QFW72" s="4"/>
      <c r="QFX72" s="4"/>
      <c r="QFY72" s="4"/>
      <c r="QFZ72" s="4"/>
      <c r="QGA72" s="4"/>
      <c r="QGB72" s="4"/>
      <c r="QGC72" s="4"/>
      <c r="QGD72" s="4"/>
      <c r="QGE72" s="4"/>
      <c r="QGF72" s="4"/>
      <c r="QGG72" s="4"/>
      <c r="QGH72" s="4"/>
      <c r="QGI72" s="4"/>
      <c r="QGJ72" s="4"/>
      <c r="QGK72" s="4"/>
      <c r="QGL72" s="4"/>
      <c r="QGM72" s="4"/>
      <c r="QGN72" s="4"/>
      <c r="QGO72" s="4"/>
      <c r="QGP72" s="4"/>
      <c r="QGQ72" s="4"/>
      <c r="QGR72" s="4"/>
      <c r="QGS72" s="4"/>
      <c r="QGT72" s="4"/>
      <c r="QGU72" s="4"/>
      <c r="QGV72" s="4"/>
      <c r="QGW72" s="4"/>
      <c r="QGX72" s="4"/>
      <c r="QGY72" s="4"/>
      <c r="QGZ72" s="4"/>
      <c r="QHA72" s="4"/>
      <c r="QHB72" s="4"/>
      <c r="QHC72" s="4"/>
      <c r="QHD72" s="4"/>
      <c r="QHE72" s="4"/>
      <c r="QHF72" s="4"/>
      <c r="QHG72" s="4"/>
      <c r="QHH72" s="4"/>
      <c r="QHI72" s="4"/>
      <c r="QHJ72" s="4"/>
      <c r="QHK72" s="4"/>
      <c r="QHL72" s="4"/>
      <c r="QHM72" s="4"/>
      <c r="QHN72" s="4"/>
      <c r="QHO72" s="4"/>
      <c r="QHP72" s="4"/>
      <c r="QHQ72" s="4"/>
      <c r="QHR72" s="4"/>
      <c r="QHS72" s="4"/>
      <c r="QHT72" s="4"/>
      <c r="QHU72" s="4"/>
      <c r="QHV72" s="4"/>
      <c r="QHW72" s="4"/>
      <c r="QHX72" s="4"/>
      <c r="QHY72" s="4"/>
      <c r="QHZ72" s="4"/>
      <c r="QIA72" s="4"/>
      <c r="QIB72" s="4"/>
      <c r="QIC72" s="4"/>
      <c r="QID72" s="4"/>
      <c r="QIE72" s="4"/>
      <c r="QIF72" s="4"/>
      <c r="QIG72" s="4"/>
      <c r="QIH72" s="4"/>
      <c r="QII72" s="4"/>
      <c r="QIJ72" s="4"/>
      <c r="QIK72" s="4"/>
      <c r="QIL72" s="4"/>
      <c r="QIM72" s="4"/>
      <c r="QIN72" s="4"/>
      <c r="QIO72" s="4"/>
      <c r="QIP72" s="4"/>
      <c r="QIQ72" s="4"/>
      <c r="QIR72" s="4"/>
      <c r="QIS72" s="4"/>
      <c r="QIT72" s="4"/>
      <c r="QIU72" s="4"/>
      <c r="QIV72" s="4"/>
      <c r="QIW72" s="4"/>
      <c r="QIX72" s="4"/>
      <c r="QIY72" s="4"/>
      <c r="QIZ72" s="4"/>
      <c r="QJA72" s="4"/>
      <c r="QJB72" s="4"/>
      <c r="QJC72" s="4"/>
      <c r="QJD72" s="4"/>
      <c r="QJE72" s="4"/>
      <c r="QJF72" s="4"/>
      <c r="QJG72" s="4"/>
      <c r="QJH72" s="4"/>
      <c r="QJI72" s="4"/>
      <c r="QJJ72" s="4"/>
      <c r="QJK72" s="4"/>
      <c r="QJL72" s="4"/>
      <c r="QJM72" s="4"/>
      <c r="QJN72" s="4"/>
      <c r="QJO72" s="4"/>
      <c r="QJP72" s="4"/>
      <c r="QJQ72" s="4"/>
      <c r="QJR72" s="4"/>
      <c r="QJS72" s="4"/>
      <c r="QJT72" s="4"/>
      <c r="QJU72" s="4"/>
      <c r="QJV72" s="4"/>
      <c r="QJW72" s="4"/>
      <c r="QJX72" s="4"/>
      <c r="QJY72" s="4"/>
      <c r="QJZ72" s="4"/>
      <c r="QKA72" s="4"/>
      <c r="QKB72" s="4"/>
      <c r="QKC72" s="4"/>
      <c r="QKD72" s="4"/>
      <c r="QKE72" s="4"/>
      <c r="QKF72" s="4"/>
      <c r="QKG72" s="4"/>
      <c r="QKH72" s="4"/>
      <c r="QKI72" s="4"/>
      <c r="QKJ72" s="4"/>
      <c r="QKK72" s="4"/>
      <c r="QKL72" s="4"/>
      <c r="QKM72" s="4"/>
      <c r="QKN72" s="4"/>
      <c r="QKO72" s="4"/>
      <c r="QKP72" s="4"/>
      <c r="QKQ72" s="4"/>
      <c r="QKR72" s="4"/>
      <c r="QKS72" s="4"/>
      <c r="QKT72" s="4"/>
      <c r="QKU72" s="4"/>
      <c r="QKV72" s="4"/>
      <c r="QKW72" s="4"/>
      <c r="QKX72" s="4"/>
      <c r="QKY72" s="4"/>
      <c r="QKZ72" s="4"/>
      <c r="QLA72" s="4"/>
      <c r="QLB72" s="4"/>
      <c r="QLC72" s="4"/>
      <c r="QLD72" s="4"/>
      <c r="QLE72" s="4"/>
      <c r="QLF72" s="4"/>
      <c r="QLG72" s="4"/>
      <c r="QLH72" s="4"/>
      <c r="QLI72" s="4"/>
      <c r="QLJ72" s="4"/>
      <c r="QLK72" s="4"/>
      <c r="QLL72" s="4"/>
      <c r="QLM72" s="4"/>
      <c r="QLN72" s="4"/>
      <c r="QLO72" s="4"/>
      <c r="QLP72" s="4"/>
      <c r="QLQ72" s="4"/>
      <c r="QLR72" s="4"/>
      <c r="QLS72" s="4"/>
      <c r="QLT72" s="4"/>
      <c r="QLU72" s="4"/>
      <c r="QLV72" s="4"/>
      <c r="QLW72" s="4"/>
      <c r="QLX72" s="4"/>
      <c r="QLY72" s="4"/>
      <c r="QLZ72" s="4"/>
      <c r="QMA72" s="4"/>
      <c r="QMB72" s="4"/>
      <c r="QMC72" s="4"/>
      <c r="QMD72" s="4"/>
      <c r="QME72" s="4"/>
      <c r="QMF72" s="4"/>
      <c r="QMG72" s="4"/>
      <c r="QMH72" s="4"/>
      <c r="QMI72" s="4"/>
      <c r="QMJ72" s="4"/>
      <c r="QMK72" s="4"/>
      <c r="QML72" s="4"/>
      <c r="QMM72" s="4"/>
      <c r="QMN72" s="4"/>
      <c r="QMO72" s="4"/>
      <c r="QMP72" s="4"/>
      <c r="QMQ72" s="4"/>
      <c r="QMR72" s="4"/>
      <c r="QMS72" s="4"/>
      <c r="QMT72" s="4"/>
      <c r="QMU72" s="4"/>
      <c r="QMV72" s="4"/>
      <c r="QMW72" s="4"/>
      <c r="QMX72" s="4"/>
      <c r="QMY72" s="4"/>
      <c r="QMZ72" s="4"/>
      <c r="QNA72" s="4"/>
      <c r="QNB72" s="4"/>
      <c r="QNC72" s="4"/>
      <c r="QND72" s="4"/>
      <c r="QNE72" s="4"/>
      <c r="QNF72" s="4"/>
      <c r="QNG72" s="4"/>
      <c r="QNH72" s="4"/>
      <c r="QNI72" s="4"/>
      <c r="QNJ72" s="4"/>
      <c r="QNK72" s="4"/>
      <c r="QNL72" s="4"/>
      <c r="QNM72" s="4"/>
      <c r="QNN72" s="4"/>
      <c r="QNO72" s="4"/>
      <c r="QNP72" s="4"/>
      <c r="QNQ72" s="4"/>
      <c r="QNR72" s="4"/>
      <c r="QNS72" s="4"/>
      <c r="QNT72" s="4"/>
      <c r="QNU72" s="4"/>
      <c r="QNV72" s="4"/>
      <c r="QNW72" s="4"/>
      <c r="QNX72" s="4"/>
      <c r="QNY72" s="4"/>
      <c r="QNZ72" s="4"/>
      <c r="QOA72" s="4"/>
      <c r="QOB72" s="4"/>
      <c r="QOC72" s="4"/>
      <c r="QOD72" s="4"/>
      <c r="QOE72" s="4"/>
      <c r="QOF72" s="4"/>
      <c r="QOG72" s="4"/>
      <c r="QOH72" s="4"/>
      <c r="QOI72" s="4"/>
      <c r="QOJ72" s="4"/>
      <c r="QOK72" s="4"/>
      <c r="QOL72" s="4"/>
      <c r="QOM72" s="4"/>
      <c r="QON72" s="4"/>
      <c r="QOO72" s="4"/>
      <c r="QOP72" s="4"/>
      <c r="QOQ72" s="4"/>
      <c r="QOR72" s="4"/>
      <c r="QOS72" s="4"/>
      <c r="QOT72" s="4"/>
      <c r="QOU72" s="4"/>
      <c r="QOV72" s="4"/>
      <c r="QOW72" s="4"/>
      <c r="QOX72" s="4"/>
      <c r="QOY72" s="4"/>
      <c r="QOZ72" s="4"/>
      <c r="QPA72" s="4"/>
      <c r="QPB72" s="4"/>
      <c r="QPC72" s="4"/>
      <c r="QPD72" s="4"/>
      <c r="QPE72" s="4"/>
      <c r="QPF72" s="4"/>
      <c r="QPG72" s="4"/>
      <c r="QPH72" s="4"/>
      <c r="QPI72" s="4"/>
      <c r="QPJ72" s="4"/>
      <c r="QPK72" s="4"/>
      <c r="QPL72" s="4"/>
      <c r="QPM72" s="4"/>
      <c r="QPN72" s="4"/>
      <c r="QPO72" s="4"/>
      <c r="QPP72" s="4"/>
      <c r="QPQ72" s="4"/>
      <c r="QPR72" s="4"/>
      <c r="QPS72" s="4"/>
      <c r="QPT72" s="4"/>
      <c r="QPU72" s="4"/>
      <c r="QPV72" s="4"/>
      <c r="QPW72" s="4"/>
      <c r="QPX72" s="4"/>
      <c r="QPY72" s="4"/>
      <c r="QPZ72" s="4"/>
      <c r="QQA72" s="4"/>
      <c r="QQB72" s="4"/>
      <c r="QQC72" s="4"/>
      <c r="QQD72" s="4"/>
      <c r="QQE72" s="4"/>
      <c r="QQF72" s="4"/>
      <c r="QQG72" s="4"/>
      <c r="QQH72" s="4"/>
      <c r="QQI72" s="4"/>
      <c r="QQJ72" s="4"/>
      <c r="QQK72" s="4"/>
      <c r="QQL72" s="4"/>
      <c r="QQM72" s="4"/>
      <c r="QQN72" s="4"/>
      <c r="QQO72" s="4"/>
      <c r="QQP72" s="4"/>
      <c r="QQQ72" s="4"/>
      <c r="QQR72" s="4"/>
      <c r="QQS72" s="4"/>
      <c r="QQT72" s="4"/>
      <c r="QQU72" s="4"/>
      <c r="QQV72" s="4"/>
      <c r="QQW72" s="4"/>
      <c r="QQX72" s="4"/>
      <c r="QQY72" s="4"/>
      <c r="QQZ72" s="4"/>
      <c r="QRA72" s="4"/>
      <c r="QRB72" s="4"/>
      <c r="QRC72" s="4"/>
      <c r="QRD72" s="4"/>
      <c r="QRE72" s="4"/>
      <c r="QRF72" s="4"/>
      <c r="QRG72" s="4"/>
      <c r="QRH72" s="4"/>
      <c r="QRI72" s="4"/>
      <c r="QRJ72" s="4"/>
      <c r="QRK72" s="4"/>
      <c r="QRL72" s="4"/>
      <c r="QRM72" s="4"/>
      <c r="QRN72" s="4"/>
      <c r="QRO72" s="4"/>
      <c r="QRP72" s="4"/>
      <c r="QRQ72" s="4"/>
      <c r="QRR72" s="4"/>
      <c r="QRS72" s="4"/>
      <c r="QRT72" s="4"/>
      <c r="QRU72" s="4"/>
      <c r="QRV72" s="4"/>
      <c r="QRW72" s="4"/>
      <c r="QRX72" s="4"/>
      <c r="QRY72" s="4"/>
      <c r="QRZ72" s="4"/>
      <c r="QSA72" s="4"/>
      <c r="QSB72" s="4"/>
      <c r="QSC72" s="4"/>
      <c r="QSD72" s="4"/>
      <c r="QSE72" s="4"/>
      <c r="QSF72" s="4"/>
      <c r="QSG72" s="4"/>
      <c r="QSH72" s="4"/>
      <c r="QSI72" s="4"/>
      <c r="QSJ72" s="4"/>
      <c r="QSK72" s="4"/>
      <c r="QSL72" s="4"/>
      <c r="QSM72" s="4"/>
      <c r="QSN72" s="4"/>
      <c r="QSO72" s="4"/>
      <c r="QSP72" s="4"/>
      <c r="QSQ72" s="4"/>
      <c r="QSR72" s="4"/>
      <c r="QSS72" s="4"/>
      <c r="QST72" s="4"/>
      <c r="QSU72" s="4"/>
      <c r="QSV72" s="4"/>
      <c r="QSW72" s="4"/>
      <c r="QSX72" s="4"/>
      <c r="QSY72" s="4"/>
      <c r="QSZ72" s="4"/>
      <c r="QTA72" s="4"/>
      <c r="QTB72" s="4"/>
      <c r="QTC72" s="4"/>
      <c r="QTD72" s="4"/>
      <c r="QTE72" s="4"/>
      <c r="QTF72" s="4"/>
      <c r="QTG72" s="4"/>
      <c r="QTH72" s="4"/>
      <c r="QTI72" s="4"/>
      <c r="QTJ72" s="4"/>
      <c r="QTK72" s="4"/>
      <c r="QTL72" s="4"/>
      <c r="QTM72" s="4"/>
      <c r="QTN72" s="4"/>
      <c r="QTO72" s="4"/>
      <c r="QTP72" s="4"/>
      <c r="QTQ72" s="4"/>
      <c r="QTR72" s="4"/>
      <c r="QTS72" s="4"/>
      <c r="QTT72" s="4"/>
      <c r="QTU72" s="4"/>
      <c r="QTV72" s="4"/>
      <c r="QTW72" s="4"/>
      <c r="QTX72" s="4"/>
      <c r="QTY72" s="4"/>
      <c r="QTZ72" s="4"/>
      <c r="QUA72" s="4"/>
      <c r="QUB72" s="4"/>
      <c r="QUC72" s="4"/>
      <c r="QUD72" s="4"/>
      <c r="QUE72" s="4"/>
      <c r="QUF72" s="4"/>
      <c r="QUG72" s="4"/>
      <c r="QUH72" s="4"/>
      <c r="QUI72" s="4"/>
      <c r="QUJ72" s="4"/>
      <c r="QUK72" s="4"/>
      <c r="QUL72" s="4"/>
      <c r="QUM72" s="4"/>
      <c r="QUN72" s="4"/>
      <c r="QUO72" s="4"/>
      <c r="QUP72" s="4"/>
      <c r="QUQ72" s="4"/>
      <c r="QUR72" s="4"/>
      <c r="QUS72" s="4"/>
      <c r="QUT72" s="4"/>
      <c r="QUU72" s="4"/>
      <c r="QUV72" s="4"/>
      <c r="QUW72" s="4"/>
      <c r="QUX72" s="4"/>
      <c r="QUY72" s="4"/>
      <c r="QUZ72" s="4"/>
      <c r="QVA72" s="4"/>
      <c r="QVB72" s="4"/>
      <c r="QVC72" s="4"/>
      <c r="QVD72" s="4"/>
      <c r="QVE72" s="4"/>
      <c r="QVF72" s="4"/>
      <c r="QVG72" s="4"/>
      <c r="QVH72" s="4"/>
      <c r="QVI72" s="4"/>
      <c r="QVJ72" s="4"/>
      <c r="QVK72" s="4"/>
      <c r="QVL72" s="4"/>
      <c r="QVM72" s="4"/>
      <c r="QVN72" s="4"/>
      <c r="QVO72" s="4"/>
      <c r="QVP72" s="4"/>
      <c r="QVQ72" s="4"/>
      <c r="QVR72" s="4"/>
      <c r="QVS72" s="4"/>
      <c r="QVT72" s="4"/>
      <c r="QVU72" s="4"/>
      <c r="QVV72" s="4"/>
      <c r="QVW72" s="4"/>
      <c r="QVX72" s="4"/>
      <c r="QVY72" s="4"/>
      <c r="QVZ72" s="4"/>
      <c r="QWA72" s="4"/>
      <c r="QWB72" s="4"/>
      <c r="QWC72" s="4"/>
      <c r="QWD72" s="4"/>
      <c r="QWE72" s="4"/>
      <c r="QWF72" s="4"/>
      <c r="QWG72" s="4"/>
      <c r="QWH72" s="4"/>
      <c r="QWI72" s="4"/>
      <c r="QWJ72" s="4"/>
      <c r="QWK72" s="4"/>
      <c r="QWL72" s="4"/>
      <c r="QWM72" s="4"/>
      <c r="QWN72" s="4"/>
      <c r="QWO72" s="4"/>
      <c r="QWP72" s="4"/>
      <c r="QWQ72" s="4"/>
      <c r="QWR72" s="4"/>
      <c r="QWS72" s="4"/>
      <c r="QWT72" s="4"/>
      <c r="QWU72" s="4"/>
      <c r="QWV72" s="4"/>
      <c r="QWW72" s="4"/>
      <c r="QWX72" s="4"/>
      <c r="QWY72" s="4"/>
      <c r="QWZ72" s="4"/>
      <c r="QXA72" s="4"/>
      <c r="QXB72" s="4"/>
      <c r="QXC72" s="4"/>
      <c r="QXD72" s="4"/>
      <c r="QXE72" s="4"/>
      <c r="QXF72" s="4"/>
      <c r="QXG72" s="4"/>
      <c r="QXH72" s="4"/>
      <c r="QXI72" s="4"/>
      <c r="QXJ72" s="4"/>
      <c r="QXK72" s="4"/>
      <c r="QXL72" s="4"/>
      <c r="QXM72" s="4"/>
      <c r="QXN72" s="4"/>
      <c r="QXO72" s="4"/>
      <c r="QXP72" s="4"/>
      <c r="QXQ72" s="4"/>
      <c r="QXR72" s="4"/>
      <c r="QXS72" s="4"/>
      <c r="QXT72" s="4"/>
      <c r="QXU72" s="4"/>
      <c r="QXV72" s="4"/>
      <c r="QXW72" s="4"/>
      <c r="QXX72" s="4"/>
      <c r="QXY72" s="4"/>
      <c r="QXZ72" s="4"/>
      <c r="QYA72" s="4"/>
      <c r="QYB72" s="4"/>
      <c r="QYC72" s="4"/>
      <c r="QYD72" s="4"/>
      <c r="QYE72" s="4"/>
      <c r="QYF72" s="4"/>
      <c r="QYG72" s="4"/>
      <c r="QYH72" s="4"/>
      <c r="QYI72" s="4"/>
      <c r="QYJ72" s="4"/>
      <c r="QYK72" s="4"/>
      <c r="QYL72" s="4"/>
      <c r="QYM72" s="4"/>
      <c r="QYN72" s="4"/>
      <c r="QYO72" s="4"/>
      <c r="QYP72" s="4"/>
      <c r="QYQ72" s="4"/>
      <c r="QYR72" s="4"/>
      <c r="QYS72" s="4"/>
      <c r="QYT72" s="4"/>
      <c r="QYU72" s="4"/>
      <c r="QYV72" s="4"/>
      <c r="QYW72" s="4"/>
      <c r="QYX72" s="4"/>
      <c r="QYY72" s="4"/>
      <c r="QYZ72" s="4"/>
      <c r="QZA72" s="4"/>
      <c r="QZB72" s="4"/>
      <c r="QZC72" s="4"/>
      <c r="QZD72" s="4"/>
      <c r="QZE72" s="4"/>
      <c r="QZF72" s="4"/>
      <c r="QZG72" s="4"/>
      <c r="QZH72" s="4"/>
      <c r="QZI72" s="4"/>
      <c r="QZJ72" s="4"/>
      <c r="QZK72" s="4"/>
      <c r="QZL72" s="4"/>
      <c r="QZM72" s="4"/>
      <c r="QZN72" s="4"/>
      <c r="QZO72" s="4"/>
      <c r="QZP72" s="4"/>
      <c r="QZQ72" s="4"/>
      <c r="QZR72" s="4"/>
      <c r="QZS72" s="4"/>
      <c r="QZT72" s="4"/>
      <c r="QZU72" s="4"/>
      <c r="QZV72" s="4"/>
      <c r="QZW72" s="4"/>
      <c r="QZX72" s="4"/>
      <c r="QZY72" s="4"/>
      <c r="QZZ72" s="4"/>
      <c r="RAA72" s="4"/>
      <c r="RAB72" s="4"/>
      <c r="RAC72" s="4"/>
      <c r="RAD72" s="4"/>
      <c r="RAE72" s="4"/>
      <c r="RAF72" s="4"/>
      <c r="RAG72" s="4"/>
      <c r="RAH72" s="4"/>
      <c r="RAI72" s="4"/>
      <c r="RAJ72" s="4"/>
      <c r="RAK72" s="4"/>
      <c r="RAL72" s="4"/>
      <c r="RAM72" s="4"/>
      <c r="RAN72" s="4"/>
      <c r="RAO72" s="4"/>
      <c r="RAP72" s="4"/>
      <c r="RAQ72" s="4"/>
      <c r="RAR72" s="4"/>
      <c r="RAS72" s="4"/>
      <c r="RAT72" s="4"/>
      <c r="RAU72" s="4"/>
      <c r="RAV72" s="4"/>
      <c r="RAW72" s="4"/>
      <c r="RAX72" s="4"/>
      <c r="RAY72" s="4"/>
      <c r="RAZ72" s="4"/>
      <c r="RBA72" s="4"/>
      <c r="RBB72" s="4"/>
      <c r="RBC72" s="4"/>
      <c r="RBD72" s="4"/>
      <c r="RBE72" s="4"/>
      <c r="RBF72" s="4"/>
      <c r="RBG72" s="4"/>
      <c r="RBH72" s="4"/>
      <c r="RBI72" s="4"/>
      <c r="RBJ72" s="4"/>
      <c r="RBK72" s="4"/>
      <c r="RBL72" s="4"/>
      <c r="RBM72" s="4"/>
      <c r="RBN72" s="4"/>
      <c r="RBO72" s="4"/>
      <c r="RBP72" s="4"/>
      <c r="RBQ72" s="4"/>
      <c r="RBR72" s="4"/>
      <c r="RBS72" s="4"/>
      <c r="RBT72" s="4"/>
      <c r="RBU72" s="4"/>
      <c r="RBV72" s="4"/>
      <c r="RBW72" s="4"/>
      <c r="RBX72" s="4"/>
      <c r="RBY72" s="4"/>
      <c r="RBZ72" s="4"/>
      <c r="RCA72" s="4"/>
      <c r="RCB72" s="4"/>
      <c r="RCC72" s="4"/>
      <c r="RCD72" s="4"/>
      <c r="RCE72" s="4"/>
      <c r="RCF72" s="4"/>
      <c r="RCG72" s="4"/>
      <c r="RCH72" s="4"/>
      <c r="RCI72" s="4"/>
      <c r="RCJ72" s="4"/>
      <c r="RCK72" s="4"/>
      <c r="RCL72" s="4"/>
      <c r="RCM72" s="4"/>
      <c r="RCN72" s="4"/>
      <c r="RCO72" s="4"/>
      <c r="RCP72" s="4"/>
      <c r="RCQ72" s="4"/>
      <c r="RCR72" s="4"/>
      <c r="RCS72" s="4"/>
      <c r="RCT72" s="4"/>
      <c r="RCU72" s="4"/>
      <c r="RCV72" s="4"/>
      <c r="RCW72" s="4"/>
      <c r="RCX72" s="4"/>
      <c r="RCY72" s="4"/>
      <c r="RCZ72" s="4"/>
      <c r="RDA72" s="4"/>
      <c r="RDB72" s="4"/>
      <c r="RDC72" s="4"/>
      <c r="RDD72" s="4"/>
      <c r="RDE72" s="4"/>
      <c r="RDF72" s="4"/>
      <c r="RDG72" s="4"/>
      <c r="RDH72" s="4"/>
      <c r="RDI72" s="4"/>
      <c r="RDJ72" s="4"/>
      <c r="RDK72" s="4"/>
      <c r="RDL72" s="4"/>
      <c r="RDM72" s="4"/>
      <c r="RDN72" s="4"/>
      <c r="RDO72" s="4"/>
      <c r="RDP72" s="4"/>
      <c r="RDQ72" s="4"/>
      <c r="RDR72" s="4"/>
      <c r="RDS72" s="4"/>
      <c r="RDT72" s="4"/>
      <c r="RDU72" s="4"/>
      <c r="RDV72" s="4"/>
      <c r="RDW72" s="4"/>
      <c r="RDX72" s="4"/>
      <c r="RDY72" s="4"/>
      <c r="RDZ72" s="4"/>
      <c r="REA72" s="4"/>
      <c r="REB72" s="4"/>
      <c r="REC72" s="4"/>
      <c r="RED72" s="4"/>
      <c r="REE72" s="4"/>
      <c r="REF72" s="4"/>
      <c r="REG72" s="4"/>
      <c r="REH72" s="4"/>
      <c r="REI72" s="4"/>
      <c r="REJ72" s="4"/>
      <c r="REK72" s="4"/>
      <c r="REL72" s="4"/>
      <c r="REM72" s="4"/>
      <c r="REN72" s="4"/>
      <c r="REO72" s="4"/>
      <c r="REP72" s="4"/>
      <c r="REQ72" s="4"/>
      <c r="RER72" s="4"/>
      <c r="RES72" s="4"/>
      <c r="RET72" s="4"/>
      <c r="REU72" s="4"/>
      <c r="REV72" s="4"/>
      <c r="REW72" s="4"/>
      <c r="REX72" s="4"/>
      <c r="REY72" s="4"/>
      <c r="REZ72" s="4"/>
      <c r="RFA72" s="4"/>
      <c r="RFB72" s="4"/>
      <c r="RFC72" s="4"/>
      <c r="RFD72" s="4"/>
      <c r="RFE72" s="4"/>
      <c r="RFF72" s="4"/>
      <c r="RFG72" s="4"/>
      <c r="RFH72" s="4"/>
      <c r="RFI72" s="4"/>
      <c r="RFJ72" s="4"/>
      <c r="RFK72" s="4"/>
      <c r="RFL72" s="4"/>
      <c r="RFM72" s="4"/>
      <c r="RFN72" s="4"/>
      <c r="RFO72" s="4"/>
      <c r="RFP72" s="4"/>
      <c r="RFQ72" s="4"/>
      <c r="RFR72" s="4"/>
      <c r="RFS72" s="4"/>
      <c r="RFT72" s="4"/>
      <c r="RFU72" s="4"/>
      <c r="RFV72" s="4"/>
      <c r="RFW72" s="4"/>
      <c r="RFX72" s="4"/>
      <c r="RFY72" s="4"/>
      <c r="RFZ72" s="4"/>
      <c r="RGA72" s="4"/>
      <c r="RGB72" s="4"/>
      <c r="RGC72" s="4"/>
      <c r="RGD72" s="4"/>
      <c r="RGE72" s="4"/>
      <c r="RGF72" s="4"/>
      <c r="RGG72" s="4"/>
      <c r="RGH72" s="4"/>
      <c r="RGI72" s="4"/>
      <c r="RGJ72" s="4"/>
      <c r="RGK72" s="4"/>
      <c r="RGL72" s="4"/>
      <c r="RGM72" s="4"/>
      <c r="RGN72" s="4"/>
      <c r="RGO72" s="4"/>
      <c r="RGP72" s="4"/>
      <c r="RGQ72" s="4"/>
      <c r="RGR72" s="4"/>
      <c r="RGS72" s="4"/>
      <c r="RGT72" s="4"/>
      <c r="RGU72" s="4"/>
      <c r="RGV72" s="4"/>
      <c r="RGW72" s="4"/>
      <c r="RGX72" s="4"/>
      <c r="RGY72" s="4"/>
      <c r="RGZ72" s="4"/>
      <c r="RHA72" s="4"/>
      <c r="RHB72" s="4"/>
      <c r="RHC72" s="4"/>
      <c r="RHD72" s="4"/>
      <c r="RHE72" s="4"/>
      <c r="RHF72" s="4"/>
      <c r="RHG72" s="4"/>
      <c r="RHH72" s="4"/>
      <c r="RHI72" s="4"/>
      <c r="RHJ72" s="4"/>
      <c r="RHK72" s="4"/>
      <c r="RHL72" s="4"/>
      <c r="RHM72" s="4"/>
      <c r="RHN72" s="4"/>
      <c r="RHO72" s="4"/>
      <c r="RHP72" s="4"/>
      <c r="RHQ72" s="4"/>
      <c r="RHR72" s="4"/>
      <c r="RHS72" s="4"/>
      <c r="RHT72" s="4"/>
      <c r="RHU72" s="4"/>
      <c r="RHV72" s="4"/>
      <c r="RHW72" s="4"/>
      <c r="RHX72" s="4"/>
      <c r="RHY72" s="4"/>
      <c r="RHZ72" s="4"/>
      <c r="RIA72" s="4"/>
      <c r="RIB72" s="4"/>
      <c r="RIC72" s="4"/>
      <c r="RID72" s="4"/>
      <c r="RIE72" s="4"/>
      <c r="RIF72" s="4"/>
      <c r="RIG72" s="4"/>
      <c r="RIH72" s="4"/>
      <c r="RII72" s="4"/>
      <c r="RIJ72" s="4"/>
      <c r="RIK72" s="4"/>
      <c r="RIL72" s="4"/>
      <c r="RIM72" s="4"/>
      <c r="RIN72" s="4"/>
      <c r="RIO72" s="4"/>
      <c r="RIP72" s="4"/>
      <c r="RIQ72" s="4"/>
      <c r="RIR72" s="4"/>
      <c r="RIS72" s="4"/>
      <c r="RIT72" s="4"/>
      <c r="RIU72" s="4"/>
      <c r="RIV72" s="4"/>
      <c r="RIW72" s="4"/>
      <c r="RIX72" s="4"/>
      <c r="RIY72" s="4"/>
      <c r="RIZ72" s="4"/>
      <c r="RJA72" s="4"/>
      <c r="RJB72" s="4"/>
      <c r="RJC72" s="4"/>
      <c r="RJD72" s="4"/>
      <c r="RJE72" s="4"/>
      <c r="RJF72" s="4"/>
      <c r="RJG72" s="4"/>
      <c r="RJH72" s="4"/>
      <c r="RJI72" s="4"/>
      <c r="RJJ72" s="4"/>
      <c r="RJK72" s="4"/>
      <c r="RJL72" s="4"/>
      <c r="RJM72" s="4"/>
      <c r="RJN72" s="4"/>
      <c r="RJO72" s="4"/>
      <c r="RJP72" s="4"/>
      <c r="RJQ72" s="4"/>
      <c r="RJR72" s="4"/>
      <c r="RJS72" s="4"/>
      <c r="RJT72" s="4"/>
      <c r="RJU72" s="4"/>
      <c r="RJV72" s="4"/>
      <c r="RJW72" s="4"/>
      <c r="RJX72" s="4"/>
      <c r="RJY72" s="4"/>
      <c r="RJZ72" s="4"/>
      <c r="RKA72" s="4"/>
      <c r="RKB72" s="4"/>
      <c r="RKC72" s="4"/>
      <c r="RKD72" s="4"/>
      <c r="RKE72" s="4"/>
      <c r="RKF72" s="4"/>
      <c r="RKG72" s="4"/>
      <c r="RKH72" s="4"/>
      <c r="RKI72" s="4"/>
      <c r="RKJ72" s="4"/>
      <c r="RKK72" s="4"/>
      <c r="RKL72" s="4"/>
      <c r="RKM72" s="4"/>
      <c r="RKN72" s="4"/>
      <c r="RKO72" s="4"/>
      <c r="RKP72" s="4"/>
      <c r="RKQ72" s="4"/>
      <c r="RKR72" s="4"/>
      <c r="RKS72" s="4"/>
      <c r="RKT72" s="4"/>
      <c r="RKU72" s="4"/>
      <c r="RKV72" s="4"/>
      <c r="RKW72" s="4"/>
      <c r="RKX72" s="4"/>
      <c r="RKY72" s="4"/>
      <c r="RKZ72" s="4"/>
      <c r="RLA72" s="4"/>
      <c r="RLB72" s="4"/>
      <c r="RLC72" s="4"/>
      <c r="RLD72" s="4"/>
      <c r="RLE72" s="4"/>
      <c r="RLF72" s="4"/>
      <c r="RLG72" s="4"/>
      <c r="RLH72" s="4"/>
      <c r="RLI72" s="4"/>
      <c r="RLJ72" s="4"/>
      <c r="RLK72" s="4"/>
      <c r="RLL72" s="4"/>
      <c r="RLM72" s="4"/>
      <c r="RLN72" s="4"/>
      <c r="RLO72" s="4"/>
      <c r="RLP72" s="4"/>
      <c r="RLQ72" s="4"/>
      <c r="RLR72" s="4"/>
      <c r="RLS72" s="4"/>
      <c r="RLT72" s="4"/>
      <c r="RLU72" s="4"/>
      <c r="RLV72" s="4"/>
      <c r="RLW72" s="4"/>
      <c r="RLX72" s="4"/>
      <c r="RLY72" s="4"/>
      <c r="RLZ72" s="4"/>
      <c r="RMA72" s="4"/>
      <c r="RMB72" s="4"/>
      <c r="RMC72" s="4"/>
      <c r="RMD72" s="4"/>
      <c r="RME72" s="4"/>
      <c r="RMF72" s="4"/>
      <c r="RMG72" s="4"/>
      <c r="RMH72" s="4"/>
      <c r="RMI72" s="4"/>
      <c r="RMJ72" s="4"/>
      <c r="RMK72" s="4"/>
      <c r="RML72" s="4"/>
      <c r="RMM72" s="4"/>
      <c r="RMN72" s="4"/>
      <c r="RMO72" s="4"/>
      <c r="RMP72" s="4"/>
      <c r="RMQ72" s="4"/>
      <c r="RMR72" s="4"/>
      <c r="RMS72" s="4"/>
      <c r="RMT72" s="4"/>
      <c r="RMU72" s="4"/>
      <c r="RMV72" s="4"/>
      <c r="RMW72" s="4"/>
      <c r="RMX72" s="4"/>
      <c r="RMY72" s="4"/>
      <c r="RMZ72" s="4"/>
      <c r="RNA72" s="4"/>
      <c r="RNB72" s="4"/>
      <c r="RNC72" s="4"/>
      <c r="RND72" s="4"/>
      <c r="RNE72" s="4"/>
      <c r="RNF72" s="4"/>
      <c r="RNG72" s="4"/>
      <c r="RNH72" s="4"/>
      <c r="RNI72" s="4"/>
      <c r="RNJ72" s="4"/>
      <c r="RNK72" s="4"/>
      <c r="RNL72" s="4"/>
      <c r="RNM72" s="4"/>
      <c r="RNN72" s="4"/>
      <c r="RNO72" s="4"/>
      <c r="RNP72" s="4"/>
      <c r="RNQ72" s="4"/>
      <c r="RNR72" s="4"/>
      <c r="RNS72" s="4"/>
      <c r="RNT72" s="4"/>
      <c r="RNU72" s="4"/>
      <c r="RNV72" s="4"/>
      <c r="RNW72" s="4"/>
      <c r="RNX72" s="4"/>
      <c r="RNY72" s="4"/>
      <c r="RNZ72" s="4"/>
      <c r="ROA72" s="4"/>
      <c r="ROB72" s="4"/>
      <c r="ROC72" s="4"/>
      <c r="ROD72" s="4"/>
      <c r="ROE72" s="4"/>
      <c r="ROF72" s="4"/>
      <c r="ROG72" s="4"/>
      <c r="ROH72" s="4"/>
      <c r="ROI72" s="4"/>
      <c r="ROJ72" s="4"/>
      <c r="ROK72" s="4"/>
      <c r="ROL72" s="4"/>
      <c r="ROM72" s="4"/>
      <c r="RON72" s="4"/>
      <c r="ROO72" s="4"/>
      <c r="ROP72" s="4"/>
      <c r="ROQ72" s="4"/>
      <c r="ROR72" s="4"/>
      <c r="ROS72" s="4"/>
      <c r="ROT72" s="4"/>
      <c r="ROU72" s="4"/>
      <c r="ROV72" s="4"/>
      <c r="ROW72" s="4"/>
      <c r="ROX72" s="4"/>
      <c r="ROY72" s="4"/>
      <c r="ROZ72" s="4"/>
      <c r="RPA72" s="4"/>
      <c r="RPB72" s="4"/>
      <c r="RPC72" s="4"/>
      <c r="RPD72" s="4"/>
      <c r="RPE72" s="4"/>
      <c r="RPF72" s="4"/>
      <c r="RPG72" s="4"/>
      <c r="RPH72" s="4"/>
      <c r="RPI72" s="4"/>
      <c r="RPJ72" s="4"/>
      <c r="RPK72" s="4"/>
      <c r="RPL72" s="4"/>
      <c r="RPM72" s="4"/>
      <c r="RPN72" s="4"/>
      <c r="RPO72" s="4"/>
      <c r="RPP72" s="4"/>
      <c r="RPQ72" s="4"/>
      <c r="RPR72" s="4"/>
      <c r="RPS72" s="4"/>
      <c r="RPT72" s="4"/>
      <c r="RPU72" s="4"/>
      <c r="RPV72" s="4"/>
      <c r="RPW72" s="4"/>
      <c r="RPX72" s="4"/>
      <c r="RPY72" s="4"/>
      <c r="RPZ72" s="4"/>
      <c r="RQA72" s="4"/>
      <c r="RQB72" s="4"/>
      <c r="RQC72" s="4"/>
      <c r="RQD72" s="4"/>
      <c r="RQE72" s="4"/>
      <c r="RQF72" s="4"/>
      <c r="RQG72" s="4"/>
      <c r="RQH72" s="4"/>
      <c r="RQI72" s="4"/>
      <c r="RQJ72" s="4"/>
      <c r="RQK72" s="4"/>
      <c r="RQL72" s="4"/>
      <c r="RQM72" s="4"/>
      <c r="RQN72" s="4"/>
      <c r="RQO72" s="4"/>
      <c r="RQP72" s="4"/>
      <c r="RQQ72" s="4"/>
      <c r="RQR72" s="4"/>
      <c r="RQS72" s="4"/>
      <c r="RQT72" s="4"/>
      <c r="RQU72" s="4"/>
      <c r="RQV72" s="4"/>
      <c r="RQW72" s="4"/>
      <c r="RQX72" s="4"/>
      <c r="RQY72" s="4"/>
      <c r="RQZ72" s="4"/>
      <c r="RRA72" s="4"/>
      <c r="RRB72" s="4"/>
      <c r="RRC72" s="4"/>
      <c r="RRD72" s="4"/>
      <c r="RRE72" s="4"/>
      <c r="RRF72" s="4"/>
      <c r="RRG72" s="4"/>
      <c r="RRH72" s="4"/>
      <c r="RRI72" s="4"/>
      <c r="RRJ72" s="4"/>
      <c r="RRK72" s="4"/>
      <c r="RRL72" s="4"/>
      <c r="RRM72" s="4"/>
      <c r="RRN72" s="4"/>
      <c r="RRO72" s="4"/>
      <c r="RRP72" s="4"/>
      <c r="RRQ72" s="4"/>
      <c r="RRR72" s="4"/>
      <c r="RRS72" s="4"/>
      <c r="RRT72" s="4"/>
      <c r="RRU72" s="4"/>
      <c r="RRV72" s="4"/>
      <c r="RRW72" s="4"/>
      <c r="RRX72" s="4"/>
      <c r="RRY72" s="4"/>
      <c r="RRZ72" s="4"/>
      <c r="RSA72" s="4"/>
      <c r="RSB72" s="4"/>
      <c r="RSC72" s="4"/>
      <c r="RSD72" s="4"/>
      <c r="RSE72" s="4"/>
      <c r="RSF72" s="4"/>
      <c r="RSG72" s="4"/>
      <c r="RSH72" s="4"/>
      <c r="RSI72" s="4"/>
      <c r="RSJ72" s="4"/>
      <c r="RSK72" s="4"/>
      <c r="RSL72" s="4"/>
      <c r="RSM72" s="4"/>
      <c r="RSN72" s="4"/>
      <c r="RSO72" s="4"/>
      <c r="RSP72" s="4"/>
      <c r="RSQ72" s="4"/>
      <c r="RSR72" s="4"/>
      <c r="RSS72" s="4"/>
      <c r="RST72" s="4"/>
      <c r="RSU72" s="4"/>
      <c r="RSV72" s="4"/>
      <c r="RSW72" s="4"/>
      <c r="RSX72" s="4"/>
      <c r="RSY72" s="4"/>
      <c r="RSZ72" s="4"/>
      <c r="RTA72" s="4"/>
      <c r="RTB72" s="4"/>
      <c r="RTC72" s="4"/>
      <c r="RTD72" s="4"/>
      <c r="RTE72" s="4"/>
      <c r="RTF72" s="4"/>
      <c r="RTG72" s="4"/>
      <c r="RTH72" s="4"/>
      <c r="RTI72" s="4"/>
      <c r="RTJ72" s="4"/>
      <c r="RTK72" s="4"/>
      <c r="RTL72" s="4"/>
      <c r="RTM72" s="4"/>
      <c r="RTN72" s="4"/>
      <c r="RTO72" s="4"/>
      <c r="RTP72" s="4"/>
      <c r="RTQ72" s="4"/>
      <c r="RTR72" s="4"/>
      <c r="RTS72" s="4"/>
      <c r="RTT72" s="4"/>
      <c r="RTU72" s="4"/>
      <c r="RTV72" s="4"/>
      <c r="RTW72" s="4"/>
      <c r="RTX72" s="4"/>
      <c r="RTY72" s="4"/>
      <c r="RTZ72" s="4"/>
      <c r="RUA72" s="4"/>
      <c r="RUB72" s="4"/>
      <c r="RUC72" s="4"/>
      <c r="RUD72" s="4"/>
      <c r="RUE72" s="4"/>
      <c r="RUF72" s="4"/>
      <c r="RUG72" s="4"/>
      <c r="RUH72" s="4"/>
      <c r="RUI72" s="4"/>
      <c r="RUJ72" s="4"/>
      <c r="RUK72" s="4"/>
      <c r="RUL72" s="4"/>
      <c r="RUM72" s="4"/>
      <c r="RUN72" s="4"/>
      <c r="RUO72" s="4"/>
      <c r="RUP72" s="4"/>
      <c r="RUQ72" s="4"/>
      <c r="RUR72" s="4"/>
      <c r="RUS72" s="4"/>
      <c r="RUT72" s="4"/>
      <c r="RUU72" s="4"/>
      <c r="RUV72" s="4"/>
      <c r="RUW72" s="4"/>
      <c r="RUX72" s="4"/>
      <c r="RUY72" s="4"/>
      <c r="RUZ72" s="4"/>
      <c r="RVA72" s="4"/>
      <c r="RVB72" s="4"/>
      <c r="RVC72" s="4"/>
      <c r="RVD72" s="4"/>
      <c r="RVE72" s="4"/>
      <c r="RVF72" s="4"/>
      <c r="RVG72" s="4"/>
      <c r="RVH72" s="4"/>
      <c r="RVI72" s="4"/>
      <c r="RVJ72" s="4"/>
      <c r="RVK72" s="4"/>
      <c r="RVL72" s="4"/>
      <c r="RVM72" s="4"/>
      <c r="RVN72" s="4"/>
      <c r="RVO72" s="4"/>
      <c r="RVP72" s="4"/>
      <c r="RVQ72" s="4"/>
      <c r="RVR72" s="4"/>
      <c r="RVS72" s="4"/>
      <c r="RVT72" s="4"/>
      <c r="RVU72" s="4"/>
      <c r="RVV72" s="4"/>
      <c r="RVW72" s="4"/>
      <c r="RVX72" s="4"/>
      <c r="RVY72" s="4"/>
      <c r="RVZ72" s="4"/>
      <c r="RWA72" s="4"/>
      <c r="RWB72" s="4"/>
      <c r="RWC72" s="4"/>
      <c r="RWD72" s="4"/>
      <c r="RWE72" s="4"/>
      <c r="RWF72" s="4"/>
      <c r="RWG72" s="4"/>
      <c r="RWH72" s="4"/>
      <c r="RWI72" s="4"/>
      <c r="RWJ72" s="4"/>
      <c r="RWK72" s="4"/>
      <c r="RWL72" s="4"/>
      <c r="RWM72" s="4"/>
      <c r="RWN72" s="4"/>
      <c r="RWO72" s="4"/>
      <c r="RWP72" s="4"/>
      <c r="RWQ72" s="4"/>
      <c r="RWR72" s="4"/>
      <c r="RWS72" s="4"/>
      <c r="RWT72" s="4"/>
      <c r="RWU72" s="4"/>
      <c r="RWV72" s="4"/>
      <c r="RWW72" s="4"/>
      <c r="RWX72" s="4"/>
      <c r="RWY72" s="4"/>
      <c r="RWZ72" s="4"/>
      <c r="RXA72" s="4"/>
      <c r="RXB72" s="4"/>
      <c r="RXC72" s="4"/>
      <c r="RXD72" s="4"/>
      <c r="RXE72" s="4"/>
      <c r="RXF72" s="4"/>
      <c r="RXG72" s="4"/>
      <c r="RXH72" s="4"/>
      <c r="RXI72" s="4"/>
      <c r="RXJ72" s="4"/>
      <c r="RXK72" s="4"/>
      <c r="RXL72" s="4"/>
      <c r="RXM72" s="4"/>
      <c r="RXN72" s="4"/>
      <c r="RXO72" s="4"/>
      <c r="RXP72" s="4"/>
      <c r="RXQ72" s="4"/>
      <c r="RXR72" s="4"/>
      <c r="RXS72" s="4"/>
      <c r="RXT72" s="4"/>
      <c r="RXU72" s="4"/>
      <c r="RXV72" s="4"/>
      <c r="RXW72" s="4"/>
      <c r="RXX72" s="4"/>
      <c r="RXY72" s="4"/>
      <c r="RXZ72" s="4"/>
      <c r="RYA72" s="4"/>
      <c r="RYB72" s="4"/>
      <c r="RYC72" s="4"/>
      <c r="RYD72" s="4"/>
      <c r="RYE72" s="4"/>
      <c r="RYF72" s="4"/>
      <c r="RYG72" s="4"/>
      <c r="RYH72" s="4"/>
      <c r="RYI72" s="4"/>
      <c r="RYJ72" s="4"/>
      <c r="RYK72" s="4"/>
      <c r="RYL72" s="4"/>
      <c r="RYM72" s="4"/>
      <c r="RYN72" s="4"/>
      <c r="RYO72" s="4"/>
      <c r="RYP72" s="4"/>
      <c r="RYQ72" s="4"/>
      <c r="RYR72" s="4"/>
      <c r="RYS72" s="4"/>
      <c r="RYT72" s="4"/>
      <c r="RYU72" s="4"/>
      <c r="RYV72" s="4"/>
      <c r="RYW72" s="4"/>
      <c r="RYX72" s="4"/>
      <c r="RYY72" s="4"/>
      <c r="RYZ72" s="4"/>
      <c r="RZA72" s="4"/>
      <c r="RZB72" s="4"/>
      <c r="RZC72" s="4"/>
      <c r="RZD72" s="4"/>
      <c r="RZE72" s="4"/>
      <c r="RZF72" s="4"/>
      <c r="RZG72" s="4"/>
      <c r="RZH72" s="4"/>
      <c r="RZI72" s="4"/>
      <c r="RZJ72" s="4"/>
      <c r="RZK72" s="4"/>
      <c r="RZL72" s="4"/>
      <c r="RZM72" s="4"/>
      <c r="RZN72" s="4"/>
      <c r="RZO72" s="4"/>
      <c r="RZP72" s="4"/>
      <c r="RZQ72" s="4"/>
      <c r="RZR72" s="4"/>
      <c r="RZS72" s="4"/>
      <c r="RZT72" s="4"/>
      <c r="RZU72" s="4"/>
      <c r="RZV72" s="4"/>
      <c r="RZW72" s="4"/>
      <c r="RZX72" s="4"/>
      <c r="RZY72" s="4"/>
      <c r="RZZ72" s="4"/>
      <c r="SAA72" s="4"/>
      <c r="SAB72" s="4"/>
      <c r="SAC72" s="4"/>
      <c r="SAD72" s="4"/>
      <c r="SAE72" s="4"/>
      <c r="SAF72" s="4"/>
      <c r="SAG72" s="4"/>
      <c r="SAH72" s="4"/>
      <c r="SAI72" s="4"/>
      <c r="SAJ72" s="4"/>
      <c r="SAK72" s="4"/>
      <c r="SAL72" s="4"/>
      <c r="SAM72" s="4"/>
      <c r="SAN72" s="4"/>
      <c r="SAO72" s="4"/>
      <c r="SAP72" s="4"/>
      <c r="SAQ72" s="4"/>
      <c r="SAR72" s="4"/>
      <c r="SAS72" s="4"/>
      <c r="SAT72" s="4"/>
      <c r="SAU72" s="4"/>
      <c r="SAV72" s="4"/>
      <c r="SAW72" s="4"/>
      <c r="SAX72" s="4"/>
      <c r="SAY72" s="4"/>
      <c r="SAZ72" s="4"/>
      <c r="SBA72" s="4"/>
      <c r="SBB72" s="4"/>
      <c r="SBC72" s="4"/>
      <c r="SBD72" s="4"/>
      <c r="SBE72" s="4"/>
      <c r="SBF72" s="4"/>
      <c r="SBG72" s="4"/>
      <c r="SBH72" s="4"/>
      <c r="SBI72" s="4"/>
      <c r="SBJ72" s="4"/>
      <c r="SBK72" s="4"/>
      <c r="SBL72" s="4"/>
      <c r="SBM72" s="4"/>
      <c r="SBN72" s="4"/>
      <c r="SBO72" s="4"/>
      <c r="SBP72" s="4"/>
      <c r="SBQ72" s="4"/>
      <c r="SBR72" s="4"/>
      <c r="SBS72" s="4"/>
      <c r="SBT72" s="4"/>
      <c r="SBU72" s="4"/>
      <c r="SBV72" s="4"/>
      <c r="SBW72" s="4"/>
      <c r="SBX72" s="4"/>
      <c r="SBY72" s="4"/>
      <c r="SBZ72" s="4"/>
      <c r="SCA72" s="4"/>
      <c r="SCB72" s="4"/>
      <c r="SCC72" s="4"/>
      <c r="SCD72" s="4"/>
      <c r="SCE72" s="4"/>
      <c r="SCF72" s="4"/>
      <c r="SCG72" s="4"/>
      <c r="SCH72" s="4"/>
      <c r="SCI72" s="4"/>
      <c r="SCJ72" s="4"/>
      <c r="SCK72" s="4"/>
      <c r="SCL72" s="4"/>
      <c r="SCM72" s="4"/>
      <c r="SCN72" s="4"/>
      <c r="SCO72" s="4"/>
      <c r="SCP72" s="4"/>
      <c r="SCQ72" s="4"/>
      <c r="SCR72" s="4"/>
      <c r="SCS72" s="4"/>
      <c r="SCT72" s="4"/>
      <c r="SCU72" s="4"/>
      <c r="SCV72" s="4"/>
      <c r="SCW72" s="4"/>
      <c r="SCX72" s="4"/>
      <c r="SCY72" s="4"/>
      <c r="SCZ72" s="4"/>
      <c r="SDA72" s="4"/>
      <c r="SDB72" s="4"/>
      <c r="SDC72" s="4"/>
      <c r="SDD72" s="4"/>
      <c r="SDE72" s="4"/>
      <c r="SDF72" s="4"/>
      <c r="SDG72" s="4"/>
      <c r="SDH72" s="4"/>
      <c r="SDI72" s="4"/>
      <c r="SDJ72" s="4"/>
      <c r="SDK72" s="4"/>
      <c r="SDL72" s="4"/>
      <c r="SDM72" s="4"/>
      <c r="SDN72" s="4"/>
      <c r="SDO72" s="4"/>
      <c r="SDP72" s="4"/>
      <c r="SDQ72" s="4"/>
      <c r="SDR72" s="4"/>
      <c r="SDS72" s="4"/>
      <c r="SDT72" s="4"/>
      <c r="SDU72" s="4"/>
      <c r="SDV72" s="4"/>
      <c r="SDW72" s="4"/>
      <c r="SDX72" s="4"/>
      <c r="SDY72" s="4"/>
      <c r="SDZ72" s="4"/>
      <c r="SEA72" s="4"/>
      <c r="SEB72" s="4"/>
      <c r="SEC72" s="4"/>
      <c r="SED72" s="4"/>
      <c r="SEE72" s="4"/>
      <c r="SEF72" s="4"/>
      <c r="SEG72" s="4"/>
      <c r="SEH72" s="4"/>
      <c r="SEI72" s="4"/>
      <c r="SEJ72" s="4"/>
      <c r="SEK72" s="4"/>
      <c r="SEL72" s="4"/>
      <c r="SEM72" s="4"/>
      <c r="SEN72" s="4"/>
      <c r="SEO72" s="4"/>
      <c r="SEP72" s="4"/>
      <c r="SEQ72" s="4"/>
      <c r="SER72" s="4"/>
      <c r="SES72" s="4"/>
      <c r="SET72" s="4"/>
      <c r="SEU72" s="4"/>
      <c r="SEV72" s="4"/>
      <c r="SEW72" s="4"/>
      <c r="SEX72" s="4"/>
      <c r="SEY72" s="4"/>
      <c r="SEZ72" s="4"/>
      <c r="SFA72" s="4"/>
      <c r="SFB72" s="4"/>
      <c r="SFC72" s="4"/>
      <c r="SFD72" s="4"/>
      <c r="SFE72" s="4"/>
      <c r="SFF72" s="4"/>
      <c r="SFG72" s="4"/>
      <c r="SFH72" s="4"/>
      <c r="SFI72" s="4"/>
      <c r="SFJ72" s="4"/>
      <c r="SFK72" s="4"/>
      <c r="SFL72" s="4"/>
      <c r="SFM72" s="4"/>
      <c r="SFN72" s="4"/>
      <c r="SFO72" s="4"/>
      <c r="SFP72" s="4"/>
      <c r="SFQ72" s="4"/>
      <c r="SFR72" s="4"/>
      <c r="SFS72" s="4"/>
      <c r="SFT72" s="4"/>
      <c r="SFU72" s="4"/>
      <c r="SFV72" s="4"/>
      <c r="SFW72" s="4"/>
      <c r="SFX72" s="4"/>
      <c r="SFY72" s="4"/>
      <c r="SFZ72" s="4"/>
      <c r="SGA72" s="4"/>
      <c r="SGB72" s="4"/>
      <c r="SGC72" s="4"/>
      <c r="SGD72" s="4"/>
      <c r="SGE72" s="4"/>
      <c r="SGF72" s="4"/>
      <c r="SGG72" s="4"/>
      <c r="SGH72" s="4"/>
      <c r="SGI72" s="4"/>
      <c r="SGJ72" s="4"/>
      <c r="SGK72" s="4"/>
      <c r="SGL72" s="4"/>
      <c r="SGM72" s="4"/>
      <c r="SGN72" s="4"/>
      <c r="SGO72" s="4"/>
      <c r="SGP72" s="4"/>
      <c r="SGQ72" s="4"/>
      <c r="SGR72" s="4"/>
      <c r="SGS72" s="4"/>
      <c r="SGT72" s="4"/>
      <c r="SGU72" s="4"/>
      <c r="SGV72" s="4"/>
      <c r="SGW72" s="4"/>
      <c r="SGX72" s="4"/>
      <c r="SGY72" s="4"/>
      <c r="SGZ72" s="4"/>
      <c r="SHA72" s="4"/>
      <c r="SHB72" s="4"/>
      <c r="SHC72" s="4"/>
      <c r="SHD72" s="4"/>
      <c r="SHE72" s="4"/>
      <c r="SHF72" s="4"/>
      <c r="SHG72" s="4"/>
      <c r="SHH72" s="4"/>
      <c r="SHI72" s="4"/>
      <c r="SHJ72" s="4"/>
      <c r="SHK72" s="4"/>
      <c r="SHL72" s="4"/>
      <c r="SHM72" s="4"/>
      <c r="SHN72" s="4"/>
      <c r="SHO72" s="4"/>
      <c r="SHP72" s="4"/>
      <c r="SHQ72" s="4"/>
      <c r="SHR72" s="4"/>
      <c r="SHS72" s="4"/>
      <c r="SHT72" s="4"/>
      <c r="SHU72" s="4"/>
      <c r="SHV72" s="4"/>
      <c r="SHW72" s="4"/>
      <c r="SHX72" s="4"/>
      <c r="SHY72" s="4"/>
      <c r="SHZ72" s="4"/>
      <c r="SIA72" s="4"/>
      <c r="SIB72" s="4"/>
      <c r="SIC72" s="4"/>
      <c r="SID72" s="4"/>
      <c r="SIE72" s="4"/>
      <c r="SIF72" s="4"/>
      <c r="SIG72" s="4"/>
      <c r="SIH72" s="4"/>
      <c r="SII72" s="4"/>
      <c r="SIJ72" s="4"/>
      <c r="SIK72" s="4"/>
      <c r="SIL72" s="4"/>
      <c r="SIM72" s="4"/>
      <c r="SIN72" s="4"/>
      <c r="SIO72" s="4"/>
      <c r="SIP72" s="4"/>
      <c r="SIQ72" s="4"/>
      <c r="SIR72" s="4"/>
      <c r="SIS72" s="4"/>
      <c r="SIT72" s="4"/>
      <c r="SIU72" s="4"/>
      <c r="SIV72" s="4"/>
      <c r="SIW72" s="4"/>
      <c r="SIX72" s="4"/>
      <c r="SIY72" s="4"/>
      <c r="SIZ72" s="4"/>
      <c r="SJA72" s="4"/>
      <c r="SJB72" s="4"/>
      <c r="SJC72" s="4"/>
      <c r="SJD72" s="4"/>
      <c r="SJE72" s="4"/>
      <c r="SJF72" s="4"/>
      <c r="SJG72" s="4"/>
      <c r="SJH72" s="4"/>
      <c r="SJI72" s="4"/>
      <c r="SJJ72" s="4"/>
      <c r="SJK72" s="4"/>
      <c r="SJL72" s="4"/>
      <c r="SJM72" s="4"/>
      <c r="SJN72" s="4"/>
      <c r="SJO72" s="4"/>
      <c r="SJP72" s="4"/>
      <c r="SJQ72" s="4"/>
      <c r="SJR72" s="4"/>
      <c r="SJS72" s="4"/>
      <c r="SJT72" s="4"/>
      <c r="SJU72" s="4"/>
      <c r="SJV72" s="4"/>
      <c r="SJW72" s="4"/>
      <c r="SJX72" s="4"/>
      <c r="SJY72" s="4"/>
      <c r="SJZ72" s="4"/>
      <c r="SKA72" s="4"/>
      <c r="SKB72" s="4"/>
      <c r="SKC72" s="4"/>
      <c r="SKD72" s="4"/>
      <c r="SKE72" s="4"/>
      <c r="SKF72" s="4"/>
      <c r="SKG72" s="4"/>
      <c r="SKH72" s="4"/>
      <c r="SKI72" s="4"/>
      <c r="SKJ72" s="4"/>
      <c r="SKK72" s="4"/>
      <c r="SKL72" s="4"/>
      <c r="SKM72" s="4"/>
      <c r="SKN72" s="4"/>
      <c r="SKO72" s="4"/>
      <c r="SKP72" s="4"/>
      <c r="SKQ72" s="4"/>
      <c r="SKR72" s="4"/>
      <c r="SKS72" s="4"/>
      <c r="SKT72" s="4"/>
      <c r="SKU72" s="4"/>
      <c r="SKV72" s="4"/>
      <c r="SKW72" s="4"/>
      <c r="SKX72" s="4"/>
      <c r="SKY72" s="4"/>
      <c r="SKZ72" s="4"/>
      <c r="SLA72" s="4"/>
      <c r="SLB72" s="4"/>
      <c r="SLC72" s="4"/>
      <c r="SLD72" s="4"/>
      <c r="SLE72" s="4"/>
      <c r="SLF72" s="4"/>
      <c r="SLG72" s="4"/>
      <c r="SLH72" s="4"/>
      <c r="SLI72" s="4"/>
      <c r="SLJ72" s="4"/>
      <c r="SLK72" s="4"/>
      <c r="SLL72" s="4"/>
      <c r="SLM72" s="4"/>
      <c r="SLN72" s="4"/>
      <c r="SLO72" s="4"/>
      <c r="SLP72" s="4"/>
      <c r="SLQ72" s="4"/>
      <c r="SLR72" s="4"/>
      <c r="SLS72" s="4"/>
      <c r="SLT72" s="4"/>
      <c r="SLU72" s="4"/>
      <c r="SLV72" s="4"/>
      <c r="SLW72" s="4"/>
      <c r="SLX72" s="4"/>
      <c r="SLY72" s="4"/>
      <c r="SLZ72" s="4"/>
      <c r="SMA72" s="4"/>
      <c r="SMB72" s="4"/>
      <c r="SMC72" s="4"/>
      <c r="SMD72" s="4"/>
      <c r="SME72" s="4"/>
      <c r="SMF72" s="4"/>
      <c r="SMG72" s="4"/>
      <c r="SMH72" s="4"/>
      <c r="SMI72" s="4"/>
      <c r="SMJ72" s="4"/>
      <c r="SMK72" s="4"/>
      <c r="SML72" s="4"/>
      <c r="SMM72" s="4"/>
      <c r="SMN72" s="4"/>
      <c r="SMO72" s="4"/>
      <c r="SMP72" s="4"/>
      <c r="SMQ72" s="4"/>
      <c r="SMR72" s="4"/>
      <c r="SMS72" s="4"/>
      <c r="SMT72" s="4"/>
      <c r="SMU72" s="4"/>
      <c r="SMV72" s="4"/>
      <c r="SMW72" s="4"/>
      <c r="SMX72" s="4"/>
      <c r="SMY72" s="4"/>
      <c r="SMZ72" s="4"/>
      <c r="SNA72" s="4"/>
      <c r="SNB72" s="4"/>
      <c r="SNC72" s="4"/>
      <c r="SND72" s="4"/>
      <c r="SNE72" s="4"/>
      <c r="SNF72" s="4"/>
      <c r="SNG72" s="4"/>
      <c r="SNH72" s="4"/>
      <c r="SNI72" s="4"/>
      <c r="SNJ72" s="4"/>
      <c r="SNK72" s="4"/>
      <c r="SNL72" s="4"/>
      <c r="SNM72" s="4"/>
      <c r="SNN72" s="4"/>
      <c r="SNO72" s="4"/>
      <c r="SNP72" s="4"/>
      <c r="SNQ72" s="4"/>
      <c r="SNR72" s="4"/>
      <c r="SNS72" s="4"/>
      <c r="SNT72" s="4"/>
      <c r="SNU72" s="4"/>
      <c r="SNV72" s="4"/>
      <c r="SNW72" s="4"/>
      <c r="SNX72" s="4"/>
      <c r="SNY72" s="4"/>
      <c r="SNZ72" s="4"/>
      <c r="SOA72" s="4"/>
      <c r="SOB72" s="4"/>
      <c r="SOC72" s="4"/>
      <c r="SOD72" s="4"/>
      <c r="SOE72" s="4"/>
      <c r="SOF72" s="4"/>
      <c r="SOG72" s="4"/>
      <c r="SOH72" s="4"/>
      <c r="SOI72" s="4"/>
      <c r="SOJ72" s="4"/>
      <c r="SOK72" s="4"/>
      <c r="SOL72" s="4"/>
      <c r="SOM72" s="4"/>
      <c r="SON72" s="4"/>
      <c r="SOO72" s="4"/>
      <c r="SOP72" s="4"/>
      <c r="SOQ72" s="4"/>
      <c r="SOR72" s="4"/>
      <c r="SOS72" s="4"/>
      <c r="SOT72" s="4"/>
      <c r="SOU72" s="4"/>
      <c r="SOV72" s="4"/>
      <c r="SOW72" s="4"/>
      <c r="SOX72" s="4"/>
      <c r="SOY72" s="4"/>
      <c r="SOZ72" s="4"/>
      <c r="SPA72" s="4"/>
      <c r="SPB72" s="4"/>
      <c r="SPC72" s="4"/>
      <c r="SPD72" s="4"/>
      <c r="SPE72" s="4"/>
      <c r="SPF72" s="4"/>
      <c r="SPG72" s="4"/>
      <c r="SPH72" s="4"/>
      <c r="SPI72" s="4"/>
      <c r="SPJ72" s="4"/>
      <c r="SPK72" s="4"/>
      <c r="SPL72" s="4"/>
      <c r="SPM72" s="4"/>
      <c r="SPN72" s="4"/>
      <c r="SPO72" s="4"/>
      <c r="SPP72" s="4"/>
      <c r="SPQ72" s="4"/>
      <c r="SPR72" s="4"/>
      <c r="SPS72" s="4"/>
      <c r="SPT72" s="4"/>
      <c r="SPU72" s="4"/>
      <c r="SPV72" s="4"/>
      <c r="SPW72" s="4"/>
      <c r="SPX72" s="4"/>
      <c r="SPY72" s="4"/>
      <c r="SPZ72" s="4"/>
      <c r="SQA72" s="4"/>
      <c r="SQB72" s="4"/>
      <c r="SQC72" s="4"/>
      <c r="SQD72" s="4"/>
      <c r="SQE72" s="4"/>
      <c r="SQF72" s="4"/>
      <c r="SQG72" s="4"/>
      <c r="SQH72" s="4"/>
      <c r="SQI72" s="4"/>
      <c r="SQJ72" s="4"/>
      <c r="SQK72" s="4"/>
      <c r="SQL72" s="4"/>
      <c r="SQM72" s="4"/>
      <c r="SQN72" s="4"/>
      <c r="SQO72" s="4"/>
      <c r="SQP72" s="4"/>
      <c r="SQQ72" s="4"/>
      <c r="SQR72" s="4"/>
      <c r="SQS72" s="4"/>
      <c r="SQT72" s="4"/>
      <c r="SQU72" s="4"/>
      <c r="SQV72" s="4"/>
      <c r="SQW72" s="4"/>
      <c r="SQX72" s="4"/>
      <c r="SQY72" s="4"/>
      <c r="SQZ72" s="4"/>
      <c r="SRA72" s="4"/>
      <c r="SRB72" s="4"/>
      <c r="SRC72" s="4"/>
      <c r="SRD72" s="4"/>
      <c r="SRE72" s="4"/>
      <c r="SRF72" s="4"/>
      <c r="SRG72" s="4"/>
      <c r="SRH72" s="4"/>
      <c r="SRI72" s="4"/>
      <c r="SRJ72" s="4"/>
      <c r="SRK72" s="4"/>
      <c r="SRL72" s="4"/>
      <c r="SRM72" s="4"/>
      <c r="SRN72" s="4"/>
      <c r="SRO72" s="4"/>
      <c r="SRP72" s="4"/>
      <c r="SRQ72" s="4"/>
      <c r="SRR72" s="4"/>
      <c r="SRS72" s="4"/>
      <c r="SRT72" s="4"/>
      <c r="SRU72" s="4"/>
      <c r="SRV72" s="4"/>
      <c r="SRW72" s="4"/>
      <c r="SRX72" s="4"/>
      <c r="SRY72" s="4"/>
      <c r="SRZ72" s="4"/>
      <c r="SSA72" s="4"/>
      <c r="SSB72" s="4"/>
      <c r="SSC72" s="4"/>
      <c r="SSD72" s="4"/>
      <c r="SSE72" s="4"/>
      <c r="SSF72" s="4"/>
      <c r="SSG72" s="4"/>
      <c r="SSH72" s="4"/>
      <c r="SSI72" s="4"/>
      <c r="SSJ72" s="4"/>
      <c r="SSK72" s="4"/>
      <c r="SSL72" s="4"/>
      <c r="SSM72" s="4"/>
      <c r="SSN72" s="4"/>
      <c r="SSO72" s="4"/>
      <c r="SSP72" s="4"/>
      <c r="SSQ72" s="4"/>
      <c r="SSR72" s="4"/>
      <c r="SSS72" s="4"/>
      <c r="SST72" s="4"/>
      <c r="SSU72" s="4"/>
      <c r="SSV72" s="4"/>
      <c r="SSW72" s="4"/>
      <c r="SSX72" s="4"/>
      <c r="SSY72" s="4"/>
      <c r="SSZ72" s="4"/>
      <c r="STA72" s="4"/>
      <c r="STB72" s="4"/>
      <c r="STC72" s="4"/>
      <c r="STD72" s="4"/>
      <c r="STE72" s="4"/>
      <c r="STF72" s="4"/>
      <c r="STG72" s="4"/>
      <c r="STH72" s="4"/>
      <c r="STI72" s="4"/>
      <c r="STJ72" s="4"/>
      <c r="STK72" s="4"/>
      <c r="STL72" s="4"/>
      <c r="STM72" s="4"/>
      <c r="STN72" s="4"/>
      <c r="STO72" s="4"/>
      <c r="STP72" s="4"/>
      <c r="STQ72" s="4"/>
      <c r="STR72" s="4"/>
      <c r="STS72" s="4"/>
      <c r="STT72" s="4"/>
      <c r="STU72" s="4"/>
      <c r="STV72" s="4"/>
      <c r="STW72" s="4"/>
      <c r="STX72" s="4"/>
      <c r="STY72" s="4"/>
      <c r="STZ72" s="4"/>
      <c r="SUA72" s="4"/>
      <c r="SUB72" s="4"/>
      <c r="SUC72" s="4"/>
      <c r="SUD72" s="4"/>
      <c r="SUE72" s="4"/>
      <c r="SUF72" s="4"/>
      <c r="SUG72" s="4"/>
      <c r="SUH72" s="4"/>
      <c r="SUI72" s="4"/>
      <c r="SUJ72" s="4"/>
      <c r="SUK72" s="4"/>
      <c r="SUL72" s="4"/>
      <c r="SUM72" s="4"/>
      <c r="SUN72" s="4"/>
      <c r="SUO72" s="4"/>
      <c r="SUP72" s="4"/>
      <c r="SUQ72" s="4"/>
      <c r="SUR72" s="4"/>
      <c r="SUS72" s="4"/>
      <c r="SUT72" s="4"/>
      <c r="SUU72" s="4"/>
      <c r="SUV72" s="4"/>
      <c r="SUW72" s="4"/>
      <c r="SUX72" s="4"/>
      <c r="SUY72" s="4"/>
      <c r="SUZ72" s="4"/>
      <c r="SVA72" s="4"/>
      <c r="SVB72" s="4"/>
      <c r="SVC72" s="4"/>
      <c r="SVD72" s="4"/>
      <c r="SVE72" s="4"/>
      <c r="SVF72" s="4"/>
      <c r="SVG72" s="4"/>
      <c r="SVH72" s="4"/>
      <c r="SVI72" s="4"/>
      <c r="SVJ72" s="4"/>
      <c r="SVK72" s="4"/>
      <c r="SVL72" s="4"/>
      <c r="SVM72" s="4"/>
      <c r="SVN72" s="4"/>
      <c r="SVO72" s="4"/>
      <c r="SVP72" s="4"/>
      <c r="SVQ72" s="4"/>
      <c r="SVR72" s="4"/>
      <c r="SVS72" s="4"/>
      <c r="SVT72" s="4"/>
      <c r="SVU72" s="4"/>
      <c r="SVV72" s="4"/>
      <c r="SVW72" s="4"/>
      <c r="SVX72" s="4"/>
      <c r="SVY72" s="4"/>
      <c r="SVZ72" s="4"/>
      <c r="SWA72" s="4"/>
      <c r="SWB72" s="4"/>
      <c r="SWC72" s="4"/>
      <c r="SWD72" s="4"/>
      <c r="SWE72" s="4"/>
      <c r="SWF72" s="4"/>
      <c r="SWG72" s="4"/>
      <c r="SWH72" s="4"/>
      <c r="SWI72" s="4"/>
      <c r="SWJ72" s="4"/>
      <c r="SWK72" s="4"/>
      <c r="SWL72" s="4"/>
      <c r="SWM72" s="4"/>
      <c r="SWN72" s="4"/>
      <c r="SWO72" s="4"/>
      <c r="SWP72" s="4"/>
      <c r="SWQ72" s="4"/>
      <c r="SWR72" s="4"/>
      <c r="SWS72" s="4"/>
      <c r="SWT72" s="4"/>
      <c r="SWU72" s="4"/>
      <c r="SWV72" s="4"/>
      <c r="SWW72" s="4"/>
      <c r="SWX72" s="4"/>
      <c r="SWY72" s="4"/>
      <c r="SWZ72" s="4"/>
      <c r="SXA72" s="4"/>
      <c r="SXB72" s="4"/>
      <c r="SXC72" s="4"/>
      <c r="SXD72" s="4"/>
      <c r="SXE72" s="4"/>
      <c r="SXF72" s="4"/>
      <c r="SXG72" s="4"/>
      <c r="SXH72" s="4"/>
      <c r="SXI72" s="4"/>
      <c r="SXJ72" s="4"/>
      <c r="SXK72" s="4"/>
      <c r="SXL72" s="4"/>
      <c r="SXM72" s="4"/>
      <c r="SXN72" s="4"/>
      <c r="SXO72" s="4"/>
      <c r="SXP72" s="4"/>
      <c r="SXQ72" s="4"/>
      <c r="SXR72" s="4"/>
      <c r="SXS72" s="4"/>
      <c r="SXT72" s="4"/>
      <c r="SXU72" s="4"/>
      <c r="SXV72" s="4"/>
      <c r="SXW72" s="4"/>
      <c r="SXX72" s="4"/>
      <c r="SXY72" s="4"/>
      <c r="SXZ72" s="4"/>
      <c r="SYA72" s="4"/>
      <c r="SYB72" s="4"/>
      <c r="SYC72" s="4"/>
      <c r="SYD72" s="4"/>
      <c r="SYE72" s="4"/>
      <c r="SYF72" s="4"/>
      <c r="SYG72" s="4"/>
      <c r="SYH72" s="4"/>
      <c r="SYI72" s="4"/>
      <c r="SYJ72" s="4"/>
      <c r="SYK72" s="4"/>
      <c r="SYL72" s="4"/>
      <c r="SYM72" s="4"/>
      <c r="SYN72" s="4"/>
      <c r="SYO72" s="4"/>
      <c r="SYP72" s="4"/>
      <c r="SYQ72" s="4"/>
      <c r="SYR72" s="4"/>
      <c r="SYS72" s="4"/>
      <c r="SYT72" s="4"/>
      <c r="SYU72" s="4"/>
      <c r="SYV72" s="4"/>
      <c r="SYW72" s="4"/>
      <c r="SYX72" s="4"/>
      <c r="SYY72" s="4"/>
      <c r="SYZ72" s="4"/>
      <c r="SZA72" s="4"/>
      <c r="SZB72" s="4"/>
      <c r="SZC72" s="4"/>
      <c r="SZD72" s="4"/>
      <c r="SZE72" s="4"/>
      <c r="SZF72" s="4"/>
      <c r="SZG72" s="4"/>
      <c r="SZH72" s="4"/>
      <c r="SZI72" s="4"/>
      <c r="SZJ72" s="4"/>
      <c r="SZK72" s="4"/>
      <c r="SZL72" s="4"/>
      <c r="SZM72" s="4"/>
      <c r="SZN72" s="4"/>
      <c r="SZO72" s="4"/>
      <c r="SZP72" s="4"/>
      <c r="SZQ72" s="4"/>
      <c r="SZR72" s="4"/>
      <c r="SZS72" s="4"/>
      <c r="SZT72" s="4"/>
      <c r="SZU72" s="4"/>
      <c r="SZV72" s="4"/>
      <c r="SZW72" s="4"/>
      <c r="SZX72" s="4"/>
      <c r="SZY72" s="4"/>
      <c r="SZZ72" s="4"/>
      <c r="TAA72" s="4"/>
      <c r="TAB72" s="4"/>
      <c r="TAC72" s="4"/>
      <c r="TAD72" s="4"/>
      <c r="TAE72" s="4"/>
      <c r="TAF72" s="4"/>
      <c r="TAG72" s="4"/>
      <c r="TAH72" s="4"/>
      <c r="TAI72" s="4"/>
      <c r="TAJ72" s="4"/>
      <c r="TAK72" s="4"/>
      <c r="TAL72" s="4"/>
      <c r="TAM72" s="4"/>
      <c r="TAN72" s="4"/>
      <c r="TAO72" s="4"/>
      <c r="TAP72" s="4"/>
      <c r="TAQ72" s="4"/>
      <c r="TAR72" s="4"/>
      <c r="TAS72" s="4"/>
      <c r="TAT72" s="4"/>
      <c r="TAU72" s="4"/>
      <c r="TAV72" s="4"/>
      <c r="TAW72" s="4"/>
      <c r="TAX72" s="4"/>
      <c r="TAY72" s="4"/>
      <c r="TAZ72" s="4"/>
      <c r="TBA72" s="4"/>
      <c r="TBB72" s="4"/>
      <c r="TBC72" s="4"/>
      <c r="TBD72" s="4"/>
      <c r="TBE72" s="4"/>
      <c r="TBF72" s="4"/>
      <c r="TBG72" s="4"/>
      <c r="TBH72" s="4"/>
      <c r="TBI72" s="4"/>
      <c r="TBJ72" s="4"/>
      <c r="TBK72" s="4"/>
      <c r="TBL72" s="4"/>
      <c r="TBM72" s="4"/>
      <c r="TBN72" s="4"/>
      <c r="TBO72" s="4"/>
      <c r="TBP72" s="4"/>
      <c r="TBQ72" s="4"/>
      <c r="TBR72" s="4"/>
      <c r="TBS72" s="4"/>
      <c r="TBT72" s="4"/>
      <c r="TBU72" s="4"/>
      <c r="TBV72" s="4"/>
      <c r="TBW72" s="4"/>
      <c r="TBX72" s="4"/>
      <c r="TBY72" s="4"/>
      <c r="TBZ72" s="4"/>
      <c r="TCA72" s="4"/>
      <c r="TCB72" s="4"/>
      <c r="TCC72" s="4"/>
      <c r="TCD72" s="4"/>
      <c r="TCE72" s="4"/>
      <c r="TCF72" s="4"/>
      <c r="TCG72" s="4"/>
      <c r="TCH72" s="4"/>
      <c r="TCI72" s="4"/>
      <c r="TCJ72" s="4"/>
      <c r="TCK72" s="4"/>
      <c r="TCL72" s="4"/>
      <c r="TCM72" s="4"/>
      <c r="TCN72" s="4"/>
      <c r="TCO72" s="4"/>
      <c r="TCP72" s="4"/>
      <c r="TCQ72" s="4"/>
      <c r="TCR72" s="4"/>
      <c r="TCS72" s="4"/>
      <c r="TCT72" s="4"/>
      <c r="TCU72" s="4"/>
      <c r="TCV72" s="4"/>
      <c r="TCW72" s="4"/>
      <c r="TCX72" s="4"/>
      <c r="TCY72" s="4"/>
      <c r="TCZ72" s="4"/>
      <c r="TDA72" s="4"/>
      <c r="TDB72" s="4"/>
      <c r="TDC72" s="4"/>
      <c r="TDD72" s="4"/>
      <c r="TDE72" s="4"/>
      <c r="TDF72" s="4"/>
      <c r="TDG72" s="4"/>
      <c r="TDH72" s="4"/>
      <c r="TDI72" s="4"/>
      <c r="TDJ72" s="4"/>
      <c r="TDK72" s="4"/>
      <c r="TDL72" s="4"/>
      <c r="TDM72" s="4"/>
      <c r="TDN72" s="4"/>
      <c r="TDO72" s="4"/>
      <c r="TDP72" s="4"/>
      <c r="TDQ72" s="4"/>
      <c r="TDR72" s="4"/>
      <c r="TDS72" s="4"/>
      <c r="TDT72" s="4"/>
      <c r="TDU72" s="4"/>
      <c r="TDV72" s="4"/>
      <c r="TDW72" s="4"/>
      <c r="TDX72" s="4"/>
      <c r="TDY72" s="4"/>
      <c r="TDZ72" s="4"/>
      <c r="TEA72" s="4"/>
      <c r="TEB72" s="4"/>
      <c r="TEC72" s="4"/>
      <c r="TED72" s="4"/>
      <c r="TEE72" s="4"/>
      <c r="TEF72" s="4"/>
      <c r="TEG72" s="4"/>
      <c r="TEH72" s="4"/>
      <c r="TEI72" s="4"/>
      <c r="TEJ72" s="4"/>
      <c r="TEK72" s="4"/>
      <c r="TEL72" s="4"/>
      <c r="TEM72" s="4"/>
      <c r="TEN72" s="4"/>
      <c r="TEO72" s="4"/>
      <c r="TEP72" s="4"/>
      <c r="TEQ72" s="4"/>
      <c r="TER72" s="4"/>
      <c r="TES72" s="4"/>
      <c r="TET72" s="4"/>
      <c r="TEU72" s="4"/>
      <c r="TEV72" s="4"/>
      <c r="TEW72" s="4"/>
      <c r="TEX72" s="4"/>
      <c r="TEY72" s="4"/>
      <c r="TEZ72" s="4"/>
      <c r="TFA72" s="4"/>
      <c r="TFB72" s="4"/>
      <c r="TFC72" s="4"/>
      <c r="TFD72" s="4"/>
      <c r="TFE72" s="4"/>
      <c r="TFF72" s="4"/>
      <c r="TFG72" s="4"/>
      <c r="TFH72" s="4"/>
      <c r="TFI72" s="4"/>
      <c r="TFJ72" s="4"/>
      <c r="TFK72" s="4"/>
      <c r="TFL72" s="4"/>
      <c r="TFM72" s="4"/>
      <c r="TFN72" s="4"/>
      <c r="TFO72" s="4"/>
      <c r="TFP72" s="4"/>
      <c r="TFQ72" s="4"/>
      <c r="TFR72" s="4"/>
      <c r="TFS72" s="4"/>
      <c r="TFT72" s="4"/>
      <c r="TFU72" s="4"/>
      <c r="TFV72" s="4"/>
      <c r="TFW72" s="4"/>
      <c r="TFX72" s="4"/>
      <c r="TFY72" s="4"/>
      <c r="TFZ72" s="4"/>
      <c r="TGA72" s="4"/>
      <c r="TGB72" s="4"/>
      <c r="TGC72" s="4"/>
      <c r="TGD72" s="4"/>
      <c r="TGE72" s="4"/>
      <c r="TGF72" s="4"/>
      <c r="TGG72" s="4"/>
      <c r="TGH72" s="4"/>
      <c r="TGI72" s="4"/>
      <c r="TGJ72" s="4"/>
      <c r="TGK72" s="4"/>
      <c r="TGL72" s="4"/>
      <c r="TGM72" s="4"/>
      <c r="TGN72" s="4"/>
      <c r="TGO72" s="4"/>
      <c r="TGP72" s="4"/>
      <c r="TGQ72" s="4"/>
      <c r="TGR72" s="4"/>
      <c r="TGS72" s="4"/>
      <c r="TGT72" s="4"/>
      <c r="TGU72" s="4"/>
      <c r="TGV72" s="4"/>
      <c r="TGW72" s="4"/>
      <c r="TGX72" s="4"/>
      <c r="TGY72" s="4"/>
      <c r="TGZ72" s="4"/>
      <c r="THA72" s="4"/>
      <c r="THB72" s="4"/>
      <c r="THC72" s="4"/>
      <c r="THD72" s="4"/>
      <c r="THE72" s="4"/>
      <c r="THF72" s="4"/>
      <c r="THG72" s="4"/>
      <c r="THH72" s="4"/>
      <c r="THI72" s="4"/>
      <c r="THJ72" s="4"/>
      <c r="THK72" s="4"/>
      <c r="THL72" s="4"/>
      <c r="THM72" s="4"/>
      <c r="THN72" s="4"/>
      <c r="THO72" s="4"/>
      <c r="THP72" s="4"/>
      <c r="THQ72" s="4"/>
      <c r="THR72" s="4"/>
      <c r="THS72" s="4"/>
      <c r="THT72" s="4"/>
      <c r="THU72" s="4"/>
      <c r="THV72" s="4"/>
      <c r="THW72" s="4"/>
      <c r="THX72" s="4"/>
      <c r="THY72" s="4"/>
      <c r="THZ72" s="4"/>
      <c r="TIA72" s="4"/>
      <c r="TIB72" s="4"/>
      <c r="TIC72" s="4"/>
      <c r="TID72" s="4"/>
      <c r="TIE72" s="4"/>
      <c r="TIF72" s="4"/>
      <c r="TIG72" s="4"/>
      <c r="TIH72" s="4"/>
      <c r="TII72" s="4"/>
      <c r="TIJ72" s="4"/>
      <c r="TIK72" s="4"/>
      <c r="TIL72" s="4"/>
      <c r="TIM72" s="4"/>
      <c r="TIN72" s="4"/>
      <c r="TIO72" s="4"/>
      <c r="TIP72" s="4"/>
      <c r="TIQ72" s="4"/>
      <c r="TIR72" s="4"/>
      <c r="TIS72" s="4"/>
      <c r="TIT72" s="4"/>
      <c r="TIU72" s="4"/>
      <c r="TIV72" s="4"/>
      <c r="TIW72" s="4"/>
      <c r="TIX72" s="4"/>
      <c r="TIY72" s="4"/>
      <c r="TIZ72" s="4"/>
      <c r="TJA72" s="4"/>
      <c r="TJB72" s="4"/>
      <c r="TJC72" s="4"/>
      <c r="TJD72" s="4"/>
      <c r="TJE72" s="4"/>
      <c r="TJF72" s="4"/>
      <c r="TJG72" s="4"/>
      <c r="TJH72" s="4"/>
      <c r="TJI72" s="4"/>
      <c r="TJJ72" s="4"/>
      <c r="TJK72" s="4"/>
      <c r="TJL72" s="4"/>
      <c r="TJM72" s="4"/>
      <c r="TJN72" s="4"/>
      <c r="TJO72" s="4"/>
      <c r="TJP72" s="4"/>
      <c r="TJQ72" s="4"/>
      <c r="TJR72" s="4"/>
      <c r="TJS72" s="4"/>
      <c r="TJT72" s="4"/>
      <c r="TJU72" s="4"/>
      <c r="TJV72" s="4"/>
      <c r="TJW72" s="4"/>
      <c r="TJX72" s="4"/>
      <c r="TJY72" s="4"/>
      <c r="TJZ72" s="4"/>
      <c r="TKA72" s="4"/>
      <c r="TKB72" s="4"/>
      <c r="TKC72" s="4"/>
      <c r="TKD72" s="4"/>
      <c r="TKE72" s="4"/>
      <c r="TKF72" s="4"/>
      <c r="TKG72" s="4"/>
      <c r="TKH72" s="4"/>
      <c r="TKI72" s="4"/>
      <c r="TKJ72" s="4"/>
      <c r="TKK72" s="4"/>
      <c r="TKL72" s="4"/>
      <c r="TKM72" s="4"/>
      <c r="TKN72" s="4"/>
      <c r="TKO72" s="4"/>
      <c r="TKP72" s="4"/>
      <c r="TKQ72" s="4"/>
      <c r="TKR72" s="4"/>
      <c r="TKS72" s="4"/>
      <c r="TKT72" s="4"/>
      <c r="TKU72" s="4"/>
      <c r="TKV72" s="4"/>
      <c r="TKW72" s="4"/>
      <c r="TKX72" s="4"/>
      <c r="TKY72" s="4"/>
      <c r="TKZ72" s="4"/>
      <c r="TLA72" s="4"/>
      <c r="TLB72" s="4"/>
      <c r="TLC72" s="4"/>
      <c r="TLD72" s="4"/>
      <c r="TLE72" s="4"/>
      <c r="TLF72" s="4"/>
      <c r="TLG72" s="4"/>
      <c r="TLH72" s="4"/>
      <c r="TLI72" s="4"/>
      <c r="TLJ72" s="4"/>
      <c r="TLK72" s="4"/>
      <c r="TLL72" s="4"/>
      <c r="TLM72" s="4"/>
      <c r="TLN72" s="4"/>
      <c r="TLO72" s="4"/>
      <c r="TLP72" s="4"/>
      <c r="TLQ72" s="4"/>
      <c r="TLR72" s="4"/>
      <c r="TLS72" s="4"/>
      <c r="TLT72" s="4"/>
      <c r="TLU72" s="4"/>
      <c r="TLV72" s="4"/>
      <c r="TLW72" s="4"/>
      <c r="TLX72" s="4"/>
      <c r="TLY72" s="4"/>
      <c r="TLZ72" s="4"/>
      <c r="TMA72" s="4"/>
      <c r="TMB72" s="4"/>
      <c r="TMC72" s="4"/>
      <c r="TMD72" s="4"/>
      <c r="TME72" s="4"/>
      <c r="TMF72" s="4"/>
      <c r="TMG72" s="4"/>
      <c r="TMH72" s="4"/>
      <c r="TMI72" s="4"/>
      <c r="TMJ72" s="4"/>
      <c r="TMK72" s="4"/>
      <c r="TML72" s="4"/>
      <c r="TMM72" s="4"/>
      <c r="TMN72" s="4"/>
      <c r="TMO72" s="4"/>
      <c r="TMP72" s="4"/>
      <c r="TMQ72" s="4"/>
      <c r="TMR72" s="4"/>
      <c r="TMS72" s="4"/>
      <c r="TMT72" s="4"/>
      <c r="TMU72" s="4"/>
      <c r="TMV72" s="4"/>
      <c r="TMW72" s="4"/>
      <c r="TMX72" s="4"/>
      <c r="TMY72" s="4"/>
      <c r="TMZ72" s="4"/>
      <c r="TNA72" s="4"/>
      <c r="TNB72" s="4"/>
      <c r="TNC72" s="4"/>
      <c r="TND72" s="4"/>
      <c r="TNE72" s="4"/>
      <c r="TNF72" s="4"/>
      <c r="TNG72" s="4"/>
      <c r="TNH72" s="4"/>
      <c r="TNI72" s="4"/>
      <c r="TNJ72" s="4"/>
      <c r="TNK72" s="4"/>
      <c r="TNL72" s="4"/>
      <c r="TNM72" s="4"/>
      <c r="TNN72" s="4"/>
      <c r="TNO72" s="4"/>
      <c r="TNP72" s="4"/>
      <c r="TNQ72" s="4"/>
      <c r="TNR72" s="4"/>
      <c r="TNS72" s="4"/>
      <c r="TNT72" s="4"/>
      <c r="TNU72" s="4"/>
      <c r="TNV72" s="4"/>
      <c r="TNW72" s="4"/>
      <c r="TNX72" s="4"/>
      <c r="TNY72" s="4"/>
      <c r="TNZ72" s="4"/>
      <c r="TOA72" s="4"/>
      <c r="TOB72" s="4"/>
      <c r="TOC72" s="4"/>
      <c r="TOD72" s="4"/>
      <c r="TOE72" s="4"/>
      <c r="TOF72" s="4"/>
      <c r="TOG72" s="4"/>
      <c r="TOH72" s="4"/>
      <c r="TOI72" s="4"/>
      <c r="TOJ72" s="4"/>
      <c r="TOK72" s="4"/>
      <c r="TOL72" s="4"/>
      <c r="TOM72" s="4"/>
      <c r="TON72" s="4"/>
      <c r="TOO72" s="4"/>
      <c r="TOP72" s="4"/>
      <c r="TOQ72" s="4"/>
      <c r="TOR72" s="4"/>
      <c r="TOS72" s="4"/>
      <c r="TOT72" s="4"/>
      <c r="TOU72" s="4"/>
      <c r="TOV72" s="4"/>
      <c r="TOW72" s="4"/>
      <c r="TOX72" s="4"/>
      <c r="TOY72" s="4"/>
      <c r="TOZ72" s="4"/>
      <c r="TPA72" s="4"/>
      <c r="TPB72" s="4"/>
      <c r="TPC72" s="4"/>
      <c r="TPD72" s="4"/>
      <c r="TPE72" s="4"/>
      <c r="TPF72" s="4"/>
      <c r="TPG72" s="4"/>
      <c r="TPH72" s="4"/>
      <c r="TPI72" s="4"/>
      <c r="TPJ72" s="4"/>
      <c r="TPK72" s="4"/>
      <c r="TPL72" s="4"/>
      <c r="TPM72" s="4"/>
      <c r="TPN72" s="4"/>
      <c r="TPO72" s="4"/>
      <c r="TPP72" s="4"/>
      <c r="TPQ72" s="4"/>
      <c r="TPR72" s="4"/>
      <c r="TPS72" s="4"/>
      <c r="TPT72" s="4"/>
      <c r="TPU72" s="4"/>
      <c r="TPV72" s="4"/>
      <c r="TPW72" s="4"/>
      <c r="TPX72" s="4"/>
      <c r="TPY72" s="4"/>
      <c r="TPZ72" s="4"/>
      <c r="TQA72" s="4"/>
      <c r="TQB72" s="4"/>
      <c r="TQC72" s="4"/>
      <c r="TQD72" s="4"/>
      <c r="TQE72" s="4"/>
      <c r="TQF72" s="4"/>
      <c r="TQG72" s="4"/>
      <c r="TQH72" s="4"/>
      <c r="TQI72" s="4"/>
      <c r="TQJ72" s="4"/>
      <c r="TQK72" s="4"/>
      <c r="TQL72" s="4"/>
      <c r="TQM72" s="4"/>
      <c r="TQN72" s="4"/>
      <c r="TQO72" s="4"/>
      <c r="TQP72" s="4"/>
      <c r="TQQ72" s="4"/>
      <c r="TQR72" s="4"/>
      <c r="TQS72" s="4"/>
      <c r="TQT72" s="4"/>
      <c r="TQU72" s="4"/>
      <c r="TQV72" s="4"/>
      <c r="TQW72" s="4"/>
      <c r="TQX72" s="4"/>
      <c r="TQY72" s="4"/>
      <c r="TQZ72" s="4"/>
      <c r="TRA72" s="4"/>
      <c r="TRB72" s="4"/>
      <c r="TRC72" s="4"/>
      <c r="TRD72" s="4"/>
      <c r="TRE72" s="4"/>
      <c r="TRF72" s="4"/>
      <c r="TRG72" s="4"/>
      <c r="TRH72" s="4"/>
      <c r="TRI72" s="4"/>
      <c r="TRJ72" s="4"/>
      <c r="TRK72" s="4"/>
      <c r="TRL72" s="4"/>
      <c r="TRM72" s="4"/>
      <c r="TRN72" s="4"/>
      <c r="TRO72" s="4"/>
      <c r="TRP72" s="4"/>
      <c r="TRQ72" s="4"/>
      <c r="TRR72" s="4"/>
      <c r="TRS72" s="4"/>
      <c r="TRT72" s="4"/>
      <c r="TRU72" s="4"/>
      <c r="TRV72" s="4"/>
      <c r="TRW72" s="4"/>
      <c r="TRX72" s="4"/>
      <c r="TRY72" s="4"/>
      <c r="TRZ72" s="4"/>
      <c r="TSA72" s="4"/>
      <c r="TSB72" s="4"/>
      <c r="TSC72" s="4"/>
      <c r="TSD72" s="4"/>
      <c r="TSE72" s="4"/>
      <c r="TSF72" s="4"/>
      <c r="TSG72" s="4"/>
      <c r="TSH72" s="4"/>
      <c r="TSI72" s="4"/>
      <c r="TSJ72" s="4"/>
      <c r="TSK72" s="4"/>
      <c r="TSL72" s="4"/>
      <c r="TSM72" s="4"/>
      <c r="TSN72" s="4"/>
      <c r="TSO72" s="4"/>
      <c r="TSP72" s="4"/>
      <c r="TSQ72" s="4"/>
      <c r="TSR72" s="4"/>
      <c r="TSS72" s="4"/>
      <c r="TST72" s="4"/>
      <c r="TSU72" s="4"/>
      <c r="TSV72" s="4"/>
      <c r="TSW72" s="4"/>
      <c r="TSX72" s="4"/>
      <c r="TSY72" s="4"/>
      <c r="TSZ72" s="4"/>
      <c r="TTA72" s="4"/>
      <c r="TTB72" s="4"/>
      <c r="TTC72" s="4"/>
      <c r="TTD72" s="4"/>
      <c r="TTE72" s="4"/>
      <c r="TTF72" s="4"/>
      <c r="TTG72" s="4"/>
      <c r="TTH72" s="4"/>
      <c r="TTI72" s="4"/>
      <c r="TTJ72" s="4"/>
      <c r="TTK72" s="4"/>
      <c r="TTL72" s="4"/>
      <c r="TTM72" s="4"/>
      <c r="TTN72" s="4"/>
      <c r="TTO72" s="4"/>
      <c r="TTP72" s="4"/>
      <c r="TTQ72" s="4"/>
      <c r="TTR72" s="4"/>
      <c r="TTS72" s="4"/>
      <c r="TTT72" s="4"/>
      <c r="TTU72" s="4"/>
      <c r="TTV72" s="4"/>
      <c r="TTW72" s="4"/>
      <c r="TTX72" s="4"/>
      <c r="TTY72" s="4"/>
      <c r="TTZ72" s="4"/>
      <c r="TUA72" s="4"/>
      <c r="TUB72" s="4"/>
      <c r="TUC72" s="4"/>
      <c r="TUD72" s="4"/>
      <c r="TUE72" s="4"/>
      <c r="TUF72" s="4"/>
      <c r="TUG72" s="4"/>
      <c r="TUH72" s="4"/>
      <c r="TUI72" s="4"/>
      <c r="TUJ72" s="4"/>
      <c r="TUK72" s="4"/>
      <c r="TUL72" s="4"/>
      <c r="TUM72" s="4"/>
      <c r="TUN72" s="4"/>
      <c r="TUO72" s="4"/>
      <c r="TUP72" s="4"/>
      <c r="TUQ72" s="4"/>
      <c r="TUR72" s="4"/>
      <c r="TUS72" s="4"/>
      <c r="TUT72" s="4"/>
      <c r="TUU72" s="4"/>
      <c r="TUV72" s="4"/>
      <c r="TUW72" s="4"/>
      <c r="TUX72" s="4"/>
      <c r="TUY72" s="4"/>
      <c r="TUZ72" s="4"/>
      <c r="TVA72" s="4"/>
      <c r="TVB72" s="4"/>
      <c r="TVC72" s="4"/>
      <c r="TVD72" s="4"/>
      <c r="TVE72" s="4"/>
      <c r="TVF72" s="4"/>
      <c r="TVG72" s="4"/>
      <c r="TVH72" s="4"/>
      <c r="TVI72" s="4"/>
      <c r="TVJ72" s="4"/>
      <c r="TVK72" s="4"/>
      <c r="TVL72" s="4"/>
      <c r="TVM72" s="4"/>
      <c r="TVN72" s="4"/>
      <c r="TVO72" s="4"/>
      <c r="TVP72" s="4"/>
      <c r="TVQ72" s="4"/>
      <c r="TVR72" s="4"/>
      <c r="TVS72" s="4"/>
      <c r="TVT72" s="4"/>
      <c r="TVU72" s="4"/>
      <c r="TVV72" s="4"/>
      <c r="TVW72" s="4"/>
      <c r="TVX72" s="4"/>
      <c r="TVY72" s="4"/>
      <c r="TVZ72" s="4"/>
      <c r="TWA72" s="4"/>
      <c r="TWB72" s="4"/>
      <c r="TWC72" s="4"/>
      <c r="TWD72" s="4"/>
      <c r="TWE72" s="4"/>
      <c r="TWF72" s="4"/>
      <c r="TWG72" s="4"/>
      <c r="TWH72" s="4"/>
      <c r="TWI72" s="4"/>
      <c r="TWJ72" s="4"/>
      <c r="TWK72" s="4"/>
      <c r="TWL72" s="4"/>
      <c r="TWM72" s="4"/>
      <c r="TWN72" s="4"/>
      <c r="TWO72" s="4"/>
      <c r="TWP72" s="4"/>
      <c r="TWQ72" s="4"/>
      <c r="TWR72" s="4"/>
      <c r="TWS72" s="4"/>
      <c r="TWT72" s="4"/>
      <c r="TWU72" s="4"/>
      <c r="TWV72" s="4"/>
      <c r="TWW72" s="4"/>
      <c r="TWX72" s="4"/>
      <c r="TWY72" s="4"/>
      <c r="TWZ72" s="4"/>
      <c r="TXA72" s="4"/>
      <c r="TXB72" s="4"/>
      <c r="TXC72" s="4"/>
      <c r="TXD72" s="4"/>
      <c r="TXE72" s="4"/>
      <c r="TXF72" s="4"/>
      <c r="TXG72" s="4"/>
      <c r="TXH72" s="4"/>
      <c r="TXI72" s="4"/>
      <c r="TXJ72" s="4"/>
      <c r="TXK72" s="4"/>
      <c r="TXL72" s="4"/>
      <c r="TXM72" s="4"/>
      <c r="TXN72" s="4"/>
      <c r="TXO72" s="4"/>
      <c r="TXP72" s="4"/>
      <c r="TXQ72" s="4"/>
      <c r="TXR72" s="4"/>
      <c r="TXS72" s="4"/>
      <c r="TXT72" s="4"/>
      <c r="TXU72" s="4"/>
      <c r="TXV72" s="4"/>
      <c r="TXW72" s="4"/>
      <c r="TXX72" s="4"/>
      <c r="TXY72" s="4"/>
      <c r="TXZ72" s="4"/>
      <c r="TYA72" s="4"/>
      <c r="TYB72" s="4"/>
      <c r="TYC72" s="4"/>
      <c r="TYD72" s="4"/>
      <c r="TYE72" s="4"/>
      <c r="TYF72" s="4"/>
      <c r="TYG72" s="4"/>
      <c r="TYH72" s="4"/>
      <c r="TYI72" s="4"/>
      <c r="TYJ72" s="4"/>
      <c r="TYK72" s="4"/>
      <c r="TYL72" s="4"/>
      <c r="TYM72" s="4"/>
      <c r="TYN72" s="4"/>
      <c r="TYO72" s="4"/>
      <c r="TYP72" s="4"/>
      <c r="TYQ72" s="4"/>
      <c r="TYR72" s="4"/>
      <c r="TYS72" s="4"/>
      <c r="TYT72" s="4"/>
      <c r="TYU72" s="4"/>
      <c r="TYV72" s="4"/>
      <c r="TYW72" s="4"/>
      <c r="TYX72" s="4"/>
      <c r="TYY72" s="4"/>
      <c r="TYZ72" s="4"/>
      <c r="TZA72" s="4"/>
      <c r="TZB72" s="4"/>
      <c r="TZC72" s="4"/>
      <c r="TZD72" s="4"/>
      <c r="TZE72" s="4"/>
      <c r="TZF72" s="4"/>
      <c r="TZG72" s="4"/>
      <c r="TZH72" s="4"/>
      <c r="TZI72" s="4"/>
      <c r="TZJ72" s="4"/>
      <c r="TZK72" s="4"/>
      <c r="TZL72" s="4"/>
      <c r="TZM72" s="4"/>
      <c r="TZN72" s="4"/>
      <c r="TZO72" s="4"/>
      <c r="TZP72" s="4"/>
      <c r="TZQ72" s="4"/>
      <c r="TZR72" s="4"/>
      <c r="TZS72" s="4"/>
      <c r="TZT72" s="4"/>
      <c r="TZU72" s="4"/>
      <c r="TZV72" s="4"/>
      <c r="TZW72" s="4"/>
      <c r="TZX72" s="4"/>
      <c r="TZY72" s="4"/>
      <c r="TZZ72" s="4"/>
      <c r="UAA72" s="4"/>
      <c r="UAB72" s="4"/>
      <c r="UAC72" s="4"/>
      <c r="UAD72" s="4"/>
      <c r="UAE72" s="4"/>
      <c r="UAF72" s="4"/>
      <c r="UAG72" s="4"/>
      <c r="UAH72" s="4"/>
      <c r="UAI72" s="4"/>
      <c r="UAJ72" s="4"/>
      <c r="UAK72" s="4"/>
      <c r="UAL72" s="4"/>
      <c r="UAM72" s="4"/>
      <c r="UAN72" s="4"/>
      <c r="UAO72" s="4"/>
      <c r="UAP72" s="4"/>
      <c r="UAQ72" s="4"/>
      <c r="UAR72" s="4"/>
      <c r="UAS72" s="4"/>
      <c r="UAT72" s="4"/>
      <c r="UAU72" s="4"/>
      <c r="UAV72" s="4"/>
      <c r="UAW72" s="4"/>
      <c r="UAX72" s="4"/>
      <c r="UAY72" s="4"/>
      <c r="UAZ72" s="4"/>
      <c r="UBA72" s="4"/>
      <c r="UBB72" s="4"/>
      <c r="UBC72" s="4"/>
      <c r="UBD72" s="4"/>
      <c r="UBE72" s="4"/>
      <c r="UBF72" s="4"/>
      <c r="UBG72" s="4"/>
      <c r="UBH72" s="4"/>
      <c r="UBI72" s="4"/>
      <c r="UBJ72" s="4"/>
      <c r="UBK72" s="4"/>
      <c r="UBL72" s="4"/>
      <c r="UBM72" s="4"/>
      <c r="UBN72" s="4"/>
      <c r="UBO72" s="4"/>
      <c r="UBP72" s="4"/>
      <c r="UBQ72" s="4"/>
      <c r="UBR72" s="4"/>
      <c r="UBS72" s="4"/>
      <c r="UBT72" s="4"/>
      <c r="UBU72" s="4"/>
      <c r="UBV72" s="4"/>
      <c r="UBW72" s="4"/>
      <c r="UBX72" s="4"/>
      <c r="UBY72" s="4"/>
      <c r="UBZ72" s="4"/>
      <c r="UCA72" s="4"/>
      <c r="UCB72" s="4"/>
      <c r="UCC72" s="4"/>
      <c r="UCD72" s="4"/>
      <c r="UCE72" s="4"/>
      <c r="UCF72" s="4"/>
      <c r="UCG72" s="4"/>
      <c r="UCH72" s="4"/>
      <c r="UCI72" s="4"/>
      <c r="UCJ72" s="4"/>
      <c r="UCK72" s="4"/>
      <c r="UCL72" s="4"/>
      <c r="UCM72" s="4"/>
      <c r="UCN72" s="4"/>
      <c r="UCO72" s="4"/>
      <c r="UCP72" s="4"/>
      <c r="UCQ72" s="4"/>
      <c r="UCR72" s="4"/>
      <c r="UCS72" s="4"/>
      <c r="UCT72" s="4"/>
      <c r="UCU72" s="4"/>
      <c r="UCV72" s="4"/>
      <c r="UCW72" s="4"/>
      <c r="UCX72" s="4"/>
      <c r="UCY72" s="4"/>
      <c r="UCZ72" s="4"/>
      <c r="UDA72" s="4"/>
      <c r="UDB72" s="4"/>
      <c r="UDC72" s="4"/>
      <c r="UDD72" s="4"/>
      <c r="UDE72" s="4"/>
      <c r="UDF72" s="4"/>
      <c r="UDG72" s="4"/>
      <c r="UDH72" s="4"/>
      <c r="UDI72" s="4"/>
      <c r="UDJ72" s="4"/>
      <c r="UDK72" s="4"/>
      <c r="UDL72" s="4"/>
      <c r="UDM72" s="4"/>
      <c r="UDN72" s="4"/>
      <c r="UDO72" s="4"/>
      <c r="UDP72" s="4"/>
      <c r="UDQ72" s="4"/>
      <c r="UDR72" s="4"/>
      <c r="UDS72" s="4"/>
      <c r="UDT72" s="4"/>
      <c r="UDU72" s="4"/>
      <c r="UDV72" s="4"/>
      <c r="UDW72" s="4"/>
      <c r="UDX72" s="4"/>
      <c r="UDY72" s="4"/>
      <c r="UDZ72" s="4"/>
      <c r="UEA72" s="4"/>
      <c r="UEB72" s="4"/>
      <c r="UEC72" s="4"/>
      <c r="UED72" s="4"/>
      <c r="UEE72" s="4"/>
      <c r="UEF72" s="4"/>
      <c r="UEG72" s="4"/>
      <c r="UEH72" s="4"/>
      <c r="UEI72" s="4"/>
      <c r="UEJ72" s="4"/>
      <c r="UEK72" s="4"/>
      <c r="UEL72" s="4"/>
      <c r="UEM72" s="4"/>
      <c r="UEN72" s="4"/>
      <c r="UEO72" s="4"/>
      <c r="UEP72" s="4"/>
      <c r="UEQ72" s="4"/>
      <c r="UER72" s="4"/>
      <c r="UES72" s="4"/>
      <c r="UET72" s="4"/>
      <c r="UEU72" s="4"/>
      <c r="UEV72" s="4"/>
      <c r="UEW72" s="4"/>
      <c r="UEX72" s="4"/>
      <c r="UEY72" s="4"/>
      <c r="UEZ72" s="4"/>
      <c r="UFA72" s="4"/>
      <c r="UFB72" s="4"/>
      <c r="UFC72" s="4"/>
      <c r="UFD72" s="4"/>
      <c r="UFE72" s="4"/>
      <c r="UFF72" s="4"/>
      <c r="UFG72" s="4"/>
      <c r="UFH72" s="4"/>
      <c r="UFI72" s="4"/>
      <c r="UFJ72" s="4"/>
      <c r="UFK72" s="4"/>
      <c r="UFL72" s="4"/>
      <c r="UFM72" s="4"/>
      <c r="UFN72" s="4"/>
      <c r="UFO72" s="4"/>
      <c r="UFP72" s="4"/>
      <c r="UFQ72" s="4"/>
      <c r="UFR72" s="4"/>
      <c r="UFS72" s="4"/>
      <c r="UFT72" s="4"/>
      <c r="UFU72" s="4"/>
      <c r="UFV72" s="4"/>
      <c r="UFW72" s="4"/>
      <c r="UFX72" s="4"/>
      <c r="UFY72" s="4"/>
      <c r="UFZ72" s="4"/>
      <c r="UGA72" s="4"/>
      <c r="UGB72" s="4"/>
      <c r="UGC72" s="4"/>
      <c r="UGD72" s="4"/>
      <c r="UGE72" s="4"/>
      <c r="UGF72" s="4"/>
      <c r="UGG72" s="4"/>
      <c r="UGH72" s="4"/>
      <c r="UGI72" s="4"/>
      <c r="UGJ72" s="4"/>
      <c r="UGK72" s="4"/>
      <c r="UGL72" s="4"/>
      <c r="UGM72" s="4"/>
      <c r="UGN72" s="4"/>
      <c r="UGO72" s="4"/>
      <c r="UGP72" s="4"/>
      <c r="UGQ72" s="4"/>
      <c r="UGR72" s="4"/>
      <c r="UGS72" s="4"/>
      <c r="UGT72" s="4"/>
      <c r="UGU72" s="4"/>
      <c r="UGV72" s="4"/>
      <c r="UGW72" s="4"/>
      <c r="UGX72" s="4"/>
      <c r="UGY72" s="4"/>
      <c r="UGZ72" s="4"/>
      <c r="UHA72" s="4"/>
      <c r="UHB72" s="4"/>
      <c r="UHC72" s="4"/>
      <c r="UHD72" s="4"/>
      <c r="UHE72" s="4"/>
      <c r="UHF72" s="4"/>
      <c r="UHG72" s="4"/>
      <c r="UHH72" s="4"/>
      <c r="UHI72" s="4"/>
      <c r="UHJ72" s="4"/>
      <c r="UHK72" s="4"/>
      <c r="UHL72" s="4"/>
      <c r="UHM72" s="4"/>
      <c r="UHN72" s="4"/>
      <c r="UHO72" s="4"/>
      <c r="UHP72" s="4"/>
      <c r="UHQ72" s="4"/>
      <c r="UHR72" s="4"/>
      <c r="UHS72" s="4"/>
      <c r="UHT72" s="4"/>
      <c r="UHU72" s="4"/>
      <c r="UHV72" s="4"/>
      <c r="UHW72" s="4"/>
      <c r="UHX72" s="4"/>
      <c r="UHY72" s="4"/>
      <c r="UHZ72" s="4"/>
      <c r="UIA72" s="4"/>
      <c r="UIB72" s="4"/>
      <c r="UIC72" s="4"/>
      <c r="UID72" s="4"/>
      <c r="UIE72" s="4"/>
      <c r="UIF72" s="4"/>
      <c r="UIG72" s="4"/>
      <c r="UIH72" s="4"/>
      <c r="UII72" s="4"/>
      <c r="UIJ72" s="4"/>
      <c r="UIK72" s="4"/>
      <c r="UIL72" s="4"/>
      <c r="UIM72" s="4"/>
      <c r="UIN72" s="4"/>
      <c r="UIO72" s="4"/>
      <c r="UIP72" s="4"/>
      <c r="UIQ72" s="4"/>
      <c r="UIR72" s="4"/>
      <c r="UIS72" s="4"/>
      <c r="UIT72" s="4"/>
      <c r="UIU72" s="4"/>
      <c r="UIV72" s="4"/>
      <c r="UIW72" s="4"/>
      <c r="UIX72" s="4"/>
      <c r="UIY72" s="4"/>
      <c r="UIZ72" s="4"/>
      <c r="UJA72" s="4"/>
      <c r="UJB72" s="4"/>
      <c r="UJC72" s="4"/>
      <c r="UJD72" s="4"/>
      <c r="UJE72" s="4"/>
      <c r="UJF72" s="4"/>
      <c r="UJG72" s="4"/>
      <c r="UJH72" s="4"/>
      <c r="UJI72" s="4"/>
      <c r="UJJ72" s="4"/>
      <c r="UJK72" s="4"/>
      <c r="UJL72" s="4"/>
      <c r="UJM72" s="4"/>
      <c r="UJN72" s="4"/>
      <c r="UJO72" s="4"/>
      <c r="UJP72" s="4"/>
      <c r="UJQ72" s="4"/>
      <c r="UJR72" s="4"/>
      <c r="UJS72" s="4"/>
      <c r="UJT72" s="4"/>
      <c r="UJU72" s="4"/>
      <c r="UJV72" s="4"/>
      <c r="UJW72" s="4"/>
      <c r="UJX72" s="4"/>
      <c r="UJY72" s="4"/>
      <c r="UJZ72" s="4"/>
      <c r="UKA72" s="4"/>
      <c r="UKB72" s="4"/>
      <c r="UKC72" s="4"/>
      <c r="UKD72" s="4"/>
      <c r="UKE72" s="4"/>
      <c r="UKF72" s="4"/>
      <c r="UKG72" s="4"/>
      <c r="UKH72" s="4"/>
      <c r="UKI72" s="4"/>
      <c r="UKJ72" s="4"/>
      <c r="UKK72" s="4"/>
      <c r="UKL72" s="4"/>
      <c r="UKM72" s="4"/>
      <c r="UKN72" s="4"/>
      <c r="UKO72" s="4"/>
      <c r="UKP72" s="4"/>
      <c r="UKQ72" s="4"/>
      <c r="UKR72" s="4"/>
      <c r="UKS72" s="4"/>
      <c r="UKT72" s="4"/>
      <c r="UKU72" s="4"/>
      <c r="UKV72" s="4"/>
      <c r="UKW72" s="4"/>
      <c r="UKX72" s="4"/>
      <c r="UKY72" s="4"/>
      <c r="UKZ72" s="4"/>
      <c r="ULA72" s="4"/>
      <c r="ULB72" s="4"/>
      <c r="ULC72" s="4"/>
      <c r="ULD72" s="4"/>
      <c r="ULE72" s="4"/>
      <c r="ULF72" s="4"/>
      <c r="ULG72" s="4"/>
      <c r="ULH72" s="4"/>
      <c r="ULI72" s="4"/>
      <c r="ULJ72" s="4"/>
      <c r="ULK72" s="4"/>
      <c r="ULL72" s="4"/>
      <c r="ULM72" s="4"/>
      <c r="ULN72" s="4"/>
      <c r="ULO72" s="4"/>
      <c r="ULP72" s="4"/>
      <c r="ULQ72" s="4"/>
      <c r="ULR72" s="4"/>
      <c r="ULS72" s="4"/>
      <c r="ULT72" s="4"/>
      <c r="ULU72" s="4"/>
      <c r="ULV72" s="4"/>
      <c r="ULW72" s="4"/>
      <c r="ULX72" s="4"/>
      <c r="ULY72" s="4"/>
      <c r="ULZ72" s="4"/>
      <c r="UMA72" s="4"/>
      <c r="UMB72" s="4"/>
      <c r="UMC72" s="4"/>
      <c r="UMD72" s="4"/>
      <c r="UME72" s="4"/>
      <c r="UMF72" s="4"/>
      <c r="UMG72" s="4"/>
      <c r="UMH72" s="4"/>
      <c r="UMI72" s="4"/>
      <c r="UMJ72" s="4"/>
      <c r="UMK72" s="4"/>
      <c r="UML72" s="4"/>
      <c r="UMM72" s="4"/>
      <c r="UMN72" s="4"/>
      <c r="UMO72" s="4"/>
      <c r="UMP72" s="4"/>
      <c r="UMQ72" s="4"/>
      <c r="UMR72" s="4"/>
      <c r="UMS72" s="4"/>
      <c r="UMT72" s="4"/>
      <c r="UMU72" s="4"/>
      <c r="UMV72" s="4"/>
      <c r="UMW72" s="4"/>
      <c r="UMX72" s="4"/>
      <c r="UMY72" s="4"/>
      <c r="UMZ72" s="4"/>
      <c r="UNA72" s="4"/>
      <c r="UNB72" s="4"/>
      <c r="UNC72" s="4"/>
      <c r="UND72" s="4"/>
      <c r="UNE72" s="4"/>
      <c r="UNF72" s="4"/>
      <c r="UNG72" s="4"/>
      <c r="UNH72" s="4"/>
      <c r="UNI72" s="4"/>
      <c r="UNJ72" s="4"/>
      <c r="UNK72" s="4"/>
      <c r="UNL72" s="4"/>
      <c r="UNM72" s="4"/>
      <c r="UNN72" s="4"/>
      <c r="UNO72" s="4"/>
      <c r="UNP72" s="4"/>
      <c r="UNQ72" s="4"/>
      <c r="UNR72" s="4"/>
      <c r="UNS72" s="4"/>
      <c r="UNT72" s="4"/>
      <c r="UNU72" s="4"/>
      <c r="UNV72" s="4"/>
      <c r="UNW72" s="4"/>
      <c r="UNX72" s="4"/>
      <c r="UNY72" s="4"/>
      <c r="UNZ72" s="4"/>
      <c r="UOA72" s="4"/>
      <c r="UOB72" s="4"/>
      <c r="UOC72" s="4"/>
      <c r="UOD72" s="4"/>
      <c r="UOE72" s="4"/>
      <c r="UOF72" s="4"/>
      <c r="UOG72" s="4"/>
      <c r="UOH72" s="4"/>
      <c r="UOI72" s="4"/>
      <c r="UOJ72" s="4"/>
      <c r="UOK72" s="4"/>
      <c r="UOL72" s="4"/>
      <c r="UOM72" s="4"/>
      <c r="UON72" s="4"/>
      <c r="UOO72" s="4"/>
      <c r="UOP72" s="4"/>
      <c r="UOQ72" s="4"/>
      <c r="UOR72" s="4"/>
      <c r="UOS72" s="4"/>
      <c r="UOT72" s="4"/>
      <c r="UOU72" s="4"/>
      <c r="UOV72" s="4"/>
      <c r="UOW72" s="4"/>
      <c r="UOX72" s="4"/>
      <c r="UOY72" s="4"/>
      <c r="UOZ72" s="4"/>
      <c r="UPA72" s="4"/>
      <c r="UPB72" s="4"/>
      <c r="UPC72" s="4"/>
      <c r="UPD72" s="4"/>
      <c r="UPE72" s="4"/>
      <c r="UPF72" s="4"/>
      <c r="UPG72" s="4"/>
      <c r="UPH72" s="4"/>
      <c r="UPI72" s="4"/>
      <c r="UPJ72" s="4"/>
      <c r="UPK72" s="4"/>
      <c r="UPL72" s="4"/>
      <c r="UPM72" s="4"/>
      <c r="UPN72" s="4"/>
      <c r="UPO72" s="4"/>
      <c r="UPP72" s="4"/>
      <c r="UPQ72" s="4"/>
      <c r="UPR72" s="4"/>
      <c r="UPS72" s="4"/>
      <c r="UPT72" s="4"/>
      <c r="UPU72" s="4"/>
      <c r="UPV72" s="4"/>
      <c r="UPW72" s="4"/>
      <c r="UPX72" s="4"/>
      <c r="UPY72" s="4"/>
      <c r="UPZ72" s="4"/>
      <c r="UQA72" s="4"/>
      <c r="UQB72" s="4"/>
      <c r="UQC72" s="4"/>
      <c r="UQD72" s="4"/>
      <c r="UQE72" s="4"/>
      <c r="UQF72" s="4"/>
      <c r="UQG72" s="4"/>
      <c r="UQH72" s="4"/>
      <c r="UQI72" s="4"/>
      <c r="UQJ72" s="4"/>
      <c r="UQK72" s="4"/>
      <c r="UQL72" s="4"/>
      <c r="UQM72" s="4"/>
      <c r="UQN72" s="4"/>
      <c r="UQO72" s="4"/>
      <c r="UQP72" s="4"/>
      <c r="UQQ72" s="4"/>
      <c r="UQR72" s="4"/>
      <c r="UQS72" s="4"/>
      <c r="UQT72" s="4"/>
      <c r="UQU72" s="4"/>
      <c r="UQV72" s="4"/>
      <c r="UQW72" s="4"/>
      <c r="UQX72" s="4"/>
      <c r="UQY72" s="4"/>
      <c r="UQZ72" s="4"/>
      <c r="URA72" s="4"/>
      <c r="URB72" s="4"/>
      <c r="URC72" s="4"/>
      <c r="URD72" s="4"/>
      <c r="URE72" s="4"/>
      <c r="URF72" s="4"/>
      <c r="URG72" s="4"/>
      <c r="URH72" s="4"/>
      <c r="URI72" s="4"/>
      <c r="URJ72" s="4"/>
      <c r="URK72" s="4"/>
      <c r="URL72" s="4"/>
      <c r="URM72" s="4"/>
      <c r="URN72" s="4"/>
      <c r="URO72" s="4"/>
      <c r="URP72" s="4"/>
      <c r="URQ72" s="4"/>
      <c r="URR72" s="4"/>
      <c r="URS72" s="4"/>
      <c r="URT72" s="4"/>
      <c r="URU72" s="4"/>
      <c r="URV72" s="4"/>
      <c r="URW72" s="4"/>
      <c r="URX72" s="4"/>
      <c r="URY72" s="4"/>
      <c r="URZ72" s="4"/>
      <c r="USA72" s="4"/>
      <c r="USB72" s="4"/>
      <c r="USC72" s="4"/>
      <c r="USD72" s="4"/>
      <c r="USE72" s="4"/>
      <c r="USF72" s="4"/>
      <c r="USG72" s="4"/>
      <c r="USH72" s="4"/>
      <c r="USI72" s="4"/>
      <c r="USJ72" s="4"/>
      <c r="USK72" s="4"/>
      <c r="USL72" s="4"/>
      <c r="USM72" s="4"/>
      <c r="USN72" s="4"/>
      <c r="USO72" s="4"/>
      <c r="USP72" s="4"/>
      <c r="USQ72" s="4"/>
      <c r="USR72" s="4"/>
      <c r="USS72" s="4"/>
      <c r="UST72" s="4"/>
      <c r="USU72" s="4"/>
      <c r="USV72" s="4"/>
      <c r="USW72" s="4"/>
      <c r="USX72" s="4"/>
      <c r="USY72" s="4"/>
      <c r="USZ72" s="4"/>
      <c r="UTA72" s="4"/>
      <c r="UTB72" s="4"/>
      <c r="UTC72" s="4"/>
      <c r="UTD72" s="4"/>
      <c r="UTE72" s="4"/>
      <c r="UTF72" s="4"/>
      <c r="UTG72" s="4"/>
      <c r="UTH72" s="4"/>
      <c r="UTI72" s="4"/>
      <c r="UTJ72" s="4"/>
      <c r="UTK72" s="4"/>
      <c r="UTL72" s="4"/>
      <c r="UTM72" s="4"/>
      <c r="UTN72" s="4"/>
      <c r="UTO72" s="4"/>
      <c r="UTP72" s="4"/>
      <c r="UTQ72" s="4"/>
      <c r="UTR72" s="4"/>
      <c r="UTS72" s="4"/>
      <c r="UTT72" s="4"/>
      <c r="UTU72" s="4"/>
      <c r="UTV72" s="4"/>
      <c r="UTW72" s="4"/>
      <c r="UTX72" s="4"/>
      <c r="UTY72" s="4"/>
      <c r="UTZ72" s="4"/>
      <c r="UUA72" s="4"/>
      <c r="UUB72" s="4"/>
      <c r="UUC72" s="4"/>
      <c r="UUD72" s="4"/>
      <c r="UUE72" s="4"/>
      <c r="UUF72" s="4"/>
      <c r="UUG72" s="4"/>
      <c r="UUH72" s="4"/>
      <c r="UUI72" s="4"/>
      <c r="UUJ72" s="4"/>
      <c r="UUK72" s="4"/>
      <c r="UUL72" s="4"/>
      <c r="UUM72" s="4"/>
      <c r="UUN72" s="4"/>
      <c r="UUO72" s="4"/>
      <c r="UUP72" s="4"/>
      <c r="UUQ72" s="4"/>
      <c r="UUR72" s="4"/>
      <c r="UUS72" s="4"/>
      <c r="UUT72" s="4"/>
      <c r="UUU72" s="4"/>
      <c r="UUV72" s="4"/>
      <c r="UUW72" s="4"/>
      <c r="UUX72" s="4"/>
      <c r="UUY72" s="4"/>
      <c r="UUZ72" s="4"/>
      <c r="UVA72" s="4"/>
      <c r="UVB72" s="4"/>
      <c r="UVC72" s="4"/>
      <c r="UVD72" s="4"/>
      <c r="UVE72" s="4"/>
      <c r="UVF72" s="4"/>
      <c r="UVG72" s="4"/>
      <c r="UVH72" s="4"/>
      <c r="UVI72" s="4"/>
      <c r="UVJ72" s="4"/>
      <c r="UVK72" s="4"/>
      <c r="UVL72" s="4"/>
      <c r="UVM72" s="4"/>
      <c r="UVN72" s="4"/>
      <c r="UVO72" s="4"/>
      <c r="UVP72" s="4"/>
      <c r="UVQ72" s="4"/>
      <c r="UVR72" s="4"/>
      <c r="UVS72" s="4"/>
      <c r="UVT72" s="4"/>
      <c r="UVU72" s="4"/>
      <c r="UVV72" s="4"/>
      <c r="UVW72" s="4"/>
      <c r="UVX72" s="4"/>
      <c r="UVY72" s="4"/>
      <c r="UVZ72" s="4"/>
      <c r="UWA72" s="4"/>
      <c r="UWB72" s="4"/>
      <c r="UWC72" s="4"/>
      <c r="UWD72" s="4"/>
      <c r="UWE72" s="4"/>
      <c r="UWF72" s="4"/>
      <c r="UWG72" s="4"/>
      <c r="UWH72" s="4"/>
      <c r="UWI72" s="4"/>
      <c r="UWJ72" s="4"/>
      <c r="UWK72" s="4"/>
      <c r="UWL72" s="4"/>
      <c r="UWM72" s="4"/>
      <c r="UWN72" s="4"/>
      <c r="UWO72" s="4"/>
      <c r="UWP72" s="4"/>
      <c r="UWQ72" s="4"/>
      <c r="UWR72" s="4"/>
      <c r="UWS72" s="4"/>
      <c r="UWT72" s="4"/>
      <c r="UWU72" s="4"/>
      <c r="UWV72" s="4"/>
      <c r="UWW72" s="4"/>
      <c r="UWX72" s="4"/>
      <c r="UWY72" s="4"/>
      <c r="UWZ72" s="4"/>
      <c r="UXA72" s="4"/>
      <c r="UXB72" s="4"/>
      <c r="UXC72" s="4"/>
      <c r="UXD72" s="4"/>
      <c r="UXE72" s="4"/>
      <c r="UXF72" s="4"/>
      <c r="UXG72" s="4"/>
      <c r="UXH72" s="4"/>
      <c r="UXI72" s="4"/>
      <c r="UXJ72" s="4"/>
      <c r="UXK72" s="4"/>
      <c r="UXL72" s="4"/>
      <c r="UXM72" s="4"/>
      <c r="UXN72" s="4"/>
      <c r="UXO72" s="4"/>
      <c r="UXP72" s="4"/>
      <c r="UXQ72" s="4"/>
      <c r="UXR72" s="4"/>
      <c r="UXS72" s="4"/>
      <c r="UXT72" s="4"/>
      <c r="UXU72" s="4"/>
      <c r="UXV72" s="4"/>
      <c r="UXW72" s="4"/>
      <c r="UXX72" s="4"/>
      <c r="UXY72" s="4"/>
      <c r="UXZ72" s="4"/>
      <c r="UYA72" s="4"/>
      <c r="UYB72" s="4"/>
      <c r="UYC72" s="4"/>
      <c r="UYD72" s="4"/>
      <c r="UYE72" s="4"/>
      <c r="UYF72" s="4"/>
      <c r="UYG72" s="4"/>
      <c r="UYH72" s="4"/>
      <c r="UYI72" s="4"/>
      <c r="UYJ72" s="4"/>
      <c r="UYK72" s="4"/>
      <c r="UYL72" s="4"/>
      <c r="UYM72" s="4"/>
      <c r="UYN72" s="4"/>
      <c r="UYO72" s="4"/>
      <c r="UYP72" s="4"/>
      <c r="UYQ72" s="4"/>
      <c r="UYR72" s="4"/>
      <c r="UYS72" s="4"/>
      <c r="UYT72" s="4"/>
      <c r="UYU72" s="4"/>
      <c r="UYV72" s="4"/>
      <c r="UYW72" s="4"/>
      <c r="UYX72" s="4"/>
      <c r="UYY72" s="4"/>
      <c r="UYZ72" s="4"/>
      <c r="UZA72" s="4"/>
      <c r="UZB72" s="4"/>
      <c r="UZC72" s="4"/>
      <c r="UZD72" s="4"/>
      <c r="UZE72" s="4"/>
      <c r="UZF72" s="4"/>
      <c r="UZG72" s="4"/>
      <c r="UZH72" s="4"/>
      <c r="UZI72" s="4"/>
      <c r="UZJ72" s="4"/>
      <c r="UZK72" s="4"/>
      <c r="UZL72" s="4"/>
      <c r="UZM72" s="4"/>
      <c r="UZN72" s="4"/>
      <c r="UZO72" s="4"/>
      <c r="UZP72" s="4"/>
      <c r="UZQ72" s="4"/>
      <c r="UZR72" s="4"/>
      <c r="UZS72" s="4"/>
      <c r="UZT72" s="4"/>
      <c r="UZU72" s="4"/>
      <c r="UZV72" s="4"/>
      <c r="UZW72" s="4"/>
      <c r="UZX72" s="4"/>
      <c r="UZY72" s="4"/>
      <c r="UZZ72" s="4"/>
      <c r="VAA72" s="4"/>
      <c r="VAB72" s="4"/>
      <c r="VAC72" s="4"/>
      <c r="VAD72" s="4"/>
      <c r="VAE72" s="4"/>
      <c r="VAF72" s="4"/>
      <c r="VAG72" s="4"/>
      <c r="VAH72" s="4"/>
      <c r="VAI72" s="4"/>
      <c r="VAJ72" s="4"/>
      <c r="VAK72" s="4"/>
      <c r="VAL72" s="4"/>
      <c r="VAM72" s="4"/>
      <c r="VAN72" s="4"/>
      <c r="VAO72" s="4"/>
      <c r="VAP72" s="4"/>
      <c r="VAQ72" s="4"/>
      <c r="VAR72" s="4"/>
      <c r="VAS72" s="4"/>
      <c r="VAT72" s="4"/>
      <c r="VAU72" s="4"/>
      <c r="VAV72" s="4"/>
      <c r="VAW72" s="4"/>
      <c r="VAX72" s="4"/>
      <c r="VAY72" s="4"/>
      <c r="VAZ72" s="4"/>
      <c r="VBA72" s="4"/>
      <c r="VBB72" s="4"/>
      <c r="VBC72" s="4"/>
      <c r="VBD72" s="4"/>
      <c r="VBE72" s="4"/>
      <c r="VBF72" s="4"/>
      <c r="VBG72" s="4"/>
      <c r="VBH72" s="4"/>
      <c r="VBI72" s="4"/>
      <c r="VBJ72" s="4"/>
      <c r="VBK72" s="4"/>
      <c r="VBL72" s="4"/>
      <c r="VBM72" s="4"/>
      <c r="VBN72" s="4"/>
      <c r="VBO72" s="4"/>
      <c r="VBP72" s="4"/>
      <c r="VBQ72" s="4"/>
      <c r="VBR72" s="4"/>
      <c r="VBS72" s="4"/>
      <c r="VBT72" s="4"/>
      <c r="VBU72" s="4"/>
      <c r="VBV72" s="4"/>
      <c r="VBW72" s="4"/>
      <c r="VBX72" s="4"/>
      <c r="VBY72" s="4"/>
      <c r="VBZ72" s="4"/>
      <c r="VCA72" s="4"/>
      <c r="VCB72" s="4"/>
      <c r="VCC72" s="4"/>
      <c r="VCD72" s="4"/>
      <c r="VCE72" s="4"/>
      <c r="VCF72" s="4"/>
      <c r="VCG72" s="4"/>
      <c r="VCH72" s="4"/>
      <c r="VCI72" s="4"/>
      <c r="VCJ72" s="4"/>
      <c r="VCK72" s="4"/>
      <c r="VCL72" s="4"/>
      <c r="VCM72" s="4"/>
      <c r="VCN72" s="4"/>
      <c r="VCO72" s="4"/>
      <c r="VCP72" s="4"/>
      <c r="VCQ72" s="4"/>
      <c r="VCR72" s="4"/>
      <c r="VCS72" s="4"/>
      <c r="VCT72" s="4"/>
      <c r="VCU72" s="4"/>
      <c r="VCV72" s="4"/>
      <c r="VCW72" s="4"/>
      <c r="VCX72" s="4"/>
      <c r="VCY72" s="4"/>
      <c r="VCZ72" s="4"/>
      <c r="VDA72" s="4"/>
      <c r="VDB72" s="4"/>
      <c r="VDC72" s="4"/>
      <c r="VDD72" s="4"/>
      <c r="VDE72" s="4"/>
      <c r="VDF72" s="4"/>
      <c r="VDG72" s="4"/>
      <c r="VDH72" s="4"/>
      <c r="VDI72" s="4"/>
      <c r="VDJ72" s="4"/>
      <c r="VDK72" s="4"/>
      <c r="VDL72" s="4"/>
      <c r="VDM72" s="4"/>
      <c r="VDN72" s="4"/>
      <c r="VDO72" s="4"/>
      <c r="VDP72" s="4"/>
      <c r="VDQ72" s="4"/>
      <c r="VDR72" s="4"/>
      <c r="VDS72" s="4"/>
      <c r="VDT72" s="4"/>
      <c r="VDU72" s="4"/>
      <c r="VDV72" s="4"/>
      <c r="VDW72" s="4"/>
      <c r="VDX72" s="4"/>
      <c r="VDY72" s="4"/>
      <c r="VDZ72" s="4"/>
      <c r="VEA72" s="4"/>
      <c r="VEB72" s="4"/>
      <c r="VEC72" s="4"/>
      <c r="VED72" s="4"/>
      <c r="VEE72" s="4"/>
      <c r="VEF72" s="4"/>
      <c r="VEG72" s="4"/>
      <c r="VEH72" s="4"/>
      <c r="VEI72" s="4"/>
      <c r="VEJ72" s="4"/>
      <c r="VEK72" s="4"/>
      <c r="VEL72" s="4"/>
      <c r="VEM72" s="4"/>
      <c r="VEN72" s="4"/>
      <c r="VEO72" s="4"/>
      <c r="VEP72" s="4"/>
      <c r="VEQ72" s="4"/>
      <c r="VER72" s="4"/>
      <c r="VES72" s="4"/>
      <c r="VET72" s="4"/>
      <c r="VEU72" s="4"/>
      <c r="VEV72" s="4"/>
      <c r="VEW72" s="4"/>
      <c r="VEX72" s="4"/>
      <c r="VEY72" s="4"/>
      <c r="VEZ72" s="4"/>
      <c r="VFA72" s="4"/>
      <c r="VFB72" s="4"/>
      <c r="VFC72" s="4"/>
      <c r="VFD72" s="4"/>
      <c r="VFE72" s="4"/>
      <c r="VFF72" s="4"/>
      <c r="VFG72" s="4"/>
      <c r="VFH72" s="4"/>
      <c r="VFI72" s="4"/>
      <c r="VFJ72" s="4"/>
      <c r="VFK72" s="4"/>
      <c r="VFL72" s="4"/>
      <c r="VFM72" s="4"/>
      <c r="VFN72" s="4"/>
      <c r="VFO72" s="4"/>
      <c r="VFP72" s="4"/>
      <c r="VFQ72" s="4"/>
      <c r="VFR72" s="4"/>
      <c r="VFS72" s="4"/>
      <c r="VFT72" s="4"/>
      <c r="VFU72" s="4"/>
      <c r="VFV72" s="4"/>
      <c r="VFW72" s="4"/>
      <c r="VFX72" s="4"/>
      <c r="VFY72" s="4"/>
      <c r="VFZ72" s="4"/>
      <c r="VGA72" s="4"/>
      <c r="VGB72" s="4"/>
      <c r="VGC72" s="4"/>
      <c r="VGD72" s="4"/>
      <c r="VGE72" s="4"/>
      <c r="VGF72" s="4"/>
      <c r="VGG72" s="4"/>
      <c r="VGH72" s="4"/>
      <c r="VGI72" s="4"/>
      <c r="VGJ72" s="4"/>
      <c r="VGK72" s="4"/>
      <c r="VGL72" s="4"/>
      <c r="VGM72" s="4"/>
      <c r="VGN72" s="4"/>
      <c r="VGO72" s="4"/>
      <c r="VGP72" s="4"/>
      <c r="VGQ72" s="4"/>
      <c r="VGR72" s="4"/>
      <c r="VGS72" s="4"/>
      <c r="VGT72" s="4"/>
      <c r="VGU72" s="4"/>
      <c r="VGV72" s="4"/>
      <c r="VGW72" s="4"/>
      <c r="VGX72" s="4"/>
      <c r="VGY72" s="4"/>
      <c r="VGZ72" s="4"/>
      <c r="VHA72" s="4"/>
      <c r="VHB72" s="4"/>
      <c r="VHC72" s="4"/>
      <c r="VHD72" s="4"/>
      <c r="VHE72" s="4"/>
      <c r="VHF72" s="4"/>
      <c r="VHG72" s="4"/>
      <c r="VHH72" s="4"/>
      <c r="VHI72" s="4"/>
      <c r="VHJ72" s="4"/>
      <c r="VHK72" s="4"/>
      <c r="VHL72" s="4"/>
      <c r="VHM72" s="4"/>
      <c r="VHN72" s="4"/>
      <c r="VHO72" s="4"/>
      <c r="VHP72" s="4"/>
      <c r="VHQ72" s="4"/>
      <c r="VHR72" s="4"/>
      <c r="VHS72" s="4"/>
      <c r="VHT72" s="4"/>
      <c r="VHU72" s="4"/>
      <c r="VHV72" s="4"/>
      <c r="VHW72" s="4"/>
      <c r="VHX72" s="4"/>
      <c r="VHY72" s="4"/>
      <c r="VHZ72" s="4"/>
      <c r="VIA72" s="4"/>
      <c r="VIB72" s="4"/>
      <c r="VIC72" s="4"/>
      <c r="VID72" s="4"/>
      <c r="VIE72" s="4"/>
      <c r="VIF72" s="4"/>
      <c r="VIG72" s="4"/>
      <c r="VIH72" s="4"/>
      <c r="VII72" s="4"/>
      <c r="VIJ72" s="4"/>
      <c r="VIK72" s="4"/>
      <c r="VIL72" s="4"/>
      <c r="VIM72" s="4"/>
      <c r="VIN72" s="4"/>
      <c r="VIO72" s="4"/>
      <c r="VIP72" s="4"/>
      <c r="VIQ72" s="4"/>
      <c r="VIR72" s="4"/>
      <c r="VIS72" s="4"/>
      <c r="VIT72" s="4"/>
      <c r="VIU72" s="4"/>
      <c r="VIV72" s="4"/>
      <c r="VIW72" s="4"/>
      <c r="VIX72" s="4"/>
      <c r="VIY72" s="4"/>
      <c r="VIZ72" s="4"/>
      <c r="VJA72" s="4"/>
      <c r="VJB72" s="4"/>
      <c r="VJC72" s="4"/>
      <c r="VJD72" s="4"/>
      <c r="VJE72" s="4"/>
      <c r="VJF72" s="4"/>
      <c r="VJG72" s="4"/>
      <c r="VJH72" s="4"/>
      <c r="VJI72" s="4"/>
      <c r="VJJ72" s="4"/>
      <c r="VJK72" s="4"/>
      <c r="VJL72" s="4"/>
      <c r="VJM72" s="4"/>
      <c r="VJN72" s="4"/>
      <c r="VJO72" s="4"/>
      <c r="VJP72" s="4"/>
      <c r="VJQ72" s="4"/>
      <c r="VJR72" s="4"/>
      <c r="VJS72" s="4"/>
      <c r="VJT72" s="4"/>
      <c r="VJU72" s="4"/>
      <c r="VJV72" s="4"/>
      <c r="VJW72" s="4"/>
      <c r="VJX72" s="4"/>
      <c r="VJY72" s="4"/>
      <c r="VJZ72" s="4"/>
      <c r="VKA72" s="4"/>
      <c r="VKB72" s="4"/>
      <c r="VKC72" s="4"/>
      <c r="VKD72" s="4"/>
      <c r="VKE72" s="4"/>
      <c r="VKF72" s="4"/>
      <c r="VKG72" s="4"/>
      <c r="VKH72" s="4"/>
      <c r="VKI72" s="4"/>
      <c r="VKJ72" s="4"/>
      <c r="VKK72" s="4"/>
      <c r="VKL72" s="4"/>
      <c r="VKM72" s="4"/>
      <c r="VKN72" s="4"/>
      <c r="VKO72" s="4"/>
      <c r="VKP72" s="4"/>
      <c r="VKQ72" s="4"/>
      <c r="VKR72" s="4"/>
      <c r="VKS72" s="4"/>
      <c r="VKT72" s="4"/>
      <c r="VKU72" s="4"/>
      <c r="VKV72" s="4"/>
      <c r="VKW72" s="4"/>
      <c r="VKX72" s="4"/>
      <c r="VKY72" s="4"/>
      <c r="VKZ72" s="4"/>
      <c r="VLA72" s="4"/>
      <c r="VLB72" s="4"/>
      <c r="VLC72" s="4"/>
      <c r="VLD72" s="4"/>
      <c r="VLE72" s="4"/>
      <c r="VLF72" s="4"/>
      <c r="VLG72" s="4"/>
      <c r="VLH72" s="4"/>
      <c r="VLI72" s="4"/>
      <c r="VLJ72" s="4"/>
      <c r="VLK72" s="4"/>
      <c r="VLL72" s="4"/>
      <c r="VLM72" s="4"/>
      <c r="VLN72" s="4"/>
      <c r="VLO72" s="4"/>
      <c r="VLP72" s="4"/>
      <c r="VLQ72" s="4"/>
      <c r="VLR72" s="4"/>
      <c r="VLS72" s="4"/>
      <c r="VLT72" s="4"/>
      <c r="VLU72" s="4"/>
      <c r="VLV72" s="4"/>
      <c r="VLW72" s="4"/>
      <c r="VLX72" s="4"/>
      <c r="VLY72" s="4"/>
      <c r="VLZ72" s="4"/>
      <c r="VMA72" s="4"/>
      <c r="VMB72" s="4"/>
      <c r="VMC72" s="4"/>
      <c r="VMD72" s="4"/>
      <c r="VME72" s="4"/>
      <c r="VMF72" s="4"/>
      <c r="VMG72" s="4"/>
      <c r="VMH72" s="4"/>
      <c r="VMI72" s="4"/>
      <c r="VMJ72" s="4"/>
      <c r="VMK72" s="4"/>
      <c r="VML72" s="4"/>
      <c r="VMM72" s="4"/>
      <c r="VMN72" s="4"/>
      <c r="VMO72" s="4"/>
      <c r="VMP72" s="4"/>
      <c r="VMQ72" s="4"/>
      <c r="VMR72" s="4"/>
      <c r="VMS72" s="4"/>
      <c r="VMT72" s="4"/>
      <c r="VMU72" s="4"/>
      <c r="VMV72" s="4"/>
      <c r="VMW72" s="4"/>
      <c r="VMX72" s="4"/>
      <c r="VMY72" s="4"/>
      <c r="VMZ72" s="4"/>
      <c r="VNA72" s="4"/>
      <c r="VNB72" s="4"/>
      <c r="VNC72" s="4"/>
      <c r="VND72" s="4"/>
      <c r="VNE72" s="4"/>
      <c r="VNF72" s="4"/>
      <c r="VNG72" s="4"/>
      <c r="VNH72" s="4"/>
      <c r="VNI72" s="4"/>
      <c r="VNJ72" s="4"/>
      <c r="VNK72" s="4"/>
      <c r="VNL72" s="4"/>
      <c r="VNM72" s="4"/>
      <c r="VNN72" s="4"/>
      <c r="VNO72" s="4"/>
      <c r="VNP72" s="4"/>
      <c r="VNQ72" s="4"/>
      <c r="VNR72" s="4"/>
      <c r="VNS72" s="4"/>
      <c r="VNT72" s="4"/>
      <c r="VNU72" s="4"/>
      <c r="VNV72" s="4"/>
      <c r="VNW72" s="4"/>
      <c r="VNX72" s="4"/>
      <c r="VNY72" s="4"/>
      <c r="VNZ72" s="4"/>
      <c r="VOA72" s="4"/>
      <c r="VOB72" s="4"/>
      <c r="VOC72" s="4"/>
      <c r="VOD72" s="4"/>
      <c r="VOE72" s="4"/>
      <c r="VOF72" s="4"/>
      <c r="VOG72" s="4"/>
      <c r="VOH72" s="4"/>
      <c r="VOI72" s="4"/>
      <c r="VOJ72" s="4"/>
      <c r="VOK72" s="4"/>
      <c r="VOL72" s="4"/>
      <c r="VOM72" s="4"/>
      <c r="VON72" s="4"/>
      <c r="VOO72" s="4"/>
      <c r="VOP72" s="4"/>
      <c r="VOQ72" s="4"/>
      <c r="VOR72" s="4"/>
      <c r="VOS72" s="4"/>
      <c r="VOT72" s="4"/>
      <c r="VOU72" s="4"/>
      <c r="VOV72" s="4"/>
      <c r="VOW72" s="4"/>
      <c r="VOX72" s="4"/>
      <c r="VOY72" s="4"/>
      <c r="VOZ72" s="4"/>
      <c r="VPA72" s="4"/>
      <c r="VPB72" s="4"/>
      <c r="VPC72" s="4"/>
      <c r="VPD72" s="4"/>
      <c r="VPE72" s="4"/>
      <c r="VPF72" s="4"/>
      <c r="VPG72" s="4"/>
      <c r="VPH72" s="4"/>
      <c r="VPI72" s="4"/>
      <c r="VPJ72" s="4"/>
      <c r="VPK72" s="4"/>
      <c r="VPL72" s="4"/>
      <c r="VPM72" s="4"/>
      <c r="VPN72" s="4"/>
      <c r="VPO72" s="4"/>
      <c r="VPP72" s="4"/>
      <c r="VPQ72" s="4"/>
      <c r="VPR72" s="4"/>
      <c r="VPS72" s="4"/>
      <c r="VPT72" s="4"/>
      <c r="VPU72" s="4"/>
      <c r="VPV72" s="4"/>
      <c r="VPW72" s="4"/>
      <c r="VPX72" s="4"/>
      <c r="VPY72" s="4"/>
      <c r="VPZ72" s="4"/>
      <c r="VQA72" s="4"/>
      <c r="VQB72" s="4"/>
      <c r="VQC72" s="4"/>
      <c r="VQD72" s="4"/>
      <c r="VQE72" s="4"/>
      <c r="VQF72" s="4"/>
      <c r="VQG72" s="4"/>
      <c r="VQH72" s="4"/>
      <c r="VQI72" s="4"/>
      <c r="VQJ72" s="4"/>
      <c r="VQK72" s="4"/>
      <c r="VQL72" s="4"/>
      <c r="VQM72" s="4"/>
      <c r="VQN72" s="4"/>
      <c r="VQO72" s="4"/>
      <c r="VQP72" s="4"/>
      <c r="VQQ72" s="4"/>
      <c r="VQR72" s="4"/>
      <c r="VQS72" s="4"/>
      <c r="VQT72" s="4"/>
      <c r="VQU72" s="4"/>
      <c r="VQV72" s="4"/>
      <c r="VQW72" s="4"/>
      <c r="VQX72" s="4"/>
      <c r="VQY72" s="4"/>
      <c r="VQZ72" s="4"/>
      <c r="VRA72" s="4"/>
      <c r="VRB72" s="4"/>
      <c r="VRC72" s="4"/>
      <c r="VRD72" s="4"/>
      <c r="VRE72" s="4"/>
      <c r="VRF72" s="4"/>
      <c r="VRG72" s="4"/>
      <c r="VRH72" s="4"/>
      <c r="VRI72" s="4"/>
      <c r="VRJ72" s="4"/>
      <c r="VRK72" s="4"/>
      <c r="VRL72" s="4"/>
      <c r="VRM72" s="4"/>
      <c r="VRN72" s="4"/>
      <c r="VRO72" s="4"/>
      <c r="VRP72" s="4"/>
      <c r="VRQ72" s="4"/>
      <c r="VRR72" s="4"/>
      <c r="VRS72" s="4"/>
      <c r="VRT72" s="4"/>
      <c r="VRU72" s="4"/>
      <c r="VRV72" s="4"/>
      <c r="VRW72" s="4"/>
      <c r="VRX72" s="4"/>
      <c r="VRY72" s="4"/>
      <c r="VRZ72" s="4"/>
      <c r="VSA72" s="4"/>
      <c r="VSB72" s="4"/>
      <c r="VSC72" s="4"/>
      <c r="VSD72" s="4"/>
      <c r="VSE72" s="4"/>
      <c r="VSF72" s="4"/>
      <c r="VSG72" s="4"/>
      <c r="VSH72" s="4"/>
      <c r="VSI72" s="4"/>
      <c r="VSJ72" s="4"/>
      <c r="VSK72" s="4"/>
      <c r="VSL72" s="4"/>
      <c r="VSM72" s="4"/>
      <c r="VSN72" s="4"/>
      <c r="VSO72" s="4"/>
      <c r="VSP72" s="4"/>
      <c r="VSQ72" s="4"/>
      <c r="VSR72" s="4"/>
      <c r="VSS72" s="4"/>
      <c r="VST72" s="4"/>
      <c r="VSU72" s="4"/>
      <c r="VSV72" s="4"/>
      <c r="VSW72" s="4"/>
      <c r="VSX72" s="4"/>
      <c r="VSY72" s="4"/>
      <c r="VSZ72" s="4"/>
      <c r="VTA72" s="4"/>
      <c r="VTB72" s="4"/>
      <c r="VTC72" s="4"/>
      <c r="VTD72" s="4"/>
      <c r="VTE72" s="4"/>
      <c r="VTF72" s="4"/>
      <c r="VTG72" s="4"/>
      <c r="VTH72" s="4"/>
      <c r="VTI72" s="4"/>
      <c r="VTJ72" s="4"/>
      <c r="VTK72" s="4"/>
      <c r="VTL72" s="4"/>
      <c r="VTM72" s="4"/>
      <c r="VTN72" s="4"/>
      <c r="VTO72" s="4"/>
      <c r="VTP72" s="4"/>
      <c r="VTQ72" s="4"/>
      <c r="VTR72" s="4"/>
      <c r="VTS72" s="4"/>
      <c r="VTT72" s="4"/>
      <c r="VTU72" s="4"/>
      <c r="VTV72" s="4"/>
      <c r="VTW72" s="4"/>
      <c r="VTX72" s="4"/>
      <c r="VTY72" s="4"/>
      <c r="VTZ72" s="4"/>
      <c r="VUA72" s="4"/>
      <c r="VUB72" s="4"/>
      <c r="VUC72" s="4"/>
      <c r="VUD72" s="4"/>
      <c r="VUE72" s="4"/>
      <c r="VUF72" s="4"/>
      <c r="VUG72" s="4"/>
      <c r="VUH72" s="4"/>
      <c r="VUI72" s="4"/>
      <c r="VUJ72" s="4"/>
      <c r="VUK72" s="4"/>
      <c r="VUL72" s="4"/>
      <c r="VUM72" s="4"/>
      <c r="VUN72" s="4"/>
      <c r="VUO72" s="4"/>
      <c r="VUP72" s="4"/>
      <c r="VUQ72" s="4"/>
      <c r="VUR72" s="4"/>
      <c r="VUS72" s="4"/>
      <c r="VUT72" s="4"/>
      <c r="VUU72" s="4"/>
      <c r="VUV72" s="4"/>
      <c r="VUW72" s="4"/>
      <c r="VUX72" s="4"/>
      <c r="VUY72" s="4"/>
      <c r="VUZ72" s="4"/>
      <c r="VVA72" s="4"/>
      <c r="VVB72" s="4"/>
      <c r="VVC72" s="4"/>
      <c r="VVD72" s="4"/>
      <c r="VVE72" s="4"/>
      <c r="VVF72" s="4"/>
      <c r="VVG72" s="4"/>
      <c r="VVH72" s="4"/>
      <c r="VVI72" s="4"/>
      <c r="VVJ72" s="4"/>
      <c r="VVK72" s="4"/>
      <c r="VVL72" s="4"/>
      <c r="VVM72" s="4"/>
      <c r="VVN72" s="4"/>
      <c r="VVO72" s="4"/>
      <c r="VVP72" s="4"/>
      <c r="VVQ72" s="4"/>
      <c r="VVR72" s="4"/>
      <c r="VVS72" s="4"/>
      <c r="VVT72" s="4"/>
      <c r="VVU72" s="4"/>
      <c r="VVV72" s="4"/>
      <c r="VVW72" s="4"/>
      <c r="VVX72" s="4"/>
      <c r="VVY72" s="4"/>
      <c r="VVZ72" s="4"/>
      <c r="VWA72" s="4"/>
      <c r="VWB72" s="4"/>
      <c r="VWC72" s="4"/>
      <c r="VWD72" s="4"/>
      <c r="VWE72" s="4"/>
      <c r="VWF72" s="4"/>
      <c r="VWG72" s="4"/>
      <c r="VWH72" s="4"/>
      <c r="VWI72" s="4"/>
      <c r="VWJ72" s="4"/>
      <c r="VWK72" s="4"/>
      <c r="VWL72" s="4"/>
      <c r="VWM72" s="4"/>
      <c r="VWN72" s="4"/>
      <c r="VWO72" s="4"/>
      <c r="VWP72" s="4"/>
      <c r="VWQ72" s="4"/>
      <c r="VWR72" s="4"/>
      <c r="VWS72" s="4"/>
      <c r="VWT72" s="4"/>
      <c r="VWU72" s="4"/>
      <c r="VWV72" s="4"/>
      <c r="VWW72" s="4"/>
      <c r="VWX72" s="4"/>
      <c r="VWY72" s="4"/>
      <c r="VWZ72" s="4"/>
      <c r="VXA72" s="4"/>
      <c r="VXB72" s="4"/>
      <c r="VXC72" s="4"/>
      <c r="VXD72" s="4"/>
      <c r="VXE72" s="4"/>
      <c r="VXF72" s="4"/>
      <c r="VXG72" s="4"/>
      <c r="VXH72" s="4"/>
      <c r="VXI72" s="4"/>
      <c r="VXJ72" s="4"/>
      <c r="VXK72" s="4"/>
      <c r="VXL72" s="4"/>
      <c r="VXM72" s="4"/>
      <c r="VXN72" s="4"/>
      <c r="VXO72" s="4"/>
      <c r="VXP72" s="4"/>
      <c r="VXQ72" s="4"/>
      <c r="VXR72" s="4"/>
      <c r="VXS72" s="4"/>
      <c r="VXT72" s="4"/>
      <c r="VXU72" s="4"/>
      <c r="VXV72" s="4"/>
      <c r="VXW72" s="4"/>
      <c r="VXX72" s="4"/>
      <c r="VXY72" s="4"/>
      <c r="VXZ72" s="4"/>
      <c r="VYA72" s="4"/>
      <c r="VYB72" s="4"/>
      <c r="VYC72" s="4"/>
      <c r="VYD72" s="4"/>
      <c r="VYE72" s="4"/>
      <c r="VYF72" s="4"/>
      <c r="VYG72" s="4"/>
      <c r="VYH72" s="4"/>
      <c r="VYI72" s="4"/>
      <c r="VYJ72" s="4"/>
      <c r="VYK72" s="4"/>
      <c r="VYL72" s="4"/>
      <c r="VYM72" s="4"/>
      <c r="VYN72" s="4"/>
      <c r="VYO72" s="4"/>
      <c r="VYP72" s="4"/>
      <c r="VYQ72" s="4"/>
      <c r="VYR72" s="4"/>
      <c r="VYS72" s="4"/>
      <c r="VYT72" s="4"/>
      <c r="VYU72" s="4"/>
      <c r="VYV72" s="4"/>
      <c r="VYW72" s="4"/>
      <c r="VYX72" s="4"/>
      <c r="VYY72" s="4"/>
      <c r="VYZ72" s="4"/>
      <c r="VZA72" s="4"/>
      <c r="VZB72" s="4"/>
      <c r="VZC72" s="4"/>
      <c r="VZD72" s="4"/>
      <c r="VZE72" s="4"/>
      <c r="VZF72" s="4"/>
      <c r="VZG72" s="4"/>
      <c r="VZH72" s="4"/>
      <c r="VZI72" s="4"/>
      <c r="VZJ72" s="4"/>
      <c r="VZK72" s="4"/>
      <c r="VZL72" s="4"/>
      <c r="VZM72" s="4"/>
      <c r="VZN72" s="4"/>
      <c r="VZO72" s="4"/>
      <c r="VZP72" s="4"/>
      <c r="VZQ72" s="4"/>
      <c r="VZR72" s="4"/>
      <c r="VZS72" s="4"/>
      <c r="VZT72" s="4"/>
      <c r="VZU72" s="4"/>
      <c r="VZV72" s="4"/>
      <c r="VZW72" s="4"/>
      <c r="VZX72" s="4"/>
      <c r="VZY72" s="4"/>
      <c r="VZZ72" s="4"/>
      <c r="WAA72" s="4"/>
      <c r="WAB72" s="4"/>
      <c r="WAC72" s="4"/>
      <c r="WAD72" s="4"/>
      <c r="WAE72" s="4"/>
      <c r="WAF72" s="4"/>
      <c r="WAG72" s="4"/>
      <c r="WAH72" s="4"/>
      <c r="WAI72" s="4"/>
      <c r="WAJ72" s="4"/>
      <c r="WAK72" s="4"/>
      <c r="WAL72" s="4"/>
      <c r="WAM72" s="4"/>
      <c r="WAN72" s="4"/>
      <c r="WAO72" s="4"/>
      <c r="WAP72" s="4"/>
      <c r="WAQ72" s="4"/>
      <c r="WAR72" s="4"/>
      <c r="WAS72" s="4"/>
      <c r="WAT72" s="4"/>
      <c r="WAU72" s="4"/>
      <c r="WAV72" s="4"/>
      <c r="WAW72" s="4"/>
      <c r="WAX72" s="4"/>
      <c r="WAY72" s="4"/>
      <c r="WAZ72" s="4"/>
      <c r="WBA72" s="4"/>
      <c r="WBB72" s="4"/>
      <c r="WBC72" s="4"/>
      <c r="WBD72" s="4"/>
      <c r="WBE72" s="4"/>
      <c r="WBF72" s="4"/>
      <c r="WBG72" s="4"/>
      <c r="WBH72" s="4"/>
      <c r="WBI72" s="4"/>
      <c r="WBJ72" s="4"/>
      <c r="WBK72" s="4"/>
      <c r="WBL72" s="4"/>
      <c r="WBM72" s="4"/>
      <c r="WBN72" s="4"/>
      <c r="WBO72" s="4"/>
      <c r="WBP72" s="4"/>
      <c r="WBQ72" s="4"/>
      <c r="WBR72" s="4"/>
      <c r="WBS72" s="4"/>
      <c r="WBT72" s="4"/>
      <c r="WBU72" s="4"/>
      <c r="WBV72" s="4"/>
      <c r="WBW72" s="4"/>
      <c r="WBX72" s="4"/>
      <c r="WBY72" s="4"/>
      <c r="WBZ72" s="4"/>
      <c r="WCA72" s="4"/>
      <c r="WCB72" s="4"/>
      <c r="WCC72" s="4"/>
      <c r="WCD72" s="4"/>
      <c r="WCE72" s="4"/>
      <c r="WCF72" s="4"/>
      <c r="WCG72" s="4"/>
      <c r="WCH72" s="4"/>
      <c r="WCI72" s="4"/>
      <c r="WCJ72" s="4"/>
      <c r="WCK72" s="4"/>
      <c r="WCL72" s="4"/>
      <c r="WCM72" s="4"/>
      <c r="WCN72" s="4"/>
      <c r="WCO72" s="4"/>
      <c r="WCP72" s="4"/>
      <c r="WCQ72" s="4"/>
      <c r="WCR72" s="4"/>
      <c r="WCS72" s="4"/>
      <c r="WCT72" s="4"/>
      <c r="WCU72" s="4"/>
      <c r="WCV72" s="4"/>
      <c r="WCW72" s="4"/>
      <c r="WCX72" s="4"/>
      <c r="WCY72" s="4"/>
      <c r="WCZ72" s="4"/>
      <c r="WDA72" s="4"/>
      <c r="WDB72" s="4"/>
      <c r="WDC72" s="4"/>
      <c r="WDD72" s="4"/>
      <c r="WDE72" s="4"/>
      <c r="WDF72" s="4"/>
      <c r="WDG72" s="4"/>
      <c r="WDH72" s="4"/>
      <c r="WDI72" s="4"/>
      <c r="WDJ72" s="4"/>
      <c r="WDK72" s="4"/>
      <c r="WDL72" s="4"/>
      <c r="WDM72" s="4"/>
      <c r="WDN72" s="4"/>
      <c r="WDO72" s="4"/>
      <c r="WDP72" s="4"/>
      <c r="WDQ72" s="4"/>
      <c r="WDR72" s="4"/>
      <c r="WDS72" s="4"/>
      <c r="WDT72" s="4"/>
      <c r="WDU72" s="4"/>
      <c r="WDV72" s="4"/>
      <c r="WDW72" s="4"/>
      <c r="WDX72" s="4"/>
      <c r="WDY72" s="4"/>
      <c r="WDZ72" s="4"/>
      <c r="WEA72" s="4"/>
      <c r="WEB72" s="4"/>
      <c r="WEC72" s="4"/>
      <c r="WED72" s="4"/>
      <c r="WEE72" s="4"/>
      <c r="WEF72" s="4"/>
      <c r="WEG72" s="4"/>
      <c r="WEH72" s="4"/>
      <c r="WEI72" s="4"/>
      <c r="WEJ72" s="4"/>
      <c r="WEK72" s="4"/>
      <c r="WEL72" s="4"/>
      <c r="WEM72" s="4"/>
      <c r="WEN72" s="4"/>
      <c r="WEO72" s="4"/>
      <c r="WEP72" s="4"/>
      <c r="WEQ72" s="4"/>
      <c r="WER72" s="4"/>
      <c r="WES72" s="4"/>
      <c r="WET72" s="4"/>
      <c r="WEU72" s="4"/>
      <c r="WEV72" s="4"/>
      <c r="WEW72" s="4"/>
      <c r="WEX72" s="4"/>
      <c r="WEY72" s="4"/>
      <c r="WEZ72" s="4"/>
      <c r="WFA72" s="4"/>
      <c r="WFB72" s="4"/>
      <c r="WFC72" s="4"/>
      <c r="WFD72" s="4"/>
      <c r="WFE72" s="4"/>
      <c r="WFF72" s="4"/>
      <c r="WFG72" s="4"/>
      <c r="WFH72" s="4"/>
      <c r="WFI72" s="4"/>
      <c r="WFJ72" s="4"/>
      <c r="WFK72" s="4"/>
      <c r="WFL72" s="4"/>
      <c r="WFM72" s="4"/>
      <c r="WFN72" s="4"/>
      <c r="WFO72" s="4"/>
      <c r="WFP72" s="4"/>
      <c r="WFQ72" s="4"/>
      <c r="WFR72" s="4"/>
      <c r="WFS72" s="4"/>
      <c r="WFT72" s="4"/>
      <c r="WFU72" s="4"/>
      <c r="WFV72" s="4"/>
      <c r="WFW72" s="4"/>
      <c r="WFX72" s="4"/>
      <c r="WFY72" s="4"/>
      <c r="WFZ72" s="4"/>
      <c r="WGA72" s="4"/>
      <c r="WGB72" s="4"/>
      <c r="WGC72" s="4"/>
      <c r="WGD72" s="4"/>
      <c r="WGE72" s="4"/>
      <c r="WGF72" s="4"/>
      <c r="WGG72" s="4"/>
      <c r="WGH72" s="4"/>
      <c r="WGI72" s="4"/>
      <c r="WGJ72" s="4"/>
      <c r="WGK72" s="4"/>
      <c r="WGL72" s="4"/>
      <c r="WGM72" s="4"/>
      <c r="WGN72" s="4"/>
      <c r="WGO72" s="4"/>
      <c r="WGP72" s="4"/>
      <c r="WGQ72" s="4"/>
      <c r="WGR72" s="4"/>
      <c r="WGS72" s="4"/>
      <c r="WGT72" s="4"/>
      <c r="WGU72" s="4"/>
      <c r="WGV72" s="4"/>
      <c r="WGW72" s="4"/>
      <c r="WGX72" s="4"/>
      <c r="WGY72" s="4"/>
      <c r="WGZ72" s="4"/>
      <c r="WHA72" s="4"/>
      <c r="WHB72" s="4"/>
      <c r="WHC72" s="4"/>
      <c r="WHD72" s="4"/>
      <c r="WHE72" s="4"/>
      <c r="WHF72" s="4"/>
      <c r="WHG72" s="4"/>
      <c r="WHH72" s="4"/>
      <c r="WHI72" s="4"/>
      <c r="WHJ72" s="4"/>
      <c r="WHK72" s="4"/>
      <c r="WHL72" s="4"/>
      <c r="WHM72" s="4"/>
      <c r="WHN72" s="4"/>
      <c r="WHO72" s="4"/>
      <c r="WHP72" s="4"/>
      <c r="WHQ72" s="4"/>
      <c r="WHR72" s="4"/>
      <c r="WHS72" s="4"/>
      <c r="WHT72" s="4"/>
      <c r="WHU72" s="4"/>
      <c r="WHV72" s="4"/>
      <c r="WHW72" s="4"/>
      <c r="WHX72" s="4"/>
      <c r="WHY72" s="4"/>
      <c r="WHZ72" s="4"/>
      <c r="WIA72" s="4"/>
      <c r="WIB72" s="4"/>
      <c r="WIC72" s="4"/>
      <c r="WID72" s="4"/>
      <c r="WIE72" s="4"/>
      <c r="WIF72" s="4"/>
      <c r="WIG72" s="4"/>
      <c r="WIH72" s="4"/>
      <c r="WII72" s="4"/>
      <c r="WIJ72" s="4"/>
      <c r="WIK72" s="4"/>
      <c r="WIL72" s="4"/>
      <c r="WIM72" s="4"/>
      <c r="WIN72" s="4"/>
      <c r="WIO72" s="4"/>
      <c r="WIP72" s="4"/>
      <c r="WIQ72" s="4"/>
      <c r="WIR72" s="4"/>
      <c r="WIS72" s="4"/>
      <c r="WIT72" s="4"/>
      <c r="WIU72" s="4"/>
      <c r="WIV72" s="4"/>
      <c r="WIW72" s="4"/>
      <c r="WIX72" s="4"/>
      <c r="WIY72" s="4"/>
      <c r="WIZ72" s="4"/>
      <c r="WJA72" s="4"/>
      <c r="WJB72" s="4"/>
      <c r="WJC72" s="4"/>
      <c r="WJD72" s="4"/>
      <c r="WJE72" s="4"/>
      <c r="WJF72" s="4"/>
      <c r="WJG72" s="4"/>
      <c r="WJH72" s="4"/>
      <c r="WJI72" s="4"/>
      <c r="WJJ72" s="4"/>
      <c r="WJK72" s="4"/>
      <c r="WJL72" s="4"/>
      <c r="WJM72" s="4"/>
      <c r="WJN72" s="4"/>
      <c r="WJO72" s="4"/>
      <c r="WJP72" s="4"/>
      <c r="WJQ72" s="4"/>
      <c r="WJR72" s="4"/>
      <c r="WJS72" s="4"/>
      <c r="WJT72" s="4"/>
      <c r="WJU72" s="4"/>
      <c r="WJV72" s="4"/>
      <c r="WJW72" s="4"/>
      <c r="WJX72" s="4"/>
      <c r="WJY72" s="4"/>
      <c r="WJZ72" s="4"/>
      <c r="WKA72" s="4"/>
      <c r="WKB72" s="4"/>
      <c r="WKC72" s="4"/>
      <c r="WKD72" s="4"/>
      <c r="WKE72" s="4"/>
      <c r="WKF72" s="4"/>
      <c r="WKG72" s="4"/>
      <c r="WKH72" s="4"/>
      <c r="WKI72" s="4"/>
      <c r="WKJ72" s="4"/>
      <c r="WKK72" s="4"/>
      <c r="WKL72" s="4"/>
      <c r="WKM72" s="4"/>
      <c r="WKN72" s="4"/>
      <c r="WKO72" s="4"/>
      <c r="WKP72" s="4"/>
      <c r="WKQ72" s="4"/>
      <c r="WKR72" s="4"/>
      <c r="WKS72" s="4"/>
      <c r="WKT72" s="4"/>
      <c r="WKU72" s="4"/>
      <c r="WKV72" s="4"/>
      <c r="WKW72" s="4"/>
      <c r="WKX72" s="4"/>
      <c r="WKY72" s="4"/>
      <c r="WKZ72" s="4"/>
      <c r="WLA72" s="4"/>
      <c r="WLB72" s="4"/>
      <c r="WLC72" s="4"/>
      <c r="WLD72" s="4"/>
      <c r="WLE72" s="4"/>
      <c r="WLF72" s="4"/>
      <c r="WLG72" s="4"/>
      <c r="WLH72" s="4"/>
      <c r="WLI72" s="4"/>
      <c r="WLJ72" s="4"/>
      <c r="WLK72" s="4"/>
      <c r="WLL72" s="4"/>
      <c r="WLM72" s="4"/>
      <c r="WLN72" s="4"/>
      <c r="WLO72" s="4"/>
      <c r="WLP72" s="4"/>
      <c r="WLQ72" s="4"/>
      <c r="WLR72" s="4"/>
      <c r="WLS72" s="4"/>
      <c r="WLT72" s="4"/>
      <c r="WLU72" s="4"/>
      <c r="WLV72" s="4"/>
      <c r="WLW72" s="4"/>
      <c r="WLX72" s="4"/>
      <c r="WLY72" s="4"/>
      <c r="WLZ72" s="4"/>
      <c r="WMA72" s="4"/>
      <c r="WMB72" s="4"/>
      <c r="WMC72" s="4"/>
      <c r="WMD72" s="4"/>
      <c r="WME72" s="4"/>
      <c r="WMF72" s="4"/>
      <c r="WMG72" s="4"/>
      <c r="WMH72" s="4"/>
      <c r="WMI72" s="4"/>
      <c r="WMJ72" s="4"/>
      <c r="WMK72" s="4"/>
      <c r="WML72" s="4"/>
      <c r="WMM72" s="4"/>
      <c r="WMN72" s="4"/>
      <c r="WMO72" s="4"/>
      <c r="WMP72" s="4"/>
      <c r="WMQ72" s="4"/>
      <c r="WMR72" s="4"/>
      <c r="WMS72" s="4"/>
      <c r="WMT72" s="4"/>
      <c r="WMU72" s="4"/>
      <c r="WMV72" s="4"/>
      <c r="WMW72" s="4"/>
      <c r="WMX72" s="4"/>
      <c r="WMY72" s="4"/>
      <c r="WMZ72" s="4"/>
      <c r="WNA72" s="4"/>
      <c r="WNB72" s="4"/>
      <c r="WNC72" s="4"/>
      <c r="WND72" s="4"/>
      <c r="WNE72" s="4"/>
      <c r="WNF72" s="4"/>
      <c r="WNG72" s="4"/>
      <c r="WNH72" s="4"/>
      <c r="WNI72" s="4"/>
      <c r="WNJ72" s="4"/>
      <c r="WNK72" s="4"/>
      <c r="WNL72" s="4"/>
      <c r="WNM72" s="4"/>
      <c r="WNN72" s="4"/>
      <c r="WNO72" s="4"/>
      <c r="WNP72" s="4"/>
      <c r="WNQ72" s="4"/>
      <c r="WNR72" s="4"/>
      <c r="WNS72" s="4"/>
      <c r="WNT72" s="4"/>
      <c r="WNU72" s="4"/>
      <c r="WNV72" s="4"/>
      <c r="WNW72" s="4"/>
      <c r="WNX72" s="4"/>
      <c r="WNY72" s="4"/>
      <c r="WNZ72" s="4"/>
      <c r="WOA72" s="4"/>
      <c r="WOB72" s="4"/>
      <c r="WOC72" s="4"/>
      <c r="WOD72" s="4"/>
      <c r="WOE72" s="4"/>
      <c r="WOF72" s="4"/>
      <c r="WOG72" s="4"/>
      <c r="WOH72" s="4"/>
      <c r="WOI72" s="4"/>
      <c r="WOJ72" s="4"/>
      <c r="WOK72" s="4"/>
      <c r="WOL72" s="4"/>
      <c r="WOM72" s="4"/>
      <c r="WON72" s="4"/>
      <c r="WOO72" s="4"/>
      <c r="WOP72" s="4"/>
      <c r="WOQ72" s="4"/>
      <c r="WOR72" s="4"/>
      <c r="WOS72" s="4"/>
      <c r="WOT72" s="4"/>
      <c r="WOU72" s="4"/>
      <c r="WOV72" s="4"/>
      <c r="WOW72" s="4"/>
      <c r="WOX72" s="4"/>
      <c r="WOY72" s="4"/>
      <c r="WOZ72" s="4"/>
      <c r="WPA72" s="4"/>
      <c r="WPB72" s="4"/>
      <c r="WPC72" s="4"/>
      <c r="WPD72" s="4"/>
      <c r="WPE72" s="4"/>
      <c r="WPF72" s="4"/>
      <c r="WPG72" s="4"/>
      <c r="WPH72" s="4"/>
      <c r="WPI72" s="4"/>
      <c r="WPJ72" s="4"/>
      <c r="WPK72" s="4"/>
      <c r="WPL72" s="4"/>
      <c r="WPM72" s="4"/>
      <c r="WPN72" s="4"/>
      <c r="WPO72" s="4"/>
      <c r="WPP72" s="4"/>
      <c r="WPQ72" s="4"/>
      <c r="WPR72" s="4"/>
      <c r="WPS72" s="4"/>
      <c r="WPT72" s="4"/>
      <c r="WPU72" s="4"/>
      <c r="WPV72" s="4"/>
      <c r="WPW72" s="4"/>
      <c r="WPX72" s="4"/>
      <c r="WPY72" s="4"/>
      <c r="WPZ72" s="4"/>
      <c r="WQA72" s="4"/>
      <c r="WQB72" s="4"/>
      <c r="WQC72" s="4"/>
      <c r="WQD72" s="4"/>
      <c r="WQE72" s="4"/>
      <c r="WQF72" s="4"/>
      <c r="WQG72" s="4"/>
      <c r="WQH72" s="4"/>
      <c r="WQI72" s="4"/>
      <c r="WQJ72" s="4"/>
      <c r="WQK72" s="4"/>
      <c r="WQL72" s="4"/>
      <c r="WQM72" s="4"/>
      <c r="WQN72" s="4"/>
      <c r="WQO72" s="4"/>
      <c r="WQP72" s="4"/>
      <c r="WQQ72" s="4"/>
      <c r="WQR72" s="4"/>
      <c r="WQS72" s="4"/>
      <c r="WQT72" s="4"/>
      <c r="WQU72" s="4"/>
      <c r="WQV72" s="4"/>
      <c r="WQW72" s="4"/>
      <c r="WQX72" s="4"/>
      <c r="WQY72" s="4"/>
      <c r="WQZ72" s="4"/>
      <c r="WRA72" s="4"/>
      <c r="WRB72" s="4"/>
      <c r="WRC72" s="4"/>
      <c r="WRD72" s="4"/>
      <c r="WRE72" s="4"/>
      <c r="WRF72" s="4"/>
      <c r="WRG72" s="4"/>
      <c r="WRH72" s="4"/>
      <c r="WRI72" s="4"/>
      <c r="WRJ72" s="4"/>
      <c r="WRK72" s="4"/>
      <c r="WRL72" s="4"/>
      <c r="WRM72" s="4"/>
      <c r="WRN72" s="4"/>
      <c r="WRO72" s="4"/>
      <c r="WRP72" s="4"/>
      <c r="WRQ72" s="4"/>
      <c r="WRR72" s="4"/>
      <c r="WRS72" s="4"/>
      <c r="WRT72" s="4"/>
      <c r="WRU72" s="4"/>
      <c r="WRV72" s="4"/>
      <c r="WRW72" s="4"/>
      <c r="WRX72" s="4"/>
      <c r="WRY72" s="4"/>
      <c r="WRZ72" s="4"/>
      <c r="WSA72" s="4"/>
      <c r="WSB72" s="4"/>
      <c r="WSC72" s="4"/>
      <c r="WSD72" s="4"/>
      <c r="WSE72" s="4"/>
      <c r="WSF72" s="4"/>
      <c r="WSG72" s="4"/>
      <c r="WSH72" s="4"/>
      <c r="WSI72" s="4"/>
      <c r="WSJ72" s="4"/>
      <c r="WSK72" s="4"/>
      <c r="WSL72" s="4"/>
      <c r="WSM72" s="4"/>
      <c r="WSN72" s="4"/>
      <c r="WSO72" s="4"/>
      <c r="WSP72" s="4"/>
      <c r="WSQ72" s="4"/>
      <c r="WSR72" s="4"/>
      <c r="WSS72" s="4"/>
      <c r="WST72" s="4"/>
      <c r="WSU72" s="4"/>
      <c r="WSV72" s="4"/>
      <c r="WSW72" s="4"/>
      <c r="WSX72" s="4"/>
      <c r="WSY72" s="4"/>
      <c r="WSZ72" s="4"/>
      <c r="WTA72" s="4"/>
      <c r="WTB72" s="4"/>
      <c r="WTC72" s="4"/>
      <c r="WTD72" s="4"/>
      <c r="WTE72" s="4"/>
      <c r="WTF72" s="4"/>
      <c r="WTG72" s="4"/>
      <c r="WTH72" s="4"/>
      <c r="WTI72" s="4"/>
      <c r="WTJ72" s="4"/>
      <c r="WTK72" s="4"/>
      <c r="WTL72" s="4"/>
      <c r="WTM72" s="4"/>
      <c r="WTN72" s="4"/>
      <c r="WTO72" s="4"/>
      <c r="WTP72" s="4"/>
      <c r="WTQ72" s="4"/>
      <c r="WTR72" s="4"/>
      <c r="WTS72" s="4"/>
      <c r="WTT72" s="4"/>
      <c r="WTU72" s="4"/>
      <c r="WTV72" s="4"/>
      <c r="WTW72" s="4"/>
      <c r="WTX72" s="4"/>
      <c r="WTY72" s="4"/>
      <c r="WTZ72" s="4"/>
      <c r="WUA72" s="4"/>
      <c r="WUB72" s="4"/>
      <c r="WUC72" s="4"/>
      <c r="WUD72" s="4"/>
      <c r="WUE72" s="4"/>
      <c r="WUF72" s="4"/>
      <c r="WUG72" s="4"/>
      <c r="WUH72" s="4"/>
      <c r="WUI72" s="4"/>
      <c r="WUJ72" s="4"/>
      <c r="WUK72" s="4"/>
      <c r="WUL72" s="4"/>
      <c r="WUM72" s="4"/>
      <c r="WUN72" s="4"/>
      <c r="WUO72" s="4"/>
      <c r="WUP72" s="4"/>
      <c r="WUQ72" s="4"/>
      <c r="WUR72" s="4"/>
      <c r="WUS72" s="4"/>
      <c r="WUT72" s="4"/>
      <c r="WUU72" s="4"/>
      <c r="WUV72" s="4"/>
      <c r="WUW72" s="4"/>
      <c r="WUX72" s="4"/>
      <c r="WUY72" s="4"/>
      <c r="WUZ72" s="4"/>
      <c r="WVA72" s="4"/>
      <c r="WVB72" s="4"/>
      <c r="WVC72" s="4"/>
      <c r="WVD72" s="4"/>
      <c r="WVE72" s="4"/>
      <c r="WVF72" s="4"/>
      <c r="WVG72" s="4"/>
      <c r="WVH72" s="4"/>
      <c r="WVI72" s="4"/>
      <c r="WVJ72" s="4"/>
      <c r="WVK72" s="4"/>
      <c r="WVL72" s="4"/>
      <c r="WVM72" s="4"/>
      <c r="WVN72" s="4"/>
      <c r="WVO72" s="4"/>
      <c r="WVP72" s="4"/>
      <c r="WVQ72" s="4"/>
      <c r="WVR72" s="4"/>
      <c r="WVS72" s="4"/>
      <c r="WVT72" s="4"/>
      <c r="WVU72" s="4"/>
      <c r="WVV72" s="4"/>
      <c r="WVW72" s="4"/>
      <c r="WVX72" s="4"/>
      <c r="WVY72" s="4"/>
      <c r="WVZ72" s="4"/>
      <c r="WWA72" s="4"/>
      <c r="WWB72" s="4"/>
      <c r="WWC72" s="4"/>
      <c r="WWD72" s="4"/>
      <c r="WWE72" s="4"/>
      <c r="WWF72" s="4"/>
      <c r="WWG72" s="4"/>
      <c r="WWH72" s="4"/>
      <c r="WWI72" s="4"/>
      <c r="WWJ72" s="4"/>
      <c r="WWK72" s="4"/>
      <c r="WWL72" s="4"/>
      <c r="WWM72" s="4"/>
      <c r="WWN72" s="4"/>
      <c r="WWO72" s="4"/>
      <c r="WWP72" s="4"/>
      <c r="WWQ72" s="4"/>
      <c r="WWR72" s="4"/>
      <c r="WWS72" s="4"/>
      <c r="WWT72" s="4"/>
      <c r="WWU72" s="4"/>
      <c r="WWV72" s="4"/>
      <c r="WWW72" s="4"/>
      <c r="WWX72" s="4"/>
      <c r="WWY72" s="4"/>
      <c r="WWZ72" s="4"/>
      <c r="WXA72" s="4"/>
      <c r="WXB72" s="4"/>
      <c r="WXC72" s="4"/>
      <c r="WXD72" s="4"/>
      <c r="WXE72" s="4"/>
      <c r="WXF72" s="4"/>
      <c r="WXG72" s="4"/>
      <c r="WXH72" s="4"/>
      <c r="WXI72" s="4"/>
      <c r="WXJ72" s="4"/>
      <c r="WXK72" s="4"/>
      <c r="WXL72" s="4"/>
      <c r="WXM72" s="4"/>
      <c r="WXN72" s="4"/>
      <c r="WXO72" s="4"/>
      <c r="WXP72" s="4"/>
      <c r="WXQ72" s="4"/>
      <c r="WXR72" s="4"/>
      <c r="WXS72" s="4"/>
      <c r="WXT72" s="4"/>
      <c r="WXU72" s="4"/>
      <c r="WXV72" s="4"/>
      <c r="WXW72" s="4"/>
      <c r="WXX72" s="4"/>
      <c r="WXY72" s="4"/>
      <c r="WXZ72" s="4"/>
      <c r="WYA72" s="4"/>
      <c r="WYB72" s="4"/>
      <c r="WYC72" s="4"/>
      <c r="WYD72" s="4"/>
      <c r="WYE72" s="4"/>
      <c r="WYF72" s="4"/>
      <c r="WYG72" s="4"/>
      <c r="WYH72" s="4"/>
      <c r="WYI72" s="4"/>
      <c r="WYJ72" s="4"/>
      <c r="WYK72" s="4"/>
      <c r="WYL72" s="4"/>
      <c r="WYM72" s="4"/>
      <c r="WYN72" s="4"/>
      <c r="WYO72" s="4"/>
      <c r="WYP72" s="4"/>
      <c r="WYQ72" s="4"/>
      <c r="WYR72" s="4"/>
      <c r="WYS72" s="4"/>
      <c r="WYT72" s="4"/>
      <c r="WYU72" s="4"/>
      <c r="WYV72" s="4"/>
      <c r="WYW72" s="4"/>
      <c r="WYX72" s="4"/>
      <c r="WYY72" s="4"/>
      <c r="WYZ72" s="4"/>
      <c r="WZA72" s="4"/>
      <c r="WZB72" s="4"/>
      <c r="WZC72" s="4"/>
      <c r="WZD72" s="4"/>
      <c r="WZE72" s="4"/>
      <c r="WZF72" s="4"/>
      <c r="WZG72" s="4"/>
      <c r="WZH72" s="4"/>
      <c r="WZI72" s="4"/>
      <c r="WZJ72" s="4"/>
      <c r="WZK72" s="4"/>
      <c r="WZL72" s="4"/>
      <c r="WZM72" s="4"/>
      <c r="WZN72" s="4"/>
      <c r="WZO72" s="4"/>
      <c r="WZP72" s="4"/>
      <c r="WZQ72" s="4"/>
      <c r="WZR72" s="4"/>
      <c r="WZS72" s="4"/>
      <c r="WZT72" s="4"/>
      <c r="WZU72" s="4"/>
      <c r="WZV72" s="4"/>
      <c r="WZW72" s="4"/>
      <c r="WZX72" s="4"/>
      <c r="WZY72" s="4"/>
      <c r="WZZ72" s="4"/>
      <c r="XAA72" s="4"/>
      <c r="XAB72" s="4"/>
      <c r="XAC72" s="4"/>
      <c r="XAD72" s="4"/>
      <c r="XAE72" s="4"/>
      <c r="XAF72" s="4"/>
      <c r="XAG72" s="4"/>
      <c r="XAH72" s="4"/>
      <c r="XAI72" s="4"/>
      <c r="XAJ72" s="4"/>
      <c r="XAK72" s="4"/>
      <c r="XAL72" s="4"/>
      <c r="XAM72" s="4"/>
      <c r="XAN72" s="4"/>
      <c r="XAO72" s="4"/>
      <c r="XAP72" s="4"/>
      <c r="XAQ72" s="4"/>
      <c r="XAR72" s="4"/>
      <c r="XAS72" s="4"/>
      <c r="XAT72" s="4"/>
      <c r="XAU72" s="4"/>
      <c r="XAV72" s="4"/>
      <c r="XAW72" s="4"/>
      <c r="XAX72" s="4"/>
      <c r="XAY72" s="4"/>
      <c r="XAZ72" s="4"/>
      <c r="XBA72" s="4"/>
      <c r="XBB72" s="4"/>
      <c r="XBC72" s="4"/>
      <c r="XBD72" s="4"/>
      <c r="XBE72" s="4"/>
      <c r="XBF72" s="4"/>
      <c r="XBG72" s="4"/>
      <c r="XBH72" s="4"/>
      <c r="XBI72" s="4"/>
      <c r="XBJ72" s="4"/>
      <c r="XBK72" s="4"/>
      <c r="XBL72" s="4"/>
      <c r="XBM72" s="4"/>
      <c r="XBN72" s="4"/>
      <c r="XBO72" s="4"/>
      <c r="XBP72" s="4"/>
      <c r="XBQ72" s="4"/>
      <c r="XBR72" s="4"/>
      <c r="XBS72" s="4"/>
      <c r="XBT72" s="4"/>
      <c r="XBU72" s="4"/>
      <c r="XBV72" s="4"/>
      <c r="XBW72" s="4"/>
      <c r="XBX72" s="4"/>
      <c r="XBY72" s="4"/>
      <c r="XBZ72" s="4"/>
      <c r="XCA72" s="4"/>
      <c r="XCB72" s="4"/>
      <c r="XCC72" s="4"/>
      <c r="XCD72" s="4"/>
      <c r="XCE72" s="4"/>
      <c r="XCF72" s="4"/>
      <c r="XCG72" s="4"/>
      <c r="XCH72" s="4"/>
      <c r="XCI72" s="4"/>
      <c r="XCJ72" s="4"/>
      <c r="XCK72" s="4"/>
      <c r="XCL72" s="4"/>
      <c r="XCM72" s="4"/>
      <c r="XCN72" s="4"/>
      <c r="XCO72" s="4"/>
      <c r="XCP72" s="4"/>
      <c r="XCQ72" s="4"/>
      <c r="XCR72" s="4"/>
      <c r="XCS72" s="4"/>
      <c r="XCT72" s="4"/>
      <c r="XCU72" s="4"/>
      <c r="XCV72" s="4"/>
      <c r="XCW72" s="4"/>
      <c r="XCX72" s="4"/>
      <c r="XCY72" s="4"/>
      <c r="XCZ72" s="4"/>
      <c r="XDA72" s="4"/>
      <c r="XDB72" s="4"/>
      <c r="XDC72" s="4"/>
      <c r="XDD72" s="4"/>
      <c r="XDE72" s="4"/>
      <c r="XDF72" s="4"/>
      <c r="XDG72" s="4"/>
      <c r="XDH72" s="4"/>
      <c r="XDI72" s="4"/>
      <c r="XDJ72" s="4"/>
      <c r="XDK72" s="4"/>
      <c r="XDL72" s="4"/>
      <c r="XDM72" s="4"/>
      <c r="XDN72" s="4"/>
      <c r="XDO72" s="4"/>
      <c r="XDP72" s="4"/>
      <c r="XDQ72" s="4"/>
      <c r="XDR72" s="4"/>
      <c r="XDS72" s="4"/>
      <c r="XDT72" s="4"/>
      <c r="XDU72" s="4"/>
      <c r="XDV72" s="4"/>
      <c r="XDW72" s="4"/>
      <c r="XDX72" s="4"/>
      <c r="XDY72" s="4"/>
      <c r="XDZ72" s="4"/>
      <c r="XEA72" s="4"/>
      <c r="XEB72" s="4"/>
      <c r="XEC72" s="4"/>
      <c r="XED72" s="4"/>
      <c r="XEE72" s="4"/>
      <c r="XEF72" s="4"/>
      <c r="XEG72" s="4"/>
      <c r="XEH72" s="4"/>
      <c r="XEI72" s="4"/>
      <c r="XEJ72" s="4"/>
      <c r="XEK72" s="4"/>
      <c r="XEL72" s="4"/>
      <c r="XEM72" s="4"/>
      <c r="XEN72" s="4"/>
      <c r="XEO72" s="4"/>
      <c r="XEP72" s="4"/>
      <c r="XEQ72" s="4"/>
      <c r="XER72" s="4"/>
      <c r="XES72" s="4"/>
      <c r="XET72" s="4"/>
      <c r="XEU72" s="4"/>
      <c r="XEV72" s="4"/>
      <c r="XEW72" s="4"/>
      <c r="XEX72" s="4"/>
      <c r="XEY72" s="4"/>
      <c r="XEZ72" s="4"/>
      <c r="XFA72" s="4"/>
      <c r="XFB72" s="4"/>
    </row>
    <row r="73" spans="1:16384" x14ac:dyDescent="0.35">
      <c r="A73" s="88" t="s">
        <v>145</v>
      </c>
      <c r="B73" s="101" t="s">
        <v>420</v>
      </c>
      <c r="C73" s="101"/>
      <c r="D73" s="14"/>
      <c r="E73" s="14"/>
      <c r="F73" s="14" t="s">
        <v>77</v>
      </c>
      <c r="G73" s="14" t="s">
        <v>5</v>
      </c>
      <c r="H73" s="40" t="s">
        <v>5</v>
      </c>
      <c r="I73" s="40" t="s">
        <v>5</v>
      </c>
      <c r="J73" s="40" t="s">
        <v>11</v>
      </c>
      <c r="K73" s="41" t="s">
        <v>30</v>
      </c>
      <c r="L73" s="42"/>
      <c r="M73" s="43"/>
      <c r="N73" s="42">
        <v>1</v>
      </c>
      <c r="O73" s="44">
        <f>+T73</f>
        <v>13107.692307692309</v>
      </c>
      <c r="P73" s="44">
        <f>1562000/1430*3</f>
        <v>3276.9230769230771</v>
      </c>
      <c r="Q73" s="44">
        <f>1562000/1430*3</f>
        <v>3276.9230769230771</v>
      </c>
      <c r="R73" s="43">
        <f>1562000/1430*3</f>
        <v>3276.9230769230771</v>
      </c>
      <c r="S73" s="43">
        <f>1562000/1430*3</f>
        <v>3276.9230769230771</v>
      </c>
      <c r="T73" s="43">
        <f>+P73+Q73+R73+S73</f>
        <v>13107.692307692309</v>
      </c>
      <c r="U73" s="10"/>
    </row>
    <row r="74" spans="1:16384" x14ac:dyDescent="0.35">
      <c r="A74" s="8" t="s">
        <v>332</v>
      </c>
      <c r="B74" s="1" t="s">
        <v>1</v>
      </c>
      <c r="F74" s="1" t="s">
        <v>76</v>
      </c>
      <c r="G74" s="1" t="s">
        <v>5</v>
      </c>
      <c r="H74" s="1" t="s">
        <v>5</v>
      </c>
      <c r="I74" s="1" t="s">
        <v>5</v>
      </c>
      <c r="J74" s="6" t="s">
        <v>50</v>
      </c>
      <c r="K74" s="6"/>
      <c r="L74" s="6"/>
      <c r="N74" s="3">
        <v>0.1</v>
      </c>
      <c r="O74" s="45">
        <v>10000</v>
      </c>
      <c r="P74" s="10"/>
      <c r="Q74" s="10">
        <v>1000</v>
      </c>
      <c r="R74" s="10"/>
      <c r="S74" s="10"/>
      <c r="T74" s="10">
        <v>1000</v>
      </c>
      <c r="U74" s="10"/>
      <c r="W74" s="72"/>
      <c r="X74" s="72"/>
    </row>
    <row r="75" spans="1:16384" x14ac:dyDescent="0.35">
      <c r="A75" s="8" t="s">
        <v>188</v>
      </c>
      <c r="B75" s="1" t="s">
        <v>1</v>
      </c>
      <c r="D75" s="1"/>
      <c r="E75" s="1"/>
      <c r="F75" s="1" t="s">
        <v>78</v>
      </c>
      <c r="G75" s="1" t="s">
        <v>5</v>
      </c>
      <c r="H75" s="1" t="s">
        <v>5</v>
      </c>
      <c r="I75" s="1" t="s">
        <v>5</v>
      </c>
      <c r="J75" s="6" t="s">
        <v>50</v>
      </c>
      <c r="L75" s="3"/>
      <c r="M75" s="9"/>
      <c r="N75" s="3">
        <v>0.1</v>
      </c>
      <c r="O75" s="10">
        <v>2000</v>
      </c>
      <c r="P75" s="12"/>
      <c r="Q75" s="10">
        <f>+O75*N75</f>
        <v>200</v>
      </c>
      <c r="R75" s="10"/>
      <c r="T75" s="10">
        <f>+P75+Q75+R75+S75</f>
        <v>200</v>
      </c>
      <c r="W75" s="4" t="s">
        <v>293</v>
      </c>
      <c r="Y75" s="41"/>
    </row>
    <row r="76" spans="1:16384" s="90" customFormat="1" x14ac:dyDescent="0.35">
      <c r="A76" s="8" t="s">
        <v>418</v>
      </c>
      <c r="B76" s="1" t="s">
        <v>2</v>
      </c>
      <c r="C76" s="1"/>
      <c r="D76" s="8"/>
      <c r="E76" s="8"/>
      <c r="F76" s="1" t="s">
        <v>79</v>
      </c>
      <c r="G76" s="1" t="s">
        <v>5</v>
      </c>
      <c r="H76" s="1" t="s">
        <v>5</v>
      </c>
      <c r="I76" s="1" t="s">
        <v>5</v>
      </c>
      <c r="J76" s="6" t="s">
        <v>50</v>
      </c>
      <c r="K76" s="6"/>
      <c r="L76" s="6"/>
      <c r="M76" s="4"/>
      <c r="N76" s="3">
        <v>0.1</v>
      </c>
      <c r="O76" s="9">
        <v>10000</v>
      </c>
      <c r="P76" s="13"/>
      <c r="Q76" s="10"/>
      <c r="R76" s="10">
        <v>1400</v>
      </c>
      <c r="S76" s="10"/>
      <c r="T76" s="10">
        <v>1400</v>
      </c>
      <c r="U76" s="4"/>
      <c r="V76" s="4"/>
      <c r="W76" s="4" t="s">
        <v>454</v>
      </c>
      <c r="X76" s="4"/>
      <c r="Y76" s="67"/>
      <c r="Z76" s="4"/>
    </row>
    <row r="77" spans="1:16384" x14ac:dyDescent="0.35">
      <c r="A77" s="8" t="s">
        <v>398</v>
      </c>
      <c r="B77" s="1" t="s">
        <v>0</v>
      </c>
      <c r="F77" s="1" t="s">
        <v>88</v>
      </c>
      <c r="G77" s="1" t="s">
        <v>48</v>
      </c>
      <c r="H77" s="1" t="s">
        <v>47</v>
      </c>
      <c r="I77" s="1" t="s">
        <v>65</v>
      </c>
      <c r="J77" s="6" t="s">
        <v>50</v>
      </c>
      <c r="K77" s="46"/>
      <c r="L77" s="46"/>
      <c r="N77" s="3">
        <v>0.75</v>
      </c>
      <c r="O77" s="9">
        <v>90000</v>
      </c>
      <c r="P77" s="10">
        <f>+O77*N77</f>
        <v>67500</v>
      </c>
      <c r="Q77" s="10"/>
      <c r="R77" s="10"/>
      <c r="S77" s="10"/>
      <c r="T77" s="10">
        <f>+P77+Q77+R77+S77</f>
        <v>67500</v>
      </c>
      <c r="U77" s="10"/>
      <c r="W77" s="4" t="s">
        <v>399</v>
      </c>
      <c r="Y77" s="41"/>
      <c r="Z77" s="67"/>
    </row>
    <row r="78" spans="1:16384" x14ac:dyDescent="0.35">
      <c r="A78" s="8" t="s">
        <v>463</v>
      </c>
      <c r="B78" s="1" t="s">
        <v>0</v>
      </c>
      <c r="F78" s="1" t="s">
        <v>78</v>
      </c>
      <c r="G78" s="1" t="s">
        <v>48</v>
      </c>
      <c r="H78" s="1" t="s">
        <v>46</v>
      </c>
      <c r="I78" s="1" t="s">
        <v>10</v>
      </c>
      <c r="J78" s="6" t="s">
        <v>50</v>
      </c>
      <c r="K78" s="6"/>
      <c r="L78" s="6"/>
      <c r="N78" s="3">
        <v>0.25</v>
      </c>
      <c r="O78" s="45">
        <v>5000</v>
      </c>
      <c r="P78" s="10"/>
      <c r="Q78" s="10">
        <f>+O78*N78</f>
        <v>1250</v>
      </c>
      <c r="R78" s="10"/>
      <c r="S78" s="10"/>
      <c r="T78" s="26">
        <f>+P78+Q78+R78+S78</f>
        <v>1250</v>
      </c>
      <c r="W78" s="4" t="s">
        <v>217</v>
      </c>
      <c r="Y78" s="41"/>
      <c r="Z78" s="67"/>
    </row>
    <row r="79" spans="1:16384" s="112" customFormat="1" x14ac:dyDescent="0.35">
      <c r="A79" s="63" t="s">
        <v>512</v>
      </c>
      <c r="B79" s="56" t="s">
        <v>0</v>
      </c>
      <c r="C79" s="56"/>
      <c r="D79" s="63"/>
      <c r="E79" s="63"/>
      <c r="F79" s="56" t="s">
        <v>78</v>
      </c>
      <c r="G79" s="56" t="s">
        <v>48</v>
      </c>
      <c r="H79" s="56" t="s">
        <v>38</v>
      </c>
      <c r="I79" s="56" t="s">
        <v>9</v>
      </c>
      <c r="J79" s="66" t="s">
        <v>51</v>
      </c>
      <c r="K79" s="66"/>
      <c r="L79" s="66"/>
      <c r="M79" s="67"/>
      <c r="N79" s="68">
        <v>0.75</v>
      </c>
      <c r="O79" s="26">
        <v>128000</v>
      </c>
      <c r="P79" s="69"/>
      <c r="Q79" s="10">
        <f>+O79*N79</f>
        <v>96000</v>
      </c>
      <c r="R79" s="69"/>
      <c r="S79" s="69"/>
      <c r="T79" s="26">
        <f>+P79+Q79+R79+S79</f>
        <v>96000</v>
      </c>
      <c r="U79" s="10"/>
      <c r="V79" s="4"/>
      <c r="W79" s="67" t="s">
        <v>501</v>
      </c>
      <c r="X79" s="67"/>
      <c r="Y79" s="41"/>
      <c r="Z79" s="41"/>
      <c r="AA79" s="4"/>
      <c r="AB79" s="4"/>
      <c r="AC79" s="4"/>
      <c r="AD79" s="4"/>
      <c r="AE79" s="4"/>
      <c r="AF79" s="4"/>
      <c r="AG79" s="4"/>
      <c r="AH79" s="4"/>
      <c r="AI79" s="4"/>
    </row>
    <row r="80" spans="1:16384" s="67" customFormat="1" x14ac:dyDescent="0.35">
      <c r="A80" s="74" t="s">
        <v>466</v>
      </c>
      <c r="B80" s="104" t="s">
        <v>0</v>
      </c>
      <c r="C80" s="104"/>
      <c r="D80" s="74"/>
      <c r="E80" s="74"/>
      <c r="F80" s="56" t="s">
        <v>77</v>
      </c>
      <c r="G80" s="1" t="s">
        <v>48</v>
      </c>
      <c r="H80" s="56" t="s">
        <v>47</v>
      </c>
      <c r="I80" s="56" t="s">
        <v>27</v>
      </c>
      <c r="J80" s="66" t="s">
        <v>51</v>
      </c>
      <c r="K80" s="75"/>
      <c r="L80" s="75"/>
      <c r="M80" s="76"/>
      <c r="N80" s="68">
        <v>0.1</v>
      </c>
      <c r="O80" s="77">
        <v>8000</v>
      </c>
      <c r="P80" s="26">
        <f>+O80*N80</f>
        <v>800</v>
      </c>
      <c r="Q80" s="26"/>
      <c r="R80" s="26"/>
      <c r="S80" s="26"/>
      <c r="T80" s="10">
        <f>+P80+Q80+R80+S80</f>
        <v>800</v>
      </c>
      <c r="U80" s="73"/>
      <c r="V80" s="73"/>
      <c r="W80" s="76" t="s">
        <v>431</v>
      </c>
      <c r="X80" s="76"/>
      <c r="Y80" s="112"/>
      <c r="Z80" s="112"/>
      <c r="AA80" s="112"/>
      <c r="AB80" s="112"/>
      <c r="AC80" s="112"/>
      <c r="AD80" s="112"/>
      <c r="AE80" s="112"/>
      <c r="AF80" s="112"/>
      <c r="AG80" s="112"/>
      <c r="AH80" s="112"/>
      <c r="AI80" s="112"/>
    </row>
    <row r="81" spans="1:16383" s="67" customFormat="1" x14ac:dyDescent="0.35">
      <c r="A81" s="55" t="s">
        <v>56</v>
      </c>
      <c r="B81" s="101" t="s">
        <v>0</v>
      </c>
      <c r="C81" s="101"/>
      <c r="D81" s="39"/>
      <c r="E81" s="39"/>
      <c r="F81" s="14" t="s">
        <v>80</v>
      </c>
      <c r="G81" s="14" t="s">
        <v>48</v>
      </c>
      <c r="H81" s="14" t="s">
        <v>46</v>
      </c>
      <c r="I81" s="14" t="s">
        <v>10</v>
      </c>
      <c r="J81" s="40" t="s">
        <v>11</v>
      </c>
      <c r="K81" s="40" t="s">
        <v>25</v>
      </c>
      <c r="L81" s="40" t="s">
        <v>10</v>
      </c>
      <c r="M81" s="41"/>
      <c r="N81" s="42">
        <v>1</v>
      </c>
      <c r="O81" s="43">
        <v>106464</v>
      </c>
      <c r="P81" s="44">
        <f>+O81*N81</f>
        <v>106464</v>
      </c>
      <c r="Q81" s="44"/>
      <c r="R81" s="44"/>
      <c r="S81" s="44"/>
      <c r="T81" s="43">
        <f>+P81+Q81+R81+S81</f>
        <v>106464</v>
      </c>
      <c r="U81" s="43">
        <f>+T81*0.05</f>
        <v>5323.2000000000007</v>
      </c>
      <c r="V81" s="41"/>
      <c r="W81" s="41" t="s">
        <v>382</v>
      </c>
      <c r="X81" s="41"/>
      <c r="Y81" s="41"/>
      <c r="Z81" s="41"/>
      <c r="AA81" s="4"/>
      <c r="AB81" s="4"/>
      <c r="AC81" s="4"/>
      <c r="AD81" s="4"/>
      <c r="AE81" s="4"/>
      <c r="AF81" s="4"/>
      <c r="AG81" s="4"/>
    </row>
    <row r="82" spans="1:16383" s="67" customFormat="1" x14ac:dyDescent="0.35">
      <c r="A82" s="88" t="s">
        <v>66</v>
      </c>
      <c r="B82" s="101" t="s">
        <v>0</v>
      </c>
      <c r="C82" s="101"/>
      <c r="D82" s="39"/>
      <c r="E82" s="39"/>
      <c r="F82" s="14" t="s">
        <v>77</v>
      </c>
      <c r="G82" s="14" t="s">
        <v>48</v>
      </c>
      <c r="H82" s="14" t="s">
        <v>46</v>
      </c>
      <c r="I82" s="14" t="s">
        <v>10</v>
      </c>
      <c r="J82" s="40" t="s">
        <v>11</v>
      </c>
      <c r="K82" s="40" t="s">
        <v>26</v>
      </c>
      <c r="L82" s="40"/>
      <c r="M82" s="41"/>
      <c r="N82" s="42">
        <v>1</v>
      </c>
      <c r="O82" s="43">
        <v>99600</v>
      </c>
      <c r="P82" s="44">
        <f>+O82*N82</f>
        <v>99600</v>
      </c>
      <c r="Q82" s="44"/>
      <c r="R82" s="44"/>
      <c r="S82" s="44"/>
      <c r="T82" s="43">
        <f>+P82+Q82+R82+S82</f>
        <v>99600</v>
      </c>
      <c r="U82" s="43"/>
      <c r="V82" s="41"/>
      <c r="W82" s="41" t="s">
        <v>382</v>
      </c>
      <c r="X82" s="41"/>
      <c r="Y82" s="112"/>
      <c r="Z82" s="112"/>
    </row>
    <row r="83" spans="1:16383" x14ac:dyDescent="0.35">
      <c r="A83" s="39" t="s">
        <v>19</v>
      </c>
      <c r="B83" s="101" t="s">
        <v>0</v>
      </c>
      <c r="C83" s="101"/>
      <c r="D83" s="39"/>
      <c r="E83" s="39"/>
      <c r="F83" s="14" t="s">
        <v>80</v>
      </c>
      <c r="G83" s="14" t="s">
        <v>48</v>
      </c>
      <c r="H83" s="14" t="s">
        <v>20</v>
      </c>
      <c r="I83" s="14" t="s">
        <v>9</v>
      </c>
      <c r="J83" s="40" t="s">
        <v>11</v>
      </c>
      <c r="K83" s="40" t="s">
        <v>25</v>
      </c>
      <c r="L83" s="40" t="s">
        <v>197</v>
      </c>
      <c r="M83" s="41"/>
      <c r="N83" s="42">
        <v>1</v>
      </c>
      <c r="O83" s="71">
        <v>70000</v>
      </c>
      <c r="P83" s="43">
        <f>+O83*N83</f>
        <v>70000</v>
      </c>
      <c r="Q83" s="43"/>
      <c r="R83" s="43"/>
      <c r="S83" s="43"/>
      <c r="T83" s="43">
        <f>+P83+Q83+R83+S83</f>
        <v>70000</v>
      </c>
      <c r="U83" s="43"/>
      <c r="V83" s="41"/>
      <c r="W83" s="41" t="s">
        <v>383</v>
      </c>
      <c r="X83" s="41"/>
      <c r="Y83" s="112"/>
      <c r="Z83" s="112"/>
      <c r="AA83" s="67"/>
      <c r="AB83" s="67"/>
      <c r="AC83" s="67"/>
      <c r="AD83" s="67"/>
      <c r="AE83" s="67"/>
      <c r="AF83" s="67"/>
      <c r="AG83" s="67"/>
      <c r="AH83" s="67"/>
      <c r="AI83" s="67"/>
    </row>
    <row r="84" spans="1:16383" s="112" customFormat="1" x14ac:dyDescent="0.35">
      <c r="A84" s="88" t="s">
        <v>114</v>
      </c>
      <c r="B84" s="101" t="s">
        <v>0</v>
      </c>
      <c r="C84" s="101"/>
      <c r="D84" s="39"/>
      <c r="E84" s="39"/>
      <c r="F84" s="14" t="s">
        <v>76</v>
      </c>
      <c r="G84" s="14" t="s">
        <v>48</v>
      </c>
      <c r="H84" s="14" t="s">
        <v>38</v>
      </c>
      <c r="I84" s="14" t="s">
        <v>9</v>
      </c>
      <c r="J84" s="40" t="s">
        <v>11</v>
      </c>
      <c r="K84" s="40" t="s">
        <v>30</v>
      </c>
      <c r="L84" s="40"/>
      <c r="M84" s="41"/>
      <c r="N84" s="42">
        <v>1</v>
      </c>
      <c r="O84" s="43">
        <f>5250*12</f>
        <v>63000</v>
      </c>
      <c r="P84" s="44">
        <f>5250*3</f>
        <v>15750</v>
      </c>
      <c r="Q84" s="44">
        <f>5250*3</f>
        <v>15750</v>
      </c>
      <c r="R84" s="44">
        <f>5250*3</f>
        <v>15750</v>
      </c>
      <c r="S84" s="44">
        <f>5250*3</f>
        <v>15750</v>
      </c>
      <c r="T84" s="43">
        <f>+P84+Q84+R84+S84</f>
        <v>63000</v>
      </c>
      <c r="U84" s="43"/>
      <c r="V84" s="41"/>
      <c r="W84" s="41" t="s">
        <v>382</v>
      </c>
      <c r="X84" s="41"/>
      <c r="Y84" s="41"/>
      <c r="Z84" s="41"/>
      <c r="AA84" s="41"/>
      <c r="AB84" s="4"/>
      <c r="AC84" s="4"/>
      <c r="AD84" s="4"/>
      <c r="AE84" s="4"/>
      <c r="AF84" s="4"/>
      <c r="AG84" s="4"/>
      <c r="AH84" s="4"/>
      <c r="AI84" s="4"/>
    </row>
    <row r="85" spans="1:16383" x14ac:dyDescent="0.35">
      <c r="A85" s="106" t="s">
        <v>259</v>
      </c>
      <c r="B85" s="107" t="s">
        <v>0</v>
      </c>
      <c r="C85" s="107"/>
      <c r="D85" s="106"/>
      <c r="E85" s="106"/>
      <c r="F85" s="107" t="s">
        <v>75</v>
      </c>
      <c r="G85" s="107" t="s">
        <v>48</v>
      </c>
      <c r="H85" s="108" t="s">
        <v>46</v>
      </c>
      <c r="I85" s="108" t="s">
        <v>10</v>
      </c>
      <c r="J85" s="108" t="s">
        <v>11</v>
      </c>
      <c r="K85" s="108"/>
      <c r="L85" s="109"/>
      <c r="M85" s="110"/>
      <c r="N85" s="109">
        <v>1</v>
      </c>
      <c r="O85" s="111">
        <v>60000</v>
      </c>
      <c r="P85" s="111">
        <f>+O85*N85</f>
        <v>60000</v>
      </c>
      <c r="Q85" s="110"/>
      <c r="R85" s="110"/>
      <c r="S85" s="112"/>
      <c r="T85" s="110">
        <f>+P85+Q85+R85+S85</f>
        <v>60000</v>
      </c>
      <c r="U85" s="112"/>
      <c r="V85" s="112"/>
      <c r="W85" s="112" t="s">
        <v>315</v>
      </c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</row>
    <row r="86" spans="1:16383" s="112" customFormat="1" x14ac:dyDescent="0.35">
      <c r="A86" s="55" t="s">
        <v>59</v>
      </c>
      <c r="B86" s="101" t="s">
        <v>0</v>
      </c>
      <c r="C86" s="101"/>
      <c r="D86" s="39"/>
      <c r="E86" s="39"/>
      <c r="F86" s="14" t="s">
        <v>77</v>
      </c>
      <c r="G86" s="14" t="s">
        <v>48</v>
      </c>
      <c r="H86" s="14" t="s">
        <v>46</v>
      </c>
      <c r="I86" s="14" t="s">
        <v>10</v>
      </c>
      <c r="J86" s="40" t="s">
        <v>11</v>
      </c>
      <c r="K86" s="40" t="s">
        <v>26</v>
      </c>
      <c r="L86" s="40"/>
      <c r="M86" s="41"/>
      <c r="N86" s="42">
        <v>1</v>
      </c>
      <c r="O86" s="43">
        <v>55500</v>
      </c>
      <c r="P86" s="44">
        <f>+O86*N86</f>
        <v>55500</v>
      </c>
      <c r="Q86" s="44"/>
      <c r="R86" s="44"/>
      <c r="S86" s="44"/>
      <c r="T86" s="43">
        <f>+P86+Q86+R86+S86</f>
        <v>55500</v>
      </c>
      <c r="U86" s="43"/>
      <c r="V86" s="41"/>
      <c r="W86" s="41" t="s">
        <v>382</v>
      </c>
      <c r="X86" s="41"/>
      <c r="AA86" s="41"/>
      <c r="AB86" s="4"/>
      <c r="AC86" s="4"/>
      <c r="AD86" s="4"/>
      <c r="AE86" s="4"/>
      <c r="AF86" s="4"/>
      <c r="AG86" s="4"/>
      <c r="AH86" s="4"/>
      <c r="AI86" s="4"/>
    </row>
    <row r="87" spans="1:16383" s="90" customFormat="1" x14ac:dyDescent="0.35">
      <c r="A87" s="106" t="s">
        <v>133</v>
      </c>
      <c r="B87" s="107" t="s">
        <v>0</v>
      </c>
      <c r="C87" s="107"/>
      <c r="D87" s="106"/>
      <c r="E87" s="106"/>
      <c r="F87" s="107" t="s">
        <v>76</v>
      </c>
      <c r="G87" s="107" t="s">
        <v>48</v>
      </c>
      <c r="H87" s="108" t="s">
        <v>46</v>
      </c>
      <c r="I87" s="108" t="s">
        <v>10</v>
      </c>
      <c r="J87" s="108" t="s">
        <v>11</v>
      </c>
      <c r="K87" s="108" t="s">
        <v>26</v>
      </c>
      <c r="L87" s="109"/>
      <c r="M87" s="110"/>
      <c r="N87" s="109">
        <v>1</v>
      </c>
      <c r="O87" s="111">
        <v>44973</v>
      </c>
      <c r="P87" s="111">
        <f>+O87*N87</f>
        <v>44973</v>
      </c>
      <c r="Q87" s="110"/>
      <c r="R87" s="110"/>
      <c r="S87" s="112"/>
      <c r="T87" s="110">
        <f>+P87+Q87+R87+S87</f>
        <v>44973</v>
      </c>
      <c r="U87" s="112"/>
      <c r="V87" s="112"/>
      <c r="W87" s="112" t="s">
        <v>384</v>
      </c>
      <c r="X87" s="112"/>
      <c r="Y87" s="41"/>
      <c r="Z87" s="41"/>
      <c r="AA87" s="112"/>
      <c r="AB87" s="112"/>
      <c r="AC87" s="112"/>
      <c r="AD87" s="112"/>
      <c r="AE87" s="112"/>
      <c r="AF87" s="112"/>
      <c r="AG87" s="112"/>
      <c r="AH87" s="112"/>
      <c r="AI87" s="112"/>
    </row>
    <row r="88" spans="1:16383" s="112" customFormat="1" x14ac:dyDescent="0.35">
      <c r="A88" s="39" t="s">
        <v>54</v>
      </c>
      <c r="B88" s="14" t="s">
        <v>0</v>
      </c>
      <c r="C88" s="14"/>
      <c r="D88" s="39"/>
      <c r="E88" s="39"/>
      <c r="F88" s="14" t="s">
        <v>76</v>
      </c>
      <c r="G88" s="14" t="s">
        <v>48</v>
      </c>
      <c r="H88" s="14" t="s">
        <v>180</v>
      </c>
      <c r="I88" s="14" t="s">
        <v>9</v>
      </c>
      <c r="J88" s="40" t="s">
        <v>11</v>
      </c>
      <c r="K88" s="40" t="s">
        <v>25</v>
      </c>
      <c r="L88" s="40"/>
      <c r="M88" s="41" t="s">
        <v>197</v>
      </c>
      <c r="N88" s="42">
        <v>1</v>
      </c>
      <c r="O88" s="43">
        <v>42519.64</v>
      </c>
      <c r="P88" s="44">
        <f>+O88*N88</f>
        <v>42519.64</v>
      </c>
      <c r="Q88" s="44"/>
      <c r="R88" s="44"/>
      <c r="S88" s="44"/>
      <c r="T88" s="43">
        <f>+P88+Q88+R88+S88</f>
        <v>42519.64</v>
      </c>
      <c r="U88" s="43">
        <f>+T88*0.0935</f>
        <v>3975.5863399999998</v>
      </c>
      <c r="V88" s="41"/>
      <c r="W88" s="41" t="s">
        <v>426</v>
      </c>
      <c r="X88" s="41"/>
    </row>
    <row r="89" spans="1:16383" s="112" customFormat="1" x14ac:dyDescent="0.35">
      <c r="A89" s="106" t="s">
        <v>60</v>
      </c>
      <c r="B89" s="107" t="s">
        <v>0</v>
      </c>
      <c r="C89" s="107"/>
      <c r="D89" s="106"/>
      <c r="E89" s="106"/>
      <c r="F89" s="107" t="s">
        <v>74</v>
      </c>
      <c r="G89" s="107" t="s">
        <v>48</v>
      </c>
      <c r="H89" s="108" t="s">
        <v>38</v>
      </c>
      <c r="I89" s="108" t="s">
        <v>9</v>
      </c>
      <c r="J89" s="108" t="s">
        <v>11</v>
      </c>
      <c r="K89" s="108"/>
      <c r="L89" s="109"/>
      <c r="M89" s="110"/>
      <c r="N89" s="109">
        <v>1</v>
      </c>
      <c r="O89" s="111">
        <v>41441.03</v>
      </c>
      <c r="P89" s="111">
        <f>+O89*N89</f>
        <v>41441.03</v>
      </c>
      <c r="Q89" s="110"/>
      <c r="R89" s="110"/>
      <c r="T89" s="110">
        <f>+P89+Q89+R89+S89</f>
        <v>41441.03</v>
      </c>
      <c r="W89" s="112" t="s">
        <v>219</v>
      </c>
      <c r="Y89" s="41"/>
      <c r="Z89" s="41"/>
      <c r="AA89" s="41"/>
      <c r="AB89" s="41"/>
      <c r="AC89" s="41"/>
      <c r="AD89" s="41"/>
      <c r="AE89" s="41"/>
      <c r="AF89" s="41"/>
      <c r="AG89" s="41"/>
      <c r="AH89" s="90"/>
      <c r="AI89" s="90"/>
    </row>
    <row r="90" spans="1:16383" s="41" customFormat="1" x14ac:dyDescent="0.35">
      <c r="A90" s="106" t="s">
        <v>224</v>
      </c>
      <c r="B90" s="107" t="s">
        <v>0</v>
      </c>
      <c r="C90" s="107"/>
      <c r="D90" s="106"/>
      <c r="E90" s="106"/>
      <c r="F90" s="107" t="s">
        <v>77</v>
      </c>
      <c r="G90" s="107" t="s">
        <v>48</v>
      </c>
      <c r="H90" s="108" t="s">
        <v>38</v>
      </c>
      <c r="I90" s="108" t="s">
        <v>9</v>
      </c>
      <c r="J90" s="108" t="s">
        <v>11</v>
      </c>
      <c r="K90" s="108" t="s">
        <v>25</v>
      </c>
      <c r="L90" s="109"/>
      <c r="M90" s="110" t="s">
        <v>197</v>
      </c>
      <c r="N90" s="109">
        <v>1</v>
      </c>
      <c r="O90" s="111">
        <v>33584</v>
      </c>
      <c r="P90" s="111">
        <f>+O90*N90</f>
        <v>33584</v>
      </c>
      <c r="Q90" s="110"/>
      <c r="R90" s="110"/>
      <c r="S90" s="112"/>
      <c r="T90" s="110">
        <f>+P90+Q90+R90+S90</f>
        <v>33584</v>
      </c>
      <c r="U90" s="112"/>
      <c r="V90" s="112"/>
      <c r="W90" s="112" t="s">
        <v>225</v>
      </c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  <c r="AMG90" s="4"/>
      <c r="AMH90" s="4"/>
      <c r="AMI90" s="4"/>
      <c r="AMJ90" s="4"/>
      <c r="AMK90" s="4"/>
      <c r="AML90" s="4"/>
      <c r="AMM90" s="4"/>
      <c r="AMN90" s="4"/>
      <c r="AMO90" s="4"/>
      <c r="AMP90" s="4"/>
      <c r="AMQ90" s="4"/>
      <c r="AMR90" s="4"/>
      <c r="AMS90" s="4"/>
      <c r="AMT90" s="4"/>
      <c r="AMU90" s="4"/>
      <c r="AMV90" s="4"/>
      <c r="AMW90" s="4"/>
      <c r="AMX90" s="4"/>
      <c r="AMY90" s="4"/>
      <c r="AMZ90" s="4"/>
      <c r="ANA90" s="4"/>
      <c r="ANB90" s="4"/>
      <c r="ANC90" s="4"/>
      <c r="AND90" s="4"/>
      <c r="ANE90" s="4"/>
      <c r="ANF90" s="4"/>
      <c r="ANG90" s="4"/>
      <c r="ANH90" s="4"/>
      <c r="ANI90" s="4"/>
      <c r="ANJ90" s="4"/>
      <c r="ANK90" s="4"/>
      <c r="ANL90" s="4"/>
      <c r="ANM90" s="4"/>
      <c r="ANN90" s="4"/>
      <c r="ANO90" s="4"/>
      <c r="ANP90" s="4"/>
      <c r="ANQ90" s="4"/>
      <c r="ANR90" s="4"/>
      <c r="ANS90" s="4"/>
      <c r="ANT90" s="4"/>
      <c r="ANU90" s="4"/>
      <c r="ANV90" s="4"/>
      <c r="ANW90" s="4"/>
      <c r="ANX90" s="4"/>
      <c r="ANY90" s="4"/>
      <c r="ANZ90" s="4"/>
      <c r="AOA90" s="4"/>
      <c r="AOB90" s="4"/>
      <c r="AOC90" s="4"/>
      <c r="AOD90" s="4"/>
      <c r="AOE90" s="4"/>
      <c r="AOF90" s="4"/>
      <c r="AOG90" s="4"/>
      <c r="AOH90" s="4"/>
      <c r="AOI90" s="4"/>
      <c r="AOJ90" s="4"/>
      <c r="AOK90" s="4"/>
      <c r="AOL90" s="4"/>
      <c r="AOM90" s="4"/>
      <c r="AON90" s="4"/>
      <c r="AOO90" s="4"/>
      <c r="AOP90" s="4"/>
      <c r="AOQ90" s="4"/>
      <c r="AOR90" s="4"/>
      <c r="AOS90" s="4"/>
      <c r="AOT90" s="4"/>
      <c r="AOU90" s="4"/>
      <c r="AOV90" s="4"/>
      <c r="AOW90" s="4"/>
      <c r="AOX90" s="4"/>
      <c r="AOY90" s="4"/>
      <c r="AOZ90" s="4"/>
      <c r="APA90" s="4"/>
      <c r="APB90" s="4"/>
      <c r="APC90" s="4"/>
      <c r="APD90" s="4"/>
      <c r="APE90" s="4"/>
      <c r="APF90" s="4"/>
      <c r="APG90" s="4"/>
      <c r="APH90" s="4"/>
      <c r="API90" s="4"/>
      <c r="APJ90" s="4"/>
      <c r="APK90" s="4"/>
      <c r="APL90" s="4"/>
      <c r="APM90" s="4"/>
      <c r="APN90" s="4"/>
      <c r="APO90" s="4"/>
      <c r="APP90" s="4"/>
      <c r="APQ90" s="4"/>
      <c r="APR90" s="4"/>
      <c r="APS90" s="4"/>
      <c r="APT90" s="4"/>
      <c r="APU90" s="4"/>
      <c r="APV90" s="4"/>
      <c r="APW90" s="4"/>
      <c r="APX90" s="4"/>
      <c r="APY90" s="4"/>
      <c r="APZ90" s="4"/>
      <c r="AQA90" s="4"/>
      <c r="AQB90" s="4"/>
      <c r="AQC90" s="4"/>
      <c r="AQD90" s="4"/>
      <c r="AQE90" s="4"/>
      <c r="AQF90" s="4"/>
      <c r="AQG90" s="4"/>
      <c r="AQH90" s="4"/>
      <c r="AQI90" s="4"/>
      <c r="AQJ90" s="4"/>
      <c r="AQK90" s="4"/>
      <c r="AQL90" s="4"/>
      <c r="AQM90" s="4"/>
      <c r="AQN90" s="4"/>
      <c r="AQO90" s="4"/>
      <c r="AQP90" s="4"/>
      <c r="AQQ90" s="4"/>
      <c r="AQR90" s="4"/>
      <c r="AQS90" s="4"/>
      <c r="AQT90" s="4"/>
      <c r="AQU90" s="4"/>
      <c r="AQV90" s="4"/>
      <c r="AQW90" s="4"/>
      <c r="AQX90" s="4"/>
      <c r="AQY90" s="4"/>
      <c r="AQZ90" s="4"/>
      <c r="ARA90" s="4"/>
      <c r="ARB90" s="4"/>
      <c r="ARC90" s="4"/>
      <c r="ARD90" s="4"/>
      <c r="ARE90" s="4"/>
      <c r="ARF90" s="4"/>
      <c r="ARG90" s="4"/>
      <c r="ARH90" s="4"/>
      <c r="ARI90" s="4"/>
      <c r="ARJ90" s="4"/>
      <c r="ARK90" s="4"/>
      <c r="ARL90" s="4"/>
      <c r="ARM90" s="4"/>
      <c r="ARN90" s="4"/>
      <c r="ARO90" s="4"/>
      <c r="ARP90" s="4"/>
      <c r="ARQ90" s="4"/>
      <c r="ARR90" s="4"/>
      <c r="ARS90" s="4"/>
      <c r="ART90" s="4"/>
      <c r="ARU90" s="4"/>
      <c r="ARV90" s="4"/>
      <c r="ARW90" s="4"/>
      <c r="ARX90" s="4"/>
      <c r="ARY90" s="4"/>
      <c r="ARZ90" s="4"/>
      <c r="ASA90" s="4"/>
      <c r="ASB90" s="4"/>
      <c r="ASC90" s="4"/>
      <c r="ASD90" s="4"/>
      <c r="ASE90" s="4"/>
      <c r="ASF90" s="4"/>
      <c r="ASG90" s="4"/>
      <c r="ASH90" s="4"/>
      <c r="ASI90" s="4"/>
      <c r="ASJ90" s="4"/>
      <c r="ASK90" s="4"/>
      <c r="ASL90" s="4"/>
      <c r="ASM90" s="4"/>
      <c r="ASN90" s="4"/>
      <c r="ASO90" s="4"/>
      <c r="ASP90" s="4"/>
      <c r="ASQ90" s="4"/>
      <c r="ASR90" s="4"/>
      <c r="ASS90" s="4"/>
      <c r="AST90" s="4"/>
      <c r="ASU90" s="4"/>
      <c r="ASV90" s="4"/>
      <c r="ASW90" s="4"/>
      <c r="ASX90" s="4"/>
      <c r="ASY90" s="4"/>
      <c r="ASZ90" s="4"/>
      <c r="ATA90" s="4"/>
      <c r="ATB90" s="4"/>
      <c r="ATC90" s="4"/>
      <c r="ATD90" s="4"/>
      <c r="ATE90" s="4"/>
      <c r="ATF90" s="4"/>
      <c r="ATG90" s="4"/>
      <c r="ATH90" s="4"/>
      <c r="ATI90" s="4"/>
      <c r="ATJ90" s="4"/>
      <c r="ATK90" s="4"/>
      <c r="ATL90" s="4"/>
      <c r="ATM90" s="4"/>
      <c r="ATN90" s="4"/>
      <c r="ATO90" s="4"/>
      <c r="ATP90" s="4"/>
      <c r="ATQ90" s="4"/>
      <c r="ATR90" s="4"/>
      <c r="ATS90" s="4"/>
      <c r="ATT90" s="4"/>
      <c r="ATU90" s="4"/>
      <c r="ATV90" s="4"/>
      <c r="ATW90" s="4"/>
      <c r="ATX90" s="4"/>
      <c r="ATY90" s="4"/>
      <c r="ATZ90" s="4"/>
      <c r="AUA90" s="4"/>
      <c r="AUB90" s="4"/>
      <c r="AUC90" s="4"/>
      <c r="AUD90" s="4"/>
      <c r="AUE90" s="4"/>
      <c r="AUF90" s="4"/>
      <c r="AUG90" s="4"/>
      <c r="AUH90" s="4"/>
      <c r="AUI90" s="4"/>
      <c r="AUJ90" s="4"/>
      <c r="AUK90" s="4"/>
      <c r="AUL90" s="4"/>
      <c r="AUM90" s="4"/>
      <c r="AUN90" s="4"/>
      <c r="AUO90" s="4"/>
      <c r="AUP90" s="4"/>
      <c r="AUQ90" s="4"/>
      <c r="AUR90" s="4"/>
      <c r="AUS90" s="4"/>
      <c r="AUT90" s="4"/>
      <c r="AUU90" s="4"/>
      <c r="AUV90" s="4"/>
      <c r="AUW90" s="4"/>
      <c r="AUX90" s="4"/>
      <c r="AUY90" s="4"/>
      <c r="AUZ90" s="4"/>
      <c r="AVA90" s="4"/>
      <c r="AVB90" s="4"/>
      <c r="AVC90" s="4"/>
      <c r="AVD90" s="4"/>
      <c r="AVE90" s="4"/>
      <c r="AVF90" s="4"/>
      <c r="AVG90" s="4"/>
      <c r="AVH90" s="4"/>
      <c r="AVI90" s="4"/>
      <c r="AVJ90" s="4"/>
      <c r="AVK90" s="4"/>
      <c r="AVL90" s="4"/>
      <c r="AVM90" s="4"/>
      <c r="AVN90" s="4"/>
      <c r="AVO90" s="4"/>
      <c r="AVP90" s="4"/>
      <c r="AVQ90" s="4"/>
      <c r="AVR90" s="4"/>
      <c r="AVS90" s="4"/>
      <c r="AVT90" s="4"/>
      <c r="AVU90" s="4"/>
      <c r="AVV90" s="4"/>
      <c r="AVW90" s="4"/>
      <c r="AVX90" s="4"/>
      <c r="AVY90" s="4"/>
      <c r="AVZ90" s="4"/>
      <c r="AWA90" s="4"/>
      <c r="AWB90" s="4"/>
      <c r="AWC90" s="4"/>
      <c r="AWD90" s="4"/>
      <c r="AWE90" s="4"/>
      <c r="AWF90" s="4"/>
      <c r="AWG90" s="4"/>
      <c r="AWH90" s="4"/>
      <c r="AWI90" s="4"/>
      <c r="AWJ90" s="4"/>
      <c r="AWK90" s="4"/>
      <c r="AWL90" s="4"/>
      <c r="AWM90" s="4"/>
      <c r="AWN90" s="4"/>
      <c r="AWO90" s="4"/>
      <c r="AWP90" s="4"/>
      <c r="AWQ90" s="4"/>
      <c r="AWR90" s="4"/>
      <c r="AWS90" s="4"/>
      <c r="AWT90" s="4"/>
      <c r="AWU90" s="4"/>
      <c r="AWV90" s="4"/>
      <c r="AWW90" s="4"/>
      <c r="AWX90" s="4"/>
      <c r="AWY90" s="4"/>
      <c r="AWZ90" s="4"/>
      <c r="AXA90" s="4"/>
      <c r="AXB90" s="4"/>
      <c r="AXC90" s="4"/>
      <c r="AXD90" s="4"/>
      <c r="AXE90" s="4"/>
      <c r="AXF90" s="4"/>
      <c r="AXG90" s="4"/>
      <c r="AXH90" s="4"/>
      <c r="AXI90" s="4"/>
      <c r="AXJ90" s="4"/>
      <c r="AXK90" s="4"/>
      <c r="AXL90" s="4"/>
      <c r="AXM90" s="4"/>
      <c r="AXN90" s="4"/>
      <c r="AXO90" s="4"/>
      <c r="AXP90" s="4"/>
      <c r="AXQ90" s="4"/>
      <c r="AXR90" s="4"/>
      <c r="AXS90" s="4"/>
      <c r="AXT90" s="4"/>
      <c r="AXU90" s="4"/>
      <c r="AXV90" s="4"/>
      <c r="AXW90" s="4"/>
      <c r="AXX90" s="4"/>
      <c r="AXY90" s="4"/>
      <c r="AXZ90" s="4"/>
      <c r="AYA90" s="4"/>
      <c r="AYB90" s="4"/>
      <c r="AYC90" s="4"/>
      <c r="AYD90" s="4"/>
      <c r="AYE90" s="4"/>
      <c r="AYF90" s="4"/>
      <c r="AYG90" s="4"/>
      <c r="AYH90" s="4"/>
      <c r="AYI90" s="4"/>
      <c r="AYJ90" s="4"/>
      <c r="AYK90" s="4"/>
      <c r="AYL90" s="4"/>
      <c r="AYM90" s="4"/>
      <c r="AYN90" s="4"/>
      <c r="AYO90" s="4"/>
      <c r="AYP90" s="4"/>
      <c r="AYQ90" s="4"/>
      <c r="AYR90" s="4"/>
      <c r="AYS90" s="4"/>
      <c r="AYT90" s="4"/>
      <c r="AYU90" s="4"/>
      <c r="AYV90" s="4"/>
      <c r="AYW90" s="4"/>
      <c r="AYX90" s="4"/>
      <c r="AYY90" s="4"/>
      <c r="AYZ90" s="4"/>
      <c r="AZA90" s="4"/>
      <c r="AZB90" s="4"/>
      <c r="AZC90" s="4"/>
      <c r="AZD90" s="4"/>
      <c r="AZE90" s="4"/>
      <c r="AZF90" s="4"/>
      <c r="AZG90" s="4"/>
      <c r="AZH90" s="4"/>
      <c r="AZI90" s="4"/>
      <c r="AZJ90" s="4"/>
      <c r="AZK90" s="4"/>
      <c r="AZL90" s="4"/>
      <c r="AZM90" s="4"/>
      <c r="AZN90" s="4"/>
      <c r="AZO90" s="4"/>
      <c r="AZP90" s="4"/>
      <c r="AZQ90" s="4"/>
      <c r="AZR90" s="4"/>
      <c r="AZS90" s="4"/>
      <c r="AZT90" s="4"/>
      <c r="AZU90" s="4"/>
      <c r="AZV90" s="4"/>
      <c r="AZW90" s="4"/>
      <c r="AZX90" s="4"/>
      <c r="AZY90" s="4"/>
      <c r="AZZ90" s="4"/>
      <c r="BAA90" s="4"/>
      <c r="BAB90" s="4"/>
      <c r="BAC90" s="4"/>
      <c r="BAD90" s="4"/>
      <c r="BAE90" s="4"/>
      <c r="BAF90" s="4"/>
      <c r="BAG90" s="4"/>
      <c r="BAH90" s="4"/>
      <c r="BAI90" s="4"/>
      <c r="BAJ90" s="4"/>
      <c r="BAK90" s="4"/>
      <c r="BAL90" s="4"/>
      <c r="BAM90" s="4"/>
      <c r="BAN90" s="4"/>
      <c r="BAO90" s="4"/>
      <c r="BAP90" s="4"/>
      <c r="BAQ90" s="4"/>
      <c r="BAR90" s="4"/>
      <c r="BAS90" s="4"/>
      <c r="BAT90" s="4"/>
      <c r="BAU90" s="4"/>
      <c r="BAV90" s="4"/>
      <c r="BAW90" s="4"/>
      <c r="BAX90" s="4"/>
      <c r="BAY90" s="4"/>
      <c r="BAZ90" s="4"/>
      <c r="BBA90" s="4"/>
      <c r="BBB90" s="4"/>
      <c r="BBC90" s="4"/>
      <c r="BBD90" s="4"/>
      <c r="BBE90" s="4"/>
      <c r="BBF90" s="4"/>
      <c r="BBG90" s="4"/>
      <c r="BBH90" s="4"/>
      <c r="BBI90" s="4"/>
      <c r="BBJ90" s="4"/>
      <c r="BBK90" s="4"/>
      <c r="BBL90" s="4"/>
      <c r="BBM90" s="4"/>
      <c r="BBN90" s="4"/>
      <c r="BBO90" s="4"/>
      <c r="BBP90" s="4"/>
      <c r="BBQ90" s="4"/>
      <c r="BBR90" s="4"/>
      <c r="BBS90" s="4"/>
      <c r="BBT90" s="4"/>
      <c r="BBU90" s="4"/>
      <c r="BBV90" s="4"/>
      <c r="BBW90" s="4"/>
      <c r="BBX90" s="4"/>
      <c r="BBY90" s="4"/>
      <c r="BBZ90" s="4"/>
      <c r="BCA90" s="4"/>
      <c r="BCB90" s="4"/>
      <c r="BCC90" s="4"/>
      <c r="BCD90" s="4"/>
      <c r="BCE90" s="4"/>
      <c r="BCF90" s="4"/>
      <c r="BCG90" s="4"/>
      <c r="BCH90" s="4"/>
      <c r="BCI90" s="4"/>
      <c r="BCJ90" s="4"/>
      <c r="BCK90" s="4"/>
      <c r="BCL90" s="4"/>
      <c r="BCM90" s="4"/>
      <c r="BCN90" s="4"/>
      <c r="BCO90" s="4"/>
      <c r="BCP90" s="4"/>
      <c r="BCQ90" s="4"/>
      <c r="BCR90" s="4"/>
      <c r="BCS90" s="4"/>
      <c r="BCT90" s="4"/>
      <c r="BCU90" s="4"/>
      <c r="BCV90" s="4"/>
      <c r="BCW90" s="4"/>
      <c r="BCX90" s="4"/>
      <c r="BCY90" s="4"/>
      <c r="BCZ90" s="4"/>
      <c r="BDA90" s="4"/>
      <c r="BDB90" s="4"/>
      <c r="BDC90" s="4"/>
      <c r="BDD90" s="4"/>
      <c r="BDE90" s="4"/>
      <c r="BDF90" s="4"/>
      <c r="BDG90" s="4"/>
      <c r="BDH90" s="4"/>
      <c r="BDI90" s="4"/>
      <c r="BDJ90" s="4"/>
      <c r="BDK90" s="4"/>
      <c r="BDL90" s="4"/>
      <c r="BDM90" s="4"/>
      <c r="BDN90" s="4"/>
      <c r="BDO90" s="4"/>
      <c r="BDP90" s="4"/>
      <c r="BDQ90" s="4"/>
      <c r="BDR90" s="4"/>
      <c r="BDS90" s="4"/>
      <c r="BDT90" s="4"/>
      <c r="BDU90" s="4"/>
      <c r="BDV90" s="4"/>
      <c r="BDW90" s="4"/>
      <c r="BDX90" s="4"/>
      <c r="BDY90" s="4"/>
      <c r="BDZ90" s="4"/>
      <c r="BEA90" s="4"/>
      <c r="BEB90" s="4"/>
      <c r="BEC90" s="4"/>
      <c r="BED90" s="4"/>
      <c r="BEE90" s="4"/>
      <c r="BEF90" s="4"/>
      <c r="BEG90" s="4"/>
      <c r="BEH90" s="4"/>
      <c r="BEI90" s="4"/>
      <c r="BEJ90" s="4"/>
      <c r="BEK90" s="4"/>
      <c r="BEL90" s="4"/>
      <c r="BEM90" s="4"/>
      <c r="BEN90" s="4"/>
      <c r="BEO90" s="4"/>
      <c r="BEP90" s="4"/>
      <c r="BEQ90" s="4"/>
      <c r="BER90" s="4"/>
      <c r="BES90" s="4"/>
      <c r="BET90" s="4"/>
      <c r="BEU90" s="4"/>
      <c r="BEV90" s="4"/>
      <c r="BEW90" s="4"/>
      <c r="BEX90" s="4"/>
      <c r="BEY90" s="4"/>
      <c r="BEZ90" s="4"/>
      <c r="BFA90" s="4"/>
      <c r="BFB90" s="4"/>
      <c r="BFC90" s="4"/>
      <c r="BFD90" s="4"/>
      <c r="BFE90" s="4"/>
      <c r="BFF90" s="4"/>
      <c r="BFG90" s="4"/>
      <c r="BFH90" s="4"/>
      <c r="BFI90" s="4"/>
      <c r="BFJ90" s="4"/>
      <c r="BFK90" s="4"/>
      <c r="BFL90" s="4"/>
      <c r="BFM90" s="4"/>
      <c r="BFN90" s="4"/>
      <c r="BFO90" s="4"/>
      <c r="BFP90" s="4"/>
      <c r="BFQ90" s="4"/>
      <c r="BFR90" s="4"/>
      <c r="BFS90" s="4"/>
      <c r="BFT90" s="4"/>
      <c r="BFU90" s="4"/>
      <c r="BFV90" s="4"/>
      <c r="BFW90" s="4"/>
      <c r="BFX90" s="4"/>
      <c r="BFY90" s="4"/>
      <c r="BFZ90" s="4"/>
      <c r="BGA90" s="4"/>
      <c r="BGB90" s="4"/>
      <c r="BGC90" s="4"/>
      <c r="BGD90" s="4"/>
      <c r="BGE90" s="4"/>
      <c r="BGF90" s="4"/>
      <c r="BGG90" s="4"/>
      <c r="BGH90" s="4"/>
      <c r="BGI90" s="4"/>
      <c r="BGJ90" s="4"/>
      <c r="BGK90" s="4"/>
      <c r="BGL90" s="4"/>
      <c r="BGM90" s="4"/>
      <c r="BGN90" s="4"/>
      <c r="BGO90" s="4"/>
      <c r="BGP90" s="4"/>
      <c r="BGQ90" s="4"/>
      <c r="BGR90" s="4"/>
      <c r="BGS90" s="4"/>
      <c r="BGT90" s="4"/>
      <c r="BGU90" s="4"/>
      <c r="BGV90" s="4"/>
      <c r="BGW90" s="4"/>
      <c r="BGX90" s="4"/>
      <c r="BGY90" s="4"/>
      <c r="BGZ90" s="4"/>
      <c r="BHA90" s="4"/>
      <c r="BHB90" s="4"/>
      <c r="BHC90" s="4"/>
      <c r="BHD90" s="4"/>
      <c r="BHE90" s="4"/>
      <c r="BHF90" s="4"/>
      <c r="BHG90" s="4"/>
      <c r="BHH90" s="4"/>
      <c r="BHI90" s="4"/>
      <c r="BHJ90" s="4"/>
      <c r="BHK90" s="4"/>
      <c r="BHL90" s="4"/>
      <c r="BHM90" s="4"/>
      <c r="BHN90" s="4"/>
      <c r="BHO90" s="4"/>
      <c r="BHP90" s="4"/>
      <c r="BHQ90" s="4"/>
      <c r="BHR90" s="4"/>
      <c r="BHS90" s="4"/>
      <c r="BHT90" s="4"/>
      <c r="BHU90" s="4"/>
      <c r="BHV90" s="4"/>
      <c r="BHW90" s="4"/>
      <c r="BHX90" s="4"/>
      <c r="BHY90" s="4"/>
      <c r="BHZ90" s="4"/>
      <c r="BIA90" s="4"/>
      <c r="BIB90" s="4"/>
      <c r="BIC90" s="4"/>
      <c r="BID90" s="4"/>
      <c r="BIE90" s="4"/>
      <c r="BIF90" s="4"/>
      <c r="BIG90" s="4"/>
      <c r="BIH90" s="4"/>
      <c r="BII90" s="4"/>
      <c r="BIJ90" s="4"/>
      <c r="BIK90" s="4"/>
      <c r="BIL90" s="4"/>
      <c r="BIM90" s="4"/>
      <c r="BIN90" s="4"/>
      <c r="BIO90" s="4"/>
      <c r="BIP90" s="4"/>
      <c r="BIQ90" s="4"/>
      <c r="BIR90" s="4"/>
      <c r="BIS90" s="4"/>
      <c r="BIT90" s="4"/>
      <c r="BIU90" s="4"/>
      <c r="BIV90" s="4"/>
      <c r="BIW90" s="4"/>
      <c r="BIX90" s="4"/>
      <c r="BIY90" s="4"/>
      <c r="BIZ90" s="4"/>
      <c r="BJA90" s="4"/>
      <c r="BJB90" s="4"/>
      <c r="BJC90" s="4"/>
      <c r="BJD90" s="4"/>
      <c r="BJE90" s="4"/>
      <c r="BJF90" s="4"/>
      <c r="BJG90" s="4"/>
      <c r="BJH90" s="4"/>
      <c r="BJI90" s="4"/>
      <c r="BJJ90" s="4"/>
      <c r="BJK90" s="4"/>
      <c r="BJL90" s="4"/>
      <c r="BJM90" s="4"/>
      <c r="BJN90" s="4"/>
      <c r="BJO90" s="4"/>
      <c r="BJP90" s="4"/>
      <c r="BJQ90" s="4"/>
      <c r="BJR90" s="4"/>
      <c r="BJS90" s="4"/>
      <c r="BJT90" s="4"/>
      <c r="BJU90" s="4"/>
      <c r="BJV90" s="4"/>
      <c r="BJW90" s="4"/>
      <c r="BJX90" s="4"/>
      <c r="BJY90" s="4"/>
      <c r="BJZ90" s="4"/>
      <c r="BKA90" s="4"/>
      <c r="BKB90" s="4"/>
      <c r="BKC90" s="4"/>
      <c r="BKD90" s="4"/>
      <c r="BKE90" s="4"/>
      <c r="BKF90" s="4"/>
      <c r="BKG90" s="4"/>
      <c r="BKH90" s="4"/>
      <c r="BKI90" s="4"/>
      <c r="BKJ90" s="4"/>
      <c r="BKK90" s="4"/>
      <c r="BKL90" s="4"/>
      <c r="BKM90" s="4"/>
      <c r="BKN90" s="4"/>
      <c r="BKO90" s="4"/>
      <c r="BKP90" s="4"/>
      <c r="BKQ90" s="4"/>
      <c r="BKR90" s="4"/>
      <c r="BKS90" s="4"/>
      <c r="BKT90" s="4"/>
      <c r="BKU90" s="4"/>
      <c r="BKV90" s="4"/>
      <c r="BKW90" s="4"/>
      <c r="BKX90" s="4"/>
      <c r="BKY90" s="4"/>
      <c r="BKZ90" s="4"/>
      <c r="BLA90" s="4"/>
      <c r="BLB90" s="4"/>
      <c r="BLC90" s="4"/>
      <c r="BLD90" s="4"/>
      <c r="BLE90" s="4"/>
      <c r="BLF90" s="4"/>
      <c r="BLG90" s="4"/>
      <c r="BLH90" s="4"/>
      <c r="BLI90" s="4"/>
      <c r="BLJ90" s="4"/>
      <c r="BLK90" s="4"/>
      <c r="BLL90" s="4"/>
      <c r="BLM90" s="4"/>
      <c r="BLN90" s="4"/>
      <c r="BLO90" s="4"/>
      <c r="BLP90" s="4"/>
      <c r="BLQ90" s="4"/>
      <c r="BLR90" s="4"/>
      <c r="BLS90" s="4"/>
      <c r="BLT90" s="4"/>
      <c r="BLU90" s="4"/>
      <c r="BLV90" s="4"/>
      <c r="BLW90" s="4"/>
      <c r="BLX90" s="4"/>
      <c r="BLY90" s="4"/>
      <c r="BLZ90" s="4"/>
      <c r="BMA90" s="4"/>
      <c r="BMB90" s="4"/>
      <c r="BMC90" s="4"/>
      <c r="BMD90" s="4"/>
      <c r="BME90" s="4"/>
      <c r="BMF90" s="4"/>
      <c r="BMG90" s="4"/>
      <c r="BMH90" s="4"/>
      <c r="BMI90" s="4"/>
      <c r="BMJ90" s="4"/>
      <c r="BMK90" s="4"/>
      <c r="BML90" s="4"/>
      <c r="BMM90" s="4"/>
      <c r="BMN90" s="4"/>
      <c r="BMO90" s="4"/>
      <c r="BMP90" s="4"/>
      <c r="BMQ90" s="4"/>
      <c r="BMR90" s="4"/>
      <c r="BMS90" s="4"/>
      <c r="BMT90" s="4"/>
      <c r="BMU90" s="4"/>
      <c r="BMV90" s="4"/>
      <c r="BMW90" s="4"/>
      <c r="BMX90" s="4"/>
      <c r="BMY90" s="4"/>
      <c r="BMZ90" s="4"/>
      <c r="BNA90" s="4"/>
      <c r="BNB90" s="4"/>
      <c r="BNC90" s="4"/>
      <c r="BND90" s="4"/>
      <c r="BNE90" s="4"/>
      <c r="BNF90" s="4"/>
      <c r="BNG90" s="4"/>
      <c r="BNH90" s="4"/>
      <c r="BNI90" s="4"/>
      <c r="BNJ90" s="4"/>
      <c r="BNK90" s="4"/>
      <c r="BNL90" s="4"/>
      <c r="BNM90" s="4"/>
      <c r="BNN90" s="4"/>
      <c r="BNO90" s="4"/>
      <c r="BNP90" s="4"/>
      <c r="BNQ90" s="4"/>
      <c r="BNR90" s="4"/>
      <c r="BNS90" s="4"/>
      <c r="BNT90" s="4"/>
      <c r="BNU90" s="4"/>
      <c r="BNV90" s="4"/>
      <c r="BNW90" s="4"/>
      <c r="BNX90" s="4"/>
      <c r="BNY90" s="4"/>
      <c r="BNZ90" s="4"/>
      <c r="BOA90" s="4"/>
      <c r="BOB90" s="4"/>
      <c r="BOC90" s="4"/>
      <c r="BOD90" s="4"/>
      <c r="BOE90" s="4"/>
      <c r="BOF90" s="4"/>
      <c r="BOG90" s="4"/>
      <c r="BOH90" s="4"/>
      <c r="BOI90" s="4"/>
      <c r="BOJ90" s="4"/>
      <c r="BOK90" s="4"/>
      <c r="BOL90" s="4"/>
      <c r="BOM90" s="4"/>
      <c r="BON90" s="4"/>
      <c r="BOO90" s="4"/>
      <c r="BOP90" s="4"/>
      <c r="BOQ90" s="4"/>
      <c r="BOR90" s="4"/>
      <c r="BOS90" s="4"/>
      <c r="BOT90" s="4"/>
      <c r="BOU90" s="4"/>
      <c r="BOV90" s="4"/>
      <c r="BOW90" s="4"/>
      <c r="BOX90" s="4"/>
      <c r="BOY90" s="4"/>
      <c r="BOZ90" s="4"/>
      <c r="BPA90" s="4"/>
      <c r="BPB90" s="4"/>
      <c r="BPC90" s="4"/>
      <c r="BPD90" s="4"/>
      <c r="BPE90" s="4"/>
      <c r="BPF90" s="4"/>
      <c r="BPG90" s="4"/>
      <c r="BPH90" s="4"/>
      <c r="BPI90" s="4"/>
      <c r="BPJ90" s="4"/>
      <c r="BPK90" s="4"/>
      <c r="BPL90" s="4"/>
      <c r="BPM90" s="4"/>
      <c r="BPN90" s="4"/>
      <c r="BPO90" s="4"/>
      <c r="BPP90" s="4"/>
      <c r="BPQ90" s="4"/>
      <c r="BPR90" s="4"/>
      <c r="BPS90" s="4"/>
      <c r="BPT90" s="4"/>
      <c r="BPU90" s="4"/>
      <c r="BPV90" s="4"/>
      <c r="BPW90" s="4"/>
      <c r="BPX90" s="4"/>
      <c r="BPY90" s="4"/>
      <c r="BPZ90" s="4"/>
      <c r="BQA90" s="4"/>
      <c r="BQB90" s="4"/>
      <c r="BQC90" s="4"/>
      <c r="BQD90" s="4"/>
      <c r="BQE90" s="4"/>
      <c r="BQF90" s="4"/>
      <c r="BQG90" s="4"/>
      <c r="BQH90" s="4"/>
      <c r="BQI90" s="4"/>
      <c r="BQJ90" s="4"/>
      <c r="BQK90" s="4"/>
      <c r="BQL90" s="4"/>
      <c r="BQM90" s="4"/>
      <c r="BQN90" s="4"/>
      <c r="BQO90" s="4"/>
      <c r="BQP90" s="4"/>
      <c r="BQQ90" s="4"/>
      <c r="BQR90" s="4"/>
      <c r="BQS90" s="4"/>
      <c r="BQT90" s="4"/>
      <c r="BQU90" s="4"/>
      <c r="BQV90" s="4"/>
      <c r="BQW90" s="4"/>
      <c r="BQX90" s="4"/>
      <c r="BQY90" s="4"/>
      <c r="BQZ90" s="4"/>
      <c r="BRA90" s="4"/>
      <c r="BRB90" s="4"/>
      <c r="BRC90" s="4"/>
      <c r="BRD90" s="4"/>
      <c r="BRE90" s="4"/>
      <c r="BRF90" s="4"/>
      <c r="BRG90" s="4"/>
      <c r="BRH90" s="4"/>
      <c r="BRI90" s="4"/>
      <c r="BRJ90" s="4"/>
      <c r="BRK90" s="4"/>
      <c r="BRL90" s="4"/>
      <c r="BRM90" s="4"/>
      <c r="BRN90" s="4"/>
      <c r="BRO90" s="4"/>
      <c r="BRP90" s="4"/>
      <c r="BRQ90" s="4"/>
      <c r="BRR90" s="4"/>
      <c r="BRS90" s="4"/>
      <c r="BRT90" s="4"/>
      <c r="BRU90" s="4"/>
      <c r="BRV90" s="4"/>
      <c r="BRW90" s="4"/>
      <c r="BRX90" s="4"/>
      <c r="BRY90" s="4"/>
      <c r="BRZ90" s="4"/>
      <c r="BSA90" s="4"/>
      <c r="BSB90" s="4"/>
      <c r="BSC90" s="4"/>
      <c r="BSD90" s="4"/>
      <c r="BSE90" s="4"/>
      <c r="BSF90" s="4"/>
      <c r="BSG90" s="4"/>
      <c r="BSH90" s="4"/>
      <c r="BSI90" s="4"/>
      <c r="BSJ90" s="4"/>
      <c r="BSK90" s="4"/>
      <c r="BSL90" s="4"/>
      <c r="BSM90" s="4"/>
      <c r="BSN90" s="4"/>
      <c r="BSO90" s="4"/>
      <c r="BSP90" s="4"/>
      <c r="BSQ90" s="4"/>
      <c r="BSR90" s="4"/>
      <c r="BSS90" s="4"/>
      <c r="BST90" s="4"/>
      <c r="BSU90" s="4"/>
      <c r="BSV90" s="4"/>
      <c r="BSW90" s="4"/>
      <c r="BSX90" s="4"/>
      <c r="BSY90" s="4"/>
      <c r="BSZ90" s="4"/>
      <c r="BTA90" s="4"/>
      <c r="BTB90" s="4"/>
      <c r="BTC90" s="4"/>
      <c r="BTD90" s="4"/>
      <c r="BTE90" s="4"/>
      <c r="BTF90" s="4"/>
      <c r="BTG90" s="4"/>
      <c r="BTH90" s="4"/>
      <c r="BTI90" s="4"/>
      <c r="BTJ90" s="4"/>
      <c r="BTK90" s="4"/>
      <c r="BTL90" s="4"/>
      <c r="BTM90" s="4"/>
      <c r="BTN90" s="4"/>
      <c r="BTO90" s="4"/>
      <c r="BTP90" s="4"/>
      <c r="BTQ90" s="4"/>
      <c r="BTR90" s="4"/>
      <c r="BTS90" s="4"/>
      <c r="BTT90" s="4"/>
      <c r="BTU90" s="4"/>
      <c r="BTV90" s="4"/>
      <c r="BTW90" s="4"/>
      <c r="BTX90" s="4"/>
      <c r="BTY90" s="4"/>
      <c r="BTZ90" s="4"/>
      <c r="BUA90" s="4"/>
      <c r="BUB90" s="4"/>
      <c r="BUC90" s="4"/>
      <c r="BUD90" s="4"/>
      <c r="BUE90" s="4"/>
      <c r="BUF90" s="4"/>
      <c r="BUG90" s="4"/>
      <c r="BUH90" s="4"/>
      <c r="BUI90" s="4"/>
      <c r="BUJ90" s="4"/>
      <c r="BUK90" s="4"/>
      <c r="BUL90" s="4"/>
      <c r="BUM90" s="4"/>
      <c r="BUN90" s="4"/>
      <c r="BUO90" s="4"/>
      <c r="BUP90" s="4"/>
      <c r="BUQ90" s="4"/>
      <c r="BUR90" s="4"/>
      <c r="BUS90" s="4"/>
      <c r="BUT90" s="4"/>
      <c r="BUU90" s="4"/>
      <c r="BUV90" s="4"/>
      <c r="BUW90" s="4"/>
      <c r="BUX90" s="4"/>
      <c r="BUY90" s="4"/>
      <c r="BUZ90" s="4"/>
      <c r="BVA90" s="4"/>
      <c r="BVB90" s="4"/>
      <c r="BVC90" s="4"/>
      <c r="BVD90" s="4"/>
      <c r="BVE90" s="4"/>
      <c r="BVF90" s="4"/>
      <c r="BVG90" s="4"/>
      <c r="BVH90" s="4"/>
      <c r="BVI90" s="4"/>
      <c r="BVJ90" s="4"/>
      <c r="BVK90" s="4"/>
      <c r="BVL90" s="4"/>
      <c r="BVM90" s="4"/>
      <c r="BVN90" s="4"/>
      <c r="BVO90" s="4"/>
      <c r="BVP90" s="4"/>
      <c r="BVQ90" s="4"/>
      <c r="BVR90" s="4"/>
      <c r="BVS90" s="4"/>
      <c r="BVT90" s="4"/>
      <c r="BVU90" s="4"/>
      <c r="BVV90" s="4"/>
      <c r="BVW90" s="4"/>
      <c r="BVX90" s="4"/>
      <c r="BVY90" s="4"/>
      <c r="BVZ90" s="4"/>
      <c r="BWA90" s="4"/>
      <c r="BWB90" s="4"/>
      <c r="BWC90" s="4"/>
      <c r="BWD90" s="4"/>
      <c r="BWE90" s="4"/>
      <c r="BWF90" s="4"/>
      <c r="BWG90" s="4"/>
      <c r="BWH90" s="4"/>
      <c r="BWI90" s="4"/>
      <c r="BWJ90" s="4"/>
      <c r="BWK90" s="4"/>
      <c r="BWL90" s="4"/>
      <c r="BWM90" s="4"/>
      <c r="BWN90" s="4"/>
      <c r="BWO90" s="4"/>
      <c r="BWP90" s="4"/>
      <c r="BWQ90" s="4"/>
      <c r="BWR90" s="4"/>
      <c r="BWS90" s="4"/>
      <c r="BWT90" s="4"/>
      <c r="BWU90" s="4"/>
      <c r="BWV90" s="4"/>
      <c r="BWW90" s="4"/>
      <c r="BWX90" s="4"/>
      <c r="BWY90" s="4"/>
      <c r="BWZ90" s="4"/>
      <c r="BXA90" s="4"/>
      <c r="BXB90" s="4"/>
      <c r="BXC90" s="4"/>
      <c r="BXD90" s="4"/>
      <c r="BXE90" s="4"/>
      <c r="BXF90" s="4"/>
      <c r="BXG90" s="4"/>
      <c r="BXH90" s="4"/>
      <c r="BXI90" s="4"/>
      <c r="BXJ90" s="4"/>
      <c r="BXK90" s="4"/>
      <c r="BXL90" s="4"/>
      <c r="BXM90" s="4"/>
      <c r="BXN90" s="4"/>
      <c r="BXO90" s="4"/>
      <c r="BXP90" s="4"/>
      <c r="BXQ90" s="4"/>
      <c r="BXR90" s="4"/>
      <c r="BXS90" s="4"/>
      <c r="BXT90" s="4"/>
      <c r="BXU90" s="4"/>
      <c r="BXV90" s="4"/>
      <c r="BXW90" s="4"/>
      <c r="BXX90" s="4"/>
      <c r="BXY90" s="4"/>
      <c r="BXZ90" s="4"/>
      <c r="BYA90" s="4"/>
      <c r="BYB90" s="4"/>
      <c r="BYC90" s="4"/>
      <c r="BYD90" s="4"/>
      <c r="BYE90" s="4"/>
      <c r="BYF90" s="4"/>
      <c r="BYG90" s="4"/>
      <c r="BYH90" s="4"/>
      <c r="BYI90" s="4"/>
      <c r="BYJ90" s="4"/>
      <c r="BYK90" s="4"/>
      <c r="BYL90" s="4"/>
      <c r="BYM90" s="4"/>
      <c r="BYN90" s="4"/>
      <c r="BYO90" s="4"/>
      <c r="BYP90" s="4"/>
      <c r="BYQ90" s="4"/>
      <c r="BYR90" s="4"/>
      <c r="BYS90" s="4"/>
      <c r="BYT90" s="4"/>
      <c r="BYU90" s="4"/>
      <c r="BYV90" s="4"/>
      <c r="BYW90" s="4"/>
      <c r="BYX90" s="4"/>
      <c r="BYY90" s="4"/>
      <c r="BYZ90" s="4"/>
      <c r="BZA90" s="4"/>
      <c r="BZB90" s="4"/>
      <c r="BZC90" s="4"/>
      <c r="BZD90" s="4"/>
      <c r="BZE90" s="4"/>
      <c r="BZF90" s="4"/>
      <c r="BZG90" s="4"/>
      <c r="BZH90" s="4"/>
      <c r="BZI90" s="4"/>
      <c r="BZJ90" s="4"/>
      <c r="BZK90" s="4"/>
      <c r="BZL90" s="4"/>
      <c r="BZM90" s="4"/>
      <c r="BZN90" s="4"/>
      <c r="BZO90" s="4"/>
      <c r="BZP90" s="4"/>
      <c r="BZQ90" s="4"/>
      <c r="BZR90" s="4"/>
      <c r="BZS90" s="4"/>
      <c r="BZT90" s="4"/>
      <c r="BZU90" s="4"/>
      <c r="BZV90" s="4"/>
      <c r="BZW90" s="4"/>
      <c r="BZX90" s="4"/>
      <c r="BZY90" s="4"/>
      <c r="BZZ90" s="4"/>
      <c r="CAA90" s="4"/>
      <c r="CAB90" s="4"/>
      <c r="CAC90" s="4"/>
      <c r="CAD90" s="4"/>
      <c r="CAE90" s="4"/>
      <c r="CAF90" s="4"/>
      <c r="CAG90" s="4"/>
      <c r="CAH90" s="4"/>
      <c r="CAI90" s="4"/>
      <c r="CAJ90" s="4"/>
      <c r="CAK90" s="4"/>
      <c r="CAL90" s="4"/>
      <c r="CAM90" s="4"/>
      <c r="CAN90" s="4"/>
      <c r="CAO90" s="4"/>
      <c r="CAP90" s="4"/>
      <c r="CAQ90" s="4"/>
      <c r="CAR90" s="4"/>
      <c r="CAS90" s="4"/>
      <c r="CAT90" s="4"/>
      <c r="CAU90" s="4"/>
      <c r="CAV90" s="4"/>
      <c r="CAW90" s="4"/>
      <c r="CAX90" s="4"/>
      <c r="CAY90" s="4"/>
      <c r="CAZ90" s="4"/>
      <c r="CBA90" s="4"/>
      <c r="CBB90" s="4"/>
      <c r="CBC90" s="4"/>
      <c r="CBD90" s="4"/>
      <c r="CBE90" s="4"/>
      <c r="CBF90" s="4"/>
      <c r="CBG90" s="4"/>
      <c r="CBH90" s="4"/>
      <c r="CBI90" s="4"/>
      <c r="CBJ90" s="4"/>
      <c r="CBK90" s="4"/>
      <c r="CBL90" s="4"/>
      <c r="CBM90" s="4"/>
      <c r="CBN90" s="4"/>
      <c r="CBO90" s="4"/>
      <c r="CBP90" s="4"/>
      <c r="CBQ90" s="4"/>
      <c r="CBR90" s="4"/>
      <c r="CBS90" s="4"/>
      <c r="CBT90" s="4"/>
      <c r="CBU90" s="4"/>
      <c r="CBV90" s="4"/>
      <c r="CBW90" s="4"/>
      <c r="CBX90" s="4"/>
      <c r="CBY90" s="4"/>
      <c r="CBZ90" s="4"/>
      <c r="CCA90" s="4"/>
      <c r="CCB90" s="4"/>
      <c r="CCC90" s="4"/>
      <c r="CCD90" s="4"/>
      <c r="CCE90" s="4"/>
      <c r="CCF90" s="4"/>
      <c r="CCG90" s="4"/>
      <c r="CCH90" s="4"/>
      <c r="CCI90" s="4"/>
      <c r="CCJ90" s="4"/>
      <c r="CCK90" s="4"/>
      <c r="CCL90" s="4"/>
      <c r="CCM90" s="4"/>
      <c r="CCN90" s="4"/>
      <c r="CCO90" s="4"/>
      <c r="CCP90" s="4"/>
      <c r="CCQ90" s="4"/>
      <c r="CCR90" s="4"/>
      <c r="CCS90" s="4"/>
      <c r="CCT90" s="4"/>
      <c r="CCU90" s="4"/>
      <c r="CCV90" s="4"/>
      <c r="CCW90" s="4"/>
      <c r="CCX90" s="4"/>
      <c r="CCY90" s="4"/>
      <c r="CCZ90" s="4"/>
      <c r="CDA90" s="4"/>
      <c r="CDB90" s="4"/>
      <c r="CDC90" s="4"/>
      <c r="CDD90" s="4"/>
      <c r="CDE90" s="4"/>
      <c r="CDF90" s="4"/>
      <c r="CDG90" s="4"/>
      <c r="CDH90" s="4"/>
      <c r="CDI90" s="4"/>
      <c r="CDJ90" s="4"/>
      <c r="CDK90" s="4"/>
      <c r="CDL90" s="4"/>
      <c r="CDM90" s="4"/>
      <c r="CDN90" s="4"/>
      <c r="CDO90" s="4"/>
      <c r="CDP90" s="4"/>
      <c r="CDQ90" s="4"/>
      <c r="CDR90" s="4"/>
      <c r="CDS90" s="4"/>
      <c r="CDT90" s="4"/>
      <c r="CDU90" s="4"/>
      <c r="CDV90" s="4"/>
      <c r="CDW90" s="4"/>
      <c r="CDX90" s="4"/>
      <c r="CDY90" s="4"/>
      <c r="CDZ90" s="4"/>
      <c r="CEA90" s="4"/>
      <c r="CEB90" s="4"/>
      <c r="CEC90" s="4"/>
      <c r="CED90" s="4"/>
      <c r="CEE90" s="4"/>
      <c r="CEF90" s="4"/>
      <c r="CEG90" s="4"/>
      <c r="CEH90" s="4"/>
      <c r="CEI90" s="4"/>
      <c r="CEJ90" s="4"/>
      <c r="CEK90" s="4"/>
      <c r="CEL90" s="4"/>
      <c r="CEM90" s="4"/>
      <c r="CEN90" s="4"/>
      <c r="CEO90" s="4"/>
      <c r="CEP90" s="4"/>
      <c r="CEQ90" s="4"/>
      <c r="CER90" s="4"/>
      <c r="CES90" s="4"/>
      <c r="CET90" s="4"/>
      <c r="CEU90" s="4"/>
      <c r="CEV90" s="4"/>
      <c r="CEW90" s="4"/>
      <c r="CEX90" s="4"/>
      <c r="CEY90" s="4"/>
      <c r="CEZ90" s="4"/>
      <c r="CFA90" s="4"/>
      <c r="CFB90" s="4"/>
      <c r="CFC90" s="4"/>
      <c r="CFD90" s="4"/>
      <c r="CFE90" s="4"/>
      <c r="CFF90" s="4"/>
      <c r="CFG90" s="4"/>
      <c r="CFH90" s="4"/>
      <c r="CFI90" s="4"/>
      <c r="CFJ90" s="4"/>
      <c r="CFK90" s="4"/>
      <c r="CFL90" s="4"/>
      <c r="CFM90" s="4"/>
      <c r="CFN90" s="4"/>
      <c r="CFO90" s="4"/>
      <c r="CFP90" s="4"/>
      <c r="CFQ90" s="4"/>
      <c r="CFR90" s="4"/>
      <c r="CFS90" s="4"/>
      <c r="CFT90" s="4"/>
      <c r="CFU90" s="4"/>
      <c r="CFV90" s="4"/>
      <c r="CFW90" s="4"/>
      <c r="CFX90" s="4"/>
      <c r="CFY90" s="4"/>
      <c r="CFZ90" s="4"/>
      <c r="CGA90" s="4"/>
      <c r="CGB90" s="4"/>
      <c r="CGC90" s="4"/>
      <c r="CGD90" s="4"/>
      <c r="CGE90" s="4"/>
      <c r="CGF90" s="4"/>
      <c r="CGG90" s="4"/>
      <c r="CGH90" s="4"/>
      <c r="CGI90" s="4"/>
      <c r="CGJ90" s="4"/>
      <c r="CGK90" s="4"/>
      <c r="CGL90" s="4"/>
      <c r="CGM90" s="4"/>
      <c r="CGN90" s="4"/>
      <c r="CGO90" s="4"/>
      <c r="CGP90" s="4"/>
      <c r="CGQ90" s="4"/>
      <c r="CGR90" s="4"/>
      <c r="CGS90" s="4"/>
      <c r="CGT90" s="4"/>
      <c r="CGU90" s="4"/>
      <c r="CGV90" s="4"/>
      <c r="CGW90" s="4"/>
      <c r="CGX90" s="4"/>
      <c r="CGY90" s="4"/>
      <c r="CGZ90" s="4"/>
      <c r="CHA90" s="4"/>
      <c r="CHB90" s="4"/>
      <c r="CHC90" s="4"/>
      <c r="CHD90" s="4"/>
      <c r="CHE90" s="4"/>
      <c r="CHF90" s="4"/>
      <c r="CHG90" s="4"/>
      <c r="CHH90" s="4"/>
      <c r="CHI90" s="4"/>
      <c r="CHJ90" s="4"/>
      <c r="CHK90" s="4"/>
      <c r="CHL90" s="4"/>
      <c r="CHM90" s="4"/>
      <c r="CHN90" s="4"/>
      <c r="CHO90" s="4"/>
      <c r="CHP90" s="4"/>
      <c r="CHQ90" s="4"/>
      <c r="CHR90" s="4"/>
      <c r="CHS90" s="4"/>
      <c r="CHT90" s="4"/>
      <c r="CHU90" s="4"/>
      <c r="CHV90" s="4"/>
      <c r="CHW90" s="4"/>
      <c r="CHX90" s="4"/>
      <c r="CHY90" s="4"/>
      <c r="CHZ90" s="4"/>
      <c r="CIA90" s="4"/>
      <c r="CIB90" s="4"/>
      <c r="CIC90" s="4"/>
      <c r="CID90" s="4"/>
      <c r="CIE90" s="4"/>
      <c r="CIF90" s="4"/>
      <c r="CIG90" s="4"/>
      <c r="CIH90" s="4"/>
      <c r="CII90" s="4"/>
      <c r="CIJ90" s="4"/>
      <c r="CIK90" s="4"/>
      <c r="CIL90" s="4"/>
      <c r="CIM90" s="4"/>
      <c r="CIN90" s="4"/>
      <c r="CIO90" s="4"/>
      <c r="CIP90" s="4"/>
      <c r="CIQ90" s="4"/>
      <c r="CIR90" s="4"/>
      <c r="CIS90" s="4"/>
      <c r="CIT90" s="4"/>
      <c r="CIU90" s="4"/>
      <c r="CIV90" s="4"/>
      <c r="CIW90" s="4"/>
      <c r="CIX90" s="4"/>
      <c r="CIY90" s="4"/>
      <c r="CIZ90" s="4"/>
      <c r="CJA90" s="4"/>
      <c r="CJB90" s="4"/>
      <c r="CJC90" s="4"/>
      <c r="CJD90" s="4"/>
      <c r="CJE90" s="4"/>
      <c r="CJF90" s="4"/>
      <c r="CJG90" s="4"/>
      <c r="CJH90" s="4"/>
      <c r="CJI90" s="4"/>
      <c r="CJJ90" s="4"/>
      <c r="CJK90" s="4"/>
      <c r="CJL90" s="4"/>
      <c r="CJM90" s="4"/>
      <c r="CJN90" s="4"/>
      <c r="CJO90" s="4"/>
      <c r="CJP90" s="4"/>
      <c r="CJQ90" s="4"/>
      <c r="CJR90" s="4"/>
      <c r="CJS90" s="4"/>
      <c r="CJT90" s="4"/>
      <c r="CJU90" s="4"/>
      <c r="CJV90" s="4"/>
      <c r="CJW90" s="4"/>
      <c r="CJX90" s="4"/>
      <c r="CJY90" s="4"/>
      <c r="CJZ90" s="4"/>
      <c r="CKA90" s="4"/>
      <c r="CKB90" s="4"/>
      <c r="CKC90" s="4"/>
      <c r="CKD90" s="4"/>
      <c r="CKE90" s="4"/>
      <c r="CKF90" s="4"/>
      <c r="CKG90" s="4"/>
      <c r="CKH90" s="4"/>
      <c r="CKI90" s="4"/>
      <c r="CKJ90" s="4"/>
      <c r="CKK90" s="4"/>
      <c r="CKL90" s="4"/>
      <c r="CKM90" s="4"/>
      <c r="CKN90" s="4"/>
      <c r="CKO90" s="4"/>
      <c r="CKP90" s="4"/>
      <c r="CKQ90" s="4"/>
      <c r="CKR90" s="4"/>
      <c r="CKS90" s="4"/>
      <c r="CKT90" s="4"/>
      <c r="CKU90" s="4"/>
      <c r="CKV90" s="4"/>
      <c r="CKW90" s="4"/>
      <c r="CKX90" s="4"/>
      <c r="CKY90" s="4"/>
      <c r="CKZ90" s="4"/>
      <c r="CLA90" s="4"/>
      <c r="CLB90" s="4"/>
      <c r="CLC90" s="4"/>
      <c r="CLD90" s="4"/>
      <c r="CLE90" s="4"/>
      <c r="CLF90" s="4"/>
      <c r="CLG90" s="4"/>
      <c r="CLH90" s="4"/>
      <c r="CLI90" s="4"/>
      <c r="CLJ90" s="4"/>
      <c r="CLK90" s="4"/>
      <c r="CLL90" s="4"/>
      <c r="CLM90" s="4"/>
      <c r="CLN90" s="4"/>
      <c r="CLO90" s="4"/>
      <c r="CLP90" s="4"/>
      <c r="CLQ90" s="4"/>
      <c r="CLR90" s="4"/>
      <c r="CLS90" s="4"/>
      <c r="CLT90" s="4"/>
      <c r="CLU90" s="4"/>
      <c r="CLV90" s="4"/>
      <c r="CLW90" s="4"/>
      <c r="CLX90" s="4"/>
      <c r="CLY90" s="4"/>
      <c r="CLZ90" s="4"/>
      <c r="CMA90" s="4"/>
      <c r="CMB90" s="4"/>
      <c r="CMC90" s="4"/>
      <c r="CMD90" s="4"/>
      <c r="CME90" s="4"/>
      <c r="CMF90" s="4"/>
      <c r="CMG90" s="4"/>
      <c r="CMH90" s="4"/>
      <c r="CMI90" s="4"/>
      <c r="CMJ90" s="4"/>
      <c r="CMK90" s="4"/>
      <c r="CML90" s="4"/>
      <c r="CMM90" s="4"/>
      <c r="CMN90" s="4"/>
      <c r="CMO90" s="4"/>
      <c r="CMP90" s="4"/>
      <c r="CMQ90" s="4"/>
      <c r="CMR90" s="4"/>
      <c r="CMS90" s="4"/>
      <c r="CMT90" s="4"/>
      <c r="CMU90" s="4"/>
      <c r="CMV90" s="4"/>
      <c r="CMW90" s="4"/>
      <c r="CMX90" s="4"/>
      <c r="CMY90" s="4"/>
      <c r="CMZ90" s="4"/>
      <c r="CNA90" s="4"/>
      <c r="CNB90" s="4"/>
      <c r="CNC90" s="4"/>
      <c r="CND90" s="4"/>
      <c r="CNE90" s="4"/>
      <c r="CNF90" s="4"/>
      <c r="CNG90" s="4"/>
      <c r="CNH90" s="4"/>
      <c r="CNI90" s="4"/>
      <c r="CNJ90" s="4"/>
      <c r="CNK90" s="4"/>
      <c r="CNL90" s="4"/>
      <c r="CNM90" s="4"/>
      <c r="CNN90" s="4"/>
      <c r="CNO90" s="4"/>
      <c r="CNP90" s="4"/>
      <c r="CNQ90" s="4"/>
      <c r="CNR90" s="4"/>
      <c r="CNS90" s="4"/>
      <c r="CNT90" s="4"/>
      <c r="CNU90" s="4"/>
      <c r="CNV90" s="4"/>
      <c r="CNW90" s="4"/>
      <c r="CNX90" s="4"/>
      <c r="CNY90" s="4"/>
      <c r="CNZ90" s="4"/>
      <c r="COA90" s="4"/>
      <c r="COB90" s="4"/>
      <c r="COC90" s="4"/>
      <c r="COD90" s="4"/>
      <c r="COE90" s="4"/>
      <c r="COF90" s="4"/>
      <c r="COG90" s="4"/>
      <c r="COH90" s="4"/>
      <c r="COI90" s="4"/>
      <c r="COJ90" s="4"/>
      <c r="COK90" s="4"/>
      <c r="COL90" s="4"/>
      <c r="COM90" s="4"/>
      <c r="CON90" s="4"/>
      <c r="COO90" s="4"/>
      <c r="COP90" s="4"/>
      <c r="COQ90" s="4"/>
      <c r="COR90" s="4"/>
      <c r="COS90" s="4"/>
      <c r="COT90" s="4"/>
      <c r="COU90" s="4"/>
      <c r="COV90" s="4"/>
      <c r="COW90" s="4"/>
      <c r="COX90" s="4"/>
      <c r="COY90" s="4"/>
      <c r="COZ90" s="4"/>
      <c r="CPA90" s="4"/>
      <c r="CPB90" s="4"/>
      <c r="CPC90" s="4"/>
      <c r="CPD90" s="4"/>
      <c r="CPE90" s="4"/>
      <c r="CPF90" s="4"/>
      <c r="CPG90" s="4"/>
      <c r="CPH90" s="4"/>
      <c r="CPI90" s="4"/>
      <c r="CPJ90" s="4"/>
      <c r="CPK90" s="4"/>
      <c r="CPL90" s="4"/>
      <c r="CPM90" s="4"/>
      <c r="CPN90" s="4"/>
      <c r="CPO90" s="4"/>
      <c r="CPP90" s="4"/>
      <c r="CPQ90" s="4"/>
      <c r="CPR90" s="4"/>
      <c r="CPS90" s="4"/>
      <c r="CPT90" s="4"/>
      <c r="CPU90" s="4"/>
      <c r="CPV90" s="4"/>
      <c r="CPW90" s="4"/>
      <c r="CPX90" s="4"/>
      <c r="CPY90" s="4"/>
      <c r="CPZ90" s="4"/>
      <c r="CQA90" s="4"/>
      <c r="CQB90" s="4"/>
      <c r="CQC90" s="4"/>
      <c r="CQD90" s="4"/>
      <c r="CQE90" s="4"/>
      <c r="CQF90" s="4"/>
      <c r="CQG90" s="4"/>
      <c r="CQH90" s="4"/>
      <c r="CQI90" s="4"/>
      <c r="CQJ90" s="4"/>
      <c r="CQK90" s="4"/>
      <c r="CQL90" s="4"/>
      <c r="CQM90" s="4"/>
      <c r="CQN90" s="4"/>
      <c r="CQO90" s="4"/>
      <c r="CQP90" s="4"/>
      <c r="CQQ90" s="4"/>
      <c r="CQR90" s="4"/>
      <c r="CQS90" s="4"/>
      <c r="CQT90" s="4"/>
      <c r="CQU90" s="4"/>
      <c r="CQV90" s="4"/>
      <c r="CQW90" s="4"/>
      <c r="CQX90" s="4"/>
      <c r="CQY90" s="4"/>
      <c r="CQZ90" s="4"/>
      <c r="CRA90" s="4"/>
      <c r="CRB90" s="4"/>
      <c r="CRC90" s="4"/>
      <c r="CRD90" s="4"/>
      <c r="CRE90" s="4"/>
      <c r="CRF90" s="4"/>
      <c r="CRG90" s="4"/>
      <c r="CRH90" s="4"/>
      <c r="CRI90" s="4"/>
      <c r="CRJ90" s="4"/>
      <c r="CRK90" s="4"/>
      <c r="CRL90" s="4"/>
      <c r="CRM90" s="4"/>
      <c r="CRN90" s="4"/>
      <c r="CRO90" s="4"/>
      <c r="CRP90" s="4"/>
      <c r="CRQ90" s="4"/>
      <c r="CRR90" s="4"/>
      <c r="CRS90" s="4"/>
      <c r="CRT90" s="4"/>
      <c r="CRU90" s="4"/>
      <c r="CRV90" s="4"/>
      <c r="CRW90" s="4"/>
      <c r="CRX90" s="4"/>
      <c r="CRY90" s="4"/>
      <c r="CRZ90" s="4"/>
      <c r="CSA90" s="4"/>
      <c r="CSB90" s="4"/>
      <c r="CSC90" s="4"/>
      <c r="CSD90" s="4"/>
      <c r="CSE90" s="4"/>
      <c r="CSF90" s="4"/>
      <c r="CSG90" s="4"/>
      <c r="CSH90" s="4"/>
      <c r="CSI90" s="4"/>
      <c r="CSJ90" s="4"/>
      <c r="CSK90" s="4"/>
      <c r="CSL90" s="4"/>
      <c r="CSM90" s="4"/>
      <c r="CSN90" s="4"/>
      <c r="CSO90" s="4"/>
      <c r="CSP90" s="4"/>
      <c r="CSQ90" s="4"/>
      <c r="CSR90" s="4"/>
      <c r="CSS90" s="4"/>
      <c r="CST90" s="4"/>
      <c r="CSU90" s="4"/>
      <c r="CSV90" s="4"/>
      <c r="CSW90" s="4"/>
      <c r="CSX90" s="4"/>
      <c r="CSY90" s="4"/>
      <c r="CSZ90" s="4"/>
      <c r="CTA90" s="4"/>
      <c r="CTB90" s="4"/>
      <c r="CTC90" s="4"/>
      <c r="CTD90" s="4"/>
      <c r="CTE90" s="4"/>
      <c r="CTF90" s="4"/>
      <c r="CTG90" s="4"/>
      <c r="CTH90" s="4"/>
      <c r="CTI90" s="4"/>
      <c r="CTJ90" s="4"/>
      <c r="CTK90" s="4"/>
      <c r="CTL90" s="4"/>
      <c r="CTM90" s="4"/>
      <c r="CTN90" s="4"/>
      <c r="CTO90" s="4"/>
      <c r="CTP90" s="4"/>
      <c r="CTQ90" s="4"/>
      <c r="CTR90" s="4"/>
      <c r="CTS90" s="4"/>
      <c r="CTT90" s="4"/>
      <c r="CTU90" s="4"/>
      <c r="CTV90" s="4"/>
      <c r="CTW90" s="4"/>
      <c r="CTX90" s="4"/>
      <c r="CTY90" s="4"/>
      <c r="CTZ90" s="4"/>
      <c r="CUA90" s="4"/>
      <c r="CUB90" s="4"/>
      <c r="CUC90" s="4"/>
      <c r="CUD90" s="4"/>
      <c r="CUE90" s="4"/>
      <c r="CUF90" s="4"/>
      <c r="CUG90" s="4"/>
      <c r="CUH90" s="4"/>
      <c r="CUI90" s="4"/>
      <c r="CUJ90" s="4"/>
      <c r="CUK90" s="4"/>
      <c r="CUL90" s="4"/>
      <c r="CUM90" s="4"/>
      <c r="CUN90" s="4"/>
      <c r="CUO90" s="4"/>
      <c r="CUP90" s="4"/>
      <c r="CUQ90" s="4"/>
      <c r="CUR90" s="4"/>
      <c r="CUS90" s="4"/>
      <c r="CUT90" s="4"/>
      <c r="CUU90" s="4"/>
      <c r="CUV90" s="4"/>
      <c r="CUW90" s="4"/>
      <c r="CUX90" s="4"/>
      <c r="CUY90" s="4"/>
      <c r="CUZ90" s="4"/>
      <c r="CVA90" s="4"/>
      <c r="CVB90" s="4"/>
      <c r="CVC90" s="4"/>
      <c r="CVD90" s="4"/>
      <c r="CVE90" s="4"/>
      <c r="CVF90" s="4"/>
      <c r="CVG90" s="4"/>
      <c r="CVH90" s="4"/>
      <c r="CVI90" s="4"/>
      <c r="CVJ90" s="4"/>
      <c r="CVK90" s="4"/>
      <c r="CVL90" s="4"/>
      <c r="CVM90" s="4"/>
      <c r="CVN90" s="4"/>
      <c r="CVO90" s="4"/>
      <c r="CVP90" s="4"/>
      <c r="CVQ90" s="4"/>
      <c r="CVR90" s="4"/>
      <c r="CVS90" s="4"/>
      <c r="CVT90" s="4"/>
      <c r="CVU90" s="4"/>
      <c r="CVV90" s="4"/>
      <c r="CVW90" s="4"/>
      <c r="CVX90" s="4"/>
      <c r="CVY90" s="4"/>
      <c r="CVZ90" s="4"/>
      <c r="CWA90" s="4"/>
      <c r="CWB90" s="4"/>
      <c r="CWC90" s="4"/>
      <c r="CWD90" s="4"/>
      <c r="CWE90" s="4"/>
      <c r="CWF90" s="4"/>
      <c r="CWG90" s="4"/>
      <c r="CWH90" s="4"/>
      <c r="CWI90" s="4"/>
      <c r="CWJ90" s="4"/>
      <c r="CWK90" s="4"/>
      <c r="CWL90" s="4"/>
      <c r="CWM90" s="4"/>
      <c r="CWN90" s="4"/>
      <c r="CWO90" s="4"/>
      <c r="CWP90" s="4"/>
      <c r="CWQ90" s="4"/>
      <c r="CWR90" s="4"/>
      <c r="CWS90" s="4"/>
      <c r="CWT90" s="4"/>
      <c r="CWU90" s="4"/>
      <c r="CWV90" s="4"/>
      <c r="CWW90" s="4"/>
      <c r="CWX90" s="4"/>
      <c r="CWY90" s="4"/>
      <c r="CWZ90" s="4"/>
      <c r="CXA90" s="4"/>
      <c r="CXB90" s="4"/>
      <c r="CXC90" s="4"/>
      <c r="CXD90" s="4"/>
      <c r="CXE90" s="4"/>
      <c r="CXF90" s="4"/>
      <c r="CXG90" s="4"/>
      <c r="CXH90" s="4"/>
      <c r="CXI90" s="4"/>
      <c r="CXJ90" s="4"/>
      <c r="CXK90" s="4"/>
      <c r="CXL90" s="4"/>
      <c r="CXM90" s="4"/>
      <c r="CXN90" s="4"/>
      <c r="CXO90" s="4"/>
      <c r="CXP90" s="4"/>
      <c r="CXQ90" s="4"/>
      <c r="CXR90" s="4"/>
      <c r="CXS90" s="4"/>
      <c r="CXT90" s="4"/>
      <c r="CXU90" s="4"/>
      <c r="CXV90" s="4"/>
      <c r="CXW90" s="4"/>
      <c r="CXX90" s="4"/>
      <c r="CXY90" s="4"/>
      <c r="CXZ90" s="4"/>
      <c r="CYA90" s="4"/>
      <c r="CYB90" s="4"/>
      <c r="CYC90" s="4"/>
      <c r="CYD90" s="4"/>
      <c r="CYE90" s="4"/>
      <c r="CYF90" s="4"/>
      <c r="CYG90" s="4"/>
      <c r="CYH90" s="4"/>
      <c r="CYI90" s="4"/>
      <c r="CYJ90" s="4"/>
      <c r="CYK90" s="4"/>
      <c r="CYL90" s="4"/>
      <c r="CYM90" s="4"/>
      <c r="CYN90" s="4"/>
      <c r="CYO90" s="4"/>
      <c r="CYP90" s="4"/>
      <c r="CYQ90" s="4"/>
      <c r="CYR90" s="4"/>
      <c r="CYS90" s="4"/>
      <c r="CYT90" s="4"/>
      <c r="CYU90" s="4"/>
      <c r="CYV90" s="4"/>
      <c r="CYW90" s="4"/>
      <c r="CYX90" s="4"/>
      <c r="CYY90" s="4"/>
      <c r="CYZ90" s="4"/>
      <c r="CZA90" s="4"/>
      <c r="CZB90" s="4"/>
      <c r="CZC90" s="4"/>
      <c r="CZD90" s="4"/>
      <c r="CZE90" s="4"/>
      <c r="CZF90" s="4"/>
      <c r="CZG90" s="4"/>
      <c r="CZH90" s="4"/>
      <c r="CZI90" s="4"/>
      <c r="CZJ90" s="4"/>
      <c r="CZK90" s="4"/>
      <c r="CZL90" s="4"/>
      <c r="CZM90" s="4"/>
      <c r="CZN90" s="4"/>
      <c r="CZO90" s="4"/>
      <c r="CZP90" s="4"/>
      <c r="CZQ90" s="4"/>
      <c r="CZR90" s="4"/>
      <c r="CZS90" s="4"/>
      <c r="CZT90" s="4"/>
      <c r="CZU90" s="4"/>
      <c r="CZV90" s="4"/>
      <c r="CZW90" s="4"/>
      <c r="CZX90" s="4"/>
      <c r="CZY90" s="4"/>
      <c r="CZZ90" s="4"/>
      <c r="DAA90" s="4"/>
      <c r="DAB90" s="4"/>
      <c r="DAC90" s="4"/>
      <c r="DAD90" s="4"/>
      <c r="DAE90" s="4"/>
      <c r="DAF90" s="4"/>
      <c r="DAG90" s="4"/>
      <c r="DAH90" s="4"/>
      <c r="DAI90" s="4"/>
      <c r="DAJ90" s="4"/>
      <c r="DAK90" s="4"/>
      <c r="DAL90" s="4"/>
      <c r="DAM90" s="4"/>
      <c r="DAN90" s="4"/>
      <c r="DAO90" s="4"/>
      <c r="DAP90" s="4"/>
      <c r="DAQ90" s="4"/>
      <c r="DAR90" s="4"/>
      <c r="DAS90" s="4"/>
      <c r="DAT90" s="4"/>
      <c r="DAU90" s="4"/>
      <c r="DAV90" s="4"/>
      <c r="DAW90" s="4"/>
      <c r="DAX90" s="4"/>
      <c r="DAY90" s="4"/>
      <c r="DAZ90" s="4"/>
      <c r="DBA90" s="4"/>
      <c r="DBB90" s="4"/>
      <c r="DBC90" s="4"/>
      <c r="DBD90" s="4"/>
      <c r="DBE90" s="4"/>
      <c r="DBF90" s="4"/>
      <c r="DBG90" s="4"/>
      <c r="DBH90" s="4"/>
      <c r="DBI90" s="4"/>
      <c r="DBJ90" s="4"/>
      <c r="DBK90" s="4"/>
      <c r="DBL90" s="4"/>
      <c r="DBM90" s="4"/>
      <c r="DBN90" s="4"/>
      <c r="DBO90" s="4"/>
      <c r="DBP90" s="4"/>
      <c r="DBQ90" s="4"/>
      <c r="DBR90" s="4"/>
      <c r="DBS90" s="4"/>
      <c r="DBT90" s="4"/>
      <c r="DBU90" s="4"/>
      <c r="DBV90" s="4"/>
      <c r="DBW90" s="4"/>
      <c r="DBX90" s="4"/>
      <c r="DBY90" s="4"/>
      <c r="DBZ90" s="4"/>
      <c r="DCA90" s="4"/>
      <c r="DCB90" s="4"/>
      <c r="DCC90" s="4"/>
      <c r="DCD90" s="4"/>
      <c r="DCE90" s="4"/>
      <c r="DCF90" s="4"/>
      <c r="DCG90" s="4"/>
      <c r="DCH90" s="4"/>
      <c r="DCI90" s="4"/>
      <c r="DCJ90" s="4"/>
      <c r="DCK90" s="4"/>
      <c r="DCL90" s="4"/>
      <c r="DCM90" s="4"/>
      <c r="DCN90" s="4"/>
      <c r="DCO90" s="4"/>
      <c r="DCP90" s="4"/>
      <c r="DCQ90" s="4"/>
      <c r="DCR90" s="4"/>
      <c r="DCS90" s="4"/>
      <c r="DCT90" s="4"/>
      <c r="DCU90" s="4"/>
      <c r="DCV90" s="4"/>
      <c r="DCW90" s="4"/>
      <c r="DCX90" s="4"/>
      <c r="DCY90" s="4"/>
      <c r="DCZ90" s="4"/>
      <c r="DDA90" s="4"/>
      <c r="DDB90" s="4"/>
      <c r="DDC90" s="4"/>
      <c r="DDD90" s="4"/>
      <c r="DDE90" s="4"/>
      <c r="DDF90" s="4"/>
      <c r="DDG90" s="4"/>
      <c r="DDH90" s="4"/>
      <c r="DDI90" s="4"/>
      <c r="DDJ90" s="4"/>
      <c r="DDK90" s="4"/>
      <c r="DDL90" s="4"/>
      <c r="DDM90" s="4"/>
      <c r="DDN90" s="4"/>
      <c r="DDO90" s="4"/>
      <c r="DDP90" s="4"/>
      <c r="DDQ90" s="4"/>
      <c r="DDR90" s="4"/>
      <c r="DDS90" s="4"/>
      <c r="DDT90" s="4"/>
      <c r="DDU90" s="4"/>
      <c r="DDV90" s="4"/>
      <c r="DDW90" s="4"/>
      <c r="DDX90" s="4"/>
      <c r="DDY90" s="4"/>
      <c r="DDZ90" s="4"/>
      <c r="DEA90" s="4"/>
      <c r="DEB90" s="4"/>
      <c r="DEC90" s="4"/>
      <c r="DED90" s="4"/>
      <c r="DEE90" s="4"/>
      <c r="DEF90" s="4"/>
      <c r="DEG90" s="4"/>
      <c r="DEH90" s="4"/>
      <c r="DEI90" s="4"/>
      <c r="DEJ90" s="4"/>
      <c r="DEK90" s="4"/>
      <c r="DEL90" s="4"/>
      <c r="DEM90" s="4"/>
      <c r="DEN90" s="4"/>
      <c r="DEO90" s="4"/>
      <c r="DEP90" s="4"/>
      <c r="DEQ90" s="4"/>
      <c r="DER90" s="4"/>
      <c r="DES90" s="4"/>
      <c r="DET90" s="4"/>
      <c r="DEU90" s="4"/>
      <c r="DEV90" s="4"/>
      <c r="DEW90" s="4"/>
      <c r="DEX90" s="4"/>
      <c r="DEY90" s="4"/>
      <c r="DEZ90" s="4"/>
      <c r="DFA90" s="4"/>
      <c r="DFB90" s="4"/>
      <c r="DFC90" s="4"/>
      <c r="DFD90" s="4"/>
      <c r="DFE90" s="4"/>
      <c r="DFF90" s="4"/>
      <c r="DFG90" s="4"/>
      <c r="DFH90" s="4"/>
      <c r="DFI90" s="4"/>
      <c r="DFJ90" s="4"/>
      <c r="DFK90" s="4"/>
      <c r="DFL90" s="4"/>
      <c r="DFM90" s="4"/>
      <c r="DFN90" s="4"/>
      <c r="DFO90" s="4"/>
      <c r="DFP90" s="4"/>
      <c r="DFQ90" s="4"/>
      <c r="DFR90" s="4"/>
      <c r="DFS90" s="4"/>
      <c r="DFT90" s="4"/>
      <c r="DFU90" s="4"/>
      <c r="DFV90" s="4"/>
      <c r="DFW90" s="4"/>
      <c r="DFX90" s="4"/>
      <c r="DFY90" s="4"/>
      <c r="DFZ90" s="4"/>
      <c r="DGA90" s="4"/>
      <c r="DGB90" s="4"/>
      <c r="DGC90" s="4"/>
      <c r="DGD90" s="4"/>
      <c r="DGE90" s="4"/>
      <c r="DGF90" s="4"/>
      <c r="DGG90" s="4"/>
      <c r="DGH90" s="4"/>
      <c r="DGI90" s="4"/>
      <c r="DGJ90" s="4"/>
      <c r="DGK90" s="4"/>
      <c r="DGL90" s="4"/>
      <c r="DGM90" s="4"/>
      <c r="DGN90" s="4"/>
      <c r="DGO90" s="4"/>
      <c r="DGP90" s="4"/>
      <c r="DGQ90" s="4"/>
      <c r="DGR90" s="4"/>
      <c r="DGS90" s="4"/>
      <c r="DGT90" s="4"/>
      <c r="DGU90" s="4"/>
      <c r="DGV90" s="4"/>
      <c r="DGW90" s="4"/>
      <c r="DGX90" s="4"/>
      <c r="DGY90" s="4"/>
      <c r="DGZ90" s="4"/>
      <c r="DHA90" s="4"/>
      <c r="DHB90" s="4"/>
      <c r="DHC90" s="4"/>
      <c r="DHD90" s="4"/>
      <c r="DHE90" s="4"/>
      <c r="DHF90" s="4"/>
      <c r="DHG90" s="4"/>
      <c r="DHH90" s="4"/>
      <c r="DHI90" s="4"/>
      <c r="DHJ90" s="4"/>
      <c r="DHK90" s="4"/>
      <c r="DHL90" s="4"/>
      <c r="DHM90" s="4"/>
      <c r="DHN90" s="4"/>
      <c r="DHO90" s="4"/>
      <c r="DHP90" s="4"/>
      <c r="DHQ90" s="4"/>
      <c r="DHR90" s="4"/>
      <c r="DHS90" s="4"/>
      <c r="DHT90" s="4"/>
      <c r="DHU90" s="4"/>
      <c r="DHV90" s="4"/>
      <c r="DHW90" s="4"/>
      <c r="DHX90" s="4"/>
      <c r="DHY90" s="4"/>
      <c r="DHZ90" s="4"/>
      <c r="DIA90" s="4"/>
      <c r="DIB90" s="4"/>
      <c r="DIC90" s="4"/>
      <c r="DID90" s="4"/>
      <c r="DIE90" s="4"/>
      <c r="DIF90" s="4"/>
      <c r="DIG90" s="4"/>
      <c r="DIH90" s="4"/>
      <c r="DII90" s="4"/>
      <c r="DIJ90" s="4"/>
      <c r="DIK90" s="4"/>
      <c r="DIL90" s="4"/>
      <c r="DIM90" s="4"/>
      <c r="DIN90" s="4"/>
      <c r="DIO90" s="4"/>
      <c r="DIP90" s="4"/>
      <c r="DIQ90" s="4"/>
      <c r="DIR90" s="4"/>
      <c r="DIS90" s="4"/>
      <c r="DIT90" s="4"/>
      <c r="DIU90" s="4"/>
      <c r="DIV90" s="4"/>
      <c r="DIW90" s="4"/>
      <c r="DIX90" s="4"/>
      <c r="DIY90" s="4"/>
      <c r="DIZ90" s="4"/>
      <c r="DJA90" s="4"/>
      <c r="DJB90" s="4"/>
      <c r="DJC90" s="4"/>
      <c r="DJD90" s="4"/>
      <c r="DJE90" s="4"/>
      <c r="DJF90" s="4"/>
      <c r="DJG90" s="4"/>
      <c r="DJH90" s="4"/>
      <c r="DJI90" s="4"/>
      <c r="DJJ90" s="4"/>
      <c r="DJK90" s="4"/>
      <c r="DJL90" s="4"/>
      <c r="DJM90" s="4"/>
      <c r="DJN90" s="4"/>
      <c r="DJO90" s="4"/>
      <c r="DJP90" s="4"/>
      <c r="DJQ90" s="4"/>
      <c r="DJR90" s="4"/>
      <c r="DJS90" s="4"/>
      <c r="DJT90" s="4"/>
      <c r="DJU90" s="4"/>
      <c r="DJV90" s="4"/>
      <c r="DJW90" s="4"/>
      <c r="DJX90" s="4"/>
      <c r="DJY90" s="4"/>
      <c r="DJZ90" s="4"/>
      <c r="DKA90" s="4"/>
      <c r="DKB90" s="4"/>
      <c r="DKC90" s="4"/>
      <c r="DKD90" s="4"/>
      <c r="DKE90" s="4"/>
      <c r="DKF90" s="4"/>
      <c r="DKG90" s="4"/>
      <c r="DKH90" s="4"/>
      <c r="DKI90" s="4"/>
      <c r="DKJ90" s="4"/>
      <c r="DKK90" s="4"/>
      <c r="DKL90" s="4"/>
      <c r="DKM90" s="4"/>
      <c r="DKN90" s="4"/>
      <c r="DKO90" s="4"/>
      <c r="DKP90" s="4"/>
      <c r="DKQ90" s="4"/>
      <c r="DKR90" s="4"/>
      <c r="DKS90" s="4"/>
      <c r="DKT90" s="4"/>
      <c r="DKU90" s="4"/>
      <c r="DKV90" s="4"/>
      <c r="DKW90" s="4"/>
      <c r="DKX90" s="4"/>
      <c r="DKY90" s="4"/>
      <c r="DKZ90" s="4"/>
      <c r="DLA90" s="4"/>
      <c r="DLB90" s="4"/>
      <c r="DLC90" s="4"/>
      <c r="DLD90" s="4"/>
      <c r="DLE90" s="4"/>
      <c r="DLF90" s="4"/>
      <c r="DLG90" s="4"/>
      <c r="DLH90" s="4"/>
      <c r="DLI90" s="4"/>
      <c r="DLJ90" s="4"/>
      <c r="DLK90" s="4"/>
      <c r="DLL90" s="4"/>
      <c r="DLM90" s="4"/>
      <c r="DLN90" s="4"/>
      <c r="DLO90" s="4"/>
      <c r="DLP90" s="4"/>
      <c r="DLQ90" s="4"/>
      <c r="DLR90" s="4"/>
      <c r="DLS90" s="4"/>
      <c r="DLT90" s="4"/>
      <c r="DLU90" s="4"/>
      <c r="DLV90" s="4"/>
      <c r="DLW90" s="4"/>
      <c r="DLX90" s="4"/>
      <c r="DLY90" s="4"/>
      <c r="DLZ90" s="4"/>
      <c r="DMA90" s="4"/>
      <c r="DMB90" s="4"/>
      <c r="DMC90" s="4"/>
      <c r="DMD90" s="4"/>
      <c r="DME90" s="4"/>
      <c r="DMF90" s="4"/>
      <c r="DMG90" s="4"/>
      <c r="DMH90" s="4"/>
      <c r="DMI90" s="4"/>
      <c r="DMJ90" s="4"/>
      <c r="DMK90" s="4"/>
      <c r="DML90" s="4"/>
      <c r="DMM90" s="4"/>
      <c r="DMN90" s="4"/>
      <c r="DMO90" s="4"/>
      <c r="DMP90" s="4"/>
      <c r="DMQ90" s="4"/>
      <c r="DMR90" s="4"/>
      <c r="DMS90" s="4"/>
      <c r="DMT90" s="4"/>
      <c r="DMU90" s="4"/>
      <c r="DMV90" s="4"/>
      <c r="DMW90" s="4"/>
      <c r="DMX90" s="4"/>
      <c r="DMY90" s="4"/>
      <c r="DMZ90" s="4"/>
      <c r="DNA90" s="4"/>
      <c r="DNB90" s="4"/>
      <c r="DNC90" s="4"/>
      <c r="DND90" s="4"/>
      <c r="DNE90" s="4"/>
      <c r="DNF90" s="4"/>
      <c r="DNG90" s="4"/>
      <c r="DNH90" s="4"/>
      <c r="DNI90" s="4"/>
      <c r="DNJ90" s="4"/>
      <c r="DNK90" s="4"/>
      <c r="DNL90" s="4"/>
      <c r="DNM90" s="4"/>
      <c r="DNN90" s="4"/>
      <c r="DNO90" s="4"/>
      <c r="DNP90" s="4"/>
      <c r="DNQ90" s="4"/>
      <c r="DNR90" s="4"/>
      <c r="DNS90" s="4"/>
      <c r="DNT90" s="4"/>
      <c r="DNU90" s="4"/>
      <c r="DNV90" s="4"/>
      <c r="DNW90" s="4"/>
      <c r="DNX90" s="4"/>
      <c r="DNY90" s="4"/>
      <c r="DNZ90" s="4"/>
      <c r="DOA90" s="4"/>
      <c r="DOB90" s="4"/>
      <c r="DOC90" s="4"/>
      <c r="DOD90" s="4"/>
      <c r="DOE90" s="4"/>
      <c r="DOF90" s="4"/>
      <c r="DOG90" s="4"/>
      <c r="DOH90" s="4"/>
      <c r="DOI90" s="4"/>
      <c r="DOJ90" s="4"/>
      <c r="DOK90" s="4"/>
      <c r="DOL90" s="4"/>
      <c r="DOM90" s="4"/>
      <c r="DON90" s="4"/>
      <c r="DOO90" s="4"/>
      <c r="DOP90" s="4"/>
      <c r="DOQ90" s="4"/>
      <c r="DOR90" s="4"/>
      <c r="DOS90" s="4"/>
      <c r="DOT90" s="4"/>
      <c r="DOU90" s="4"/>
      <c r="DOV90" s="4"/>
      <c r="DOW90" s="4"/>
      <c r="DOX90" s="4"/>
      <c r="DOY90" s="4"/>
      <c r="DOZ90" s="4"/>
      <c r="DPA90" s="4"/>
      <c r="DPB90" s="4"/>
      <c r="DPC90" s="4"/>
      <c r="DPD90" s="4"/>
      <c r="DPE90" s="4"/>
      <c r="DPF90" s="4"/>
      <c r="DPG90" s="4"/>
      <c r="DPH90" s="4"/>
      <c r="DPI90" s="4"/>
      <c r="DPJ90" s="4"/>
      <c r="DPK90" s="4"/>
      <c r="DPL90" s="4"/>
      <c r="DPM90" s="4"/>
      <c r="DPN90" s="4"/>
      <c r="DPO90" s="4"/>
      <c r="DPP90" s="4"/>
      <c r="DPQ90" s="4"/>
      <c r="DPR90" s="4"/>
      <c r="DPS90" s="4"/>
      <c r="DPT90" s="4"/>
      <c r="DPU90" s="4"/>
      <c r="DPV90" s="4"/>
      <c r="DPW90" s="4"/>
      <c r="DPX90" s="4"/>
      <c r="DPY90" s="4"/>
      <c r="DPZ90" s="4"/>
      <c r="DQA90" s="4"/>
      <c r="DQB90" s="4"/>
      <c r="DQC90" s="4"/>
      <c r="DQD90" s="4"/>
      <c r="DQE90" s="4"/>
      <c r="DQF90" s="4"/>
      <c r="DQG90" s="4"/>
      <c r="DQH90" s="4"/>
      <c r="DQI90" s="4"/>
      <c r="DQJ90" s="4"/>
      <c r="DQK90" s="4"/>
      <c r="DQL90" s="4"/>
      <c r="DQM90" s="4"/>
      <c r="DQN90" s="4"/>
      <c r="DQO90" s="4"/>
      <c r="DQP90" s="4"/>
      <c r="DQQ90" s="4"/>
      <c r="DQR90" s="4"/>
      <c r="DQS90" s="4"/>
      <c r="DQT90" s="4"/>
      <c r="DQU90" s="4"/>
      <c r="DQV90" s="4"/>
      <c r="DQW90" s="4"/>
      <c r="DQX90" s="4"/>
      <c r="DQY90" s="4"/>
      <c r="DQZ90" s="4"/>
      <c r="DRA90" s="4"/>
      <c r="DRB90" s="4"/>
      <c r="DRC90" s="4"/>
      <c r="DRD90" s="4"/>
      <c r="DRE90" s="4"/>
      <c r="DRF90" s="4"/>
      <c r="DRG90" s="4"/>
      <c r="DRH90" s="4"/>
      <c r="DRI90" s="4"/>
      <c r="DRJ90" s="4"/>
      <c r="DRK90" s="4"/>
      <c r="DRL90" s="4"/>
      <c r="DRM90" s="4"/>
      <c r="DRN90" s="4"/>
      <c r="DRO90" s="4"/>
      <c r="DRP90" s="4"/>
      <c r="DRQ90" s="4"/>
      <c r="DRR90" s="4"/>
      <c r="DRS90" s="4"/>
      <c r="DRT90" s="4"/>
      <c r="DRU90" s="4"/>
      <c r="DRV90" s="4"/>
      <c r="DRW90" s="4"/>
      <c r="DRX90" s="4"/>
      <c r="DRY90" s="4"/>
      <c r="DRZ90" s="4"/>
      <c r="DSA90" s="4"/>
      <c r="DSB90" s="4"/>
      <c r="DSC90" s="4"/>
      <c r="DSD90" s="4"/>
      <c r="DSE90" s="4"/>
      <c r="DSF90" s="4"/>
      <c r="DSG90" s="4"/>
      <c r="DSH90" s="4"/>
      <c r="DSI90" s="4"/>
      <c r="DSJ90" s="4"/>
      <c r="DSK90" s="4"/>
      <c r="DSL90" s="4"/>
      <c r="DSM90" s="4"/>
      <c r="DSN90" s="4"/>
      <c r="DSO90" s="4"/>
      <c r="DSP90" s="4"/>
      <c r="DSQ90" s="4"/>
      <c r="DSR90" s="4"/>
      <c r="DSS90" s="4"/>
      <c r="DST90" s="4"/>
      <c r="DSU90" s="4"/>
      <c r="DSV90" s="4"/>
      <c r="DSW90" s="4"/>
      <c r="DSX90" s="4"/>
      <c r="DSY90" s="4"/>
      <c r="DSZ90" s="4"/>
      <c r="DTA90" s="4"/>
      <c r="DTB90" s="4"/>
      <c r="DTC90" s="4"/>
      <c r="DTD90" s="4"/>
      <c r="DTE90" s="4"/>
      <c r="DTF90" s="4"/>
      <c r="DTG90" s="4"/>
      <c r="DTH90" s="4"/>
      <c r="DTI90" s="4"/>
      <c r="DTJ90" s="4"/>
      <c r="DTK90" s="4"/>
      <c r="DTL90" s="4"/>
      <c r="DTM90" s="4"/>
      <c r="DTN90" s="4"/>
      <c r="DTO90" s="4"/>
      <c r="DTP90" s="4"/>
      <c r="DTQ90" s="4"/>
      <c r="DTR90" s="4"/>
      <c r="DTS90" s="4"/>
      <c r="DTT90" s="4"/>
      <c r="DTU90" s="4"/>
      <c r="DTV90" s="4"/>
      <c r="DTW90" s="4"/>
      <c r="DTX90" s="4"/>
      <c r="DTY90" s="4"/>
      <c r="DTZ90" s="4"/>
      <c r="DUA90" s="4"/>
      <c r="DUB90" s="4"/>
      <c r="DUC90" s="4"/>
      <c r="DUD90" s="4"/>
      <c r="DUE90" s="4"/>
      <c r="DUF90" s="4"/>
      <c r="DUG90" s="4"/>
      <c r="DUH90" s="4"/>
      <c r="DUI90" s="4"/>
      <c r="DUJ90" s="4"/>
      <c r="DUK90" s="4"/>
      <c r="DUL90" s="4"/>
      <c r="DUM90" s="4"/>
      <c r="DUN90" s="4"/>
      <c r="DUO90" s="4"/>
      <c r="DUP90" s="4"/>
      <c r="DUQ90" s="4"/>
      <c r="DUR90" s="4"/>
      <c r="DUS90" s="4"/>
      <c r="DUT90" s="4"/>
      <c r="DUU90" s="4"/>
      <c r="DUV90" s="4"/>
      <c r="DUW90" s="4"/>
      <c r="DUX90" s="4"/>
      <c r="DUY90" s="4"/>
      <c r="DUZ90" s="4"/>
      <c r="DVA90" s="4"/>
      <c r="DVB90" s="4"/>
      <c r="DVC90" s="4"/>
      <c r="DVD90" s="4"/>
      <c r="DVE90" s="4"/>
      <c r="DVF90" s="4"/>
      <c r="DVG90" s="4"/>
      <c r="DVH90" s="4"/>
      <c r="DVI90" s="4"/>
      <c r="DVJ90" s="4"/>
      <c r="DVK90" s="4"/>
      <c r="DVL90" s="4"/>
      <c r="DVM90" s="4"/>
      <c r="DVN90" s="4"/>
      <c r="DVO90" s="4"/>
      <c r="DVP90" s="4"/>
      <c r="DVQ90" s="4"/>
      <c r="DVR90" s="4"/>
      <c r="DVS90" s="4"/>
      <c r="DVT90" s="4"/>
      <c r="DVU90" s="4"/>
      <c r="DVV90" s="4"/>
      <c r="DVW90" s="4"/>
      <c r="DVX90" s="4"/>
      <c r="DVY90" s="4"/>
      <c r="DVZ90" s="4"/>
      <c r="DWA90" s="4"/>
      <c r="DWB90" s="4"/>
      <c r="DWC90" s="4"/>
      <c r="DWD90" s="4"/>
      <c r="DWE90" s="4"/>
      <c r="DWF90" s="4"/>
      <c r="DWG90" s="4"/>
      <c r="DWH90" s="4"/>
      <c r="DWI90" s="4"/>
      <c r="DWJ90" s="4"/>
      <c r="DWK90" s="4"/>
      <c r="DWL90" s="4"/>
      <c r="DWM90" s="4"/>
      <c r="DWN90" s="4"/>
      <c r="DWO90" s="4"/>
      <c r="DWP90" s="4"/>
      <c r="DWQ90" s="4"/>
      <c r="DWR90" s="4"/>
      <c r="DWS90" s="4"/>
      <c r="DWT90" s="4"/>
      <c r="DWU90" s="4"/>
      <c r="DWV90" s="4"/>
      <c r="DWW90" s="4"/>
      <c r="DWX90" s="4"/>
      <c r="DWY90" s="4"/>
      <c r="DWZ90" s="4"/>
      <c r="DXA90" s="4"/>
      <c r="DXB90" s="4"/>
      <c r="DXC90" s="4"/>
      <c r="DXD90" s="4"/>
      <c r="DXE90" s="4"/>
      <c r="DXF90" s="4"/>
      <c r="DXG90" s="4"/>
      <c r="DXH90" s="4"/>
      <c r="DXI90" s="4"/>
      <c r="DXJ90" s="4"/>
      <c r="DXK90" s="4"/>
      <c r="DXL90" s="4"/>
      <c r="DXM90" s="4"/>
      <c r="DXN90" s="4"/>
      <c r="DXO90" s="4"/>
      <c r="DXP90" s="4"/>
      <c r="DXQ90" s="4"/>
      <c r="DXR90" s="4"/>
      <c r="DXS90" s="4"/>
      <c r="DXT90" s="4"/>
      <c r="DXU90" s="4"/>
      <c r="DXV90" s="4"/>
      <c r="DXW90" s="4"/>
      <c r="DXX90" s="4"/>
      <c r="DXY90" s="4"/>
      <c r="DXZ90" s="4"/>
      <c r="DYA90" s="4"/>
      <c r="DYB90" s="4"/>
      <c r="DYC90" s="4"/>
      <c r="DYD90" s="4"/>
      <c r="DYE90" s="4"/>
      <c r="DYF90" s="4"/>
      <c r="DYG90" s="4"/>
      <c r="DYH90" s="4"/>
      <c r="DYI90" s="4"/>
      <c r="DYJ90" s="4"/>
      <c r="DYK90" s="4"/>
      <c r="DYL90" s="4"/>
      <c r="DYM90" s="4"/>
      <c r="DYN90" s="4"/>
      <c r="DYO90" s="4"/>
      <c r="DYP90" s="4"/>
      <c r="DYQ90" s="4"/>
      <c r="DYR90" s="4"/>
      <c r="DYS90" s="4"/>
      <c r="DYT90" s="4"/>
      <c r="DYU90" s="4"/>
      <c r="DYV90" s="4"/>
      <c r="DYW90" s="4"/>
      <c r="DYX90" s="4"/>
      <c r="DYY90" s="4"/>
      <c r="DYZ90" s="4"/>
      <c r="DZA90" s="4"/>
      <c r="DZB90" s="4"/>
      <c r="DZC90" s="4"/>
      <c r="DZD90" s="4"/>
      <c r="DZE90" s="4"/>
      <c r="DZF90" s="4"/>
      <c r="DZG90" s="4"/>
      <c r="DZH90" s="4"/>
      <c r="DZI90" s="4"/>
      <c r="DZJ90" s="4"/>
      <c r="DZK90" s="4"/>
      <c r="DZL90" s="4"/>
      <c r="DZM90" s="4"/>
      <c r="DZN90" s="4"/>
      <c r="DZO90" s="4"/>
      <c r="DZP90" s="4"/>
      <c r="DZQ90" s="4"/>
      <c r="DZR90" s="4"/>
      <c r="DZS90" s="4"/>
      <c r="DZT90" s="4"/>
      <c r="DZU90" s="4"/>
      <c r="DZV90" s="4"/>
      <c r="DZW90" s="4"/>
      <c r="DZX90" s="4"/>
      <c r="DZY90" s="4"/>
      <c r="DZZ90" s="4"/>
      <c r="EAA90" s="4"/>
      <c r="EAB90" s="4"/>
      <c r="EAC90" s="4"/>
      <c r="EAD90" s="4"/>
      <c r="EAE90" s="4"/>
      <c r="EAF90" s="4"/>
      <c r="EAG90" s="4"/>
      <c r="EAH90" s="4"/>
      <c r="EAI90" s="4"/>
      <c r="EAJ90" s="4"/>
      <c r="EAK90" s="4"/>
      <c r="EAL90" s="4"/>
      <c r="EAM90" s="4"/>
      <c r="EAN90" s="4"/>
      <c r="EAO90" s="4"/>
      <c r="EAP90" s="4"/>
      <c r="EAQ90" s="4"/>
      <c r="EAR90" s="4"/>
      <c r="EAS90" s="4"/>
      <c r="EAT90" s="4"/>
      <c r="EAU90" s="4"/>
      <c r="EAV90" s="4"/>
      <c r="EAW90" s="4"/>
      <c r="EAX90" s="4"/>
      <c r="EAY90" s="4"/>
      <c r="EAZ90" s="4"/>
      <c r="EBA90" s="4"/>
      <c r="EBB90" s="4"/>
      <c r="EBC90" s="4"/>
      <c r="EBD90" s="4"/>
      <c r="EBE90" s="4"/>
      <c r="EBF90" s="4"/>
      <c r="EBG90" s="4"/>
      <c r="EBH90" s="4"/>
      <c r="EBI90" s="4"/>
      <c r="EBJ90" s="4"/>
      <c r="EBK90" s="4"/>
      <c r="EBL90" s="4"/>
      <c r="EBM90" s="4"/>
      <c r="EBN90" s="4"/>
      <c r="EBO90" s="4"/>
      <c r="EBP90" s="4"/>
      <c r="EBQ90" s="4"/>
      <c r="EBR90" s="4"/>
      <c r="EBS90" s="4"/>
      <c r="EBT90" s="4"/>
      <c r="EBU90" s="4"/>
      <c r="EBV90" s="4"/>
      <c r="EBW90" s="4"/>
      <c r="EBX90" s="4"/>
      <c r="EBY90" s="4"/>
      <c r="EBZ90" s="4"/>
      <c r="ECA90" s="4"/>
      <c r="ECB90" s="4"/>
      <c r="ECC90" s="4"/>
      <c r="ECD90" s="4"/>
      <c r="ECE90" s="4"/>
      <c r="ECF90" s="4"/>
      <c r="ECG90" s="4"/>
      <c r="ECH90" s="4"/>
      <c r="ECI90" s="4"/>
      <c r="ECJ90" s="4"/>
      <c r="ECK90" s="4"/>
      <c r="ECL90" s="4"/>
      <c r="ECM90" s="4"/>
      <c r="ECN90" s="4"/>
      <c r="ECO90" s="4"/>
      <c r="ECP90" s="4"/>
      <c r="ECQ90" s="4"/>
      <c r="ECR90" s="4"/>
      <c r="ECS90" s="4"/>
      <c r="ECT90" s="4"/>
      <c r="ECU90" s="4"/>
      <c r="ECV90" s="4"/>
      <c r="ECW90" s="4"/>
      <c r="ECX90" s="4"/>
      <c r="ECY90" s="4"/>
      <c r="ECZ90" s="4"/>
      <c r="EDA90" s="4"/>
      <c r="EDB90" s="4"/>
      <c r="EDC90" s="4"/>
      <c r="EDD90" s="4"/>
      <c r="EDE90" s="4"/>
      <c r="EDF90" s="4"/>
      <c r="EDG90" s="4"/>
      <c r="EDH90" s="4"/>
      <c r="EDI90" s="4"/>
      <c r="EDJ90" s="4"/>
      <c r="EDK90" s="4"/>
      <c r="EDL90" s="4"/>
      <c r="EDM90" s="4"/>
      <c r="EDN90" s="4"/>
      <c r="EDO90" s="4"/>
      <c r="EDP90" s="4"/>
      <c r="EDQ90" s="4"/>
      <c r="EDR90" s="4"/>
      <c r="EDS90" s="4"/>
      <c r="EDT90" s="4"/>
      <c r="EDU90" s="4"/>
      <c r="EDV90" s="4"/>
      <c r="EDW90" s="4"/>
      <c r="EDX90" s="4"/>
      <c r="EDY90" s="4"/>
      <c r="EDZ90" s="4"/>
      <c r="EEA90" s="4"/>
      <c r="EEB90" s="4"/>
      <c r="EEC90" s="4"/>
      <c r="EED90" s="4"/>
      <c r="EEE90" s="4"/>
      <c r="EEF90" s="4"/>
      <c r="EEG90" s="4"/>
      <c r="EEH90" s="4"/>
      <c r="EEI90" s="4"/>
      <c r="EEJ90" s="4"/>
      <c r="EEK90" s="4"/>
      <c r="EEL90" s="4"/>
      <c r="EEM90" s="4"/>
      <c r="EEN90" s="4"/>
      <c r="EEO90" s="4"/>
      <c r="EEP90" s="4"/>
      <c r="EEQ90" s="4"/>
      <c r="EER90" s="4"/>
      <c r="EES90" s="4"/>
      <c r="EET90" s="4"/>
      <c r="EEU90" s="4"/>
      <c r="EEV90" s="4"/>
      <c r="EEW90" s="4"/>
      <c r="EEX90" s="4"/>
      <c r="EEY90" s="4"/>
      <c r="EEZ90" s="4"/>
      <c r="EFA90" s="4"/>
      <c r="EFB90" s="4"/>
      <c r="EFC90" s="4"/>
      <c r="EFD90" s="4"/>
      <c r="EFE90" s="4"/>
      <c r="EFF90" s="4"/>
      <c r="EFG90" s="4"/>
      <c r="EFH90" s="4"/>
      <c r="EFI90" s="4"/>
      <c r="EFJ90" s="4"/>
      <c r="EFK90" s="4"/>
      <c r="EFL90" s="4"/>
      <c r="EFM90" s="4"/>
      <c r="EFN90" s="4"/>
      <c r="EFO90" s="4"/>
      <c r="EFP90" s="4"/>
      <c r="EFQ90" s="4"/>
      <c r="EFR90" s="4"/>
      <c r="EFS90" s="4"/>
      <c r="EFT90" s="4"/>
      <c r="EFU90" s="4"/>
      <c r="EFV90" s="4"/>
      <c r="EFW90" s="4"/>
      <c r="EFX90" s="4"/>
      <c r="EFY90" s="4"/>
      <c r="EFZ90" s="4"/>
      <c r="EGA90" s="4"/>
      <c r="EGB90" s="4"/>
      <c r="EGC90" s="4"/>
      <c r="EGD90" s="4"/>
      <c r="EGE90" s="4"/>
      <c r="EGF90" s="4"/>
      <c r="EGG90" s="4"/>
      <c r="EGH90" s="4"/>
      <c r="EGI90" s="4"/>
      <c r="EGJ90" s="4"/>
      <c r="EGK90" s="4"/>
      <c r="EGL90" s="4"/>
      <c r="EGM90" s="4"/>
      <c r="EGN90" s="4"/>
      <c r="EGO90" s="4"/>
      <c r="EGP90" s="4"/>
      <c r="EGQ90" s="4"/>
      <c r="EGR90" s="4"/>
      <c r="EGS90" s="4"/>
      <c r="EGT90" s="4"/>
      <c r="EGU90" s="4"/>
      <c r="EGV90" s="4"/>
      <c r="EGW90" s="4"/>
      <c r="EGX90" s="4"/>
      <c r="EGY90" s="4"/>
      <c r="EGZ90" s="4"/>
      <c r="EHA90" s="4"/>
      <c r="EHB90" s="4"/>
      <c r="EHC90" s="4"/>
      <c r="EHD90" s="4"/>
      <c r="EHE90" s="4"/>
      <c r="EHF90" s="4"/>
      <c r="EHG90" s="4"/>
      <c r="EHH90" s="4"/>
      <c r="EHI90" s="4"/>
      <c r="EHJ90" s="4"/>
      <c r="EHK90" s="4"/>
      <c r="EHL90" s="4"/>
      <c r="EHM90" s="4"/>
      <c r="EHN90" s="4"/>
      <c r="EHO90" s="4"/>
      <c r="EHP90" s="4"/>
      <c r="EHQ90" s="4"/>
      <c r="EHR90" s="4"/>
      <c r="EHS90" s="4"/>
      <c r="EHT90" s="4"/>
      <c r="EHU90" s="4"/>
      <c r="EHV90" s="4"/>
      <c r="EHW90" s="4"/>
      <c r="EHX90" s="4"/>
      <c r="EHY90" s="4"/>
      <c r="EHZ90" s="4"/>
      <c r="EIA90" s="4"/>
      <c r="EIB90" s="4"/>
      <c r="EIC90" s="4"/>
      <c r="EID90" s="4"/>
      <c r="EIE90" s="4"/>
      <c r="EIF90" s="4"/>
      <c r="EIG90" s="4"/>
      <c r="EIH90" s="4"/>
      <c r="EII90" s="4"/>
      <c r="EIJ90" s="4"/>
      <c r="EIK90" s="4"/>
      <c r="EIL90" s="4"/>
      <c r="EIM90" s="4"/>
      <c r="EIN90" s="4"/>
      <c r="EIO90" s="4"/>
      <c r="EIP90" s="4"/>
      <c r="EIQ90" s="4"/>
      <c r="EIR90" s="4"/>
      <c r="EIS90" s="4"/>
      <c r="EIT90" s="4"/>
      <c r="EIU90" s="4"/>
      <c r="EIV90" s="4"/>
      <c r="EIW90" s="4"/>
      <c r="EIX90" s="4"/>
      <c r="EIY90" s="4"/>
      <c r="EIZ90" s="4"/>
      <c r="EJA90" s="4"/>
      <c r="EJB90" s="4"/>
      <c r="EJC90" s="4"/>
      <c r="EJD90" s="4"/>
      <c r="EJE90" s="4"/>
      <c r="EJF90" s="4"/>
      <c r="EJG90" s="4"/>
      <c r="EJH90" s="4"/>
      <c r="EJI90" s="4"/>
      <c r="EJJ90" s="4"/>
      <c r="EJK90" s="4"/>
      <c r="EJL90" s="4"/>
      <c r="EJM90" s="4"/>
      <c r="EJN90" s="4"/>
      <c r="EJO90" s="4"/>
      <c r="EJP90" s="4"/>
      <c r="EJQ90" s="4"/>
      <c r="EJR90" s="4"/>
      <c r="EJS90" s="4"/>
      <c r="EJT90" s="4"/>
      <c r="EJU90" s="4"/>
      <c r="EJV90" s="4"/>
      <c r="EJW90" s="4"/>
      <c r="EJX90" s="4"/>
      <c r="EJY90" s="4"/>
      <c r="EJZ90" s="4"/>
      <c r="EKA90" s="4"/>
      <c r="EKB90" s="4"/>
      <c r="EKC90" s="4"/>
      <c r="EKD90" s="4"/>
      <c r="EKE90" s="4"/>
      <c r="EKF90" s="4"/>
      <c r="EKG90" s="4"/>
      <c r="EKH90" s="4"/>
      <c r="EKI90" s="4"/>
      <c r="EKJ90" s="4"/>
      <c r="EKK90" s="4"/>
      <c r="EKL90" s="4"/>
      <c r="EKM90" s="4"/>
      <c r="EKN90" s="4"/>
      <c r="EKO90" s="4"/>
      <c r="EKP90" s="4"/>
      <c r="EKQ90" s="4"/>
      <c r="EKR90" s="4"/>
      <c r="EKS90" s="4"/>
      <c r="EKT90" s="4"/>
      <c r="EKU90" s="4"/>
      <c r="EKV90" s="4"/>
      <c r="EKW90" s="4"/>
      <c r="EKX90" s="4"/>
      <c r="EKY90" s="4"/>
      <c r="EKZ90" s="4"/>
      <c r="ELA90" s="4"/>
      <c r="ELB90" s="4"/>
      <c r="ELC90" s="4"/>
      <c r="ELD90" s="4"/>
      <c r="ELE90" s="4"/>
      <c r="ELF90" s="4"/>
      <c r="ELG90" s="4"/>
      <c r="ELH90" s="4"/>
      <c r="ELI90" s="4"/>
      <c r="ELJ90" s="4"/>
      <c r="ELK90" s="4"/>
      <c r="ELL90" s="4"/>
      <c r="ELM90" s="4"/>
      <c r="ELN90" s="4"/>
      <c r="ELO90" s="4"/>
      <c r="ELP90" s="4"/>
      <c r="ELQ90" s="4"/>
      <c r="ELR90" s="4"/>
      <c r="ELS90" s="4"/>
      <c r="ELT90" s="4"/>
      <c r="ELU90" s="4"/>
      <c r="ELV90" s="4"/>
      <c r="ELW90" s="4"/>
      <c r="ELX90" s="4"/>
      <c r="ELY90" s="4"/>
      <c r="ELZ90" s="4"/>
      <c r="EMA90" s="4"/>
      <c r="EMB90" s="4"/>
      <c r="EMC90" s="4"/>
      <c r="EMD90" s="4"/>
      <c r="EME90" s="4"/>
      <c r="EMF90" s="4"/>
      <c r="EMG90" s="4"/>
      <c r="EMH90" s="4"/>
      <c r="EMI90" s="4"/>
      <c r="EMJ90" s="4"/>
      <c r="EMK90" s="4"/>
      <c r="EML90" s="4"/>
      <c r="EMM90" s="4"/>
      <c r="EMN90" s="4"/>
      <c r="EMO90" s="4"/>
      <c r="EMP90" s="4"/>
      <c r="EMQ90" s="4"/>
      <c r="EMR90" s="4"/>
      <c r="EMS90" s="4"/>
      <c r="EMT90" s="4"/>
      <c r="EMU90" s="4"/>
      <c r="EMV90" s="4"/>
      <c r="EMW90" s="4"/>
      <c r="EMX90" s="4"/>
      <c r="EMY90" s="4"/>
      <c r="EMZ90" s="4"/>
      <c r="ENA90" s="4"/>
      <c r="ENB90" s="4"/>
      <c r="ENC90" s="4"/>
      <c r="END90" s="4"/>
      <c r="ENE90" s="4"/>
      <c r="ENF90" s="4"/>
      <c r="ENG90" s="4"/>
      <c r="ENH90" s="4"/>
      <c r="ENI90" s="4"/>
      <c r="ENJ90" s="4"/>
      <c r="ENK90" s="4"/>
      <c r="ENL90" s="4"/>
      <c r="ENM90" s="4"/>
      <c r="ENN90" s="4"/>
      <c r="ENO90" s="4"/>
      <c r="ENP90" s="4"/>
      <c r="ENQ90" s="4"/>
      <c r="ENR90" s="4"/>
      <c r="ENS90" s="4"/>
      <c r="ENT90" s="4"/>
      <c r="ENU90" s="4"/>
      <c r="ENV90" s="4"/>
      <c r="ENW90" s="4"/>
      <c r="ENX90" s="4"/>
      <c r="ENY90" s="4"/>
      <c r="ENZ90" s="4"/>
      <c r="EOA90" s="4"/>
      <c r="EOB90" s="4"/>
      <c r="EOC90" s="4"/>
      <c r="EOD90" s="4"/>
      <c r="EOE90" s="4"/>
      <c r="EOF90" s="4"/>
      <c r="EOG90" s="4"/>
      <c r="EOH90" s="4"/>
      <c r="EOI90" s="4"/>
      <c r="EOJ90" s="4"/>
      <c r="EOK90" s="4"/>
      <c r="EOL90" s="4"/>
      <c r="EOM90" s="4"/>
      <c r="EON90" s="4"/>
      <c r="EOO90" s="4"/>
      <c r="EOP90" s="4"/>
      <c r="EOQ90" s="4"/>
      <c r="EOR90" s="4"/>
      <c r="EOS90" s="4"/>
      <c r="EOT90" s="4"/>
      <c r="EOU90" s="4"/>
      <c r="EOV90" s="4"/>
      <c r="EOW90" s="4"/>
      <c r="EOX90" s="4"/>
      <c r="EOY90" s="4"/>
      <c r="EOZ90" s="4"/>
      <c r="EPA90" s="4"/>
      <c r="EPB90" s="4"/>
      <c r="EPC90" s="4"/>
      <c r="EPD90" s="4"/>
      <c r="EPE90" s="4"/>
      <c r="EPF90" s="4"/>
      <c r="EPG90" s="4"/>
      <c r="EPH90" s="4"/>
      <c r="EPI90" s="4"/>
      <c r="EPJ90" s="4"/>
      <c r="EPK90" s="4"/>
      <c r="EPL90" s="4"/>
      <c r="EPM90" s="4"/>
      <c r="EPN90" s="4"/>
      <c r="EPO90" s="4"/>
      <c r="EPP90" s="4"/>
      <c r="EPQ90" s="4"/>
      <c r="EPR90" s="4"/>
      <c r="EPS90" s="4"/>
      <c r="EPT90" s="4"/>
      <c r="EPU90" s="4"/>
      <c r="EPV90" s="4"/>
      <c r="EPW90" s="4"/>
      <c r="EPX90" s="4"/>
      <c r="EPY90" s="4"/>
      <c r="EPZ90" s="4"/>
      <c r="EQA90" s="4"/>
      <c r="EQB90" s="4"/>
      <c r="EQC90" s="4"/>
      <c r="EQD90" s="4"/>
      <c r="EQE90" s="4"/>
      <c r="EQF90" s="4"/>
      <c r="EQG90" s="4"/>
      <c r="EQH90" s="4"/>
      <c r="EQI90" s="4"/>
      <c r="EQJ90" s="4"/>
      <c r="EQK90" s="4"/>
      <c r="EQL90" s="4"/>
      <c r="EQM90" s="4"/>
      <c r="EQN90" s="4"/>
      <c r="EQO90" s="4"/>
      <c r="EQP90" s="4"/>
      <c r="EQQ90" s="4"/>
      <c r="EQR90" s="4"/>
      <c r="EQS90" s="4"/>
      <c r="EQT90" s="4"/>
      <c r="EQU90" s="4"/>
      <c r="EQV90" s="4"/>
      <c r="EQW90" s="4"/>
      <c r="EQX90" s="4"/>
      <c r="EQY90" s="4"/>
      <c r="EQZ90" s="4"/>
      <c r="ERA90" s="4"/>
      <c r="ERB90" s="4"/>
      <c r="ERC90" s="4"/>
      <c r="ERD90" s="4"/>
      <c r="ERE90" s="4"/>
      <c r="ERF90" s="4"/>
      <c r="ERG90" s="4"/>
      <c r="ERH90" s="4"/>
      <c r="ERI90" s="4"/>
      <c r="ERJ90" s="4"/>
      <c r="ERK90" s="4"/>
      <c r="ERL90" s="4"/>
      <c r="ERM90" s="4"/>
      <c r="ERN90" s="4"/>
      <c r="ERO90" s="4"/>
      <c r="ERP90" s="4"/>
      <c r="ERQ90" s="4"/>
      <c r="ERR90" s="4"/>
      <c r="ERS90" s="4"/>
      <c r="ERT90" s="4"/>
      <c r="ERU90" s="4"/>
      <c r="ERV90" s="4"/>
      <c r="ERW90" s="4"/>
      <c r="ERX90" s="4"/>
      <c r="ERY90" s="4"/>
      <c r="ERZ90" s="4"/>
      <c r="ESA90" s="4"/>
      <c r="ESB90" s="4"/>
      <c r="ESC90" s="4"/>
      <c r="ESD90" s="4"/>
      <c r="ESE90" s="4"/>
      <c r="ESF90" s="4"/>
      <c r="ESG90" s="4"/>
      <c r="ESH90" s="4"/>
      <c r="ESI90" s="4"/>
      <c r="ESJ90" s="4"/>
      <c r="ESK90" s="4"/>
      <c r="ESL90" s="4"/>
      <c r="ESM90" s="4"/>
      <c r="ESN90" s="4"/>
      <c r="ESO90" s="4"/>
      <c r="ESP90" s="4"/>
      <c r="ESQ90" s="4"/>
      <c r="ESR90" s="4"/>
      <c r="ESS90" s="4"/>
      <c r="EST90" s="4"/>
      <c r="ESU90" s="4"/>
      <c r="ESV90" s="4"/>
      <c r="ESW90" s="4"/>
      <c r="ESX90" s="4"/>
      <c r="ESY90" s="4"/>
      <c r="ESZ90" s="4"/>
      <c r="ETA90" s="4"/>
      <c r="ETB90" s="4"/>
      <c r="ETC90" s="4"/>
      <c r="ETD90" s="4"/>
      <c r="ETE90" s="4"/>
      <c r="ETF90" s="4"/>
      <c r="ETG90" s="4"/>
      <c r="ETH90" s="4"/>
      <c r="ETI90" s="4"/>
      <c r="ETJ90" s="4"/>
      <c r="ETK90" s="4"/>
      <c r="ETL90" s="4"/>
      <c r="ETM90" s="4"/>
      <c r="ETN90" s="4"/>
      <c r="ETO90" s="4"/>
      <c r="ETP90" s="4"/>
      <c r="ETQ90" s="4"/>
      <c r="ETR90" s="4"/>
      <c r="ETS90" s="4"/>
      <c r="ETT90" s="4"/>
      <c r="ETU90" s="4"/>
      <c r="ETV90" s="4"/>
      <c r="ETW90" s="4"/>
      <c r="ETX90" s="4"/>
      <c r="ETY90" s="4"/>
      <c r="ETZ90" s="4"/>
      <c r="EUA90" s="4"/>
      <c r="EUB90" s="4"/>
      <c r="EUC90" s="4"/>
      <c r="EUD90" s="4"/>
      <c r="EUE90" s="4"/>
      <c r="EUF90" s="4"/>
      <c r="EUG90" s="4"/>
      <c r="EUH90" s="4"/>
      <c r="EUI90" s="4"/>
      <c r="EUJ90" s="4"/>
      <c r="EUK90" s="4"/>
      <c r="EUL90" s="4"/>
      <c r="EUM90" s="4"/>
      <c r="EUN90" s="4"/>
      <c r="EUO90" s="4"/>
      <c r="EUP90" s="4"/>
      <c r="EUQ90" s="4"/>
      <c r="EUR90" s="4"/>
      <c r="EUS90" s="4"/>
      <c r="EUT90" s="4"/>
      <c r="EUU90" s="4"/>
      <c r="EUV90" s="4"/>
      <c r="EUW90" s="4"/>
      <c r="EUX90" s="4"/>
      <c r="EUY90" s="4"/>
      <c r="EUZ90" s="4"/>
      <c r="EVA90" s="4"/>
      <c r="EVB90" s="4"/>
      <c r="EVC90" s="4"/>
      <c r="EVD90" s="4"/>
      <c r="EVE90" s="4"/>
      <c r="EVF90" s="4"/>
      <c r="EVG90" s="4"/>
      <c r="EVH90" s="4"/>
      <c r="EVI90" s="4"/>
      <c r="EVJ90" s="4"/>
      <c r="EVK90" s="4"/>
      <c r="EVL90" s="4"/>
      <c r="EVM90" s="4"/>
      <c r="EVN90" s="4"/>
      <c r="EVO90" s="4"/>
      <c r="EVP90" s="4"/>
      <c r="EVQ90" s="4"/>
      <c r="EVR90" s="4"/>
      <c r="EVS90" s="4"/>
      <c r="EVT90" s="4"/>
      <c r="EVU90" s="4"/>
      <c r="EVV90" s="4"/>
      <c r="EVW90" s="4"/>
      <c r="EVX90" s="4"/>
      <c r="EVY90" s="4"/>
      <c r="EVZ90" s="4"/>
      <c r="EWA90" s="4"/>
      <c r="EWB90" s="4"/>
      <c r="EWC90" s="4"/>
      <c r="EWD90" s="4"/>
      <c r="EWE90" s="4"/>
      <c r="EWF90" s="4"/>
      <c r="EWG90" s="4"/>
      <c r="EWH90" s="4"/>
      <c r="EWI90" s="4"/>
      <c r="EWJ90" s="4"/>
      <c r="EWK90" s="4"/>
      <c r="EWL90" s="4"/>
      <c r="EWM90" s="4"/>
      <c r="EWN90" s="4"/>
      <c r="EWO90" s="4"/>
      <c r="EWP90" s="4"/>
      <c r="EWQ90" s="4"/>
      <c r="EWR90" s="4"/>
      <c r="EWS90" s="4"/>
      <c r="EWT90" s="4"/>
      <c r="EWU90" s="4"/>
      <c r="EWV90" s="4"/>
      <c r="EWW90" s="4"/>
      <c r="EWX90" s="4"/>
      <c r="EWY90" s="4"/>
      <c r="EWZ90" s="4"/>
      <c r="EXA90" s="4"/>
      <c r="EXB90" s="4"/>
      <c r="EXC90" s="4"/>
      <c r="EXD90" s="4"/>
      <c r="EXE90" s="4"/>
      <c r="EXF90" s="4"/>
      <c r="EXG90" s="4"/>
      <c r="EXH90" s="4"/>
      <c r="EXI90" s="4"/>
      <c r="EXJ90" s="4"/>
      <c r="EXK90" s="4"/>
      <c r="EXL90" s="4"/>
      <c r="EXM90" s="4"/>
      <c r="EXN90" s="4"/>
      <c r="EXO90" s="4"/>
      <c r="EXP90" s="4"/>
      <c r="EXQ90" s="4"/>
      <c r="EXR90" s="4"/>
      <c r="EXS90" s="4"/>
      <c r="EXT90" s="4"/>
      <c r="EXU90" s="4"/>
      <c r="EXV90" s="4"/>
      <c r="EXW90" s="4"/>
      <c r="EXX90" s="4"/>
      <c r="EXY90" s="4"/>
      <c r="EXZ90" s="4"/>
      <c r="EYA90" s="4"/>
      <c r="EYB90" s="4"/>
      <c r="EYC90" s="4"/>
      <c r="EYD90" s="4"/>
      <c r="EYE90" s="4"/>
      <c r="EYF90" s="4"/>
      <c r="EYG90" s="4"/>
      <c r="EYH90" s="4"/>
      <c r="EYI90" s="4"/>
      <c r="EYJ90" s="4"/>
      <c r="EYK90" s="4"/>
      <c r="EYL90" s="4"/>
      <c r="EYM90" s="4"/>
      <c r="EYN90" s="4"/>
      <c r="EYO90" s="4"/>
      <c r="EYP90" s="4"/>
      <c r="EYQ90" s="4"/>
      <c r="EYR90" s="4"/>
      <c r="EYS90" s="4"/>
      <c r="EYT90" s="4"/>
      <c r="EYU90" s="4"/>
      <c r="EYV90" s="4"/>
      <c r="EYW90" s="4"/>
      <c r="EYX90" s="4"/>
      <c r="EYY90" s="4"/>
      <c r="EYZ90" s="4"/>
      <c r="EZA90" s="4"/>
      <c r="EZB90" s="4"/>
      <c r="EZC90" s="4"/>
      <c r="EZD90" s="4"/>
      <c r="EZE90" s="4"/>
      <c r="EZF90" s="4"/>
      <c r="EZG90" s="4"/>
      <c r="EZH90" s="4"/>
      <c r="EZI90" s="4"/>
      <c r="EZJ90" s="4"/>
      <c r="EZK90" s="4"/>
      <c r="EZL90" s="4"/>
      <c r="EZM90" s="4"/>
      <c r="EZN90" s="4"/>
      <c r="EZO90" s="4"/>
      <c r="EZP90" s="4"/>
      <c r="EZQ90" s="4"/>
      <c r="EZR90" s="4"/>
      <c r="EZS90" s="4"/>
      <c r="EZT90" s="4"/>
      <c r="EZU90" s="4"/>
      <c r="EZV90" s="4"/>
      <c r="EZW90" s="4"/>
      <c r="EZX90" s="4"/>
      <c r="EZY90" s="4"/>
      <c r="EZZ90" s="4"/>
      <c r="FAA90" s="4"/>
      <c r="FAB90" s="4"/>
      <c r="FAC90" s="4"/>
      <c r="FAD90" s="4"/>
      <c r="FAE90" s="4"/>
      <c r="FAF90" s="4"/>
      <c r="FAG90" s="4"/>
      <c r="FAH90" s="4"/>
      <c r="FAI90" s="4"/>
      <c r="FAJ90" s="4"/>
      <c r="FAK90" s="4"/>
      <c r="FAL90" s="4"/>
      <c r="FAM90" s="4"/>
      <c r="FAN90" s="4"/>
      <c r="FAO90" s="4"/>
      <c r="FAP90" s="4"/>
      <c r="FAQ90" s="4"/>
      <c r="FAR90" s="4"/>
      <c r="FAS90" s="4"/>
      <c r="FAT90" s="4"/>
      <c r="FAU90" s="4"/>
      <c r="FAV90" s="4"/>
      <c r="FAW90" s="4"/>
      <c r="FAX90" s="4"/>
      <c r="FAY90" s="4"/>
      <c r="FAZ90" s="4"/>
      <c r="FBA90" s="4"/>
      <c r="FBB90" s="4"/>
      <c r="FBC90" s="4"/>
      <c r="FBD90" s="4"/>
      <c r="FBE90" s="4"/>
      <c r="FBF90" s="4"/>
      <c r="FBG90" s="4"/>
      <c r="FBH90" s="4"/>
      <c r="FBI90" s="4"/>
      <c r="FBJ90" s="4"/>
      <c r="FBK90" s="4"/>
      <c r="FBL90" s="4"/>
      <c r="FBM90" s="4"/>
      <c r="FBN90" s="4"/>
      <c r="FBO90" s="4"/>
      <c r="FBP90" s="4"/>
      <c r="FBQ90" s="4"/>
      <c r="FBR90" s="4"/>
      <c r="FBS90" s="4"/>
      <c r="FBT90" s="4"/>
      <c r="FBU90" s="4"/>
      <c r="FBV90" s="4"/>
      <c r="FBW90" s="4"/>
      <c r="FBX90" s="4"/>
      <c r="FBY90" s="4"/>
      <c r="FBZ90" s="4"/>
      <c r="FCA90" s="4"/>
      <c r="FCB90" s="4"/>
      <c r="FCC90" s="4"/>
      <c r="FCD90" s="4"/>
      <c r="FCE90" s="4"/>
      <c r="FCF90" s="4"/>
      <c r="FCG90" s="4"/>
      <c r="FCH90" s="4"/>
      <c r="FCI90" s="4"/>
      <c r="FCJ90" s="4"/>
      <c r="FCK90" s="4"/>
      <c r="FCL90" s="4"/>
      <c r="FCM90" s="4"/>
      <c r="FCN90" s="4"/>
      <c r="FCO90" s="4"/>
      <c r="FCP90" s="4"/>
      <c r="FCQ90" s="4"/>
      <c r="FCR90" s="4"/>
      <c r="FCS90" s="4"/>
      <c r="FCT90" s="4"/>
      <c r="FCU90" s="4"/>
      <c r="FCV90" s="4"/>
      <c r="FCW90" s="4"/>
      <c r="FCX90" s="4"/>
      <c r="FCY90" s="4"/>
      <c r="FCZ90" s="4"/>
      <c r="FDA90" s="4"/>
      <c r="FDB90" s="4"/>
      <c r="FDC90" s="4"/>
      <c r="FDD90" s="4"/>
      <c r="FDE90" s="4"/>
      <c r="FDF90" s="4"/>
      <c r="FDG90" s="4"/>
      <c r="FDH90" s="4"/>
      <c r="FDI90" s="4"/>
      <c r="FDJ90" s="4"/>
      <c r="FDK90" s="4"/>
      <c r="FDL90" s="4"/>
      <c r="FDM90" s="4"/>
      <c r="FDN90" s="4"/>
      <c r="FDO90" s="4"/>
      <c r="FDP90" s="4"/>
      <c r="FDQ90" s="4"/>
      <c r="FDR90" s="4"/>
      <c r="FDS90" s="4"/>
      <c r="FDT90" s="4"/>
      <c r="FDU90" s="4"/>
      <c r="FDV90" s="4"/>
      <c r="FDW90" s="4"/>
      <c r="FDX90" s="4"/>
      <c r="FDY90" s="4"/>
      <c r="FDZ90" s="4"/>
      <c r="FEA90" s="4"/>
      <c r="FEB90" s="4"/>
      <c r="FEC90" s="4"/>
      <c r="FED90" s="4"/>
      <c r="FEE90" s="4"/>
      <c r="FEF90" s="4"/>
      <c r="FEG90" s="4"/>
      <c r="FEH90" s="4"/>
      <c r="FEI90" s="4"/>
      <c r="FEJ90" s="4"/>
      <c r="FEK90" s="4"/>
      <c r="FEL90" s="4"/>
      <c r="FEM90" s="4"/>
      <c r="FEN90" s="4"/>
      <c r="FEO90" s="4"/>
      <c r="FEP90" s="4"/>
      <c r="FEQ90" s="4"/>
      <c r="FER90" s="4"/>
      <c r="FES90" s="4"/>
      <c r="FET90" s="4"/>
      <c r="FEU90" s="4"/>
      <c r="FEV90" s="4"/>
      <c r="FEW90" s="4"/>
      <c r="FEX90" s="4"/>
      <c r="FEY90" s="4"/>
      <c r="FEZ90" s="4"/>
      <c r="FFA90" s="4"/>
      <c r="FFB90" s="4"/>
      <c r="FFC90" s="4"/>
      <c r="FFD90" s="4"/>
      <c r="FFE90" s="4"/>
      <c r="FFF90" s="4"/>
      <c r="FFG90" s="4"/>
      <c r="FFH90" s="4"/>
      <c r="FFI90" s="4"/>
      <c r="FFJ90" s="4"/>
      <c r="FFK90" s="4"/>
      <c r="FFL90" s="4"/>
      <c r="FFM90" s="4"/>
      <c r="FFN90" s="4"/>
      <c r="FFO90" s="4"/>
      <c r="FFP90" s="4"/>
      <c r="FFQ90" s="4"/>
      <c r="FFR90" s="4"/>
      <c r="FFS90" s="4"/>
      <c r="FFT90" s="4"/>
      <c r="FFU90" s="4"/>
      <c r="FFV90" s="4"/>
      <c r="FFW90" s="4"/>
      <c r="FFX90" s="4"/>
      <c r="FFY90" s="4"/>
      <c r="FFZ90" s="4"/>
      <c r="FGA90" s="4"/>
      <c r="FGB90" s="4"/>
      <c r="FGC90" s="4"/>
      <c r="FGD90" s="4"/>
      <c r="FGE90" s="4"/>
      <c r="FGF90" s="4"/>
      <c r="FGG90" s="4"/>
      <c r="FGH90" s="4"/>
      <c r="FGI90" s="4"/>
      <c r="FGJ90" s="4"/>
      <c r="FGK90" s="4"/>
      <c r="FGL90" s="4"/>
      <c r="FGM90" s="4"/>
      <c r="FGN90" s="4"/>
      <c r="FGO90" s="4"/>
      <c r="FGP90" s="4"/>
      <c r="FGQ90" s="4"/>
      <c r="FGR90" s="4"/>
      <c r="FGS90" s="4"/>
      <c r="FGT90" s="4"/>
      <c r="FGU90" s="4"/>
      <c r="FGV90" s="4"/>
      <c r="FGW90" s="4"/>
      <c r="FGX90" s="4"/>
      <c r="FGY90" s="4"/>
      <c r="FGZ90" s="4"/>
      <c r="FHA90" s="4"/>
      <c r="FHB90" s="4"/>
      <c r="FHC90" s="4"/>
      <c r="FHD90" s="4"/>
      <c r="FHE90" s="4"/>
      <c r="FHF90" s="4"/>
      <c r="FHG90" s="4"/>
      <c r="FHH90" s="4"/>
      <c r="FHI90" s="4"/>
      <c r="FHJ90" s="4"/>
      <c r="FHK90" s="4"/>
      <c r="FHL90" s="4"/>
      <c r="FHM90" s="4"/>
      <c r="FHN90" s="4"/>
      <c r="FHO90" s="4"/>
      <c r="FHP90" s="4"/>
      <c r="FHQ90" s="4"/>
      <c r="FHR90" s="4"/>
      <c r="FHS90" s="4"/>
      <c r="FHT90" s="4"/>
      <c r="FHU90" s="4"/>
      <c r="FHV90" s="4"/>
      <c r="FHW90" s="4"/>
      <c r="FHX90" s="4"/>
      <c r="FHY90" s="4"/>
      <c r="FHZ90" s="4"/>
      <c r="FIA90" s="4"/>
      <c r="FIB90" s="4"/>
      <c r="FIC90" s="4"/>
      <c r="FID90" s="4"/>
      <c r="FIE90" s="4"/>
      <c r="FIF90" s="4"/>
      <c r="FIG90" s="4"/>
      <c r="FIH90" s="4"/>
      <c r="FII90" s="4"/>
      <c r="FIJ90" s="4"/>
      <c r="FIK90" s="4"/>
      <c r="FIL90" s="4"/>
      <c r="FIM90" s="4"/>
      <c r="FIN90" s="4"/>
      <c r="FIO90" s="4"/>
      <c r="FIP90" s="4"/>
      <c r="FIQ90" s="4"/>
      <c r="FIR90" s="4"/>
      <c r="FIS90" s="4"/>
      <c r="FIT90" s="4"/>
      <c r="FIU90" s="4"/>
      <c r="FIV90" s="4"/>
      <c r="FIW90" s="4"/>
      <c r="FIX90" s="4"/>
      <c r="FIY90" s="4"/>
      <c r="FIZ90" s="4"/>
      <c r="FJA90" s="4"/>
      <c r="FJB90" s="4"/>
      <c r="FJC90" s="4"/>
      <c r="FJD90" s="4"/>
      <c r="FJE90" s="4"/>
      <c r="FJF90" s="4"/>
      <c r="FJG90" s="4"/>
      <c r="FJH90" s="4"/>
      <c r="FJI90" s="4"/>
      <c r="FJJ90" s="4"/>
      <c r="FJK90" s="4"/>
      <c r="FJL90" s="4"/>
      <c r="FJM90" s="4"/>
      <c r="FJN90" s="4"/>
      <c r="FJO90" s="4"/>
      <c r="FJP90" s="4"/>
      <c r="FJQ90" s="4"/>
      <c r="FJR90" s="4"/>
      <c r="FJS90" s="4"/>
      <c r="FJT90" s="4"/>
      <c r="FJU90" s="4"/>
      <c r="FJV90" s="4"/>
      <c r="FJW90" s="4"/>
      <c r="FJX90" s="4"/>
      <c r="FJY90" s="4"/>
      <c r="FJZ90" s="4"/>
      <c r="FKA90" s="4"/>
      <c r="FKB90" s="4"/>
      <c r="FKC90" s="4"/>
      <c r="FKD90" s="4"/>
      <c r="FKE90" s="4"/>
      <c r="FKF90" s="4"/>
      <c r="FKG90" s="4"/>
      <c r="FKH90" s="4"/>
      <c r="FKI90" s="4"/>
      <c r="FKJ90" s="4"/>
      <c r="FKK90" s="4"/>
      <c r="FKL90" s="4"/>
      <c r="FKM90" s="4"/>
      <c r="FKN90" s="4"/>
      <c r="FKO90" s="4"/>
      <c r="FKP90" s="4"/>
      <c r="FKQ90" s="4"/>
      <c r="FKR90" s="4"/>
      <c r="FKS90" s="4"/>
      <c r="FKT90" s="4"/>
      <c r="FKU90" s="4"/>
      <c r="FKV90" s="4"/>
      <c r="FKW90" s="4"/>
      <c r="FKX90" s="4"/>
      <c r="FKY90" s="4"/>
      <c r="FKZ90" s="4"/>
      <c r="FLA90" s="4"/>
      <c r="FLB90" s="4"/>
      <c r="FLC90" s="4"/>
      <c r="FLD90" s="4"/>
      <c r="FLE90" s="4"/>
      <c r="FLF90" s="4"/>
      <c r="FLG90" s="4"/>
      <c r="FLH90" s="4"/>
      <c r="FLI90" s="4"/>
      <c r="FLJ90" s="4"/>
      <c r="FLK90" s="4"/>
      <c r="FLL90" s="4"/>
      <c r="FLM90" s="4"/>
      <c r="FLN90" s="4"/>
      <c r="FLO90" s="4"/>
      <c r="FLP90" s="4"/>
      <c r="FLQ90" s="4"/>
      <c r="FLR90" s="4"/>
      <c r="FLS90" s="4"/>
      <c r="FLT90" s="4"/>
      <c r="FLU90" s="4"/>
      <c r="FLV90" s="4"/>
      <c r="FLW90" s="4"/>
      <c r="FLX90" s="4"/>
      <c r="FLY90" s="4"/>
      <c r="FLZ90" s="4"/>
      <c r="FMA90" s="4"/>
      <c r="FMB90" s="4"/>
      <c r="FMC90" s="4"/>
      <c r="FMD90" s="4"/>
      <c r="FME90" s="4"/>
      <c r="FMF90" s="4"/>
      <c r="FMG90" s="4"/>
      <c r="FMH90" s="4"/>
      <c r="FMI90" s="4"/>
      <c r="FMJ90" s="4"/>
      <c r="FMK90" s="4"/>
      <c r="FML90" s="4"/>
      <c r="FMM90" s="4"/>
      <c r="FMN90" s="4"/>
      <c r="FMO90" s="4"/>
      <c r="FMP90" s="4"/>
      <c r="FMQ90" s="4"/>
      <c r="FMR90" s="4"/>
      <c r="FMS90" s="4"/>
      <c r="FMT90" s="4"/>
      <c r="FMU90" s="4"/>
      <c r="FMV90" s="4"/>
      <c r="FMW90" s="4"/>
      <c r="FMX90" s="4"/>
      <c r="FMY90" s="4"/>
      <c r="FMZ90" s="4"/>
      <c r="FNA90" s="4"/>
      <c r="FNB90" s="4"/>
      <c r="FNC90" s="4"/>
      <c r="FND90" s="4"/>
      <c r="FNE90" s="4"/>
      <c r="FNF90" s="4"/>
      <c r="FNG90" s="4"/>
      <c r="FNH90" s="4"/>
      <c r="FNI90" s="4"/>
      <c r="FNJ90" s="4"/>
      <c r="FNK90" s="4"/>
      <c r="FNL90" s="4"/>
      <c r="FNM90" s="4"/>
      <c r="FNN90" s="4"/>
      <c r="FNO90" s="4"/>
      <c r="FNP90" s="4"/>
      <c r="FNQ90" s="4"/>
      <c r="FNR90" s="4"/>
      <c r="FNS90" s="4"/>
      <c r="FNT90" s="4"/>
      <c r="FNU90" s="4"/>
      <c r="FNV90" s="4"/>
      <c r="FNW90" s="4"/>
      <c r="FNX90" s="4"/>
      <c r="FNY90" s="4"/>
      <c r="FNZ90" s="4"/>
      <c r="FOA90" s="4"/>
      <c r="FOB90" s="4"/>
      <c r="FOC90" s="4"/>
      <c r="FOD90" s="4"/>
      <c r="FOE90" s="4"/>
      <c r="FOF90" s="4"/>
      <c r="FOG90" s="4"/>
      <c r="FOH90" s="4"/>
      <c r="FOI90" s="4"/>
      <c r="FOJ90" s="4"/>
      <c r="FOK90" s="4"/>
      <c r="FOL90" s="4"/>
      <c r="FOM90" s="4"/>
      <c r="FON90" s="4"/>
      <c r="FOO90" s="4"/>
      <c r="FOP90" s="4"/>
      <c r="FOQ90" s="4"/>
      <c r="FOR90" s="4"/>
      <c r="FOS90" s="4"/>
      <c r="FOT90" s="4"/>
      <c r="FOU90" s="4"/>
      <c r="FOV90" s="4"/>
      <c r="FOW90" s="4"/>
      <c r="FOX90" s="4"/>
      <c r="FOY90" s="4"/>
      <c r="FOZ90" s="4"/>
      <c r="FPA90" s="4"/>
      <c r="FPB90" s="4"/>
      <c r="FPC90" s="4"/>
      <c r="FPD90" s="4"/>
      <c r="FPE90" s="4"/>
      <c r="FPF90" s="4"/>
      <c r="FPG90" s="4"/>
      <c r="FPH90" s="4"/>
      <c r="FPI90" s="4"/>
      <c r="FPJ90" s="4"/>
      <c r="FPK90" s="4"/>
      <c r="FPL90" s="4"/>
      <c r="FPM90" s="4"/>
      <c r="FPN90" s="4"/>
      <c r="FPO90" s="4"/>
      <c r="FPP90" s="4"/>
      <c r="FPQ90" s="4"/>
      <c r="FPR90" s="4"/>
      <c r="FPS90" s="4"/>
      <c r="FPT90" s="4"/>
      <c r="FPU90" s="4"/>
      <c r="FPV90" s="4"/>
      <c r="FPW90" s="4"/>
      <c r="FPX90" s="4"/>
      <c r="FPY90" s="4"/>
      <c r="FPZ90" s="4"/>
      <c r="FQA90" s="4"/>
      <c r="FQB90" s="4"/>
      <c r="FQC90" s="4"/>
      <c r="FQD90" s="4"/>
      <c r="FQE90" s="4"/>
      <c r="FQF90" s="4"/>
      <c r="FQG90" s="4"/>
      <c r="FQH90" s="4"/>
      <c r="FQI90" s="4"/>
      <c r="FQJ90" s="4"/>
      <c r="FQK90" s="4"/>
      <c r="FQL90" s="4"/>
      <c r="FQM90" s="4"/>
      <c r="FQN90" s="4"/>
      <c r="FQO90" s="4"/>
      <c r="FQP90" s="4"/>
      <c r="FQQ90" s="4"/>
      <c r="FQR90" s="4"/>
      <c r="FQS90" s="4"/>
      <c r="FQT90" s="4"/>
      <c r="FQU90" s="4"/>
      <c r="FQV90" s="4"/>
      <c r="FQW90" s="4"/>
      <c r="FQX90" s="4"/>
      <c r="FQY90" s="4"/>
      <c r="FQZ90" s="4"/>
      <c r="FRA90" s="4"/>
      <c r="FRB90" s="4"/>
      <c r="FRC90" s="4"/>
      <c r="FRD90" s="4"/>
      <c r="FRE90" s="4"/>
      <c r="FRF90" s="4"/>
      <c r="FRG90" s="4"/>
      <c r="FRH90" s="4"/>
      <c r="FRI90" s="4"/>
      <c r="FRJ90" s="4"/>
      <c r="FRK90" s="4"/>
      <c r="FRL90" s="4"/>
      <c r="FRM90" s="4"/>
      <c r="FRN90" s="4"/>
      <c r="FRO90" s="4"/>
      <c r="FRP90" s="4"/>
      <c r="FRQ90" s="4"/>
      <c r="FRR90" s="4"/>
      <c r="FRS90" s="4"/>
      <c r="FRT90" s="4"/>
      <c r="FRU90" s="4"/>
      <c r="FRV90" s="4"/>
      <c r="FRW90" s="4"/>
      <c r="FRX90" s="4"/>
      <c r="FRY90" s="4"/>
      <c r="FRZ90" s="4"/>
      <c r="FSA90" s="4"/>
      <c r="FSB90" s="4"/>
      <c r="FSC90" s="4"/>
      <c r="FSD90" s="4"/>
      <c r="FSE90" s="4"/>
      <c r="FSF90" s="4"/>
      <c r="FSG90" s="4"/>
      <c r="FSH90" s="4"/>
      <c r="FSI90" s="4"/>
      <c r="FSJ90" s="4"/>
      <c r="FSK90" s="4"/>
      <c r="FSL90" s="4"/>
      <c r="FSM90" s="4"/>
      <c r="FSN90" s="4"/>
      <c r="FSO90" s="4"/>
      <c r="FSP90" s="4"/>
      <c r="FSQ90" s="4"/>
      <c r="FSR90" s="4"/>
      <c r="FSS90" s="4"/>
      <c r="FST90" s="4"/>
      <c r="FSU90" s="4"/>
      <c r="FSV90" s="4"/>
      <c r="FSW90" s="4"/>
      <c r="FSX90" s="4"/>
      <c r="FSY90" s="4"/>
      <c r="FSZ90" s="4"/>
      <c r="FTA90" s="4"/>
      <c r="FTB90" s="4"/>
      <c r="FTC90" s="4"/>
      <c r="FTD90" s="4"/>
      <c r="FTE90" s="4"/>
      <c r="FTF90" s="4"/>
      <c r="FTG90" s="4"/>
      <c r="FTH90" s="4"/>
      <c r="FTI90" s="4"/>
      <c r="FTJ90" s="4"/>
      <c r="FTK90" s="4"/>
      <c r="FTL90" s="4"/>
      <c r="FTM90" s="4"/>
      <c r="FTN90" s="4"/>
      <c r="FTO90" s="4"/>
      <c r="FTP90" s="4"/>
      <c r="FTQ90" s="4"/>
      <c r="FTR90" s="4"/>
      <c r="FTS90" s="4"/>
      <c r="FTT90" s="4"/>
      <c r="FTU90" s="4"/>
      <c r="FTV90" s="4"/>
      <c r="FTW90" s="4"/>
      <c r="FTX90" s="4"/>
      <c r="FTY90" s="4"/>
      <c r="FTZ90" s="4"/>
      <c r="FUA90" s="4"/>
      <c r="FUB90" s="4"/>
      <c r="FUC90" s="4"/>
      <c r="FUD90" s="4"/>
      <c r="FUE90" s="4"/>
      <c r="FUF90" s="4"/>
      <c r="FUG90" s="4"/>
      <c r="FUH90" s="4"/>
      <c r="FUI90" s="4"/>
      <c r="FUJ90" s="4"/>
      <c r="FUK90" s="4"/>
      <c r="FUL90" s="4"/>
      <c r="FUM90" s="4"/>
      <c r="FUN90" s="4"/>
      <c r="FUO90" s="4"/>
      <c r="FUP90" s="4"/>
      <c r="FUQ90" s="4"/>
      <c r="FUR90" s="4"/>
      <c r="FUS90" s="4"/>
      <c r="FUT90" s="4"/>
      <c r="FUU90" s="4"/>
      <c r="FUV90" s="4"/>
      <c r="FUW90" s="4"/>
      <c r="FUX90" s="4"/>
      <c r="FUY90" s="4"/>
      <c r="FUZ90" s="4"/>
      <c r="FVA90" s="4"/>
      <c r="FVB90" s="4"/>
      <c r="FVC90" s="4"/>
      <c r="FVD90" s="4"/>
      <c r="FVE90" s="4"/>
      <c r="FVF90" s="4"/>
      <c r="FVG90" s="4"/>
      <c r="FVH90" s="4"/>
      <c r="FVI90" s="4"/>
      <c r="FVJ90" s="4"/>
      <c r="FVK90" s="4"/>
      <c r="FVL90" s="4"/>
      <c r="FVM90" s="4"/>
      <c r="FVN90" s="4"/>
      <c r="FVO90" s="4"/>
      <c r="FVP90" s="4"/>
      <c r="FVQ90" s="4"/>
      <c r="FVR90" s="4"/>
      <c r="FVS90" s="4"/>
      <c r="FVT90" s="4"/>
      <c r="FVU90" s="4"/>
      <c r="FVV90" s="4"/>
      <c r="FVW90" s="4"/>
      <c r="FVX90" s="4"/>
      <c r="FVY90" s="4"/>
      <c r="FVZ90" s="4"/>
      <c r="FWA90" s="4"/>
      <c r="FWB90" s="4"/>
      <c r="FWC90" s="4"/>
      <c r="FWD90" s="4"/>
      <c r="FWE90" s="4"/>
      <c r="FWF90" s="4"/>
      <c r="FWG90" s="4"/>
      <c r="FWH90" s="4"/>
      <c r="FWI90" s="4"/>
      <c r="FWJ90" s="4"/>
      <c r="FWK90" s="4"/>
      <c r="FWL90" s="4"/>
      <c r="FWM90" s="4"/>
      <c r="FWN90" s="4"/>
      <c r="FWO90" s="4"/>
      <c r="FWP90" s="4"/>
      <c r="FWQ90" s="4"/>
      <c r="FWR90" s="4"/>
      <c r="FWS90" s="4"/>
      <c r="FWT90" s="4"/>
      <c r="FWU90" s="4"/>
      <c r="FWV90" s="4"/>
      <c r="FWW90" s="4"/>
      <c r="FWX90" s="4"/>
      <c r="FWY90" s="4"/>
      <c r="FWZ90" s="4"/>
      <c r="FXA90" s="4"/>
      <c r="FXB90" s="4"/>
      <c r="FXC90" s="4"/>
      <c r="FXD90" s="4"/>
      <c r="FXE90" s="4"/>
      <c r="FXF90" s="4"/>
      <c r="FXG90" s="4"/>
      <c r="FXH90" s="4"/>
      <c r="FXI90" s="4"/>
      <c r="FXJ90" s="4"/>
      <c r="FXK90" s="4"/>
      <c r="FXL90" s="4"/>
      <c r="FXM90" s="4"/>
      <c r="FXN90" s="4"/>
      <c r="FXO90" s="4"/>
      <c r="FXP90" s="4"/>
      <c r="FXQ90" s="4"/>
      <c r="FXR90" s="4"/>
      <c r="FXS90" s="4"/>
      <c r="FXT90" s="4"/>
      <c r="FXU90" s="4"/>
      <c r="FXV90" s="4"/>
      <c r="FXW90" s="4"/>
      <c r="FXX90" s="4"/>
      <c r="FXY90" s="4"/>
      <c r="FXZ90" s="4"/>
      <c r="FYA90" s="4"/>
      <c r="FYB90" s="4"/>
      <c r="FYC90" s="4"/>
      <c r="FYD90" s="4"/>
      <c r="FYE90" s="4"/>
      <c r="FYF90" s="4"/>
      <c r="FYG90" s="4"/>
      <c r="FYH90" s="4"/>
      <c r="FYI90" s="4"/>
      <c r="FYJ90" s="4"/>
      <c r="FYK90" s="4"/>
      <c r="FYL90" s="4"/>
      <c r="FYM90" s="4"/>
      <c r="FYN90" s="4"/>
      <c r="FYO90" s="4"/>
      <c r="FYP90" s="4"/>
      <c r="FYQ90" s="4"/>
      <c r="FYR90" s="4"/>
      <c r="FYS90" s="4"/>
      <c r="FYT90" s="4"/>
      <c r="FYU90" s="4"/>
      <c r="FYV90" s="4"/>
      <c r="FYW90" s="4"/>
      <c r="FYX90" s="4"/>
      <c r="FYY90" s="4"/>
      <c r="FYZ90" s="4"/>
      <c r="FZA90" s="4"/>
      <c r="FZB90" s="4"/>
      <c r="FZC90" s="4"/>
      <c r="FZD90" s="4"/>
      <c r="FZE90" s="4"/>
      <c r="FZF90" s="4"/>
      <c r="FZG90" s="4"/>
      <c r="FZH90" s="4"/>
      <c r="FZI90" s="4"/>
      <c r="FZJ90" s="4"/>
      <c r="FZK90" s="4"/>
      <c r="FZL90" s="4"/>
      <c r="FZM90" s="4"/>
      <c r="FZN90" s="4"/>
      <c r="FZO90" s="4"/>
      <c r="FZP90" s="4"/>
      <c r="FZQ90" s="4"/>
      <c r="FZR90" s="4"/>
      <c r="FZS90" s="4"/>
      <c r="FZT90" s="4"/>
      <c r="FZU90" s="4"/>
      <c r="FZV90" s="4"/>
      <c r="FZW90" s="4"/>
      <c r="FZX90" s="4"/>
      <c r="FZY90" s="4"/>
      <c r="FZZ90" s="4"/>
      <c r="GAA90" s="4"/>
      <c r="GAB90" s="4"/>
      <c r="GAC90" s="4"/>
      <c r="GAD90" s="4"/>
      <c r="GAE90" s="4"/>
      <c r="GAF90" s="4"/>
      <c r="GAG90" s="4"/>
      <c r="GAH90" s="4"/>
      <c r="GAI90" s="4"/>
      <c r="GAJ90" s="4"/>
      <c r="GAK90" s="4"/>
      <c r="GAL90" s="4"/>
      <c r="GAM90" s="4"/>
      <c r="GAN90" s="4"/>
      <c r="GAO90" s="4"/>
      <c r="GAP90" s="4"/>
      <c r="GAQ90" s="4"/>
      <c r="GAR90" s="4"/>
      <c r="GAS90" s="4"/>
      <c r="GAT90" s="4"/>
      <c r="GAU90" s="4"/>
      <c r="GAV90" s="4"/>
      <c r="GAW90" s="4"/>
      <c r="GAX90" s="4"/>
      <c r="GAY90" s="4"/>
      <c r="GAZ90" s="4"/>
      <c r="GBA90" s="4"/>
      <c r="GBB90" s="4"/>
      <c r="GBC90" s="4"/>
      <c r="GBD90" s="4"/>
      <c r="GBE90" s="4"/>
      <c r="GBF90" s="4"/>
      <c r="GBG90" s="4"/>
      <c r="GBH90" s="4"/>
      <c r="GBI90" s="4"/>
      <c r="GBJ90" s="4"/>
      <c r="GBK90" s="4"/>
      <c r="GBL90" s="4"/>
      <c r="GBM90" s="4"/>
      <c r="GBN90" s="4"/>
      <c r="GBO90" s="4"/>
      <c r="GBP90" s="4"/>
      <c r="GBQ90" s="4"/>
      <c r="GBR90" s="4"/>
      <c r="GBS90" s="4"/>
      <c r="GBT90" s="4"/>
      <c r="GBU90" s="4"/>
      <c r="GBV90" s="4"/>
      <c r="GBW90" s="4"/>
      <c r="GBX90" s="4"/>
      <c r="GBY90" s="4"/>
      <c r="GBZ90" s="4"/>
      <c r="GCA90" s="4"/>
      <c r="GCB90" s="4"/>
      <c r="GCC90" s="4"/>
      <c r="GCD90" s="4"/>
      <c r="GCE90" s="4"/>
      <c r="GCF90" s="4"/>
      <c r="GCG90" s="4"/>
      <c r="GCH90" s="4"/>
      <c r="GCI90" s="4"/>
      <c r="GCJ90" s="4"/>
      <c r="GCK90" s="4"/>
      <c r="GCL90" s="4"/>
      <c r="GCM90" s="4"/>
      <c r="GCN90" s="4"/>
      <c r="GCO90" s="4"/>
      <c r="GCP90" s="4"/>
      <c r="GCQ90" s="4"/>
      <c r="GCR90" s="4"/>
      <c r="GCS90" s="4"/>
      <c r="GCT90" s="4"/>
      <c r="GCU90" s="4"/>
      <c r="GCV90" s="4"/>
      <c r="GCW90" s="4"/>
      <c r="GCX90" s="4"/>
      <c r="GCY90" s="4"/>
      <c r="GCZ90" s="4"/>
      <c r="GDA90" s="4"/>
      <c r="GDB90" s="4"/>
      <c r="GDC90" s="4"/>
      <c r="GDD90" s="4"/>
      <c r="GDE90" s="4"/>
      <c r="GDF90" s="4"/>
      <c r="GDG90" s="4"/>
      <c r="GDH90" s="4"/>
      <c r="GDI90" s="4"/>
      <c r="GDJ90" s="4"/>
      <c r="GDK90" s="4"/>
      <c r="GDL90" s="4"/>
      <c r="GDM90" s="4"/>
      <c r="GDN90" s="4"/>
      <c r="GDO90" s="4"/>
      <c r="GDP90" s="4"/>
      <c r="GDQ90" s="4"/>
      <c r="GDR90" s="4"/>
      <c r="GDS90" s="4"/>
      <c r="GDT90" s="4"/>
      <c r="GDU90" s="4"/>
      <c r="GDV90" s="4"/>
      <c r="GDW90" s="4"/>
      <c r="GDX90" s="4"/>
      <c r="GDY90" s="4"/>
      <c r="GDZ90" s="4"/>
      <c r="GEA90" s="4"/>
      <c r="GEB90" s="4"/>
      <c r="GEC90" s="4"/>
      <c r="GED90" s="4"/>
      <c r="GEE90" s="4"/>
      <c r="GEF90" s="4"/>
      <c r="GEG90" s="4"/>
      <c r="GEH90" s="4"/>
      <c r="GEI90" s="4"/>
      <c r="GEJ90" s="4"/>
      <c r="GEK90" s="4"/>
      <c r="GEL90" s="4"/>
      <c r="GEM90" s="4"/>
      <c r="GEN90" s="4"/>
      <c r="GEO90" s="4"/>
      <c r="GEP90" s="4"/>
      <c r="GEQ90" s="4"/>
      <c r="GER90" s="4"/>
      <c r="GES90" s="4"/>
      <c r="GET90" s="4"/>
      <c r="GEU90" s="4"/>
      <c r="GEV90" s="4"/>
      <c r="GEW90" s="4"/>
      <c r="GEX90" s="4"/>
      <c r="GEY90" s="4"/>
      <c r="GEZ90" s="4"/>
      <c r="GFA90" s="4"/>
      <c r="GFB90" s="4"/>
      <c r="GFC90" s="4"/>
      <c r="GFD90" s="4"/>
      <c r="GFE90" s="4"/>
      <c r="GFF90" s="4"/>
      <c r="GFG90" s="4"/>
      <c r="GFH90" s="4"/>
      <c r="GFI90" s="4"/>
      <c r="GFJ90" s="4"/>
      <c r="GFK90" s="4"/>
      <c r="GFL90" s="4"/>
      <c r="GFM90" s="4"/>
      <c r="GFN90" s="4"/>
      <c r="GFO90" s="4"/>
      <c r="GFP90" s="4"/>
      <c r="GFQ90" s="4"/>
      <c r="GFR90" s="4"/>
      <c r="GFS90" s="4"/>
      <c r="GFT90" s="4"/>
      <c r="GFU90" s="4"/>
      <c r="GFV90" s="4"/>
      <c r="GFW90" s="4"/>
      <c r="GFX90" s="4"/>
      <c r="GFY90" s="4"/>
      <c r="GFZ90" s="4"/>
      <c r="GGA90" s="4"/>
      <c r="GGB90" s="4"/>
      <c r="GGC90" s="4"/>
      <c r="GGD90" s="4"/>
      <c r="GGE90" s="4"/>
      <c r="GGF90" s="4"/>
      <c r="GGG90" s="4"/>
      <c r="GGH90" s="4"/>
      <c r="GGI90" s="4"/>
      <c r="GGJ90" s="4"/>
      <c r="GGK90" s="4"/>
      <c r="GGL90" s="4"/>
      <c r="GGM90" s="4"/>
      <c r="GGN90" s="4"/>
      <c r="GGO90" s="4"/>
      <c r="GGP90" s="4"/>
      <c r="GGQ90" s="4"/>
      <c r="GGR90" s="4"/>
      <c r="GGS90" s="4"/>
      <c r="GGT90" s="4"/>
      <c r="GGU90" s="4"/>
      <c r="GGV90" s="4"/>
      <c r="GGW90" s="4"/>
      <c r="GGX90" s="4"/>
      <c r="GGY90" s="4"/>
      <c r="GGZ90" s="4"/>
      <c r="GHA90" s="4"/>
      <c r="GHB90" s="4"/>
      <c r="GHC90" s="4"/>
      <c r="GHD90" s="4"/>
      <c r="GHE90" s="4"/>
      <c r="GHF90" s="4"/>
      <c r="GHG90" s="4"/>
      <c r="GHH90" s="4"/>
      <c r="GHI90" s="4"/>
      <c r="GHJ90" s="4"/>
      <c r="GHK90" s="4"/>
      <c r="GHL90" s="4"/>
      <c r="GHM90" s="4"/>
      <c r="GHN90" s="4"/>
      <c r="GHO90" s="4"/>
      <c r="GHP90" s="4"/>
      <c r="GHQ90" s="4"/>
      <c r="GHR90" s="4"/>
      <c r="GHS90" s="4"/>
      <c r="GHT90" s="4"/>
      <c r="GHU90" s="4"/>
      <c r="GHV90" s="4"/>
      <c r="GHW90" s="4"/>
      <c r="GHX90" s="4"/>
      <c r="GHY90" s="4"/>
      <c r="GHZ90" s="4"/>
      <c r="GIA90" s="4"/>
      <c r="GIB90" s="4"/>
      <c r="GIC90" s="4"/>
      <c r="GID90" s="4"/>
      <c r="GIE90" s="4"/>
      <c r="GIF90" s="4"/>
      <c r="GIG90" s="4"/>
      <c r="GIH90" s="4"/>
      <c r="GII90" s="4"/>
      <c r="GIJ90" s="4"/>
      <c r="GIK90" s="4"/>
      <c r="GIL90" s="4"/>
      <c r="GIM90" s="4"/>
      <c r="GIN90" s="4"/>
      <c r="GIO90" s="4"/>
      <c r="GIP90" s="4"/>
      <c r="GIQ90" s="4"/>
      <c r="GIR90" s="4"/>
      <c r="GIS90" s="4"/>
      <c r="GIT90" s="4"/>
      <c r="GIU90" s="4"/>
      <c r="GIV90" s="4"/>
      <c r="GIW90" s="4"/>
      <c r="GIX90" s="4"/>
      <c r="GIY90" s="4"/>
      <c r="GIZ90" s="4"/>
      <c r="GJA90" s="4"/>
      <c r="GJB90" s="4"/>
      <c r="GJC90" s="4"/>
      <c r="GJD90" s="4"/>
      <c r="GJE90" s="4"/>
      <c r="GJF90" s="4"/>
      <c r="GJG90" s="4"/>
      <c r="GJH90" s="4"/>
      <c r="GJI90" s="4"/>
      <c r="GJJ90" s="4"/>
      <c r="GJK90" s="4"/>
      <c r="GJL90" s="4"/>
      <c r="GJM90" s="4"/>
      <c r="GJN90" s="4"/>
      <c r="GJO90" s="4"/>
      <c r="GJP90" s="4"/>
      <c r="GJQ90" s="4"/>
      <c r="GJR90" s="4"/>
      <c r="GJS90" s="4"/>
      <c r="GJT90" s="4"/>
      <c r="GJU90" s="4"/>
      <c r="GJV90" s="4"/>
      <c r="GJW90" s="4"/>
      <c r="GJX90" s="4"/>
      <c r="GJY90" s="4"/>
      <c r="GJZ90" s="4"/>
      <c r="GKA90" s="4"/>
      <c r="GKB90" s="4"/>
      <c r="GKC90" s="4"/>
      <c r="GKD90" s="4"/>
      <c r="GKE90" s="4"/>
      <c r="GKF90" s="4"/>
      <c r="GKG90" s="4"/>
      <c r="GKH90" s="4"/>
      <c r="GKI90" s="4"/>
      <c r="GKJ90" s="4"/>
      <c r="GKK90" s="4"/>
      <c r="GKL90" s="4"/>
      <c r="GKM90" s="4"/>
      <c r="GKN90" s="4"/>
      <c r="GKO90" s="4"/>
      <c r="GKP90" s="4"/>
      <c r="GKQ90" s="4"/>
      <c r="GKR90" s="4"/>
      <c r="GKS90" s="4"/>
      <c r="GKT90" s="4"/>
      <c r="GKU90" s="4"/>
      <c r="GKV90" s="4"/>
      <c r="GKW90" s="4"/>
      <c r="GKX90" s="4"/>
      <c r="GKY90" s="4"/>
      <c r="GKZ90" s="4"/>
      <c r="GLA90" s="4"/>
      <c r="GLB90" s="4"/>
      <c r="GLC90" s="4"/>
      <c r="GLD90" s="4"/>
      <c r="GLE90" s="4"/>
      <c r="GLF90" s="4"/>
      <c r="GLG90" s="4"/>
      <c r="GLH90" s="4"/>
      <c r="GLI90" s="4"/>
      <c r="GLJ90" s="4"/>
      <c r="GLK90" s="4"/>
      <c r="GLL90" s="4"/>
      <c r="GLM90" s="4"/>
      <c r="GLN90" s="4"/>
      <c r="GLO90" s="4"/>
      <c r="GLP90" s="4"/>
      <c r="GLQ90" s="4"/>
      <c r="GLR90" s="4"/>
      <c r="GLS90" s="4"/>
      <c r="GLT90" s="4"/>
      <c r="GLU90" s="4"/>
      <c r="GLV90" s="4"/>
      <c r="GLW90" s="4"/>
      <c r="GLX90" s="4"/>
      <c r="GLY90" s="4"/>
      <c r="GLZ90" s="4"/>
      <c r="GMA90" s="4"/>
      <c r="GMB90" s="4"/>
      <c r="GMC90" s="4"/>
      <c r="GMD90" s="4"/>
      <c r="GME90" s="4"/>
      <c r="GMF90" s="4"/>
      <c r="GMG90" s="4"/>
      <c r="GMH90" s="4"/>
      <c r="GMI90" s="4"/>
      <c r="GMJ90" s="4"/>
      <c r="GMK90" s="4"/>
      <c r="GML90" s="4"/>
      <c r="GMM90" s="4"/>
      <c r="GMN90" s="4"/>
      <c r="GMO90" s="4"/>
      <c r="GMP90" s="4"/>
      <c r="GMQ90" s="4"/>
      <c r="GMR90" s="4"/>
      <c r="GMS90" s="4"/>
      <c r="GMT90" s="4"/>
      <c r="GMU90" s="4"/>
      <c r="GMV90" s="4"/>
      <c r="GMW90" s="4"/>
      <c r="GMX90" s="4"/>
      <c r="GMY90" s="4"/>
      <c r="GMZ90" s="4"/>
      <c r="GNA90" s="4"/>
      <c r="GNB90" s="4"/>
      <c r="GNC90" s="4"/>
      <c r="GND90" s="4"/>
      <c r="GNE90" s="4"/>
      <c r="GNF90" s="4"/>
      <c r="GNG90" s="4"/>
      <c r="GNH90" s="4"/>
      <c r="GNI90" s="4"/>
      <c r="GNJ90" s="4"/>
      <c r="GNK90" s="4"/>
      <c r="GNL90" s="4"/>
      <c r="GNM90" s="4"/>
      <c r="GNN90" s="4"/>
      <c r="GNO90" s="4"/>
      <c r="GNP90" s="4"/>
      <c r="GNQ90" s="4"/>
      <c r="GNR90" s="4"/>
      <c r="GNS90" s="4"/>
      <c r="GNT90" s="4"/>
      <c r="GNU90" s="4"/>
      <c r="GNV90" s="4"/>
      <c r="GNW90" s="4"/>
      <c r="GNX90" s="4"/>
      <c r="GNY90" s="4"/>
      <c r="GNZ90" s="4"/>
      <c r="GOA90" s="4"/>
      <c r="GOB90" s="4"/>
      <c r="GOC90" s="4"/>
      <c r="GOD90" s="4"/>
      <c r="GOE90" s="4"/>
      <c r="GOF90" s="4"/>
      <c r="GOG90" s="4"/>
      <c r="GOH90" s="4"/>
      <c r="GOI90" s="4"/>
      <c r="GOJ90" s="4"/>
      <c r="GOK90" s="4"/>
      <c r="GOL90" s="4"/>
      <c r="GOM90" s="4"/>
      <c r="GON90" s="4"/>
      <c r="GOO90" s="4"/>
      <c r="GOP90" s="4"/>
      <c r="GOQ90" s="4"/>
      <c r="GOR90" s="4"/>
      <c r="GOS90" s="4"/>
      <c r="GOT90" s="4"/>
      <c r="GOU90" s="4"/>
      <c r="GOV90" s="4"/>
      <c r="GOW90" s="4"/>
      <c r="GOX90" s="4"/>
      <c r="GOY90" s="4"/>
      <c r="GOZ90" s="4"/>
      <c r="GPA90" s="4"/>
      <c r="GPB90" s="4"/>
      <c r="GPC90" s="4"/>
      <c r="GPD90" s="4"/>
      <c r="GPE90" s="4"/>
      <c r="GPF90" s="4"/>
      <c r="GPG90" s="4"/>
      <c r="GPH90" s="4"/>
      <c r="GPI90" s="4"/>
      <c r="GPJ90" s="4"/>
      <c r="GPK90" s="4"/>
      <c r="GPL90" s="4"/>
      <c r="GPM90" s="4"/>
      <c r="GPN90" s="4"/>
      <c r="GPO90" s="4"/>
      <c r="GPP90" s="4"/>
      <c r="GPQ90" s="4"/>
      <c r="GPR90" s="4"/>
      <c r="GPS90" s="4"/>
      <c r="GPT90" s="4"/>
      <c r="GPU90" s="4"/>
      <c r="GPV90" s="4"/>
      <c r="GPW90" s="4"/>
      <c r="GPX90" s="4"/>
      <c r="GPY90" s="4"/>
      <c r="GPZ90" s="4"/>
      <c r="GQA90" s="4"/>
      <c r="GQB90" s="4"/>
      <c r="GQC90" s="4"/>
      <c r="GQD90" s="4"/>
      <c r="GQE90" s="4"/>
      <c r="GQF90" s="4"/>
      <c r="GQG90" s="4"/>
      <c r="GQH90" s="4"/>
      <c r="GQI90" s="4"/>
      <c r="GQJ90" s="4"/>
      <c r="GQK90" s="4"/>
      <c r="GQL90" s="4"/>
      <c r="GQM90" s="4"/>
      <c r="GQN90" s="4"/>
      <c r="GQO90" s="4"/>
      <c r="GQP90" s="4"/>
      <c r="GQQ90" s="4"/>
      <c r="GQR90" s="4"/>
      <c r="GQS90" s="4"/>
      <c r="GQT90" s="4"/>
      <c r="GQU90" s="4"/>
      <c r="GQV90" s="4"/>
      <c r="GQW90" s="4"/>
      <c r="GQX90" s="4"/>
      <c r="GQY90" s="4"/>
      <c r="GQZ90" s="4"/>
      <c r="GRA90" s="4"/>
      <c r="GRB90" s="4"/>
      <c r="GRC90" s="4"/>
      <c r="GRD90" s="4"/>
      <c r="GRE90" s="4"/>
      <c r="GRF90" s="4"/>
      <c r="GRG90" s="4"/>
      <c r="GRH90" s="4"/>
      <c r="GRI90" s="4"/>
      <c r="GRJ90" s="4"/>
      <c r="GRK90" s="4"/>
      <c r="GRL90" s="4"/>
      <c r="GRM90" s="4"/>
      <c r="GRN90" s="4"/>
      <c r="GRO90" s="4"/>
      <c r="GRP90" s="4"/>
      <c r="GRQ90" s="4"/>
      <c r="GRR90" s="4"/>
      <c r="GRS90" s="4"/>
      <c r="GRT90" s="4"/>
      <c r="GRU90" s="4"/>
      <c r="GRV90" s="4"/>
      <c r="GRW90" s="4"/>
      <c r="GRX90" s="4"/>
      <c r="GRY90" s="4"/>
      <c r="GRZ90" s="4"/>
      <c r="GSA90" s="4"/>
      <c r="GSB90" s="4"/>
      <c r="GSC90" s="4"/>
      <c r="GSD90" s="4"/>
      <c r="GSE90" s="4"/>
      <c r="GSF90" s="4"/>
      <c r="GSG90" s="4"/>
      <c r="GSH90" s="4"/>
      <c r="GSI90" s="4"/>
      <c r="GSJ90" s="4"/>
      <c r="GSK90" s="4"/>
      <c r="GSL90" s="4"/>
      <c r="GSM90" s="4"/>
      <c r="GSN90" s="4"/>
      <c r="GSO90" s="4"/>
      <c r="GSP90" s="4"/>
      <c r="GSQ90" s="4"/>
      <c r="GSR90" s="4"/>
      <c r="GSS90" s="4"/>
      <c r="GST90" s="4"/>
      <c r="GSU90" s="4"/>
      <c r="GSV90" s="4"/>
      <c r="GSW90" s="4"/>
      <c r="GSX90" s="4"/>
      <c r="GSY90" s="4"/>
      <c r="GSZ90" s="4"/>
      <c r="GTA90" s="4"/>
      <c r="GTB90" s="4"/>
      <c r="GTC90" s="4"/>
      <c r="GTD90" s="4"/>
      <c r="GTE90" s="4"/>
      <c r="GTF90" s="4"/>
      <c r="GTG90" s="4"/>
      <c r="GTH90" s="4"/>
      <c r="GTI90" s="4"/>
      <c r="GTJ90" s="4"/>
      <c r="GTK90" s="4"/>
      <c r="GTL90" s="4"/>
      <c r="GTM90" s="4"/>
      <c r="GTN90" s="4"/>
      <c r="GTO90" s="4"/>
      <c r="GTP90" s="4"/>
      <c r="GTQ90" s="4"/>
      <c r="GTR90" s="4"/>
      <c r="GTS90" s="4"/>
      <c r="GTT90" s="4"/>
      <c r="GTU90" s="4"/>
      <c r="GTV90" s="4"/>
      <c r="GTW90" s="4"/>
      <c r="GTX90" s="4"/>
      <c r="GTY90" s="4"/>
      <c r="GTZ90" s="4"/>
      <c r="GUA90" s="4"/>
      <c r="GUB90" s="4"/>
      <c r="GUC90" s="4"/>
      <c r="GUD90" s="4"/>
      <c r="GUE90" s="4"/>
      <c r="GUF90" s="4"/>
      <c r="GUG90" s="4"/>
      <c r="GUH90" s="4"/>
      <c r="GUI90" s="4"/>
      <c r="GUJ90" s="4"/>
      <c r="GUK90" s="4"/>
      <c r="GUL90" s="4"/>
      <c r="GUM90" s="4"/>
      <c r="GUN90" s="4"/>
      <c r="GUO90" s="4"/>
      <c r="GUP90" s="4"/>
      <c r="GUQ90" s="4"/>
      <c r="GUR90" s="4"/>
      <c r="GUS90" s="4"/>
      <c r="GUT90" s="4"/>
      <c r="GUU90" s="4"/>
      <c r="GUV90" s="4"/>
      <c r="GUW90" s="4"/>
      <c r="GUX90" s="4"/>
      <c r="GUY90" s="4"/>
      <c r="GUZ90" s="4"/>
      <c r="GVA90" s="4"/>
      <c r="GVB90" s="4"/>
      <c r="GVC90" s="4"/>
      <c r="GVD90" s="4"/>
      <c r="GVE90" s="4"/>
      <c r="GVF90" s="4"/>
      <c r="GVG90" s="4"/>
      <c r="GVH90" s="4"/>
      <c r="GVI90" s="4"/>
      <c r="GVJ90" s="4"/>
      <c r="GVK90" s="4"/>
      <c r="GVL90" s="4"/>
      <c r="GVM90" s="4"/>
      <c r="GVN90" s="4"/>
      <c r="GVO90" s="4"/>
      <c r="GVP90" s="4"/>
      <c r="GVQ90" s="4"/>
      <c r="GVR90" s="4"/>
      <c r="GVS90" s="4"/>
      <c r="GVT90" s="4"/>
      <c r="GVU90" s="4"/>
      <c r="GVV90" s="4"/>
      <c r="GVW90" s="4"/>
      <c r="GVX90" s="4"/>
      <c r="GVY90" s="4"/>
      <c r="GVZ90" s="4"/>
      <c r="GWA90" s="4"/>
      <c r="GWB90" s="4"/>
      <c r="GWC90" s="4"/>
      <c r="GWD90" s="4"/>
      <c r="GWE90" s="4"/>
      <c r="GWF90" s="4"/>
      <c r="GWG90" s="4"/>
      <c r="GWH90" s="4"/>
      <c r="GWI90" s="4"/>
      <c r="GWJ90" s="4"/>
      <c r="GWK90" s="4"/>
      <c r="GWL90" s="4"/>
      <c r="GWM90" s="4"/>
      <c r="GWN90" s="4"/>
      <c r="GWO90" s="4"/>
      <c r="GWP90" s="4"/>
      <c r="GWQ90" s="4"/>
      <c r="GWR90" s="4"/>
      <c r="GWS90" s="4"/>
      <c r="GWT90" s="4"/>
      <c r="GWU90" s="4"/>
      <c r="GWV90" s="4"/>
      <c r="GWW90" s="4"/>
      <c r="GWX90" s="4"/>
      <c r="GWY90" s="4"/>
      <c r="GWZ90" s="4"/>
      <c r="GXA90" s="4"/>
      <c r="GXB90" s="4"/>
      <c r="GXC90" s="4"/>
      <c r="GXD90" s="4"/>
      <c r="GXE90" s="4"/>
      <c r="GXF90" s="4"/>
      <c r="GXG90" s="4"/>
      <c r="GXH90" s="4"/>
      <c r="GXI90" s="4"/>
      <c r="GXJ90" s="4"/>
      <c r="GXK90" s="4"/>
      <c r="GXL90" s="4"/>
      <c r="GXM90" s="4"/>
      <c r="GXN90" s="4"/>
      <c r="GXO90" s="4"/>
      <c r="GXP90" s="4"/>
      <c r="GXQ90" s="4"/>
      <c r="GXR90" s="4"/>
      <c r="GXS90" s="4"/>
      <c r="GXT90" s="4"/>
      <c r="GXU90" s="4"/>
      <c r="GXV90" s="4"/>
      <c r="GXW90" s="4"/>
      <c r="GXX90" s="4"/>
      <c r="GXY90" s="4"/>
      <c r="GXZ90" s="4"/>
      <c r="GYA90" s="4"/>
      <c r="GYB90" s="4"/>
      <c r="GYC90" s="4"/>
      <c r="GYD90" s="4"/>
      <c r="GYE90" s="4"/>
      <c r="GYF90" s="4"/>
      <c r="GYG90" s="4"/>
      <c r="GYH90" s="4"/>
      <c r="GYI90" s="4"/>
      <c r="GYJ90" s="4"/>
      <c r="GYK90" s="4"/>
      <c r="GYL90" s="4"/>
      <c r="GYM90" s="4"/>
      <c r="GYN90" s="4"/>
      <c r="GYO90" s="4"/>
      <c r="GYP90" s="4"/>
      <c r="GYQ90" s="4"/>
      <c r="GYR90" s="4"/>
      <c r="GYS90" s="4"/>
      <c r="GYT90" s="4"/>
      <c r="GYU90" s="4"/>
      <c r="GYV90" s="4"/>
      <c r="GYW90" s="4"/>
      <c r="GYX90" s="4"/>
      <c r="GYY90" s="4"/>
      <c r="GYZ90" s="4"/>
      <c r="GZA90" s="4"/>
      <c r="GZB90" s="4"/>
      <c r="GZC90" s="4"/>
      <c r="GZD90" s="4"/>
      <c r="GZE90" s="4"/>
      <c r="GZF90" s="4"/>
      <c r="GZG90" s="4"/>
      <c r="GZH90" s="4"/>
      <c r="GZI90" s="4"/>
      <c r="GZJ90" s="4"/>
      <c r="GZK90" s="4"/>
      <c r="GZL90" s="4"/>
      <c r="GZM90" s="4"/>
      <c r="GZN90" s="4"/>
      <c r="GZO90" s="4"/>
      <c r="GZP90" s="4"/>
      <c r="GZQ90" s="4"/>
      <c r="GZR90" s="4"/>
      <c r="GZS90" s="4"/>
      <c r="GZT90" s="4"/>
      <c r="GZU90" s="4"/>
      <c r="GZV90" s="4"/>
      <c r="GZW90" s="4"/>
      <c r="GZX90" s="4"/>
      <c r="GZY90" s="4"/>
      <c r="GZZ90" s="4"/>
      <c r="HAA90" s="4"/>
      <c r="HAB90" s="4"/>
      <c r="HAC90" s="4"/>
      <c r="HAD90" s="4"/>
      <c r="HAE90" s="4"/>
      <c r="HAF90" s="4"/>
      <c r="HAG90" s="4"/>
      <c r="HAH90" s="4"/>
      <c r="HAI90" s="4"/>
      <c r="HAJ90" s="4"/>
      <c r="HAK90" s="4"/>
      <c r="HAL90" s="4"/>
      <c r="HAM90" s="4"/>
      <c r="HAN90" s="4"/>
      <c r="HAO90" s="4"/>
      <c r="HAP90" s="4"/>
      <c r="HAQ90" s="4"/>
      <c r="HAR90" s="4"/>
      <c r="HAS90" s="4"/>
      <c r="HAT90" s="4"/>
      <c r="HAU90" s="4"/>
      <c r="HAV90" s="4"/>
      <c r="HAW90" s="4"/>
      <c r="HAX90" s="4"/>
      <c r="HAY90" s="4"/>
      <c r="HAZ90" s="4"/>
      <c r="HBA90" s="4"/>
      <c r="HBB90" s="4"/>
      <c r="HBC90" s="4"/>
      <c r="HBD90" s="4"/>
      <c r="HBE90" s="4"/>
      <c r="HBF90" s="4"/>
      <c r="HBG90" s="4"/>
      <c r="HBH90" s="4"/>
      <c r="HBI90" s="4"/>
      <c r="HBJ90" s="4"/>
      <c r="HBK90" s="4"/>
      <c r="HBL90" s="4"/>
      <c r="HBM90" s="4"/>
      <c r="HBN90" s="4"/>
      <c r="HBO90" s="4"/>
      <c r="HBP90" s="4"/>
      <c r="HBQ90" s="4"/>
      <c r="HBR90" s="4"/>
      <c r="HBS90" s="4"/>
      <c r="HBT90" s="4"/>
      <c r="HBU90" s="4"/>
      <c r="HBV90" s="4"/>
      <c r="HBW90" s="4"/>
      <c r="HBX90" s="4"/>
      <c r="HBY90" s="4"/>
      <c r="HBZ90" s="4"/>
      <c r="HCA90" s="4"/>
      <c r="HCB90" s="4"/>
      <c r="HCC90" s="4"/>
      <c r="HCD90" s="4"/>
      <c r="HCE90" s="4"/>
      <c r="HCF90" s="4"/>
      <c r="HCG90" s="4"/>
      <c r="HCH90" s="4"/>
      <c r="HCI90" s="4"/>
      <c r="HCJ90" s="4"/>
      <c r="HCK90" s="4"/>
      <c r="HCL90" s="4"/>
      <c r="HCM90" s="4"/>
      <c r="HCN90" s="4"/>
      <c r="HCO90" s="4"/>
      <c r="HCP90" s="4"/>
      <c r="HCQ90" s="4"/>
      <c r="HCR90" s="4"/>
      <c r="HCS90" s="4"/>
      <c r="HCT90" s="4"/>
      <c r="HCU90" s="4"/>
      <c r="HCV90" s="4"/>
      <c r="HCW90" s="4"/>
      <c r="HCX90" s="4"/>
      <c r="HCY90" s="4"/>
      <c r="HCZ90" s="4"/>
      <c r="HDA90" s="4"/>
      <c r="HDB90" s="4"/>
      <c r="HDC90" s="4"/>
      <c r="HDD90" s="4"/>
      <c r="HDE90" s="4"/>
      <c r="HDF90" s="4"/>
      <c r="HDG90" s="4"/>
      <c r="HDH90" s="4"/>
      <c r="HDI90" s="4"/>
      <c r="HDJ90" s="4"/>
      <c r="HDK90" s="4"/>
      <c r="HDL90" s="4"/>
      <c r="HDM90" s="4"/>
      <c r="HDN90" s="4"/>
      <c r="HDO90" s="4"/>
      <c r="HDP90" s="4"/>
      <c r="HDQ90" s="4"/>
      <c r="HDR90" s="4"/>
      <c r="HDS90" s="4"/>
      <c r="HDT90" s="4"/>
      <c r="HDU90" s="4"/>
      <c r="HDV90" s="4"/>
      <c r="HDW90" s="4"/>
      <c r="HDX90" s="4"/>
      <c r="HDY90" s="4"/>
      <c r="HDZ90" s="4"/>
      <c r="HEA90" s="4"/>
      <c r="HEB90" s="4"/>
      <c r="HEC90" s="4"/>
      <c r="HED90" s="4"/>
      <c r="HEE90" s="4"/>
      <c r="HEF90" s="4"/>
      <c r="HEG90" s="4"/>
      <c r="HEH90" s="4"/>
      <c r="HEI90" s="4"/>
      <c r="HEJ90" s="4"/>
      <c r="HEK90" s="4"/>
      <c r="HEL90" s="4"/>
      <c r="HEM90" s="4"/>
      <c r="HEN90" s="4"/>
      <c r="HEO90" s="4"/>
      <c r="HEP90" s="4"/>
      <c r="HEQ90" s="4"/>
      <c r="HER90" s="4"/>
      <c r="HES90" s="4"/>
      <c r="HET90" s="4"/>
      <c r="HEU90" s="4"/>
      <c r="HEV90" s="4"/>
      <c r="HEW90" s="4"/>
      <c r="HEX90" s="4"/>
      <c r="HEY90" s="4"/>
      <c r="HEZ90" s="4"/>
      <c r="HFA90" s="4"/>
      <c r="HFB90" s="4"/>
      <c r="HFC90" s="4"/>
      <c r="HFD90" s="4"/>
      <c r="HFE90" s="4"/>
      <c r="HFF90" s="4"/>
      <c r="HFG90" s="4"/>
      <c r="HFH90" s="4"/>
      <c r="HFI90" s="4"/>
      <c r="HFJ90" s="4"/>
      <c r="HFK90" s="4"/>
      <c r="HFL90" s="4"/>
      <c r="HFM90" s="4"/>
      <c r="HFN90" s="4"/>
      <c r="HFO90" s="4"/>
      <c r="HFP90" s="4"/>
      <c r="HFQ90" s="4"/>
      <c r="HFR90" s="4"/>
      <c r="HFS90" s="4"/>
      <c r="HFT90" s="4"/>
      <c r="HFU90" s="4"/>
      <c r="HFV90" s="4"/>
      <c r="HFW90" s="4"/>
      <c r="HFX90" s="4"/>
      <c r="HFY90" s="4"/>
      <c r="HFZ90" s="4"/>
      <c r="HGA90" s="4"/>
      <c r="HGB90" s="4"/>
      <c r="HGC90" s="4"/>
      <c r="HGD90" s="4"/>
      <c r="HGE90" s="4"/>
      <c r="HGF90" s="4"/>
      <c r="HGG90" s="4"/>
      <c r="HGH90" s="4"/>
      <c r="HGI90" s="4"/>
      <c r="HGJ90" s="4"/>
      <c r="HGK90" s="4"/>
      <c r="HGL90" s="4"/>
      <c r="HGM90" s="4"/>
      <c r="HGN90" s="4"/>
      <c r="HGO90" s="4"/>
      <c r="HGP90" s="4"/>
      <c r="HGQ90" s="4"/>
      <c r="HGR90" s="4"/>
      <c r="HGS90" s="4"/>
      <c r="HGT90" s="4"/>
      <c r="HGU90" s="4"/>
      <c r="HGV90" s="4"/>
      <c r="HGW90" s="4"/>
      <c r="HGX90" s="4"/>
      <c r="HGY90" s="4"/>
      <c r="HGZ90" s="4"/>
      <c r="HHA90" s="4"/>
      <c r="HHB90" s="4"/>
      <c r="HHC90" s="4"/>
      <c r="HHD90" s="4"/>
      <c r="HHE90" s="4"/>
      <c r="HHF90" s="4"/>
      <c r="HHG90" s="4"/>
      <c r="HHH90" s="4"/>
      <c r="HHI90" s="4"/>
      <c r="HHJ90" s="4"/>
      <c r="HHK90" s="4"/>
      <c r="HHL90" s="4"/>
      <c r="HHM90" s="4"/>
      <c r="HHN90" s="4"/>
      <c r="HHO90" s="4"/>
      <c r="HHP90" s="4"/>
      <c r="HHQ90" s="4"/>
      <c r="HHR90" s="4"/>
      <c r="HHS90" s="4"/>
      <c r="HHT90" s="4"/>
      <c r="HHU90" s="4"/>
      <c r="HHV90" s="4"/>
      <c r="HHW90" s="4"/>
      <c r="HHX90" s="4"/>
      <c r="HHY90" s="4"/>
      <c r="HHZ90" s="4"/>
      <c r="HIA90" s="4"/>
      <c r="HIB90" s="4"/>
      <c r="HIC90" s="4"/>
      <c r="HID90" s="4"/>
      <c r="HIE90" s="4"/>
      <c r="HIF90" s="4"/>
      <c r="HIG90" s="4"/>
      <c r="HIH90" s="4"/>
      <c r="HII90" s="4"/>
      <c r="HIJ90" s="4"/>
      <c r="HIK90" s="4"/>
      <c r="HIL90" s="4"/>
      <c r="HIM90" s="4"/>
      <c r="HIN90" s="4"/>
      <c r="HIO90" s="4"/>
      <c r="HIP90" s="4"/>
      <c r="HIQ90" s="4"/>
      <c r="HIR90" s="4"/>
      <c r="HIS90" s="4"/>
      <c r="HIT90" s="4"/>
      <c r="HIU90" s="4"/>
      <c r="HIV90" s="4"/>
      <c r="HIW90" s="4"/>
      <c r="HIX90" s="4"/>
      <c r="HIY90" s="4"/>
      <c r="HIZ90" s="4"/>
      <c r="HJA90" s="4"/>
      <c r="HJB90" s="4"/>
      <c r="HJC90" s="4"/>
      <c r="HJD90" s="4"/>
      <c r="HJE90" s="4"/>
      <c r="HJF90" s="4"/>
      <c r="HJG90" s="4"/>
      <c r="HJH90" s="4"/>
      <c r="HJI90" s="4"/>
      <c r="HJJ90" s="4"/>
      <c r="HJK90" s="4"/>
      <c r="HJL90" s="4"/>
      <c r="HJM90" s="4"/>
      <c r="HJN90" s="4"/>
      <c r="HJO90" s="4"/>
      <c r="HJP90" s="4"/>
      <c r="HJQ90" s="4"/>
      <c r="HJR90" s="4"/>
      <c r="HJS90" s="4"/>
      <c r="HJT90" s="4"/>
      <c r="HJU90" s="4"/>
      <c r="HJV90" s="4"/>
      <c r="HJW90" s="4"/>
      <c r="HJX90" s="4"/>
      <c r="HJY90" s="4"/>
      <c r="HJZ90" s="4"/>
      <c r="HKA90" s="4"/>
      <c r="HKB90" s="4"/>
      <c r="HKC90" s="4"/>
      <c r="HKD90" s="4"/>
      <c r="HKE90" s="4"/>
      <c r="HKF90" s="4"/>
      <c r="HKG90" s="4"/>
      <c r="HKH90" s="4"/>
      <c r="HKI90" s="4"/>
      <c r="HKJ90" s="4"/>
      <c r="HKK90" s="4"/>
      <c r="HKL90" s="4"/>
      <c r="HKM90" s="4"/>
      <c r="HKN90" s="4"/>
      <c r="HKO90" s="4"/>
      <c r="HKP90" s="4"/>
      <c r="HKQ90" s="4"/>
      <c r="HKR90" s="4"/>
      <c r="HKS90" s="4"/>
      <c r="HKT90" s="4"/>
      <c r="HKU90" s="4"/>
      <c r="HKV90" s="4"/>
      <c r="HKW90" s="4"/>
      <c r="HKX90" s="4"/>
      <c r="HKY90" s="4"/>
      <c r="HKZ90" s="4"/>
      <c r="HLA90" s="4"/>
      <c r="HLB90" s="4"/>
      <c r="HLC90" s="4"/>
      <c r="HLD90" s="4"/>
      <c r="HLE90" s="4"/>
      <c r="HLF90" s="4"/>
      <c r="HLG90" s="4"/>
      <c r="HLH90" s="4"/>
      <c r="HLI90" s="4"/>
      <c r="HLJ90" s="4"/>
      <c r="HLK90" s="4"/>
      <c r="HLL90" s="4"/>
      <c r="HLM90" s="4"/>
      <c r="HLN90" s="4"/>
      <c r="HLO90" s="4"/>
      <c r="HLP90" s="4"/>
      <c r="HLQ90" s="4"/>
      <c r="HLR90" s="4"/>
      <c r="HLS90" s="4"/>
      <c r="HLT90" s="4"/>
      <c r="HLU90" s="4"/>
      <c r="HLV90" s="4"/>
      <c r="HLW90" s="4"/>
      <c r="HLX90" s="4"/>
      <c r="HLY90" s="4"/>
      <c r="HLZ90" s="4"/>
      <c r="HMA90" s="4"/>
      <c r="HMB90" s="4"/>
      <c r="HMC90" s="4"/>
      <c r="HMD90" s="4"/>
      <c r="HME90" s="4"/>
      <c r="HMF90" s="4"/>
      <c r="HMG90" s="4"/>
      <c r="HMH90" s="4"/>
      <c r="HMI90" s="4"/>
      <c r="HMJ90" s="4"/>
      <c r="HMK90" s="4"/>
      <c r="HML90" s="4"/>
      <c r="HMM90" s="4"/>
      <c r="HMN90" s="4"/>
      <c r="HMO90" s="4"/>
      <c r="HMP90" s="4"/>
      <c r="HMQ90" s="4"/>
      <c r="HMR90" s="4"/>
      <c r="HMS90" s="4"/>
      <c r="HMT90" s="4"/>
      <c r="HMU90" s="4"/>
      <c r="HMV90" s="4"/>
      <c r="HMW90" s="4"/>
      <c r="HMX90" s="4"/>
      <c r="HMY90" s="4"/>
      <c r="HMZ90" s="4"/>
      <c r="HNA90" s="4"/>
      <c r="HNB90" s="4"/>
      <c r="HNC90" s="4"/>
      <c r="HND90" s="4"/>
      <c r="HNE90" s="4"/>
      <c r="HNF90" s="4"/>
      <c r="HNG90" s="4"/>
      <c r="HNH90" s="4"/>
      <c r="HNI90" s="4"/>
      <c r="HNJ90" s="4"/>
      <c r="HNK90" s="4"/>
      <c r="HNL90" s="4"/>
      <c r="HNM90" s="4"/>
      <c r="HNN90" s="4"/>
      <c r="HNO90" s="4"/>
      <c r="HNP90" s="4"/>
      <c r="HNQ90" s="4"/>
      <c r="HNR90" s="4"/>
      <c r="HNS90" s="4"/>
      <c r="HNT90" s="4"/>
      <c r="HNU90" s="4"/>
      <c r="HNV90" s="4"/>
      <c r="HNW90" s="4"/>
      <c r="HNX90" s="4"/>
      <c r="HNY90" s="4"/>
      <c r="HNZ90" s="4"/>
      <c r="HOA90" s="4"/>
      <c r="HOB90" s="4"/>
      <c r="HOC90" s="4"/>
      <c r="HOD90" s="4"/>
      <c r="HOE90" s="4"/>
      <c r="HOF90" s="4"/>
      <c r="HOG90" s="4"/>
      <c r="HOH90" s="4"/>
      <c r="HOI90" s="4"/>
      <c r="HOJ90" s="4"/>
      <c r="HOK90" s="4"/>
      <c r="HOL90" s="4"/>
      <c r="HOM90" s="4"/>
      <c r="HON90" s="4"/>
      <c r="HOO90" s="4"/>
      <c r="HOP90" s="4"/>
      <c r="HOQ90" s="4"/>
      <c r="HOR90" s="4"/>
      <c r="HOS90" s="4"/>
      <c r="HOT90" s="4"/>
      <c r="HOU90" s="4"/>
      <c r="HOV90" s="4"/>
      <c r="HOW90" s="4"/>
      <c r="HOX90" s="4"/>
      <c r="HOY90" s="4"/>
      <c r="HOZ90" s="4"/>
      <c r="HPA90" s="4"/>
      <c r="HPB90" s="4"/>
      <c r="HPC90" s="4"/>
      <c r="HPD90" s="4"/>
      <c r="HPE90" s="4"/>
      <c r="HPF90" s="4"/>
      <c r="HPG90" s="4"/>
      <c r="HPH90" s="4"/>
      <c r="HPI90" s="4"/>
      <c r="HPJ90" s="4"/>
      <c r="HPK90" s="4"/>
      <c r="HPL90" s="4"/>
      <c r="HPM90" s="4"/>
      <c r="HPN90" s="4"/>
      <c r="HPO90" s="4"/>
      <c r="HPP90" s="4"/>
      <c r="HPQ90" s="4"/>
      <c r="HPR90" s="4"/>
      <c r="HPS90" s="4"/>
      <c r="HPT90" s="4"/>
      <c r="HPU90" s="4"/>
      <c r="HPV90" s="4"/>
      <c r="HPW90" s="4"/>
      <c r="HPX90" s="4"/>
      <c r="HPY90" s="4"/>
      <c r="HPZ90" s="4"/>
      <c r="HQA90" s="4"/>
      <c r="HQB90" s="4"/>
      <c r="HQC90" s="4"/>
      <c r="HQD90" s="4"/>
      <c r="HQE90" s="4"/>
      <c r="HQF90" s="4"/>
      <c r="HQG90" s="4"/>
      <c r="HQH90" s="4"/>
      <c r="HQI90" s="4"/>
      <c r="HQJ90" s="4"/>
      <c r="HQK90" s="4"/>
      <c r="HQL90" s="4"/>
      <c r="HQM90" s="4"/>
      <c r="HQN90" s="4"/>
      <c r="HQO90" s="4"/>
      <c r="HQP90" s="4"/>
      <c r="HQQ90" s="4"/>
      <c r="HQR90" s="4"/>
      <c r="HQS90" s="4"/>
      <c r="HQT90" s="4"/>
      <c r="HQU90" s="4"/>
      <c r="HQV90" s="4"/>
      <c r="HQW90" s="4"/>
      <c r="HQX90" s="4"/>
      <c r="HQY90" s="4"/>
      <c r="HQZ90" s="4"/>
      <c r="HRA90" s="4"/>
      <c r="HRB90" s="4"/>
      <c r="HRC90" s="4"/>
      <c r="HRD90" s="4"/>
      <c r="HRE90" s="4"/>
      <c r="HRF90" s="4"/>
      <c r="HRG90" s="4"/>
      <c r="HRH90" s="4"/>
      <c r="HRI90" s="4"/>
      <c r="HRJ90" s="4"/>
      <c r="HRK90" s="4"/>
      <c r="HRL90" s="4"/>
      <c r="HRM90" s="4"/>
      <c r="HRN90" s="4"/>
      <c r="HRO90" s="4"/>
      <c r="HRP90" s="4"/>
      <c r="HRQ90" s="4"/>
      <c r="HRR90" s="4"/>
      <c r="HRS90" s="4"/>
      <c r="HRT90" s="4"/>
      <c r="HRU90" s="4"/>
      <c r="HRV90" s="4"/>
      <c r="HRW90" s="4"/>
      <c r="HRX90" s="4"/>
      <c r="HRY90" s="4"/>
      <c r="HRZ90" s="4"/>
      <c r="HSA90" s="4"/>
      <c r="HSB90" s="4"/>
      <c r="HSC90" s="4"/>
      <c r="HSD90" s="4"/>
      <c r="HSE90" s="4"/>
      <c r="HSF90" s="4"/>
      <c r="HSG90" s="4"/>
      <c r="HSH90" s="4"/>
      <c r="HSI90" s="4"/>
      <c r="HSJ90" s="4"/>
      <c r="HSK90" s="4"/>
      <c r="HSL90" s="4"/>
      <c r="HSM90" s="4"/>
      <c r="HSN90" s="4"/>
      <c r="HSO90" s="4"/>
      <c r="HSP90" s="4"/>
      <c r="HSQ90" s="4"/>
      <c r="HSR90" s="4"/>
      <c r="HSS90" s="4"/>
      <c r="HST90" s="4"/>
      <c r="HSU90" s="4"/>
      <c r="HSV90" s="4"/>
      <c r="HSW90" s="4"/>
      <c r="HSX90" s="4"/>
      <c r="HSY90" s="4"/>
      <c r="HSZ90" s="4"/>
      <c r="HTA90" s="4"/>
      <c r="HTB90" s="4"/>
      <c r="HTC90" s="4"/>
      <c r="HTD90" s="4"/>
      <c r="HTE90" s="4"/>
      <c r="HTF90" s="4"/>
      <c r="HTG90" s="4"/>
      <c r="HTH90" s="4"/>
      <c r="HTI90" s="4"/>
      <c r="HTJ90" s="4"/>
      <c r="HTK90" s="4"/>
      <c r="HTL90" s="4"/>
      <c r="HTM90" s="4"/>
      <c r="HTN90" s="4"/>
      <c r="HTO90" s="4"/>
      <c r="HTP90" s="4"/>
      <c r="HTQ90" s="4"/>
      <c r="HTR90" s="4"/>
      <c r="HTS90" s="4"/>
      <c r="HTT90" s="4"/>
      <c r="HTU90" s="4"/>
      <c r="HTV90" s="4"/>
      <c r="HTW90" s="4"/>
      <c r="HTX90" s="4"/>
      <c r="HTY90" s="4"/>
      <c r="HTZ90" s="4"/>
      <c r="HUA90" s="4"/>
      <c r="HUB90" s="4"/>
      <c r="HUC90" s="4"/>
      <c r="HUD90" s="4"/>
      <c r="HUE90" s="4"/>
      <c r="HUF90" s="4"/>
      <c r="HUG90" s="4"/>
      <c r="HUH90" s="4"/>
      <c r="HUI90" s="4"/>
      <c r="HUJ90" s="4"/>
      <c r="HUK90" s="4"/>
      <c r="HUL90" s="4"/>
      <c r="HUM90" s="4"/>
      <c r="HUN90" s="4"/>
      <c r="HUO90" s="4"/>
      <c r="HUP90" s="4"/>
      <c r="HUQ90" s="4"/>
      <c r="HUR90" s="4"/>
      <c r="HUS90" s="4"/>
      <c r="HUT90" s="4"/>
      <c r="HUU90" s="4"/>
      <c r="HUV90" s="4"/>
      <c r="HUW90" s="4"/>
      <c r="HUX90" s="4"/>
      <c r="HUY90" s="4"/>
      <c r="HUZ90" s="4"/>
      <c r="HVA90" s="4"/>
      <c r="HVB90" s="4"/>
      <c r="HVC90" s="4"/>
      <c r="HVD90" s="4"/>
      <c r="HVE90" s="4"/>
      <c r="HVF90" s="4"/>
      <c r="HVG90" s="4"/>
      <c r="HVH90" s="4"/>
      <c r="HVI90" s="4"/>
      <c r="HVJ90" s="4"/>
      <c r="HVK90" s="4"/>
      <c r="HVL90" s="4"/>
      <c r="HVM90" s="4"/>
      <c r="HVN90" s="4"/>
      <c r="HVO90" s="4"/>
      <c r="HVP90" s="4"/>
      <c r="HVQ90" s="4"/>
      <c r="HVR90" s="4"/>
      <c r="HVS90" s="4"/>
      <c r="HVT90" s="4"/>
      <c r="HVU90" s="4"/>
      <c r="HVV90" s="4"/>
      <c r="HVW90" s="4"/>
      <c r="HVX90" s="4"/>
      <c r="HVY90" s="4"/>
      <c r="HVZ90" s="4"/>
      <c r="HWA90" s="4"/>
      <c r="HWB90" s="4"/>
      <c r="HWC90" s="4"/>
      <c r="HWD90" s="4"/>
      <c r="HWE90" s="4"/>
      <c r="HWF90" s="4"/>
      <c r="HWG90" s="4"/>
      <c r="HWH90" s="4"/>
      <c r="HWI90" s="4"/>
      <c r="HWJ90" s="4"/>
      <c r="HWK90" s="4"/>
      <c r="HWL90" s="4"/>
      <c r="HWM90" s="4"/>
      <c r="HWN90" s="4"/>
      <c r="HWO90" s="4"/>
      <c r="HWP90" s="4"/>
      <c r="HWQ90" s="4"/>
      <c r="HWR90" s="4"/>
      <c r="HWS90" s="4"/>
      <c r="HWT90" s="4"/>
      <c r="HWU90" s="4"/>
      <c r="HWV90" s="4"/>
      <c r="HWW90" s="4"/>
      <c r="HWX90" s="4"/>
      <c r="HWY90" s="4"/>
      <c r="HWZ90" s="4"/>
      <c r="HXA90" s="4"/>
      <c r="HXB90" s="4"/>
      <c r="HXC90" s="4"/>
      <c r="HXD90" s="4"/>
      <c r="HXE90" s="4"/>
      <c r="HXF90" s="4"/>
      <c r="HXG90" s="4"/>
      <c r="HXH90" s="4"/>
      <c r="HXI90" s="4"/>
      <c r="HXJ90" s="4"/>
      <c r="HXK90" s="4"/>
      <c r="HXL90" s="4"/>
      <c r="HXM90" s="4"/>
      <c r="HXN90" s="4"/>
      <c r="HXO90" s="4"/>
      <c r="HXP90" s="4"/>
      <c r="HXQ90" s="4"/>
      <c r="HXR90" s="4"/>
      <c r="HXS90" s="4"/>
      <c r="HXT90" s="4"/>
      <c r="HXU90" s="4"/>
      <c r="HXV90" s="4"/>
      <c r="HXW90" s="4"/>
      <c r="HXX90" s="4"/>
      <c r="HXY90" s="4"/>
      <c r="HXZ90" s="4"/>
      <c r="HYA90" s="4"/>
      <c r="HYB90" s="4"/>
      <c r="HYC90" s="4"/>
      <c r="HYD90" s="4"/>
      <c r="HYE90" s="4"/>
      <c r="HYF90" s="4"/>
      <c r="HYG90" s="4"/>
      <c r="HYH90" s="4"/>
      <c r="HYI90" s="4"/>
      <c r="HYJ90" s="4"/>
      <c r="HYK90" s="4"/>
      <c r="HYL90" s="4"/>
      <c r="HYM90" s="4"/>
      <c r="HYN90" s="4"/>
      <c r="HYO90" s="4"/>
      <c r="HYP90" s="4"/>
      <c r="HYQ90" s="4"/>
      <c r="HYR90" s="4"/>
      <c r="HYS90" s="4"/>
      <c r="HYT90" s="4"/>
      <c r="HYU90" s="4"/>
      <c r="HYV90" s="4"/>
      <c r="HYW90" s="4"/>
      <c r="HYX90" s="4"/>
      <c r="HYY90" s="4"/>
      <c r="HYZ90" s="4"/>
      <c r="HZA90" s="4"/>
      <c r="HZB90" s="4"/>
      <c r="HZC90" s="4"/>
      <c r="HZD90" s="4"/>
      <c r="HZE90" s="4"/>
      <c r="HZF90" s="4"/>
      <c r="HZG90" s="4"/>
      <c r="HZH90" s="4"/>
      <c r="HZI90" s="4"/>
      <c r="HZJ90" s="4"/>
      <c r="HZK90" s="4"/>
      <c r="HZL90" s="4"/>
      <c r="HZM90" s="4"/>
      <c r="HZN90" s="4"/>
      <c r="HZO90" s="4"/>
      <c r="HZP90" s="4"/>
      <c r="HZQ90" s="4"/>
      <c r="HZR90" s="4"/>
      <c r="HZS90" s="4"/>
      <c r="HZT90" s="4"/>
      <c r="HZU90" s="4"/>
      <c r="HZV90" s="4"/>
      <c r="HZW90" s="4"/>
      <c r="HZX90" s="4"/>
      <c r="HZY90" s="4"/>
      <c r="HZZ90" s="4"/>
      <c r="IAA90" s="4"/>
      <c r="IAB90" s="4"/>
      <c r="IAC90" s="4"/>
      <c r="IAD90" s="4"/>
      <c r="IAE90" s="4"/>
      <c r="IAF90" s="4"/>
      <c r="IAG90" s="4"/>
      <c r="IAH90" s="4"/>
      <c r="IAI90" s="4"/>
      <c r="IAJ90" s="4"/>
      <c r="IAK90" s="4"/>
      <c r="IAL90" s="4"/>
      <c r="IAM90" s="4"/>
      <c r="IAN90" s="4"/>
      <c r="IAO90" s="4"/>
      <c r="IAP90" s="4"/>
      <c r="IAQ90" s="4"/>
      <c r="IAR90" s="4"/>
      <c r="IAS90" s="4"/>
      <c r="IAT90" s="4"/>
      <c r="IAU90" s="4"/>
      <c r="IAV90" s="4"/>
      <c r="IAW90" s="4"/>
      <c r="IAX90" s="4"/>
      <c r="IAY90" s="4"/>
      <c r="IAZ90" s="4"/>
      <c r="IBA90" s="4"/>
      <c r="IBB90" s="4"/>
      <c r="IBC90" s="4"/>
      <c r="IBD90" s="4"/>
      <c r="IBE90" s="4"/>
      <c r="IBF90" s="4"/>
      <c r="IBG90" s="4"/>
      <c r="IBH90" s="4"/>
      <c r="IBI90" s="4"/>
      <c r="IBJ90" s="4"/>
      <c r="IBK90" s="4"/>
      <c r="IBL90" s="4"/>
      <c r="IBM90" s="4"/>
      <c r="IBN90" s="4"/>
      <c r="IBO90" s="4"/>
      <c r="IBP90" s="4"/>
      <c r="IBQ90" s="4"/>
      <c r="IBR90" s="4"/>
      <c r="IBS90" s="4"/>
      <c r="IBT90" s="4"/>
      <c r="IBU90" s="4"/>
      <c r="IBV90" s="4"/>
      <c r="IBW90" s="4"/>
      <c r="IBX90" s="4"/>
      <c r="IBY90" s="4"/>
      <c r="IBZ90" s="4"/>
      <c r="ICA90" s="4"/>
      <c r="ICB90" s="4"/>
      <c r="ICC90" s="4"/>
      <c r="ICD90" s="4"/>
      <c r="ICE90" s="4"/>
      <c r="ICF90" s="4"/>
      <c r="ICG90" s="4"/>
      <c r="ICH90" s="4"/>
      <c r="ICI90" s="4"/>
      <c r="ICJ90" s="4"/>
      <c r="ICK90" s="4"/>
      <c r="ICL90" s="4"/>
      <c r="ICM90" s="4"/>
      <c r="ICN90" s="4"/>
      <c r="ICO90" s="4"/>
      <c r="ICP90" s="4"/>
      <c r="ICQ90" s="4"/>
      <c r="ICR90" s="4"/>
      <c r="ICS90" s="4"/>
      <c r="ICT90" s="4"/>
      <c r="ICU90" s="4"/>
      <c r="ICV90" s="4"/>
      <c r="ICW90" s="4"/>
      <c r="ICX90" s="4"/>
      <c r="ICY90" s="4"/>
      <c r="ICZ90" s="4"/>
      <c r="IDA90" s="4"/>
      <c r="IDB90" s="4"/>
      <c r="IDC90" s="4"/>
      <c r="IDD90" s="4"/>
      <c r="IDE90" s="4"/>
      <c r="IDF90" s="4"/>
      <c r="IDG90" s="4"/>
      <c r="IDH90" s="4"/>
      <c r="IDI90" s="4"/>
      <c r="IDJ90" s="4"/>
      <c r="IDK90" s="4"/>
      <c r="IDL90" s="4"/>
      <c r="IDM90" s="4"/>
      <c r="IDN90" s="4"/>
      <c r="IDO90" s="4"/>
      <c r="IDP90" s="4"/>
      <c r="IDQ90" s="4"/>
      <c r="IDR90" s="4"/>
      <c r="IDS90" s="4"/>
      <c r="IDT90" s="4"/>
      <c r="IDU90" s="4"/>
      <c r="IDV90" s="4"/>
      <c r="IDW90" s="4"/>
      <c r="IDX90" s="4"/>
      <c r="IDY90" s="4"/>
      <c r="IDZ90" s="4"/>
      <c r="IEA90" s="4"/>
      <c r="IEB90" s="4"/>
      <c r="IEC90" s="4"/>
      <c r="IED90" s="4"/>
      <c r="IEE90" s="4"/>
      <c r="IEF90" s="4"/>
      <c r="IEG90" s="4"/>
      <c r="IEH90" s="4"/>
      <c r="IEI90" s="4"/>
      <c r="IEJ90" s="4"/>
      <c r="IEK90" s="4"/>
      <c r="IEL90" s="4"/>
      <c r="IEM90" s="4"/>
      <c r="IEN90" s="4"/>
      <c r="IEO90" s="4"/>
      <c r="IEP90" s="4"/>
      <c r="IEQ90" s="4"/>
      <c r="IER90" s="4"/>
      <c r="IES90" s="4"/>
      <c r="IET90" s="4"/>
      <c r="IEU90" s="4"/>
      <c r="IEV90" s="4"/>
      <c r="IEW90" s="4"/>
      <c r="IEX90" s="4"/>
      <c r="IEY90" s="4"/>
      <c r="IEZ90" s="4"/>
      <c r="IFA90" s="4"/>
      <c r="IFB90" s="4"/>
      <c r="IFC90" s="4"/>
      <c r="IFD90" s="4"/>
      <c r="IFE90" s="4"/>
      <c r="IFF90" s="4"/>
      <c r="IFG90" s="4"/>
      <c r="IFH90" s="4"/>
      <c r="IFI90" s="4"/>
      <c r="IFJ90" s="4"/>
      <c r="IFK90" s="4"/>
      <c r="IFL90" s="4"/>
      <c r="IFM90" s="4"/>
      <c r="IFN90" s="4"/>
      <c r="IFO90" s="4"/>
      <c r="IFP90" s="4"/>
      <c r="IFQ90" s="4"/>
      <c r="IFR90" s="4"/>
      <c r="IFS90" s="4"/>
      <c r="IFT90" s="4"/>
      <c r="IFU90" s="4"/>
      <c r="IFV90" s="4"/>
      <c r="IFW90" s="4"/>
      <c r="IFX90" s="4"/>
      <c r="IFY90" s="4"/>
      <c r="IFZ90" s="4"/>
      <c r="IGA90" s="4"/>
      <c r="IGB90" s="4"/>
      <c r="IGC90" s="4"/>
      <c r="IGD90" s="4"/>
      <c r="IGE90" s="4"/>
      <c r="IGF90" s="4"/>
      <c r="IGG90" s="4"/>
      <c r="IGH90" s="4"/>
      <c r="IGI90" s="4"/>
      <c r="IGJ90" s="4"/>
      <c r="IGK90" s="4"/>
      <c r="IGL90" s="4"/>
      <c r="IGM90" s="4"/>
      <c r="IGN90" s="4"/>
      <c r="IGO90" s="4"/>
      <c r="IGP90" s="4"/>
      <c r="IGQ90" s="4"/>
      <c r="IGR90" s="4"/>
      <c r="IGS90" s="4"/>
      <c r="IGT90" s="4"/>
      <c r="IGU90" s="4"/>
      <c r="IGV90" s="4"/>
      <c r="IGW90" s="4"/>
      <c r="IGX90" s="4"/>
      <c r="IGY90" s="4"/>
      <c r="IGZ90" s="4"/>
      <c r="IHA90" s="4"/>
      <c r="IHB90" s="4"/>
      <c r="IHC90" s="4"/>
      <c r="IHD90" s="4"/>
      <c r="IHE90" s="4"/>
      <c r="IHF90" s="4"/>
      <c r="IHG90" s="4"/>
      <c r="IHH90" s="4"/>
      <c r="IHI90" s="4"/>
      <c r="IHJ90" s="4"/>
      <c r="IHK90" s="4"/>
      <c r="IHL90" s="4"/>
      <c r="IHM90" s="4"/>
      <c r="IHN90" s="4"/>
      <c r="IHO90" s="4"/>
      <c r="IHP90" s="4"/>
      <c r="IHQ90" s="4"/>
      <c r="IHR90" s="4"/>
      <c r="IHS90" s="4"/>
      <c r="IHT90" s="4"/>
      <c r="IHU90" s="4"/>
      <c r="IHV90" s="4"/>
      <c r="IHW90" s="4"/>
      <c r="IHX90" s="4"/>
      <c r="IHY90" s="4"/>
      <c r="IHZ90" s="4"/>
      <c r="IIA90" s="4"/>
      <c r="IIB90" s="4"/>
      <c r="IIC90" s="4"/>
      <c r="IID90" s="4"/>
      <c r="IIE90" s="4"/>
      <c r="IIF90" s="4"/>
      <c r="IIG90" s="4"/>
      <c r="IIH90" s="4"/>
      <c r="III90" s="4"/>
      <c r="IIJ90" s="4"/>
      <c r="IIK90" s="4"/>
      <c r="IIL90" s="4"/>
      <c r="IIM90" s="4"/>
      <c r="IIN90" s="4"/>
      <c r="IIO90" s="4"/>
      <c r="IIP90" s="4"/>
      <c r="IIQ90" s="4"/>
      <c r="IIR90" s="4"/>
      <c r="IIS90" s="4"/>
      <c r="IIT90" s="4"/>
      <c r="IIU90" s="4"/>
      <c r="IIV90" s="4"/>
      <c r="IIW90" s="4"/>
      <c r="IIX90" s="4"/>
      <c r="IIY90" s="4"/>
      <c r="IIZ90" s="4"/>
      <c r="IJA90" s="4"/>
      <c r="IJB90" s="4"/>
      <c r="IJC90" s="4"/>
      <c r="IJD90" s="4"/>
      <c r="IJE90" s="4"/>
      <c r="IJF90" s="4"/>
      <c r="IJG90" s="4"/>
      <c r="IJH90" s="4"/>
      <c r="IJI90" s="4"/>
      <c r="IJJ90" s="4"/>
      <c r="IJK90" s="4"/>
      <c r="IJL90" s="4"/>
      <c r="IJM90" s="4"/>
      <c r="IJN90" s="4"/>
      <c r="IJO90" s="4"/>
      <c r="IJP90" s="4"/>
      <c r="IJQ90" s="4"/>
      <c r="IJR90" s="4"/>
      <c r="IJS90" s="4"/>
      <c r="IJT90" s="4"/>
      <c r="IJU90" s="4"/>
      <c r="IJV90" s="4"/>
      <c r="IJW90" s="4"/>
      <c r="IJX90" s="4"/>
      <c r="IJY90" s="4"/>
      <c r="IJZ90" s="4"/>
      <c r="IKA90" s="4"/>
      <c r="IKB90" s="4"/>
      <c r="IKC90" s="4"/>
      <c r="IKD90" s="4"/>
      <c r="IKE90" s="4"/>
      <c r="IKF90" s="4"/>
      <c r="IKG90" s="4"/>
      <c r="IKH90" s="4"/>
      <c r="IKI90" s="4"/>
      <c r="IKJ90" s="4"/>
      <c r="IKK90" s="4"/>
      <c r="IKL90" s="4"/>
      <c r="IKM90" s="4"/>
      <c r="IKN90" s="4"/>
      <c r="IKO90" s="4"/>
      <c r="IKP90" s="4"/>
      <c r="IKQ90" s="4"/>
      <c r="IKR90" s="4"/>
      <c r="IKS90" s="4"/>
      <c r="IKT90" s="4"/>
      <c r="IKU90" s="4"/>
      <c r="IKV90" s="4"/>
      <c r="IKW90" s="4"/>
      <c r="IKX90" s="4"/>
      <c r="IKY90" s="4"/>
      <c r="IKZ90" s="4"/>
      <c r="ILA90" s="4"/>
      <c r="ILB90" s="4"/>
      <c r="ILC90" s="4"/>
      <c r="ILD90" s="4"/>
      <c r="ILE90" s="4"/>
      <c r="ILF90" s="4"/>
      <c r="ILG90" s="4"/>
      <c r="ILH90" s="4"/>
      <c r="ILI90" s="4"/>
      <c r="ILJ90" s="4"/>
      <c r="ILK90" s="4"/>
      <c r="ILL90" s="4"/>
      <c r="ILM90" s="4"/>
      <c r="ILN90" s="4"/>
      <c r="ILO90" s="4"/>
      <c r="ILP90" s="4"/>
      <c r="ILQ90" s="4"/>
      <c r="ILR90" s="4"/>
      <c r="ILS90" s="4"/>
      <c r="ILT90" s="4"/>
      <c r="ILU90" s="4"/>
      <c r="ILV90" s="4"/>
      <c r="ILW90" s="4"/>
      <c r="ILX90" s="4"/>
      <c r="ILY90" s="4"/>
      <c r="ILZ90" s="4"/>
      <c r="IMA90" s="4"/>
      <c r="IMB90" s="4"/>
      <c r="IMC90" s="4"/>
      <c r="IMD90" s="4"/>
      <c r="IME90" s="4"/>
      <c r="IMF90" s="4"/>
      <c r="IMG90" s="4"/>
      <c r="IMH90" s="4"/>
      <c r="IMI90" s="4"/>
      <c r="IMJ90" s="4"/>
      <c r="IMK90" s="4"/>
      <c r="IML90" s="4"/>
      <c r="IMM90" s="4"/>
      <c r="IMN90" s="4"/>
      <c r="IMO90" s="4"/>
      <c r="IMP90" s="4"/>
      <c r="IMQ90" s="4"/>
      <c r="IMR90" s="4"/>
      <c r="IMS90" s="4"/>
      <c r="IMT90" s="4"/>
      <c r="IMU90" s="4"/>
      <c r="IMV90" s="4"/>
      <c r="IMW90" s="4"/>
      <c r="IMX90" s="4"/>
      <c r="IMY90" s="4"/>
      <c r="IMZ90" s="4"/>
      <c r="INA90" s="4"/>
      <c r="INB90" s="4"/>
      <c r="INC90" s="4"/>
      <c r="IND90" s="4"/>
      <c r="INE90" s="4"/>
      <c r="INF90" s="4"/>
      <c r="ING90" s="4"/>
      <c r="INH90" s="4"/>
      <c r="INI90" s="4"/>
      <c r="INJ90" s="4"/>
      <c r="INK90" s="4"/>
      <c r="INL90" s="4"/>
      <c r="INM90" s="4"/>
      <c r="INN90" s="4"/>
      <c r="INO90" s="4"/>
      <c r="INP90" s="4"/>
      <c r="INQ90" s="4"/>
      <c r="INR90" s="4"/>
      <c r="INS90" s="4"/>
      <c r="INT90" s="4"/>
      <c r="INU90" s="4"/>
      <c r="INV90" s="4"/>
      <c r="INW90" s="4"/>
      <c r="INX90" s="4"/>
      <c r="INY90" s="4"/>
      <c r="INZ90" s="4"/>
      <c r="IOA90" s="4"/>
      <c r="IOB90" s="4"/>
      <c r="IOC90" s="4"/>
      <c r="IOD90" s="4"/>
      <c r="IOE90" s="4"/>
      <c r="IOF90" s="4"/>
      <c r="IOG90" s="4"/>
      <c r="IOH90" s="4"/>
      <c r="IOI90" s="4"/>
      <c r="IOJ90" s="4"/>
      <c r="IOK90" s="4"/>
      <c r="IOL90" s="4"/>
      <c r="IOM90" s="4"/>
      <c r="ION90" s="4"/>
      <c r="IOO90" s="4"/>
      <c r="IOP90" s="4"/>
      <c r="IOQ90" s="4"/>
      <c r="IOR90" s="4"/>
      <c r="IOS90" s="4"/>
      <c r="IOT90" s="4"/>
      <c r="IOU90" s="4"/>
      <c r="IOV90" s="4"/>
      <c r="IOW90" s="4"/>
      <c r="IOX90" s="4"/>
      <c r="IOY90" s="4"/>
      <c r="IOZ90" s="4"/>
      <c r="IPA90" s="4"/>
      <c r="IPB90" s="4"/>
      <c r="IPC90" s="4"/>
      <c r="IPD90" s="4"/>
      <c r="IPE90" s="4"/>
      <c r="IPF90" s="4"/>
      <c r="IPG90" s="4"/>
      <c r="IPH90" s="4"/>
      <c r="IPI90" s="4"/>
      <c r="IPJ90" s="4"/>
      <c r="IPK90" s="4"/>
      <c r="IPL90" s="4"/>
      <c r="IPM90" s="4"/>
      <c r="IPN90" s="4"/>
      <c r="IPO90" s="4"/>
      <c r="IPP90" s="4"/>
      <c r="IPQ90" s="4"/>
      <c r="IPR90" s="4"/>
      <c r="IPS90" s="4"/>
      <c r="IPT90" s="4"/>
      <c r="IPU90" s="4"/>
      <c r="IPV90" s="4"/>
      <c r="IPW90" s="4"/>
      <c r="IPX90" s="4"/>
      <c r="IPY90" s="4"/>
      <c r="IPZ90" s="4"/>
      <c r="IQA90" s="4"/>
      <c r="IQB90" s="4"/>
      <c r="IQC90" s="4"/>
      <c r="IQD90" s="4"/>
      <c r="IQE90" s="4"/>
      <c r="IQF90" s="4"/>
      <c r="IQG90" s="4"/>
      <c r="IQH90" s="4"/>
      <c r="IQI90" s="4"/>
      <c r="IQJ90" s="4"/>
      <c r="IQK90" s="4"/>
      <c r="IQL90" s="4"/>
      <c r="IQM90" s="4"/>
      <c r="IQN90" s="4"/>
      <c r="IQO90" s="4"/>
      <c r="IQP90" s="4"/>
      <c r="IQQ90" s="4"/>
      <c r="IQR90" s="4"/>
      <c r="IQS90" s="4"/>
      <c r="IQT90" s="4"/>
      <c r="IQU90" s="4"/>
      <c r="IQV90" s="4"/>
      <c r="IQW90" s="4"/>
      <c r="IQX90" s="4"/>
      <c r="IQY90" s="4"/>
      <c r="IQZ90" s="4"/>
      <c r="IRA90" s="4"/>
      <c r="IRB90" s="4"/>
      <c r="IRC90" s="4"/>
      <c r="IRD90" s="4"/>
      <c r="IRE90" s="4"/>
      <c r="IRF90" s="4"/>
      <c r="IRG90" s="4"/>
      <c r="IRH90" s="4"/>
      <c r="IRI90" s="4"/>
      <c r="IRJ90" s="4"/>
      <c r="IRK90" s="4"/>
      <c r="IRL90" s="4"/>
      <c r="IRM90" s="4"/>
      <c r="IRN90" s="4"/>
      <c r="IRO90" s="4"/>
      <c r="IRP90" s="4"/>
      <c r="IRQ90" s="4"/>
      <c r="IRR90" s="4"/>
      <c r="IRS90" s="4"/>
      <c r="IRT90" s="4"/>
      <c r="IRU90" s="4"/>
      <c r="IRV90" s="4"/>
      <c r="IRW90" s="4"/>
      <c r="IRX90" s="4"/>
      <c r="IRY90" s="4"/>
      <c r="IRZ90" s="4"/>
      <c r="ISA90" s="4"/>
      <c r="ISB90" s="4"/>
      <c r="ISC90" s="4"/>
      <c r="ISD90" s="4"/>
      <c r="ISE90" s="4"/>
      <c r="ISF90" s="4"/>
      <c r="ISG90" s="4"/>
      <c r="ISH90" s="4"/>
      <c r="ISI90" s="4"/>
      <c r="ISJ90" s="4"/>
      <c r="ISK90" s="4"/>
      <c r="ISL90" s="4"/>
      <c r="ISM90" s="4"/>
      <c r="ISN90" s="4"/>
      <c r="ISO90" s="4"/>
      <c r="ISP90" s="4"/>
      <c r="ISQ90" s="4"/>
      <c r="ISR90" s="4"/>
      <c r="ISS90" s="4"/>
      <c r="IST90" s="4"/>
      <c r="ISU90" s="4"/>
      <c r="ISV90" s="4"/>
      <c r="ISW90" s="4"/>
      <c r="ISX90" s="4"/>
      <c r="ISY90" s="4"/>
      <c r="ISZ90" s="4"/>
      <c r="ITA90" s="4"/>
      <c r="ITB90" s="4"/>
      <c r="ITC90" s="4"/>
      <c r="ITD90" s="4"/>
      <c r="ITE90" s="4"/>
      <c r="ITF90" s="4"/>
      <c r="ITG90" s="4"/>
      <c r="ITH90" s="4"/>
      <c r="ITI90" s="4"/>
      <c r="ITJ90" s="4"/>
      <c r="ITK90" s="4"/>
      <c r="ITL90" s="4"/>
      <c r="ITM90" s="4"/>
      <c r="ITN90" s="4"/>
      <c r="ITO90" s="4"/>
      <c r="ITP90" s="4"/>
      <c r="ITQ90" s="4"/>
      <c r="ITR90" s="4"/>
      <c r="ITS90" s="4"/>
      <c r="ITT90" s="4"/>
      <c r="ITU90" s="4"/>
      <c r="ITV90" s="4"/>
      <c r="ITW90" s="4"/>
      <c r="ITX90" s="4"/>
      <c r="ITY90" s="4"/>
      <c r="ITZ90" s="4"/>
      <c r="IUA90" s="4"/>
      <c r="IUB90" s="4"/>
      <c r="IUC90" s="4"/>
      <c r="IUD90" s="4"/>
      <c r="IUE90" s="4"/>
      <c r="IUF90" s="4"/>
      <c r="IUG90" s="4"/>
      <c r="IUH90" s="4"/>
      <c r="IUI90" s="4"/>
      <c r="IUJ90" s="4"/>
      <c r="IUK90" s="4"/>
      <c r="IUL90" s="4"/>
      <c r="IUM90" s="4"/>
      <c r="IUN90" s="4"/>
      <c r="IUO90" s="4"/>
      <c r="IUP90" s="4"/>
      <c r="IUQ90" s="4"/>
      <c r="IUR90" s="4"/>
      <c r="IUS90" s="4"/>
      <c r="IUT90" s="4"/>
      <c r="IUU90" s="4"/>
      <c r="IUV90" s="4"/>
      <c r="IUW90" s="4"/>
      <c r="IUX90" s="4"/>
      <c r="IUY90" s="4"/>
      <c r="IUZ90" s="4"/>
      <c r="IVA90" s="4"/>
      <c r="IVB90" s="4"/>
      <c r="IVC90" s="4"/>
      <c r="IVD90" s="4"/>
      <c r="IVE90" s="4"/>
      <c r="IVF90" s="4"/>
      <c r="IVG90" s="4"/>
      <c r="IVH90" s="4"/>
      <c r="IVI90" s="4"/>
      <c r="IVJ90" s="4"/>
      <c r="IVK90" s="4"/>
      <c r="IVL90" s="4"/>
      <c r="IVM90" s="4"/>
      <c r="IVN90" s="4"/>
      <c r="IVO90" s="4"/>
      <c r="IVP90" s="4"/>
      <c r="IVQ90" s="4"/>
      <c r="IVR90" s="4"/>
      <c r="IVS90" s="4"/>
      <c r="IVT90" s="4"/>
      <c r="IVU90" s="4"/>
      <c r="IVV90" s="4"/>
      <c r="IVW90" s="4"/>
      <c r="IVX90" s="4"/>
      <c r="IVY90" s="4"/>
      <c r="IVZ90" s="4"/>
      <c r="IWA90" s="4"/>
      <c r="IWB90" s="4"/>
      <c r="IWC90" s="4"/>
      <c r="IWD90" s="4"/>
      <c r="IWE90" s="4"/>
      <c r="IWF90" s="4"/>
      <c r="IWG90" s="4"/>
      <c r="IWH90" s="4"/>
      <c r="IWI90" s="4"/>
      <c r="IWJ90" s="4"/>
      <c r="IWK90" s="4"/>
      <c r="IWL90" s="4"/>
      <c r="IWM90" s="4"/>
      <c r="IWN90" s="4"/>
      <c r="IWO90" s="4"/>
      <c r="IWP90" s="4"/>
      <c r="IWQ90" s="4"/>
      <c r="IWR90" s="4"/>
      <c r="IWS90" s="4"/>
      <c r="IWT90" s="4"/>
      <c r="IWU90" s="4"/>
      <c r="IWV90" s="4"/>
      <c r="IWW90" s="4"/>
      <c r="IWX90" s="4"/>
      <c r="IWY90" s="4"/>
      <c r="IWZ90" s="4"/>
      <c r="IXA90" s="4"/>
      <c r="IXB90" s="4"/>
      <c r="IXC90" s="4"/>
      <c r="IXD90" s="4"/>
      <c r="IXE90" s="4"/>
      <c r="IXF90" s="4"/>
      <c r="IXG90" s="4"/>
      <c r="IXH90" s="4"/>
      <c r="IXI90" s="4"/>
      <c r="IXJ90" s="4"/>
      <c r="IXK90" s="4"/>
      <c r="IXL90" s="4"/>
      <c r="IXM90" s="4"/>
      <c r="IXN90" s="4"/>
      <c r="IXO90" s="4"/>
      <c r="IXP90" s="4"/>
      <c r="IXQ90" s="4"/>
      <c r="IXR90" s="4"/>
      <c r="IXS90" s="4"/>
      <c r="IXT90" s="4"/>
      <c r="IXU90" s="4"/>
      <c r="IXV90" s="4"/>
      <c r="IXW90" s="4"/>
      <c r="IXX90" s="4"/>
      <c r="IXY90" s="4"/>
      <c r="IXZ90" s="4"/>
      <c r="IYA90" s="4"/>
      <c r="IYB90" s="4"/>
      <c r="IYC90" s="4"/>
      <c r="IYD90" s="4"/>
      <c r="IYE90" s="4"/>
      <c r="IYF90" s="4"/>
      <c r="IYG90" s="4"/>
      <c r="IYH90" s="4"/>
      <c r="IYI90" s="4"/>
      <c r="IYJ90" s="4"/>
      <c r="IYK90" s="4"/>
      <c r="IYL90" s="4"/>
      <c r="IYM90" s="4"/>
      <c r="IYN90" s="4"/>
      <c r="IYO90" s="4"/>
      <c r="IYP90" s="4"/>
      <c r="IYQ90" s="4"/>
      <c r="IYR90" s="4"/>
      <c r="IYS90" s="4"/>
      <c r="IYT90" s="4"/>
      <c r="IYU90" s="4"/>
      <c r="IYV90" s="4"/>
      <c r="IYW90" s="4"/>
      <c r="IYX90" s="4"/>
      <c r="IYY90" s="4"/>
      <c r="IYZ90" s="4"/>
      <c r="IZA90" s="4"/>
      <c r="IZB90" s="4"/>
      <c r="IZC90" s="4"/>
      <c r="IZD90" s="4"/>
      <c r="IZE90" s="4"/>
      <c r="IZF90" s="4"/>
      <c r="IZG90" s="4"/>
      <c r="IZH90" s="4"/>
      <c r="IZI90" s="4"/>
      <c r="IZJ90" s="4"/>
      <c r="IZK90" s="4"/>
      <c r="IZL90" s="4"/>
      <c r="IZM90" s="4"/>
      <c r="IZN90" s="4"/>
      <c r="IZO90" s="4"/>
      <c r="IZP90" s="4"/>
      <c r="IZQ90" s="4"/>
      <c r="IZR90" s="4"/>
      <c r="IZS90" s="4"/>
      <c r="IZT90" s="4"/>
      <c r="IZU90" s="4"/>
      <c r="IZV90" s="4"/>
      <c r="IZW90" s="4"/>
      <c r="IZX90" s="4"/>
      <c r="IZY90" s="4"/>
      <c r="IZZ90" s="4"/>
      <c r="JAA90" s="4"/>
      <c r="JAB90" s="4"/>
      <c r="JAC90" s="4"/>
      <c r="JAD90" s="4"/>
      <c r="JAE90" s="4"/>
      <c r="JAF90" s="4"/>
      <c r="JAG90" s="4"/>
      <c r="JAH90" s="4"/>
      <c r="JAI90" s="4"/>
      <c r="JAJ90" s="4"/>
      <c r="JAK90" s="4"/>
      <c r="JAL90" s="4"/>
      <c r="JAM90" s="4"/>
      <c r="JAN90" s="4"/>
      <c r="JAO90" s="4"/>
      <c r="JAP90" s="4"/>
      <c r="JAQ90" s="4"/>
      <c r="JAR90" s="4"/>
      <c r="JAS90" s="4"/>
      <c r="JAT90" s="4"/>
      <c r="JAU90" s="4"/>
      <c r="JAV90" s="4"/>
      <c r="JAW90" s="4"/>
      <c r="JAX90" s="4"/>
      <c r="JAY90" s="4"/>
      <c r="JAZ90" s="4"/>
      <c r="JBA90" s="4"/>
      <c r="JBB90" s="4"/>
      <c r="JBC90" s="4"/>
      <c r="JBD90" s="4"/>
      <c r="JBE90" s="4"/>
      <c r="JBF90" s="4"/>
      <c r="JBG90" s="4"/>
      <c r="JBH90" s="4"/>
      <c r="JBI90" s="4"/>
      <c r="JBJ90" s="4"/>
      <c r="JBK90" s="4"/>
      <c r="JBL90" s="4"/>
      <c r="JBM90" s="4"/>
      <c r="JBN90" s="4"/>
      <c r="JBO90" s="4"/>
      <c r="JBP90" s="4"/>
      <c r="JBQ90" s="4"/>
      <c r="JBR90" s="4"/>
      <c r="JBS90" s="4"/>
      <c r="JBT90" s="4"/>
      <c r="JBU90" s="4"/>
      <c r="JBV90" s="4"/>
      <c r="JBW90" s="4"/>
      <c r="JBX90" s="4"/>
      <c r="JBY90" s="4"/>
      <c r="JBZ90" s="4"/>
      <c r="JCA90" s="4"/>
      <c r="JCB90" s="4"/>
      <c r="JCC90" s="4"/>
      <c r="JCD90" s="4"/>
      <c r="JCE90" s="4"/>
      <c r="JCF90" s="4"/>
      <c r="JCG90" s="4"/>
      <c r="JCH90" s="4"/>
      <c r="JCI90" s="4"/>
      <c r="JCJ90" s="4"/>
      <c r="JCK90" s="4"/>
      <c r="JCL90" s="4"/>
      <c r="JCM90" s="4"/>
      <c r="JCN90" s="4"/>
      <c r="JCO90" s="4"/>
      <c r="JCP90" s="4"/>
      <c r="JCQ90" s="4"/>
      <c r="JCR90" s="4"/>
      <c r="JCS90" s="4"/>
      <c r="JCT90" s="4"/>
      <c r="JCU90" s="4"/>
      <c r="JCV90" s="4"/>
      <c r="JCW90" s="4"/>
      <c r="JCX90" s="4"/>
      <c r="JCY90" s="4"/>
      <c r="JCZ90" s="4"/>
      <c r="JDA90" s="4"/>
      <c r="JDB90" s="4"/>
      <c r="JDC90" s="4"/>
      <c r="JDD90" s="4"/>
      <c r="JDE90" s="4"/>
      <c r="JDF90" s="4"/>
      <c r="JDG90" s="4"/>
      <c r="JDH90" s="4"/>
      <c r="JDI90" s="4"/>
      <c r="JDJ90" s="4"/>
      <c r="JDK90" s="4"/>
      <c r="JDL90" s="4"/>
      <c r="JDM90" s="4"/>
      <c r="JDN90" s="4"/>
      <c r="JDO90" s="4"/>
      <c r="JDP90" s="4"/>
      <c r="JDQ90" s="4"/>
      <c r="JDR90" s="4"/>
      <c r="JDS90" s="4"/>
      <c r="JDT90" s="4"/>
      <c r="JDU90" s="4"/>
      <c r="JDV90" s="4"/>
      <c r="JDW90" s="4"/>
      <c r="JDX90" s="4"/>
      <c r="JDY90" s="4"/>
      <c r="JDZ90" s="4"/>
      <c r="JEA90" s="4"/>
      <c r="JEB90" s="4"/>
      <c r="JEC90" s="4"/>
      <c r="JED90" s="4"/>
      <c r="JEE90" s="4"/>
      <c r="JEF90" s="4"/>
      <c r="JEG90" s="4"/>
      <c r="JEH90" s="4"/>
      <c r="JEI90" s="4"/>
      <c r="JEJ90" s="4"/>
      <c r="JEK90" s="4"/>
      <c r="JEL90" s="4"/>
      <c r="JEM90" s="4"/>
      <c r="JEN90" s="4"/>
      <c r="JEO90" s="4"/>
      <c r="JEP90" s="4"/>
      <c r="JEQ90" s="4"/>
      <c r="JER90" s="4"/>
      <c r="JES90" s="4"/>
      <c r="JET90" s="4"/>
      <c r="JEU90" s="4"/>
      <c r="JEV90" s="4"/>
      <c r="JEW90" s="4"/>
      <c r="JEX90" s="4"/>
      <c r="JEY90" s="4"/>
      <c r="JEZ90" s="4"/>
      <c r="JFA90" s="4"/>
      <c r="JFB90" s="4"/>
      <c r="JFC90" s="4"/>
      <c r="JFD90" s="4"/>
      <c r="JFE90" s="4"/>
      <c r="JFF90" s="4"/>
      <c r="JFG90" s="4"/>
      <c r="JFH90" s="4"/>
      <c r="JFI90" s="4"/>
      <c r="JFJ90" s="4"/>
      <c r="JFK90" s="4"/>
      <c r="JFL90" s="4"/>
      <c r="JFM90" s="4"/>
      <c r="JFN90" s="4"/>
      <c r="JFO90" s="4"/>
      <c r="JFP90" s="4"/>
      <c r="JFQ90" s="4"/>
      <c r="JFR90" s="4"/>
      <c r="JFS90" s="4"/>
      <c r="JFT90" s="4"/>
      <c r="JFU90" s="4"/>
      <c r="JFV90" s="4"/>
      <c r="JFW90" s="4"/>
      <c r="JFX90" s="4"/>
      <c r="JFY90" s="4"/>
      <c r="JFZ90" s="4"/>
      <c r="JGA90" s="4"/>
      <c r="JGB90" s="4"/>
      <c r="JGC90" s="4"/>
      <c r="JGD90" s="4"/>
      <c r="JGE90" s="4"/>
      <c r="JGF90" s="4"/>
      <c r="JGG90" s="4"/>
      <c r="JGH90" s="4"/>
      <c r="JGI90" s="4"/>
      <c r="JGJ90" s="4"/>
      <c r="JGK90" s="4"/>
      <c r="JGL90" s="4"/>
      <c r="JGM90" s="4"/>
      <c r="JGN90" s="4"/>
      <c r="JGO90" s="4"/>
      <c r="JGP90" s="4"/>
      <c r="JGQ90" s="4"/>
      <c r="JGR90" s="4"/>
      <c r="JGS90" s="4"/>
      <c r="JGT90" s="4"/>
      <c r="JGU90" s="4"/>
      <c r="JGV90" s="4"/>
      <c r="JGW90" s="4"/>
      <c r="JGX90" s="4"/>
      <c r="JGY90" s="4"/>
      <c r="JGZ90" s="4"/>
      <c r="JHA90" s="4"/>
      <c r="JHB90" s="4"/>
      <c r="JHC90" s="4"/>
      <c r="JHD90" s="4"/>
      <c r="JHE90" s="4"/>
      <c r="JHF90" s="4"/>
      <c r="JHG90" s="4"/>
      <c r="JHH90" s="4"/>
      <c r="JHI90" s="4"/>
      <c r="JHJ90" s="4"/>
      <c r="JHK90" s="4"/>
      <c r="JHL90" s="4"/>
      <c r="JHM90" s="4"/>
      <c r="JHN90" s="4"/>
      <c r="JHO90" s="4"/>
      <c r="JHP90" s="4"/>
      <c r="JHQ90" s="4"/>
      <c r="JHR90" s="4"/>
      <c r="JHS90" s="4"/>
      <c r="JHT90" s="4"/>
      <c r="JHU90" s="4"/>
      <c r="JHV90" s="4"/>
      <c r="JHW90" s="4"/>
      <c r="JHX90" s="4"/>
      <c r="JHY90" s="4"/>
      <c r="JHZ90" s="4"/>
      <c r="JIA90" s="4"/>
      <c r="JIB90" s="4"/>
      <c r="JIC90" s="4"/>
      <c r="JID90" s="4"/>
      <c r="JIE90" s="4"/>
      <c r="JIF90" s="4"/>
      <c r="JIG90" s="4"/>
      <c r="JIH90" s="4"/>
      <c r="JII90" s="4"/>
      <c r="JIJ90" s="4"/>
      <c r="JIK90" s="4"/>
      <c r="JIL90" s="4"/>
      <c r="JIM90" s="4"/>
      <c r="JIN90" s="4"/>
      <c r="JIO90" s="4"/>
      <c r="JIP90" s="4"/>
      <c r="JIQ90" s="4"/>
      <c r="JIR90" s="4"/>
      <c r="JIS90" s="4"/>
      <c r="JIT90" s="4"/>
      <c r="JIU90" s="4"/>
      <c r="JIV90" s="4"/>
      <c r="JIW90" s="4"/>
      <c r="JIX90" s="4"/>
      <c r="JIY90" s="4"/>
      <c r="JIZ90" s="4"/>
      <c r="JJA90" s="4"/>
      <c r="JJB90" s="4"/>
      <c r="JJC90" s="4"/>
      <c r="JJD90" s="4"/>
      <c r="JJE90" s="4"/>
      <c r="JJF90" s="4"/>
      <c r="JJG90" s="4"/>
      <c r="JJH90" s="4"/>
      <c r="JJI90" s="4"/>
      <c r="JJJ90" s="4"/>
      <c r="JJK90" s="4"/>
      <c r="JJL90" s="4"/>
      <c r="JJM90" s="4"/>
      <c r="JJN90" s="4"/>
      <c r="JJO90" s="4"/>
      <c r="JJP90" s="4"/>
      <c r="JJQ90" s="4"/>
      <c r="JJR90" s="4"/>
      <c r="JJS90" s="4"/>
      <c r="JJT90" s="4"/>
      <c r="JJU90" s="4"/>
      <c r="JJV90" s="4"/>
      <c r="JJW90" s="4"/>
      <c r="JJX90" s="4"/>
      <c r="JJY90" s="4"/>
      <c r="JJZ90" s="4"/>
      <c r="JKA90" s="4"/>
      <c r="JKB90" s="4"/>
      <c r="JKC90" s="4"/>
      <c r="JKD90" s="4"/>
      <c r="JKE90" s="4"/>
      <c r="JKF90" s="4"/>
      <c r="JKG90" s="4"/>
      <c r="JKH90" s="4"/>
      <c r="JKI90" s="4"/>
      <c r="JKJ90" s="4"/>
      <c r="JKK90" s="4"/>
      <c r="JKL90" s="4"/>
      <c r="JKM90" s="4"/>
      <c r="JKN90" s="4"/>
      <c r="JKO90" s="4"/>
      <c r="JKP90" s="4"/>
      <c r="JKQ90" s="4"/>
      <c r="JKR90" s="4"/>
      <c r="JKS90" s="4"/>
      <c r="JKT90" s="4"/>
      <c r="JKU90" s="4"/>
      <c r="JKV90" s="4"/>
      <c r="JKW90" s="4"/>
      <c r="JKX90" s="4"/>
      <c r="JKY90" s="4"/>
      <c r="JKZ90" s="4"/>
      <c r="JLA90" s="4"/>
      <c r="JLB90" s="4"/>
      <c r="JLC90" s="4"/>
      <c r="JLD90" s="4"/>
      <c r="JLE90" s="4"/>
      <c r="JLF90" s="4"/>
      <c r="JLG90" s="4"/>
      <c r="JLH90" s="4"/>
      <c r="JLI90" s="4"/>
      <c r="JLJ90" s="4"/>
      <c r="JLK90" s="4"/>
      <c r="JLL90" s="4"/>
      <c r="JLM90" s="4"/>
      <c r="JLN90" s="4"/>
      <c r="JLO90" s="4"/>
      <c r="JLP90" s="4"/>
      <c r="JLQ90" s="4"/>
      <c r="JLR90" s="4"/>
      <c r="JLS90" s="4"/>
      <c r="JLT90" s="4"/>
      <c r="JLU90" s="4"/>
      <c r="JLV90" s="4"/>
      <c r="JLW90" s="4"/>
      <c r="JLX90" s="4"/>
      <c r="JLY90" s="4"/>
      <c r="JLZ90" s="4"/>
      <c r="JMA90" s="4"/>
      <c r="JMB90" s="4"/>
      <c r="JMC90" s="4"/>
      <c r="JMD90" s="4"/>
      <c r="JME90" s="4"/>
      <c r="JMF90" s="4"/>
      <c r="JMG90" s="4"/>
      <c r="JMH90" s="4"/>
      <c r="JMI90" s="4"/>
      <c r="JMJ90" s="4"/>
      <c r="JMK90" s="4"/>
      <c r="JML90" s="4"/>
      <c r="JMM90" s="4"/>
      <c r="JMN90" s="4"/>
      <c r="JMO90" s="4"/>
      <c r="JMP90" s="4"/>
      <c r="JMQ90" s="4"/>
      <c r="JMR90" s="4"/>
      <c r="JMS90" s="4"/>
      <c r="JMT90" s="4"/>
      <c r="JMU90" s="4"/>
      <c r="JMV90" s="4"/>
      <c r="JMW90" s="4"/>
      <c r="JMX90" s="4"/>
      <c r="JMY90" s="4"/>
      <c r="JMZ90" s="4"/>
      <c r="JNA90" s="4"/>
      <c r="JNB90" s="4"/>
      <c r="JNC90" s="4"/>
      <c r="JND90" s="4"/>
      <c r="JNE90" s="4"/>
      <c r="JNF90" s="4"/>
      <c r="JNG90" s="4"/>
      <c r="JNH90" s="4"/>
      <c r="JNI90" s="4"/>
      <c r="JNJ90" s="4"/>
      <c r="JNK90" s="4"/>
      <c r="JNL90" s="4"/>
      <c r="JNM90" s="4"/>
      <c r="JNN90" s="4"/>
      <c r="JNO90" s="4"/>
      <c r="JNP90" s="4"/>
      <c r="JNQ90" s="4"/>
      <c r="JNR90" s="4"/>
      <c r="JNS90" s="4"/>
      <c r="JNT90" s="4"/>
      <c r="JNU90" s="4"/>
      <c r="JNV90" s="4"/>
      <c r="JNW90" s="4"/>
      <c r="JNX90" s="4"/>
      <c r="JNY90" s="4"/>
      <c r="JNZ90" s="4"/>
      <c r="JOA90" s="4"/>
      <c r="JOB90" s="4"/>
      <c r="JOC90" s="4"/>
      <c r="JOD90" s="4"/>
      <c r="JOE90" s="4"/>
      <c r="JOF90" s="4"/>
      <c r="JOG90" s="4"/>
      <c r="JOH90" s="4"/>
      <c r="JOI90" s="4"/>
      <c r="JOJ90" s="4"/>
      <c r="JOK90" s="4"/>
      <c r="JOL90" s="4"/>
      <c r="JOM90" s="4"/>
      <c r="JON90" s="4"/>
      <c r="JOO90" s="4"/>
      <c r="JOP90" s="4"/>
      <c r="JOQ90" s="4"/>
      <c r="JOR90" s="4"/>
      <c r="JOS90" s="4"/>
      <c r="JOT90" s="4"/>
      <c r="JOU90" s="4"/>
      <c r="JOV90" s="4"/>
      <c r="JOW90" s="4"/>
      <c r="JOX90" s="4"/>
      <c r="JOY90" s="4"/>
      <c r="JOZ90" s="4"/>
      <c r="JPA90" s="4"/>
      <c r="JPB90" s="4"/>
      <c r="JPC90" s="4"/>
      <c r="JPD90" s="4"/>
      <c r="JPE90" s="4"/>
      <c r="JPF90" s="4"/>
      <c r="JPG90" s="4"/>
      <c r="JPH90" s="4"/>
      <c r="JPI90" s="4"/>
      <c r="JPJ90" s="4"/>
      <c r="JPK90" s="4"/>
      <c r="JPL90" s="4"/>
      <c r="JPM90" s="4"/>
      <c r="JPN90" s="4"/>
      <c r="JPO90" s="4"/>
      <c r="JPP90" s="4"/>
      <c r="JPQ90" s="4"/>
      <c r="JPR90" s="4"/>
      <c r="JPS90" s="4"/>
      <c r="JPT90" s="4"/>
      <c r="JPU90" s="4"/>
      <c r="JPV90" s="4"/>
      <c r="JPW90" s="4"/>
      <c r="JPX90" s="4"/>
      <c r="JPY90" s="4"/>
      <c r="JPZ90" s="4"/>
      <c r="JQA90" s="4"/>
      <c r="JQB90" s="4"/>
      <c r="JQC90" s="4"/>
      <c r="JQD90" s="4"/>
      <c r="JQE90" s="4"/>
      <c r="JQF90" s="4"/>
      <c r="JQG90" s="4"/>
      <c r="JQH90" s="4"/>
      <c r="JQI90" s="4"/>
      <c r="JQJ90" s="4"/>
      <c r="JQK90" s="4"/>
      <c r="JQL90" s="4"/>
      <c r="JQM90" s="4"/>
      <c r="JQN90" s="4"/>
      <c r="JQO90" s="4"/>
      <c r="JQP90" s="4"/>
      <c r="JQQ90" s="4"/>
      <c r="JQR90" s="4"/>
      <c r="JQS90" s="4"/>
      <c r="JQT90" s="4"/>
      <c r="JQU90" s="4"/>
      <c r="JQV90" s="4"/>
      <c r="JQW90" s="4"/>
      <c r="JQX90" s="4"/>
      <c r="JQY90" s="4"/>
      <c r="JQZ90" s="4"/>
      <c r="JRA90" s="4"/>
      <c r="JRB90" s="4"/>
      <c r="JRC90" s="4"/>
      <c r="JRD90" s="4"/>
      <c r="JRE90" s="4"/>
      <c r="JRF90" s="4"/>
      <c r="JRG90" s="4"/>
      <c r="JRH90" s="4"/>
      <c r="JRI90" s="4"/>
      <c r="JRJ90" s="4"/>
      <c r="JRK90" s="4"/>
      <c r="JRL90" s="4"/>
      <c r="JRM90" s="4"/>
      <c r="JRN90" s="4"/>
      <c r="JRO90" s="4"/>
      <c r="JRP90" s="4"/>
      <c r="JRQ90" s="4"/>
      <c r="JRR90" s="4"/>
      <c r="JRS90" s="4"/>
      <c r="JRT90" s="4"/>
      <c r="JRU90" s="4"/>
      <c r="JRV90" s="4"/>
      <c r="JRW90" s="4"/>
      <c r="JRX90" s="4"/>
      <c r="JRY90" s="4"/>
      <c r="JRZ90" s="4"/>
      <c r="JSA90" s="4"/>
      <c r="JSB90" s="4"/>
      <c r="JSC90" s="4"/>
      <c r="JSD90" s="4"/>
      <c r="JSE90" s="4"/>
      <c r="JSF90" s="4"/>
      <c r="JSG90" s="4"/>
      <c r="JSH90" s="4"/>
      <c r="JSI90" s="4"/>
      <c r="JSJ90" s="4"/>
      <c r="JSK90" s="4"/>
      <c r="JSL90" s="4"/>
      <c r="JSM90" s="4"/>
      <c r="JSN90" s="4"/>
      <c r="JSO90" s="4"/>
      <c r="JSP90" s="4"/>
      <c r="JSQ90" s="4"/>
      <c r="JSR90" s="4"/>
      <c r="JSS90" s="4"/>
      <c r="JST90" s="4"/>
      <c r="JSU90" s="4"/>
      <c r="JSV90" s="4"/>
      <c r="JSW90" s="4"/>
      <c r="JSX90" s="4"/>
      <c r="JSY90" s="4"/>
      <c r="JSZ90" s="4"/>
      <c r="JTA90" s="4"/>
      <c r="JTB90" s="4"/>
      <c r="JTC90" s="4"/>
      <c r="JTD90" s="4"/>
      <c r="JTE90" s="4"/>
      <c r="JTF90" s="4"/>
      <c r="JTG90" s="4"/>
      <c r="JTH90" s="4"/>
      <c r="JTI90" s="4"/>
      <c r="JTJ90" s="4"/>
      <c r="JTK90" s="4"/>
      <c r="JTL90" s="4"/>
      <c r="JTM90" s="4"/>
      <c r="JTN90" s="4"/>
      <c r="JTO90" s="4"/>
      <c r="JTP90" s="4"/>
      <c r="JTQ90" s="4"/>
      <c r="JTR90" s="4"/>
      <c r="JTS90" s="4"/>
      <c r="JTT90" s="4"/>
      <c r="JTU90" s="4"/>
      <c r="JTV90" s="4"/>
      <c r="JTW90" s="4"/>
      <c r="JTX90" s="4"/>
      <c r="JTY90" s="4"/>
      <c r="JTZ90" s="4"/>
      <c r="JUA90" s="4"/>
      <c r="JUB90" s="4"/>
      <c r="JUC90" s="4"/>
      <c r="JUD90" s="4"/>
      <c r="JUE90" s="4"/>
      <c r="JUF90" s="4"/>
      <c r="JUG90" s="4"/>
      <c r="JUH90" s="4"/>
      <c r="JUI90" s="4"/>
      <c r="JUJ90" s="4"/>
      <c r="JUK90" s="4"/>
      <c r="JUL90" s="4"/>
      <c r="JUM90" s="4"/>
      <c r="JUN90" s="4"/>
      <c r="JUO90" s="4"/>
      <c r="JUP90" s="4"/>
      <c r="JUQ90" s="4"/>
      <c r="JUR90" s="4"/>
      <c r="JUS90" s="4"/>
      <c r="JUT90" s="4"/>
      <c r="JUU90" s="4"/>
      <c r="JUV90" s="4"/>
      <c r="JUW90" s="4"/>
      <c r="JUX90" s="4"/>
      <c r="JUY90" s="4"/>
      <c r="JUZ90" s="4"/>
      <c r="JVA90" s="4"/>
      <c r="JVB90" s="4"/>
      <c r="JVC90" s="4"/>
      <c r="JVD90" s="4"/>
      <c r="JVE90" s="4"/>
      <c r="JVF90" s="4"/>
      <c r="JVG90" s="4"/>
      <c r="JVH90" s="4"/>
      <c r="JVI90" s="4"/>
      <c r="JVJ90" s="4"/>
      <c r="JVK90" s="4"/>
      <c r="JVL90" s="4"/>
      <c r="JVM90" s="4"/>
      <c r="JVN90" s="4"/>
      <c r="JVO90" s="4"/>
      <c r="JVP90" s="4"/>
      <c r="JVQ90" s="4"/>
      <c r="JVR90" s="4"/>
      <c r="JVS90" s="4"/>
      <c r="JVT90" s="4"/>
      <c r="JVU90" s="4"/>
      <c r="JVV90" s="4"/>
      <c r="JVW90" s="4"/>
      <c r="JVX90" s="4"/>
      <c r="JVY90" s="4"/>
      <c r="JVZ90" s="4"/>
      <c r="JWA90" s="4"/>
      <c r="JWB90" s="4"/>
      <c r="JWC90" s="4"/>
      <c r="JWD90" s="4"/>
      <c r="JWE90" s="4"/>
      <c r="JWF90" s="4"/>
      <c r="JWG90" s="4"/>
      <c r="JWH90" s="4"/>
      <c r="JWI90" s="4"/>
      <c r="JWJ90" s="4"/>
      <c r="JWK90" s="4"/>
      <c r="JWL90" s="4"/>
      <c r="JWM90" s="4"/>
      <c r="JWN90" s="4"/>
      <c r="JWO90" s="4"/>
      <c r="JWP90" s="4"/>
      <c r="JWQ90" s="4"/>
      <c r="JWR90" s="4"/>
      <c r="JWS90" s="4"/>
      <c r="JWT90" s="4"/>
      <c r="JWU90" s="4"/>
      <c r="JWV90" s="4"/>
      <c r="JWW90" s="4"/>
      <c r="JWX90" s="4"/>
      <c r="JWY90" s="4"/>
      <c r="JWZ90" s="4"/>
      <c r="JXA90" s="4"/>
      <c r="JXB90" s="4"/>
      <c r="JXC90" s="4"/>
      <c r="JXD90" s="4"/>
      <c r="JXE90" s="4"/>
      <c r="JXF90" s="4"/>
      <c r="JXG90" s="4"/>
      <c r="JXH90" s="4"/>
      <c r="JXI90" s="4"/>
      <c r="JXJ90" s="4"/>
      <c r="JXK90" s="4"/>
      <c r="JXL90" s="4"/>
      <c r="JXM90" s="4"/>
      <c r="JXN90" s="4"/>
      <c r="JXO90" s="4"/>
      <c r="JXP90" s="4"/>
      <c r="JXQ90" s="4"/>
      <c r="JXR90" s="4"/>
      <c r="JXS90" s="4"/>
      <c r="JXT90" s="4"/>
      <c r="JXU90" s="4"/>
      <c r="JXV90" s="4"/>
      <c r="JXW90" s="4"/>
      <c r="JXX90" s="4"/>
      <c r="JXY90" s="4"/>
      <c r="JXZ90" s="4"/>
      <c r="JYA90" s="4"/>
      <c r="JYB90" s="4"/>
      <c r="JYC90" s="4"/>
      <c r="JYD90" s="4"/>
      <c r="JYE90" s="4"/>
      <c r="JYF90" s="4"/>
      <c r="JYG90" s="4"/>
      <c r="JYH90" s="4"/>
      <c r="JYI90" s="4"/>
      <c r="JYJ90" s="4"/>
      <c r="JYK90" s="4"/>
      <c r="JYL90" s="4"/>
      <c r="JYM90" s="4"/>
      <c r="JYN90" s="4"/>
      <c r="JYO90" s="4"/>
      <c r="JYP90" s="4"/>
      <c r="JYQ90" s="4"/>
      <c r="JYR90" s="4"/>
      <c r="JYS90" s="4"/>
      <c r="JYT90" s="4"/>
      <c r="JYU90" s="4"/>
      <c r="JYV90" s="4"/>
      <c r="JYW90" s="4"/>
      <c r="JYX90" s="4"/>
      <c r="JYY90" s="4"/>
      <c r="JYZ90" s="4"/>
      <c r="JZA90" s="4"/>
      <c r="JZB90" s="4"/>
      <c r="JZC90" s="4"/>
      <c r="JZD90" s="4"/>
      <c r="JZE90" s="4"/>
      <c r="JZF90" s="4"/>
      <c r="JZG90" s="4"/>
      <c r="JZH90" s="4"/>
      <c r="JZI90" s="4"/>
      <c r="JZJ90" s="4"/>
      <c r="JZK90" s="4"/>
      <c r="JZL90" s="4"/>
      <c r="JZM90" s="4"/>
      <c r="JZN90" s="4"/>
      <c r="JZO90" s="4"/>
      <c r="JZP90" s="4"/>
      <c r="JZQ90" s="4"/>
      <c r="JZR90" s="4"/>
      <c r="JZS90" s="4"/>
      <c r="JZT90" s="4"/>
      <c r="JZU90" s="4"/>
      <c r="JZV90" s="4"/>
      <c r="JZW90" s="4"/>
      <c r="JZX90" s="4"/>
      <c r="JZY90" s="4"/>
      <c r="JZZ90" s="4"/>
      <c r="KAA90" s="4"/>
      <c r="KAB90" s="4"/>
      <c r="KAC90" s="4"/>
      <c r="KAD90" s="4"/>
      <c r="KAE90" s="4"/>
      <c r="KAF90" s="4"/>
      <c r="KAG90" s="4"/>
      <c r="KAH90" s="4"/>
      <c r="KAI90" s="4"/>
      <c r="KAJ90" s="4"/>
      <c r="KAK90" s="4"/>
      <c r="KAL90" s="4"/>
      <c r="KAM90" s="4"/>
      <c r="KAN90" s="4"/>
      <c r="KAO90" s="4"/>
      <c r="KAP90" s="4"/>
      <c r="KAQ90" s="4"/>
      <c r="KAR90" s="4"/>
      <c r="KAS90" s="4"/>
      <c r="KAT90" s="4"/>
      <c r="KAU90" s="4"/>
      <c r="KAV90" s="4"/>
      <c r="KAW90" s="4"/>
      <c r="KAX90" s="4"/>
      <c r="KAY90" s="4"/>
      <c r="KAZ90" s="4"/>
      <c r="KBA90" s="4"/>
      <c r="KBB90" s="4"/>
      <c r="KBC90" s="4"/>
      <c r="KBD90" s="4"/>
      <c r="KBE90" s="4"/>
      <c r="KBF90" s="4"/>
      <c r="KBG90" s="4"/>
      <c r="KBH90" s="4"/>
      <c r="KBI90" s="4"/>
      <c r="KBJ90" s="4"/>
      <c r="KBK90" s="4"/>
      <c r="KBL90" s="4"/>
      <c r="KBM90" s="4"/>
      <c r="KBN90" s="4"/>
      <c r="KBO90" s="4"/>
      <c r="KBP90" s="4"/>
      <c r="KBQ90" s="4"/>
      <c r="KBR90" s="4"/>
      <c r="KBS90" s="4"/>
      <c r="KBT90" s="4"/>
      <c r="KBU90" s="4"/>
      <c r="KBV90" s="4"/>
      <c r="KBW90" s="4"/>
      <c r="KBX90" s="4"/>
      <c r="KBY90" s="4"/>
      <c r="KBZ90" s="4"/>
      <c r="KCA90" s="4"/>
      <c r="KCB90" s="4"/>
      <c r="KCC90" s="4"/>
      <c r="KCD90" s="4"/>
      <c r="KCE90" s="4"/>
      <c r="KCF90" s="4"/>
      <c r="KCG90" s="4"/>
      <c r="KCH90" s="4"/>
      <c r="KCI90" s="4"/>
      <c r="KCJ90" s="4"/>
      <c r="KCK90" s="4"/>
      <c r="KCL90" s="4"/>
      <c r="KCM90" s="4"/>
      <c r="KCN90" s="4"/>
      <c r="KCO90" s="4"/>
      <c r="KCP90" s="4"/>
      <c r="KCQ90" s="4"/>
      <c r="KCR90" s="4"/>
      <c r="KCS90" s="4"/>
      <c r="KCT90" s="4"/>
      <c r="KCU90" s="4"/>
      <c r="KCV90" s="4"/>
      <c r="KCW90" s="4"/>
      <c r="KCX90" s="4"/>
      <c r="KCY90" s="4"/>
      <c r="KCZ90" s="4"/>
      <c r="KDA90" s="4"/>
      <c r="KDB90" s="4"/>
      <c r="KDC90" s="4"/>
      <c r="KDD90" s="4"/>
      <c r="KDE90" s="4"/>
      <c r="KDF90" s="4"/>
      <c r="KDG90" s="4"/>
      <c r="KDH90" s="4"/>
      <c r="KDI90" s="4"/>
      <c r="KDJ90" s="4"/>
      <c r="KDK90" s="4"/>
      <c r="KDL90" s="4"/>
      <c r="KDM90" s="4"/>
      <c r="KDN90" s="4"/>
      <c r="KDO90" s="4"/>
      <c r="KDP90" s="4"/>
      <c r="KDQ90" s="4"/>
      <c r="KDR90" s="4"/>
      <c r="KDS90" s="4"/>
      <c r="KDT90" s="4"/>
      <c r="KDU90" s="4"/>
      <c r="KDV90" s="4"/>
      <c r="KDW90" s="4"/>
      <c r="KDX90" s="4"/>
      <c r="KDY90" s="4"/>
      <c r="KDZ90" s="4"/>
      <c r="KEA90" s="4"/>
      <c r="KEB90" s="4"/>
      <c r="KEC90" s="4"/>
      <c r="KED90" s="4"/>
      <c r="KEE90" s="4"/>
      <c r="KEF90" s="4"/>
      <c r="KEG90" s="4"/>
      <c r="KEH90" s="4"/>
      <c r="KEI90" s="4"/>
      <c r="KEJ90" s="4"/>
      <c r="KEK90" s="4"/>
      <c r="KEL90" s="4"/>
      <c r="KEM90" s="4"/>
      <c r="KEN90" s="4"/>
      <c r="KEO90" s="4"/>
      <c r="KEP90" s="4"/>
      <c r="KEQ90" s="4"/>
      <c r="KER90" s="4"/>
      <c r="KES90" s="4"/>
      <c r="KET90" s="4"/>
      <c r="KEU90" s="4"/>
      <c r="KEV90" s="4"/>
      <c r="KEW90" s="4"/>
      <c r="KEX90" s="4"/>
      <c r="KEY90" s="4"/>
      <c r="KEZ90" s="4"/>
      <c r="KFA90" s="4"/>
      <c r="KFB90" s="4"/>
      <c r="KFC90" s="4"/>
      <c r="KFD90" s="4"/>
      <c r="KFE90" s="4"/>
      <c r="KFF90" s="4"/>
      <c r="KFG90" s="4"/>
      <c r="KFH90" s="4"/>
      <c r="KFI90" s="4"/>
      <c r="KFJ90" s="4"/>
      <c r="KFK90" s="4"/>
      <c r="KFL90" s="4"/>
      <c r="KFM90" s="4"/>
      <c r="KFN90" s="4"/>
      <c r="KFO90" s="4"/>
      <c r="KFP90" s="4"/>
      <c r="KFQ90" s="4"/>
      <c r="KFR90" s="4"/>
      <c r="KFS90" s="4"/>
      <c r="KFT90" s="4"/>
      <c r="KFU90" s="4"/>
      <c r="KFV90" s="4"/>
      <c r="KFW90" s="4"/>
      <c r="KFX90" s="4"/>
      <c r="KFY90" s="4"/>
      <c r="KFZ90" s="4"/>
      <c r="KGA90" s="4"/>
      <c r="KGB90" s="4"/>
      <c r="KGC90" s="4"/>
      <c r="KGD90" s="4"/>
      <c r="KGE90" s="4"/>
      <c r="KGF90" s="4"/>
      <c r="KGG90" s="4"/>
      <c r="KGH90" s="4"/>
      <c r="KGI90" s="4"/>
      <c r="KGJ90" s="4"/>
      <c r="KGK90" s="4"/>
      <c r="KGL90" s="4"/>
      <c r="KGM90" s="4"/>
      <c r="KGN90" s="4"/>
      <c r="KGO90" s="4"/>
      <c r="KGP90" s="4"/>
      <c r="KGQ90" s="4"/>
      <c r="KGR90" s="4"/>
      <c r="KGS90" s="4"/>
      <c r="KGT90" s="4"/>
      <c r="KGU90" s="4"/>
      <c r="KGV90" s="4"/>
      <c r="KGW90" s="4"/>
      <c r="KGX90" s="4"/>
      <c r="KGY90" s="4"/>
      <c r="KGZ90" s="4"/>
      <c r="KHA90" s="4"/>
      <c r="KHB90" s="4"/>
      <c r="KHC90" s="4"/>
      <c r="KHD90" s="4"/>
      <c r="KHE90" s="4"/>
      <c r="KHF90" s="4"/>
      <c r="KHG90" s="4"/>
      <c r="KHH90" s="4"/>
      <c r="KHI90" s="4"/>
      <c r="KHJ90" s="4"/>
      <c r="KHK90" s="4"/>
      <c r="KHL90" s="4"/>
      <c r="KHM90" s="4"/>
      <c r="KHN90" s="4"/>
      <c r="KHO90" s="4"/>
      <c r="KHP90" s="4"/>
      <c r="KHQ90" s="4"/>
      <c r="KHR90" s="4"/>
      <c r="KHS90" s="4"/>
      <c r="KHT90" s="4"/>
      <c r="KHU90" s="4"/>
      <c r="KHV90" s="4"/>
      <c r="KHW90" s="4"/>
      <c r="KHX90" s="4"/>
      <c r="KHY90" s="4"/>
      <c r="KHZ90" s="4"/>
      <c r="KIA90" s="4"/>
      <c r="KIB90" s="4"/>
      <c r="KIC90" s="4"/>
      <c r="KID90" s="4"/>
      <c r="KIE90" s="4"/>
      <c r="KIF90" s="4"/>
      <c r="KIG90" s="4"/>
      <c r="KIH90" s="4"/>
      <c r="KII90" s="4"/>
      <c r="KIJ90" s="4"/>
      <c r="KIK90" s="4"/>
      <c r="KIL90" s="4"/>
      <c r="KIM90" s="4"/>
      <c r="KIN90" s="4"/>
      <c r="KIO90" s="4"/>
      <c r="KIP90" s="4"/>
      <c r="KIQ90" s="4"/>
      <c r="KIR90" s="4"/>
      <c r="KIS90" s="4"/>
      <c r="KIT90" s="4"/>
      <c r="KIU90" s="4"/>
      <c r="KIV90" s="4"/>
      <c r="KIW90" s="4"/>
      <c r="KIX90" s="4"/>
      <c r="KIY90" s="4"/>
      <c r="KIZ90" s="4"/>
      <c r="KJA90" s="4"/>
      <c r="KJB90" s="4"/>
      <c r="KJC90" s="4"/>
      <c r="KJD90" s="4"/>
      <c r="KJE90" s="4"/>
      <c r="KJF90" s="4"/>
      <c r="KJG90" s="4"/>
      <c r="KJH90" s="4"/>
      <c r="KJI90" s="4"/>
      <c r="KJJ90" s="4"/>
      <c r="KJK90" s="4"/>
      <c r="KJL90" s="4"/>
      <c r="KJM90" s="4"/>
      <c r="KJN90" s="4"/>
      <c r="KJO90" s="4"/>
      <c r="KJP90" s="4"/>
      <c r="KJQ90" s="4"/>
      <c r="KJR90" s="4"/>
      <c r="KJS90" s="4"/>
      <c r="KJT90" s="4"/>
      <c r="KJU90" s="4"/>
      <c r="KJV90" s="4"/>
      <c r="KJW90" s="4"/>
      <c r="KJX90" s="4"/>
      <c r="KJY90" s="4"/>
      <c r="KJZ90" s="4"/>
      <c r="KKA90" s="4"/>
      <c r="KKB90" s="4"/>
      <c r="KKC90" s="4"/>
      <c r="KKD90" s="4"/>
      <c r="KKE90" s="4"/>
      <c r="KKF90" s="4"/>
      <c r="KKG90" s="4"/>
      <c r="KKH90" s="4"/>
      <c r="KKI90" s="4"/>
      <c r="KKJ90" s="4"/>
      <c r="KKK90" s="4"/>
      <c r="KKL90" s="4"/>
      <c r="KKM90" s="4"/>
      <c r="KKN90" s="4"/>
      <c r="KKO90" s="4"/>
      <c r="KKP90" s="4"/>
      <c r="KKQ90" s="4"/>
      <c r="KKR90" s="4"/>
      <c r="KKS90" s="4"/>
      <c r="KKT90" s="4"/>
      <c r="KKU90" s="4"/>
      <c r="KKV90" s="4"/>
      <c r="KKW90" s="4"/>
      <c r="KKX90" s="4"/>
      <c r="KKY90" s="4"/>
      <c r="KKZ90" s="4"/>
      <c r="KLA90" s="4"/>
      <c r="KLB90" s="4"/>
      <c r="KLC90" s="4"/>
      <c r="KLD90" s="4"/>
      <c r="KLE90" s="4"/>
      <c r="KLF90" s="4"/>
      <c r="KLG90" s="4"/>
      <c r="KLH90" s="4"/>
      <c r="KLI90" s="4"/>
      <c r="KLJ90" s="4"/>
      <c r="KLK90" s="4"/>
      <c r="KLL90" s="4"/>
      <c r="KLM90" s="4"/>
      <c r="KLN90" s="4"/>
      <c r="KLO90" s="4"/>
      <c r="KLP90" s="4"/>
      <c r="KLQ90" s="4"/>
      <c r="KLR90" s="4"/>
      <c r="KLS90" s="4"/>
      <c r="KLT90" s="4"/>
      <c r="KLU90" s="4"/>
      <c r="KLV90" s="4"/>
      <c r="KLW90" s="4"/>
      <c r="KLX90" s="4"/>
      <c r="KLY90" s="4"/>
      <c r="KLZ90" s="4"/>
      <c r="KMA90" s="4"/>
      <c r="KMB90" s="4"/>
      <c r="KMC90" s="4"/>
      <c r="KMD90" s="4"/>
      <c r="KME90" s="4"/>
      <c r="KMF90" s="4"/>
      <c r="KMG90" s="4"/>
      <c r="KMH90" s="4"/>
      <c r="KMI90" s="4"/>
      <c r="KMJ90" s="4"/>
      <c r="KMK90" s="4"/>
      <c r="KML90" s="4"/>
      <c r="KMM90" s="4"/>
      <c r="KMN90" s="4"/>
      <c r="KMO90" s="4"/>
      <c r="KMP90" s="4"/>
      <c r="KMQ90" s="4"/>
      <c r="KMR90" s="4"/>
      <c r="KMS90" s="4"/>
      <c r="KMT90" s="4"/>
      <c r="KMU90" s="4"/>
      <c r="KMV90" s="4"/>
      <c r="KMW90" s="4"/>
      <c r="KMX90" s="4"/>
      <c r="KMY90" s="4"/>
      <c r="KMZ90" s="4"/>
      <c r="KNA90" s="4"/>
      <c r="KNB90" s="4"/>
      <c r="KNC90" s="4"/>
      <c r="KND90" s="4"/>
      <c r="KNE90" s="4"/>
      <c r="KNF90" s="4"/>
      <c r="KNG90" s="4"/>
      <c r="KNH90" s="4"/>
      <c r="KNI90" s="4"/>
      <c r="KNJ90" s="4"/>
      <c r="KNK90" s="4"/>
      <c r="KNL90" s="4"/>
      <c r="KNM90" s="4"/>
      <c r="KNN90" s="4"/>
      <c r="KNO90" s="4"/>
      <c r="KNP90" s="4"/>
      <c r="KNQ90" s="4"/>
      <c r="KNR90" s="4"/>
      <c r="KNS90" s="4"/>
      <c r="KNT90" s="4"/>
      <c r="KNU90" s="4"/>
      <c r="KNV90" s="4"/>
      <c r="KNW90" s="4"/>
      <c r="KNX90" s="4"/>
      <c r="KNY90" s="4"/>
      <c r="KNZ90" s="4"/>
      <c r="KOA90" s="4"/>
      <c r="KOB90" s="4"/>
      <c r="KOC90" s="4"/>
      <c r="KOD90" s="4"/>
      <c r="KOE90" s="4"/>
      <c r="KOF90" s="4"/>
      <c r="KOG90" s="4"/>
      <c r="KOH90" s="4"/>
      <c r="KOI90" s="4"/>
      <c r="KOJ90" s="4"/>
      <c r="KOK90" s="4"/>
      <c r="KOL90" s="4"/>
      <c r="KOM90" s="4"/>
      <c r="KON90" s="4"/>
      <c r="KOO90" s="4"/>
      <c r="KOP90" s="4"/>
      <c r="KOQ90" s="4"/>
      <c r="KOR90" s="4"/>
      <c r="KOS90" s="4"/>
      <c r="KOT90" s="4"/>
      <c r="KOU90" s="4"/>
      <c r="KOV90" s="4"/>
      <c r="KOW90" s="4"/>
      <c r="KOX90" s="4"/>
      <c r="KOY90" s="4"/>
      <c r="KOZ90" s="4"/>
      <c r="KPA90" s="4"/>
      <c r="KPB90" s="4"/>
      <c r="KPC90" s="4"/>
      <c r="KPD90" s="4"/>
      <c r="KPE90" s="4"/>
      <c r="KPF90" s="4"/>
      <c r="KPG90" s="4"/>
      <c r="KPH90" s="4"/>
      <c r="KPI90" s="4"/>
      <c r="KPJ90" s="4"/>
      <c r="KPK90" s="4"/>
      <c r="KPL90" s="4"/>
      <c r="KPM90" s="4"/>
      <c r="KPN90" s="4"/>
      <c r="KPO90" s="4"/>
      <c r="KPP90" s="4"/>
      <c r="KPQ90" s="4"/>
      <c r="KPR90" s="4"/>
      <c r="KPS90" s="4"/>
      <c r="KPT90" s="4"/>
      <c r="KPU90" s="4"/>
      <c r="KPV90" s="4"/>
      <c r="KPW90" s="4"/>
      <c r="KPX90" s="4"/>
      <c r="KPY90" s="4"/>
      <c r="KPZ90" s="4"/>
      <c r="KQA90" s="4"/>
      <c r="KQB90" s="4"/>
      <c r="KQC90" s="4"/>
      <c r="KQD90" s="4"/>
      <c r="KQE90" s="4"/>
      <c r="KQF90" s="4"/>
      <c r="KQG90" s="4"/>
      <c r="KQH90" s="4"/>
      <c r="KQI90" s="4"/>
      <c r="KQJ90" s="4"/>
      <c r="KQK90" s="4"/>
      <c r="KQL90" s="4"/>
      <c r="KQM90" s="4"/>
      <c r="KQN90" s="4"/>
      <c r="KQO90" s="4"/>
      <c r="KQP90" s="4"/>
      <c r="KQQ90" s="4"/>
      <c r="KQR90" s="4"/>
      <c r="KQS90" s="4"/>
      <c r="KQT90" s="4"/>
      <c r="KQU90" s="4"/>
      <c r="KQV90" s="4"/>
      <c r="KQW90" s="4"/>
      <c r="KQX90" s="4"/>
      <c r="KQY90" s="4"/>
      <c r="KQZ90" s="4"/>
      <c r="KRA90" s="4"/>
      <c r="KRB90" s="4"/>
      <c r="KRC90" s="4"/>
      <c r="KRD90" s="4"/>
      <c r="KRE90" s="4"/>
      <c r="KRF90" s="4"/>
      <c r="KRG90" s="4"/>
      <c r="KRH90" s="4"/>
      <c r="KRI90" s="4"/>
      <c r="KRJ90" s="4"/>
      <c r="KRK90" s="4"/>
      <c r="KRL90" s="4"/>
      <c r="KRM90" s="4"/>
      <c r="KRN90" s="4"/>
      <c r="KRO90" s="4"/>
      <c r="KRP90" s="4"/>
      <c r="KRQ90" s="4"/>
      <c r="KRR90" s="4"/>
      <c r="KRS90" s="4"/>
      <c r="KRT90" s="4"/>
      <c r="KRU90" s="4"/>
      <c r="KRV90" s="4"/>
      <c r="KRW90" s="4"/>
      <c r="KRX90" s="4"/>
      <c r="KRY90" s="4"/>
      <c r="KRZ90" s="4"/>
      <c r="KSA90" s="4"/>
      <c r="KSB90" s="4"/>
      <c r="KSC90" s="4"/>
      <c r="KSD90" s="4"/>
      <c r="KSE90" s="4"/>
      <c r="KSF90" s="4"/>
      <c r="KSG90" s="4"/>
      <c r="KSH90" s="4"/>
      <c r="KSI90" s="4"/>
      <c r="KSJ90" s="4"/>
      <c r="KSK90" s="4"/>
      <c r="KSL90" s="4"/>
      <c r="KSM90" s="4"/>
      <c r="KSN90" s="4"/>
      <c r="KSO90" s="4"/>
      <c r="KSP90" s="4"/>
      <c r="KSQ90" s="4"/>
      <c r="KSR90" s="4"/>
      <c r="KSS90" s="4"/>
      <c r="KST90" s="4"/>
      <c r="KSU90" s="4"/>
      <c r="KSV90" s="4"/>
      <c r="KSW90" s="4"/>
      <c r="KSX90" s="4"/>
      <c r="KSY90" s="4"/>
      <c r="KSZ90" s="4"/>
      <c r="KTA90" s="4"/>
      <c r="KTB90" s="4"/>
      <c r="KTC90" s="4"/>
      <c r="KTD90" s="4"/>
      <c r="KTE90" s="4"/>
      <c r="KTF90" s="4"/>
      <c r="KTG90" s="4"/>
      <c r="KTH90" s="4"/>
      <c r="KTI90" s="4"/>
      <c r="KTJ90" s="4"/>
      <c r="KTK90" s="4"/>
      <c r="KTL90" s="4"/>
      <c r="KTM90" s="4"/>
      <c r="KTN90" s="4"/>
      <c r="KTO90" s="4"/>
      <c r="KTP90" s="4"/>
      <c r="KTQ90" s="4"/>
      <c r="KTR90" s="4"/>
      <c r="KTS90" s="4"/>
      <c r="KTT90" s="4"/>
      <c r="KTU90" s="4"/>
      <c r="KTV90" s="4"/>
      <c r="KTW90" s="4"/>
      <c r="KTX90" s="4"/>
      <c r="KTY90" s="4"/>
      <c r="KTZ90" s="4"/>
      <c r="KUA90" s="4"/>
      <c r="KUB90" s="4"/>
      <c r="KUC90" s="4"/>
      <c r="KUD90" s="4"/>
      <c r="KUE90" s="4"/>
      <c r="KUF90" s="4"/>
      <c r="KUG90" s="4"/>
      <c r="KUH90" s="4"/>
      <c r="KUI90" s="4"/>
      <c r="KUJ90" s="4"/>
      <c r="KUK90" s="4"/>
      <c r="KUL90" s="4"/>
      <c r="KUM90" s="4"/>
      <c r="KUN90" s="4"/>
      <c r="KUO90" s="4"/>
      <c r="KUP90" s="4"/>
      <c r="KUQ90" s="4"/>
      <c r="KUR90" s="4"/>
      <c r="KUS90" s="4"/>
      <c r="KUT90" s="4"/>
      <c r="KUU90" s="4"/>
      <c r="KUV90" s="4"/>
      <c r="KUW90" s="4"/>
      <c r="KUX90" s="4"/>
      <c r="KUY90" s="4"/>
      <c r="KUZ90" s="4"/>
      <c r="KVA90" s="4"/>
      <c r="KVB90" s="4"/>
      <c r="KVC90" s="4"/>
      <c r="KVD90" s="4"/>
      <c r="KVE90" s="4"/>
      <c r="KVF90" s="4"/>
      <c r="KVG90" s="4"/>
      <c r="KVH90" s="4"/>
      <c r="KVI90" s="4"/>
      <c r="KVJ90" s="4"/>
      <c r="KVK90" s="4"/>
      <c r="KVL90" s="4"/>
      <c r="KVM90" s="4"/>
      <c r="KVN90" s="4"/>
      <c r="KVO90" s="4"/>
      <c r="KVP90" s="4"/>
      <c r="KVQ90" s="4"/>
      <c r="KVR90" s="4"/>
      <c r="KVS90" s="4"/>
      <c r="KVT90" s="4"/>
      <c r="KVU90" s="4"/>
      <c r="KVV90" s="4"/>
      <c r="KVW90" s="4"/>
      <c r="KVX90" s="4"/>
      <c r="KVY90" s="4"/>
      <c r="KVZ90" s="4"/>
      <c r="KWA90" s="4"/>
      <c r="KWB90" s="4"/>
      <c r="KWC90" s="4"/>
      <c r="KWD90" s="4"/>
      <c r="KWE90" s="4"/>
      <c r="KWF90" s="4"/>
      <c r="KWG90" s="4"/>
      <c r="KWH90" s="4"/>
      <c r="KWI90" s="4"/>
      <c r="KWJ90" s="4"/>
      <c r="KWK90" s="4"/>
      <c r="KWL90" s="4"/>
      <c r="KWM90" s="4"/>
      <c r="KWN90" s="4"/>
      <c r="KWO90" s="4"/>
      <c r="KWP90" s="4"/>
      <c r="KWQ90" s="4"/>
      <c r="KWR90" s="4"/>
      <c r="KWS90" s="4"/>
      <c r="KWT90" s="4"/>
      <c r="KWU90" s="4"/>
      <c r="KWV90" s="4"/>
      <c r="KWW90" s="4"/>
      <c r="KWX90" s="4"/>
      <c r="KWY90" s="4"/>
      <c r="KWZ90" s="4"/>
      <c r="KXA90" s="4"/>
      <c r="KXB90" s="4"/>
      <c r="KXC90" s="4"/>
      <c r="KXD90" s="4"/>
      <c r="KXE90" s="4"/>
      <c r="KXF90" s="4"/>
      <c r="KXG90" s="4"/>
      <c r="KXH90" s="4"/>
      <c r="KXI90" s="4"/>
      <c r="KXJ90" s="4"/>
      <c r="KXK90" s="4"/>
      <c r="KXL90" s="4"/>
      <c r="KXM90" s="4"/>
      <c r="KXN90" s="4"/>
      <c r="KXO90" s="4"/>
      <c r="KXP90" s="4"/>
      <c r="KXQ90" s="4"/>
      <c r="KXR90" s="4"/>
      <c r="KXS90" s="4"/>
      <c r="KXT90" s="4"/>
      <c r="KXU90" s="4"/>
      <c r="KXV90" s="4"/>
      <c r="KXW90" s="4"/>
      <c r="KXX90" s="4"/>
      <c r="KXY90" s="4"/>
      <c r="KXZ90" s="4"/>
      <c r="KYA90" s="4"/>
      <c r="KYB90" s="4"/>
      <c r="KYC90" s="4"/>
      <c r="KYD90" s="4"/>
      <c r="KYE90" s="4"/>
      <c r="KYF90" s="4"/>
      <c r="KYG90" s="4"/>
      <c r="KYH90" s="4"/>
      <c r="KYI90" s="4"/>
      <c r="KYJ90" s="4"/>
      <c r="KYK90" s="4"/>
      <c r="KYL90" s="4"/>
      <c r="KYM90" s="4"/>
      <c r="KYN90" s="4"/>
      <c r="KYO90" s="4"/>
      <c r="KYP90" s="4"/>
      <c r="KYQ90" s="4"/>
      <c r="KYR90" s="4"/>
      <c r="KYS90" s="4"/>
      <c r="KYT90" s="4"/>
      <c r="KYU90" s="4"/>
      <c r="KYV90" s="4"/>
      <c r="KYW90" s="4"/>
      <c r="KYX90" s="4"/>
      <c r="KYY90" s="4"/>
      <c r="KYZ90" s="4"/>
      <c r="KZA90" s="4"/>
      <c r="KZB90" s="4"/>
      <c r="KZC90" s="4"/>
      <c r="KZD90" s="4"/>
      <c r="KZE90" s="4"/>
      <c r="KZF90" s="4"/>
      <c r="KZG90" s="4"/>
      <c r="KZH90" s="4"/>
      <c r="KZI90" s="4"/>
      <c r="KZJ90" s="4"/>
      <c r="KZK90" s="4"/>
      <c r="KZL90" s="4"/>
      <c r="KZM90" s="4"/>
      <c r="KZN90" s="4"/>
      <c r="KZO90" s="4"/>
      <c r="KZP90" s="4"/>
      <c r="KZQ90" s="4"/>
      <c r="KZR90" s="4"/>
      <c r="KZS90" s="4"/>
      <c r="KZT90" s="4"/>
      <c r="KZU90" s="4"/>
      <c r="KZV90" s="4"/>
      <c r="KZW90" s="4"/>
      <c r="KZX90" s="4"/>
      <c r="KZY90" s="4"/>
      <c r="KZZ90" s="4"/>
      <c r="LAA90" s="4"/>
      <c r="LAB90" s="4"/>
      <c r="LAC90" s="4"/>
      <c r="LAD90" s="4"/>
      <c r="LAE90" s="4"/>
      <c r="LAF90" s="4"/>
      <c r="LAG90" s="4"/>
      <c r="LAH90" s="4"/>
      <c r="LAI90" s="4"/>
      <c r="LAJ90" s="4"/>
      <c r="LAK90" s="4"/>
      <c r="LAL90" s="4"/>
      <c r="LAM90" s="4"/>
      <c r="LAN90" s="4"/>
      <c r="LAO90" s="4"/>
      <c r="LAP90" s="4"/>
      <c r="LAQ90" s="4"/>
      <c r="LAR90" s="4"/>
      <c r="LAS90" s="4"/>
      <c r="LAT90" s="4"/>
      <c r="LAU90" s="4"/>
      <c r="LAV90" s="4"/>
      <c r="LAW90" s="4"/>
      <c r="LAX90" s="4"/>
      <c r="LAY90" s="4"/>
      <c r="LAZ90" s="4"/>
      <c r="LBA90" s="4"/>
      <c r="LBB90" s="4"/>
      <c r="LBC90" s="4"/>
      <c r="LBD90" s="4"/>
      <c r="LBE90" s="4"/>
      <c r="LBF90" s="4"/>
      <c r="LBG90" s="4"/>
      <c r="LBH90" s="4"/>
      <c r="LBI90" s="4"/>
      <c r="LBJ90" s="4"/>
      <c r="LBK90" s="4"/>
      <c r="LBL90" s="4"/>
      <c r="LBM90" s="4"/>
      <c r="LBN90" s="4"/>
      <c r="LBO90" s="4"/>
      <c r="LBP90" s="4"/>
      <c r="LBQ90" s="4"/>
      <c r="LBR90" s="4"/>
      <c r="LBS90" s="4"/>
      <c r="LBT90" s="4"/>
      <c r="LBU90" s="4"/>
      <c r="LBV90" s="4"/>
      <c r="LBW90" s="4"/>
      <c r="LBX90" s="4"/>
      <c r="LBY90" s="4"/>
      <c r="LBZ90" s="4"/>
      <c r="LCA90" s="4"/>
      <c r="LCB90" s="4"/>
      <c r="LCC90" s="4"/>
      <c r="LCD90" s="4"/>
      <c r="LCE90" s="4"/>
      <c r="LCF90" s="4"/>
      <c r="LCG90" s="4"/>
      <c r="LCH90" s="4"/>
      <c r="LCI90" s="4"/>
      <c r="LCJ90" s="4"/>
      <c r="LCK90" s="4"/>
      <c r="LCL90" s="4"/>
      <c r="LCM90" s="4"/>
      <c r="LCN90" s="4"/>
      <c r="LCO90" s="4"/>
      <c r="LCP90" s="4"/>
      <c r="LCQ90" s="4"/>
      <c r="LCR90" s="4"/>
      <c r="LCS90" s="4"/>
      <c r="LCT90" s="4"/>
      <c r="LCU90" s="4"/>
      <c r="LCV90" s="4"/>
      <c r="LCW90" s="4"/>
      <c r="LCX90" s="4"/>
      <c r="LCY90" s="4"/>
      <c r="LCZ90" s="4"/>
      <c r="LDA90" s="4"/>
      <c r="LDB90" s="4"/>
      <c r="LDC90" s="4"/>
      <c r="LDD90" s="4"/>
      <c r="LDE90" s="4"/>
      <c r="LDF90" s="4"/>
      <c r="LDG90" s="4"/>
      <c r="LDH90" s="4"/>
      <c r="LDI90" s="4"/>
      <c r="LDJ90" s="4"/>
      <c r="LDK90" s="4"/>
      <c r="LDL90" s="4"/>
      <c r="LDM90" s="4"/>
      <c r="LDN90" s="4"/>
      <c r="LDO90" s="4"/>
      <c r="LDP90" s="4"/>
      <c r="LDQ90" s="4"/>
      <c r="LDR90" s="4"/>
      <c r="LDS90" s="4"/>
      <c r="LDT90" s="4"/>
      <c r="LDU90" s="4"/>
      <c r="LDV90" s="4"/>
      <c r="LDW90" s="4"/>
      <c r="LDX90" s="4"/>
      <c r="LDY90" s="4"/>
      <c r="LDZ90" s="4"/>
      <c r="LEA90" s="4"/>
      <c r="LEB90" s="4"/>
      <c r="LEC90" s="4"/>
      <c r="LED90" s="4"/>
      <c r="LEE90" s="4"/>
      <c r="LEF90" s="4"/>
      <c r="LEG90" s="4"/>
      <c r="LEH90" s="4"/>
      <c r="LEI90" s="4"/>
      <c r="LEJ90" s="4"/>
      <c r="LEK90" s="4"/>
      <c r="LEL90" s="4"/>
      <c r="LEM90" s="4"/>
      <c r="LEN90" s="4"/>
      <c r="LEO90" s="4"/>
      <c r="LEP90" s="4"/>
      <c r="LEQ90" s="4"/>
      <c r="LER90" s="4"/>
      <c r="LES90" s="4"/>
      <c r="LET90" s="4"/>
      <c r="LEU90" s="4"/>
      <c r="LEV90" s="4"/>
      <c r="LEW90" s="4"/>
      <c r="LEX90" s="4"/>
      <c r="LEY90" s="4"/>
      <c r="LEZ90" s="4"/>
      <c r="LFA90" s="4"/>
      <c r="LFB90" s="4"/>
      <c r="LFC90" s="4"/>
      <c r="LFD90" s="4"/>
      <c r="LFE90" s="4"/>
      <c r="LFF90" s="4"/>
      <c r="LFG90" s="4"/>
      <c r="LFH90" s="4"/>
      <c r="LFI90" s="4"/>
      <c r="LFJ90" s="4"/>
      <c r="LFK90" s="4"/>
      <c r="LFL90" s="4"/>
      <c r="LFM90" s="4"/>
      <c r="LFN90" s="4"/>
      <c r="LFO90" s="4"/>
      <c r="LFP90" s="4"/>
      <c r="LFQ90" s="4"/>
      <c r="LFR90" s="4"/>
      <c r="LFS90" s="4"/>
      <c r="LFT90" s="4"/>
      <c r="LFU90" s="4"/>
      <c r="LFV90" s="4"/>
      <c r="LFW90" s="4"/>
      <c r="LFX90" s="4"/>
      <c r="LFY90" s="4"/>
      <c r="LFZ90" s="4"/>
      <c r="LGA90" s="4"/>
      <c r="LGB90" s="4"/>
      <c r="LGC90" s="4"/>
      <c r="LGD90" s="4"/>
      <c r="LGE90" s="4"/>
      <c r="LGF90" s="4"/>
      <c r="LGG90" s="4"/>
      <c r="LGH90" s="4"/>
      <c r="LGI90" s="4"/>
      <c r="LGJ90" s="4"/>
      <c r="LGK90" s="4"/>
      <c r="LGL90" s="4"/>
      <c r="LGM90" s="4"/>
      <c r="LGN90" s="4"/>
      <c r="LGO90" s="4"/>
      <c r="LGP90" s="4"/>
      <c r="LGQ90" s="4"/>
      <c r="LGR90" s="4"/>
      <c r="LGS90" s="4"/>
      <c r="LGT90" s="4"/>
      <c r="LGU90" s="4"/>
      <c r="LGV90" s="4"/>
      <c r="LGW90" s="4"/>
      <c r="LGX90" s="4"/>
      <c r="LGY90" s="4"/>
      <c r="LGZ90" s="4"/>
      <c r="LHA90" s="4"/>
      <c r="LHB90" s="4"/>
      <c r="LHC90" s="4"/>
      <c r="LHD90" s="4"/>
      <c r="LHE90" s="4"/>
      <c r="LHF90" s="4"/>
      <c r="LHG90" s="4"/>
      <c r="LHH90" s="4"/>
      <c r="LHI90" s="4"/>
      <c r="LHJ90" s="4"/>
      <c r="LHK90" s="4"/>
      <c r="LHL90" s="4"/>
      <c r="LHM90" s="4"/>
      <c r="LHN90" s="4"/>
      <c r="LHO90" s="4"/>
      <c r="LHP90" s="4"/>
      <c r="LHQ90" s="4"/>
      <c r="LHR90" s="4"/>
      <c r="LHS90" s="4"/>
      <c r="LHT90" s="4"/>
      <c r="LHU90" s="4"/>
      <c r="LHV90" s="4"/>
      <c r="LHW90" s="4"/>
      <c r="LHX90" s="4"/>
      <c r="LHY90" s="4"/>
      <c r="LHZ90" s="4"/>
      <c r="LIA90" s="4"/>
      <c r="LIB90" s="4"/>
      <c r="LIC90" s="4"/>
      <c r="LID90" s="4"/>
      <c r="LIE90" s="4"/>
      <c r="LIF90" s="4"/>
      <c r="LIG90" s="4"/>
      <c r="LIH90" s="4"/>
      <c r="LII90" s="4"/>
      <c r="LIJ90" s="4"/>
      <c r="LIK90" s="4"/>
      <c r="LIL90" s="4"/>
      <c r="LIM90" s="4"/>
      <c r="LIN90" s="4"/>
      <c r="LIO90" s="4"/>
      <c r="LIP90" s="4"/>
      <c r="LIQ90" s="4"/>
      <c r="LIR90" s="4"/>
      <c r="LIS90" s="4"/>
      <c r="LIT90" s="4"/>
      <c r="LIU90" s="4"/>
      <c r="LIV90" s="4"/>
      <c r="LIW90" s="4"/>
      <c r="LIX90" s="4"/>
      <c r="LIY90" s="4"/>
      <c r="LIZ90" s="4"/>
      <c r="LJA90" s="4"/>
      <c r="LJB90" s="4"/>
      <c r="LJC90" s="4"/>
      <c r="LJD90" s="4"/>
      <c r="LJE90" s="4"/>
      <c r="LJF90" s="4"/>
      <c r="LJG90" s="4"/>
      <c r="LJH90" s="4"/>
      <c r="LJI90" s="4"/>
      <c r="LJJ90" s="4"/>
      <c r="LJK90" s="4"/>
      <c r="LJL90" s="4"/>
      <c r="LJM90" s="4"/>
      <c r="LJN90" s="4"/>
      <c r="LJO90" s="4"/>
      <c r="LJP90" s="4"/>
      <c r="LJQ90" s="4"/>
      <c r="LJR90" s="4"/>
      <c r="LJS90" s="4"/>
      <c r="LJT90" s="4"/>
      <c r="LJU90" s="4"/>
      <c r="LJV90" s="4"/>
      <c r="LJW90" s="4"/>
      <c r="LJX90" s="4"/>
      <c r="LJY90" s="4"/>
      <c r="LJZ90" s="4"/>
      <c r="LKA90" s="4"/>
      <c r="LKB90" s="4"/>
      <c r="LKC90" s="4"/>
      <c r="LKD90" s="4"/>
      <c r="LKE90" s="4"/>
      <c r="LKF90" s="4"/>
      <c r="LKG90" s="4"/>
      <c r="LKH90" s="4"/>
      <c r="LKI90" s="4"/>
      <c r="LKJ90" s="4"/>
      <c r="LKK90" s="4"/>
      <c r="LKL90" s="4"/>
      <c r="LKM90" s="4"/>
      <c r="LKN90" s="4"/>
      <c r="LKO90" s="4"/>
      <c r="LKP90" s="4"/>
      <c r="LKQ90" s="4"/>
      <c r="LKR90" s="4"/>
      <c r="LKS90" s="4"/>
      <c r="LKT90" s="4"/>
      <c r="LKU90" s="4"/>
      <c r="LKV90" s="4"/>
      <c r="LKW90" s="4"/>
      <c r="LKX90" s="4"/>
      <c r="LKY90" s="4"/>
      <c r="LKZ90" s="4"/>
      <c r="LLA90" s="4"/>
      <c r="LLB90" s="4"/>
      <c r="LLC90" s="4"/>
      <c r="LLD90" s="4"/>
      <c r="LLE90" s="4"/>
      <c r="LLF90" s="4"/>
      <c r="LLG90" s="4"/>
      <c r="LLH90" s="4"/>
      <c r="LLI90" s="4"/>
      <c r="LLJ90" s="4"/>
      <c r="LLK90" s="4"/>
      <c r="LLL90" s="4"/>
      <c r="LLM90" s="4"/>
      <c r="LLN90" s="4"/>
      <c r="LLO90" s="4"/>
      <c r="LLP90" s="4"/>
      <c r="LLQ90" s="4"/>
      <c r="LLR90" s="4"/>
      <c r="LLS90" s="4"/>
      <c r="LLT90" s="4"/>
      <c r="LLU90" s="4"/>
      <c r="LLV90" s="4"/>
      <c r="LLW90" s="4"/>
      <c r="LLX90" s="4"/>
      <c r="LLY90" s="4"/>
      <c r="LLZ90" s="4"/>
      <c r="LMA90" s="4"/>
      <c r="LMB90" s="4"/>
      <c r="LMC90" s="4"/>
      <c r="LMD90" s="4"/>
      <c r="LME90" s="4"/>
      <c r="LMF90" s="4"/>
      <c r="LMG90" s="4"/>
      <c r="LMH90" s="4"/>
      <c r="LMI90" s="4"/>
      <c r="LMJ90" s="4"/>
      <c r="LMK90" s="4"/>
      <c r="LML90" s="4"/>
      <c r="LMM90" s="4"/>
      <c r="LMN90" s="4"/>
      <c r="LMO90" s="4"/>
      <c r="LMP90" s="4"/>
      <c r="LMQ90" s="4"/>
      <c r="LMR90" s="4"/>
      <c r="LMS90" s="4"/>
      <c r="LMT90" s="4"/>
      <c r="LMU90" s="4"/>
      <c r="LMV90" s="4"/>
      <c r="LMW90" s="4"/>
      <c r="LMX90" s="4"/>
      <c r="LMY90" s="4"/>
      <c r="LMZ90" s="4"/>
      <c r="LNA90" s="4"/>
      <c r="LNB90" s="4"/>
      <c r="LNC90" s="4"/>
      <c r="LND90" s="4"/>
      <c r="LNE90" s="4"/>
      <c r="LNF90" s="4"/>
      <c r="LNG90" s="4"/>
      <c r="LNH90" s="4"/>
      <c r="LNI90" s="4"/>
      <c r="LNJ90" s="4"/>
      <c r="LNK90" s="4"/>
      <c r="LNL90" s="4"/>
      <c r="LNM90" s="4"/>
      <c r="LNN90" s="4"/>
      <c r="LNO90" s="4"/>
      <c r="LNP90" s="4"/>
      <c r="LNQ90" s="4"/>
      <c r="LNR90" s="4"/>
      <c r="LNS90" s="4"/>
      <c r="LNT90" s="4"/>
      <c r="LNU90" s="4"/>
      <c r="LNV90" s="4"/>
      <c r="LNW90" s="4"/>
      <c r="LNX90" s="4"/>
      <c r="LNY90" s="4"/>
      <c r="LNZ90" s="4"/>
      <c r="LOA90" s="4"/>
      <c r="LOB90" s="4"/>
      <c r="LOC90" s="4"/>
      <c r="LOD90" s="4"/>
      <c r="LOE90" s="4"/>
      <c r="LOF90" s="4"/>
      <c r="LOG90" s="4"/>
      <c r="LOH90" s="4"/>
      <c r="LOI90" s="4"/>
      <c r="LOJ90" s="4"/>
      <c r="LOK90" s="4"/>
      <c r="LOL90" s="4"/>
      <c r="LOM90" s="4"/>
      <c r="LON90" s="4"/>
      <c r="LOO90" s="4"/>
      <c r="LOP90" s="4"/>
      <c r="LOQ90" s="4"/>
      <c r="LOR90" s="4"/>
      <c r="LOS90" s="4"/>
      <c r="LOT90" s="4"/>
      <c r="LOU90" s="4"/>
      <c r="LOV90" s="4"/>
      <c r="LOW90" s="4"/>
      <c r="LOX90" s="4"/>
      <c r="LOY90" s="4"/>
      <c r="LOZ90" s="4"/>
      <c r="LPA90" s="4"/>
      <c r="LPB90" s="4"/>
      <c r="LPC90" s="4"/>
      <c r="LPD90" s="4"/>
      <c r="LPE90" s="4"/>
      <c r="LPF90" s="4"/>
      <c r="LPG90" s="4"/>
      <c r="LPH90" s="4"/>
      <c r="LPI90" s="4"/>
      <c r="LPJ90" s="4"/>
      <c r="LPK90" s="4"/>
      <c r="LPL90" s="4"/>
      <c r="LPM90" s="4"/>
      <c r="LPN90" s="4"/>
      <c r="LPO90" s="4"/>
      <c r="LPP90" s="4"/>
      <c r="LPQ90" s="4"/>
      <c r="LPR90" s="4"/>
      <c r="LPS90" s="4"/>
      <c r="LPT90" s="4"/>
      <c r="LPU90" s="4"/>
      <c r="LPV90" s="4"/>
      <c r="LPW90" s="4"/>
      <c r="LPX90" s="4"/>
      <c r="LPY90" s="4"/>
      <c r="LPZ90" s="4"/>
      <c r="LQA90" s="4"/>
      <c r="LQB90" s="4"/>
      <c r="LQC90" s="4"/>
      <c r="LQD90" s="4"/>
      <c r="LQE90" s="4"/>
      <c r="LQF90" s="4"/>
      <c r="LQG90" s="4"/>
      <c r="LQH90" s="4"/>
      <c r="LQI90" s="4"/>
      <c r="LQJ90" s="4"/>
      <c r="LQK90" s="4"/>
      <c r="LQL90" s="4"/>
      <c r="LQM90" s="4"/>
      <c r="LQN90" s="4"/>
      <c r="LQO90" s="4"/>
      <c r="LQP90" s="4"/>
      <c r="LQQ90" s="4"/>
      <c r="LQR90" s="4"/>
      <c r="LQS90" s="4"/>
      <c r="LQT90" s="4"/>
      <c r="LQU90" s="4"/>
      <c r="LQV90" s="4"/>
      <c r="LQW90" s="4"/>
      <c r="LQX90" s="4"/>
      <c r="LQY90" s="4"/>
      <c r="LQZ90" s="4"/>
      <c r="LRA90" s="4"/>
      <c r="LRB90" s="4"/>
      <c r="LRC90" s="4"/>
      <c r="LRD90" s="4"/>
      <c r="LRE90" s="4"/>
      <c r="LRF90" s="4"/>
      <c r="LRG90" s="4"/>
      <c r="LRH90" s="4"/>
      <c r="LRI90" s="4"/>
      <c r="LRJ90" s="4"/>
      <c r="LRK90" s="4"/>
      <c r="LRL90" s="4"/>
      <c r="LRM90" s="4"/>
      <c r="LRN90" s="4"/>
      <c r="LRO90" s="4"/>
      <c r="LRP90" s="4"/>
      <c r="LRQ90" s="4"/>
      <c r="LRR90" s="4"/>
      <c r="LRS90" s="4"/>
      <c r="LRT90" s="4"/>
      <c r="LRU90" s="4"/>
      <c r="LRV90" s="4"/>
      <c r="LRW90" s="4"/>
      <c r="LRX90" s="4"/>
      <c r="LRY90" s="4"/>
      <c r="LRZ90" s="4"/>
      <c r="LSA90" s="4"/>
      <c r="LSB90" s="4"/>
      <c r="LSC90" s="4"/>
      <c r="LSD90" s="4"/>
      <c r="LSE90" s="4"/>
      <c r="LSF90" s="4"/>
      <c r="LSG90" s="4"/>
      <c r="LSH90" s="4"/>
      <c r="LSI90" s="4"/>
      <c r="LSJ90" s="4"/>
      <c r="LSK90" s="4"/>
      <c r="LSL90" s="4"/>
      <c r="LSM90" s="4"/>
      <c r="LSN90" s="4"/>
      <c r="LSO90" s="4"/>
      <c r="LSP90" s="4"/>
      <c r="LSQ90" s="4"/>
      <c r="LSR90" s="4"/>
      <c r="LSS90" s="4"/>
      <c r="LST90" s="4"/>
      <c r="LSU90" s="4"/>
      <c r="LSV90" s="4"/>
      <c r="LSW90" s="4"/>
      <c r="LSX90" s="4"/>
      <c r="LSY90" s="4"/>
      <c r="LSZ90" s="4"/>
      <c r="LTA90" s="4"/>
      <c r="LTB90" s="4"/>
      <c r="LTC90" s="4"/>
      <c r="LTD90" s="4"/>
      <c r="LTE90" s="4"/>
      <c r="LTF90" s="4"/>
      <c r="LTG90" s="4"/>
      <c r="LTH90" s="4"/>
      <c r="LTI90" s="4"/>
      <c r="LTJ90" s="4"/>
      <c r="LTK90" s="4"/>
      <c r="LTL90" s="4"/>
      <c r="LTM90" s="4"/>
      <c r="LTN90" s="4"/>
      <c r="LTO90" s="4"/>
      <c r="LTP90" s="4"/>
      <c r="LTQ90" s="4"/>
      <c r="LTR90" s="4"/>
      <c r="LTS90" s="4"/>
      <c r="LTT90" s="4"/>
      <c r="LTU90" s="4"/>
      <c r="LTV90" s="4"/>
      <c r="LTW90" s="4"/>
      <c r="LTX90" s="4"/>
      <c r="LTY90" s="4"/>
      <c r="LTZ90" s="4"/>
      <c r="LUA90" s="4"/>
      <c r="LUB90" s="4"/>
      <c r="LUC90" s="4"/>
      <c r="LUD90" s="4"/>
      <c r="LUE90" s="4"/>
      <c r="LUF90" s="4"/>
      <c r="LUG90" s="4"/>
      <c r="LUH90" s="4"/>
      <c r="LUI90" s="4"/>
      <c r="LUJ90" s="4"/>
      <c r="LUK90" s="4"/>
      <c r="LUL90" s="4"/>
      <c r="LUM90" s="4"/>
      <c r="LUN90" s="4"/>
      <c r="LUO90" s="4"/>
      <c r="LUP90" s="4"/>
      <c r="LUQ90" s="4"/>
      <c r="LUR90" s="4"/>
      <c r="LUS90" s="4"/>
      <c r="LUT90" s="4"/>
      <c r="LUU90" s="4"/>
      <c r="LUV90" s="4"/>
      <c r="LUW90" s="4"/>
      <c r="LUX90" s="4"/>
      <c r="LUY90" s="4"/>
      <c r="LUZ90" s="4"/>
      <c r="LVA90" s="4"/>
      <c r="LVB90" s="4"/>
      <c r="LVC90" s="4"/>
      <c r="LVD90" s="4"/>
      <c r="LVE90" s="4"/>
      <c r="LVF90" s="4"/>
      <c r="LVG90" s="4"/>
      <c r="LVH90" s="4"/>
      <c r="LVI90" s="4"/>
      <c r="LVJ90" s="4"/>
      <c r="LVK90" s="4"/>
      <c r="LVL90" s="4"/>
      <c r="LVM90" s="4"/>
      <c r="LVN90" s="4"/>
      <c r="LVO90" s="4"/>
      <c r="LVP90" s="4"/>
      <c r="LVQ90" s="4"/>
      <c r="LVR90" s="4"/>
      <c r="LVS90" s="4"/>
      <c r="LVT90" s="4"/>
      <c r="LVU90" s="4"/>
      <c r="LVV90" s="4"/>
      <c r="LVW90" s="4"/>
      <c r="LVX90" s="4"/>
      <c r="LVY90" s="4"/>
      <c r="LVZ90" s="4"/>
      <c r="LWA90" s="4"/>
      <c r="LWB90" s="4"/>
      <c r="LWC90" s="4"/>
      <c r="LWD90" s="4"/>
      <c r="LWE90" s="4"/>
      <c r="LWF90" s="4"/>
      <c r="LWG90" s="4"/>
      <c r="LWH90" s="4"/>
      <c r="LWI90" s="4"/>
      <c r="LWJ90" s="4"/>
      <c r="LWK90" s="4"/>
      <c r="LWL90" s="4"/>
      <c r="LWM90" s="4"/>
      <c r="LWN90" s="4"/>
      <c r="LWO90" s="4"/>
      <c r="LWP90" s="4"/>
      <c r="LWQ90" s="4"/>
      <c r="LWR90" s="4"/>
      <c r="LWS90" s="4"/>
      <c r="LWT90" s="4"/>
      <c r="LWU90" s="4"/>
      <c r="LWV90" s="4"/>
      <c r="LWW90" s="4"/>
      <c r="LWX90" s="4"/>
      <c r="LWY90" s="4"/>
      <c r="LWZ90" s="4"/>
      <c r="LXA90" s="4"/>
      <c r="LXB90" s="4"/>
      <c r="LXC90" s="4"/>
      <c r="LXD90" s="4"/>
      <c r="LXE90" s="4"/>
      <c r="LXF90" s="4"/>
      <c r="LXG90" s="4"/>
      <c r="LXH90" s="4"/>
      <c r="LXI90" s="4"/>
      <c r="LXJ90" s="4"/>
      <c r="LXK90" s="4"/>
      <c r="LXL90" s="4"/>
      <c r="LXM90" s="4"/>
      <c r="LXN90" s="4"/>
      <c r="LXO90" s="4"/>
      <c r="LXP90" s="4"/>
      <c r="LXQ90" s="4"/>
      <c r="LXR90" s="4"/>
      <c r="LXS90" s="4"/>
      <c r="LXT90" s="4"/>
      <c r="LXU90" s="4"/>
      <c r="LXV90" s="4"/>
      <c r="LXW90" s="4"/>
      <c r="LXX90" s="4"/>
      <c r="LXY90" s="4"/>
      <c r="LXZ90" s="4"/>
      <c r="LYA90" s="4"/>
      <c r="LYB90" s="4"/>
      <c r="LYC90" s="4"/>
      <c r="LYD90" s="4"/>
      <c r="LYE90" s="4"/>
      <c r="LYF90" s="4"/>
      <c r="LYG90" s="4"/>
      <c r="LYH90" s="4"/>
      <c r="LYI90" s="4"/>
      <c r="LYJ90" s="4"/>
      <c r="LYK90" s="4"/>
      <c r="LYL90" s="4"/>
      <c r="LYM90" s="4"/>
      <c r="LYN90" s="4"/>
      <c r="LYO90" s="4"/>
      <c r="LYP90" s="4"/>
      <c r="LYQ90" s="4"/>
      <c r="LYR90" s="4"/>
      <c r="LYS90" s="4"/>
      <c r="LYT90" s="4"/>
      <c r="LYU90" s="4"/>
      <c r="LYV90" s="4"/>
      <c r="LYW90" s="4"/>
      <c r="LYX90" s="4"/>
      <c r="LYY90" s="4"/>
      <c r="LYZ90" s="4"/>
      <c r="LZA90" s="4"/>
      <c r="LZB90" s="4"/>
      <c r="LZC90" s="4"/>
      <c r="LZD90" s="4"/>
      <c r="LZE90" s="4"/>
      <c r="LZF90" s="4"/>
      <c r="LZG90" s="4"/>
      <c r="LZH90" s="4"/>
      <c r="LZI90" s="4"/>
      <c r="LZJ90" s="4"/>
      <c r="LZK90" s="4"/>
      <c r="LZL90" s="4"/>
      <c r="LZM90" s="4"/>
      <c r="LZN90" s="4"/>
      <c r="LZO90" s="4"/>
      <c r="LZP90" s="4"/>
      <c r="LZQ90" s="4"/>
      <c r="LZR90" s="4"/>
      <c r="LZS90" s="4"/>
      <c r="LZT90" s="4"/>
      <c r="LZU90" s="4"/>
      <c r="LZV90" s="4"/>
      <c r="LZW90" s="4"/>
      <c r="LZX90" s="4"/>
      <c r="LZY90" s="4"/>
      <c r="LZZ90" s="4"/>
      <c r="MAA90" s="4"/>
      <c r="MAB90" s="4"/>
      <c r="MAC90" s="4"/>
      <c r="MAD90" s="4"/>
      <c r="MAE90" s="4"/>
      <c r="MAF90" s="4"/>
      <c r="MAG90" s="4"/>
      <c r="MAH90" s="4"/>
      <c r="MAI90" s="4"/>
      <c r="MAJ90" s="4"/>
      <c r="MAK90" s="4"/>
      <c r="MAL90" s="4"/>
      <c r="MAM90" s="4"/>
      <c r="MAN90" s="4"/>
      <c r="MAO90" s="4"/>
      <c r="MAP90" s="4"/>
      <c r="MAQ90" s="4"/>
      <c r="MAR90" s="4"/>
      <c r="MAS90" s="4"/>
      <c r="MAT90" s="4"/>
      <c r="MAU90" s="4"/>
      <c r="MAV90" s="4"/>
      <c r="MAW90" s="4"/>
      <c r="MAX90" s="4"/>
      <c r="MAY90" s="4"/>
      <c r="MAZ90" s="4"/>
      <c r="MBA90" s="4"/>
      <c r="MBB90" s="4"/>
      <c r="MBC90" s="4"/>
      <c r="MBD90" s="4"/>
      <c r="MBE90" s="4"/>
      <c r="MBF90" s="4"/>
      <c r="MBG90" s="4"/>
      <c r="MBH90" s="4"/>
      <c r="MBI90" s="4"/>
      <c r="MBJ90" s="4"/>
      <c r="MBK90" s="4"/>
      <c r="MBL90" s="4"/>
      <c r="MBM90" s="4"/>
      <c r="MBN90" s="4"/>
      <c r="MBO90" s="4"/>
      <c r="MBP90" s="4"/>
      <c r="MBQ90" s="4"/>
      <c r="MBR90" s="4"/>
      <c r="MBS90" s="4"/>
      <c r="MBT90" s="4"/>
      <c r="MBU90" s="4"/>
      <c r="MBV90" s="4"/>
      <c r="MBW90" s="4"/>
      <c r="MBX90" s="4"/>
      <c r="MBY90" s="4"/>
      <c r="MBZ90" s="4"/>
      <c r="MCA90" s="4"/>
      <c r="MCB90" s="4"/>
      <c r="MCC90" s="4"/>
      <c r="MCD90" s="4"/>
      <c r="MCE90" s="4"/>
      <c r="MCF90" s="4"/>
      <c r="MCG90" s="4"/>
      <c r="MCH90" s="4"/>
      <c r="MCI90" s="4"/>
      <c r="MCJ90" s="4"/>
      <c r="MCK90" s="4"/>
      <c r="MCL90" s="4"/>
      <c r="MCM90" s="4"/>
      <c r="MCN90" s="4"/>
      <c r="MCO90" s="4"/>
      <c r="MCP90" s="4"/>
      <c r="MCQ90" s="4"/>
      <c r="MCR90" s="4"/>
      <c r="MCS90" s="4"/>
      <c r="MCT90" s="4"/>
      <c r="MCU90" s="4"/>
      <c r="MCV90" s="4"/>
      <c r="MCW90" s="4"/>
      <c r="MCX90" s="4"/>
      <c r="MCY90" s="4"/>
      <c r="MCZ90" s="4"/>
      <c r="MDA90" s="4"/>
      <c r="MDB90" s="4"/>
      <c r="MDC90" s="4"/>
      <c r="MDD90" s="4"/>
      <c r="MDE90" s="4"/>
      <c r="MDF90" s="4"/>
      <c r="MDG90" s="4"/>
      <c r="MDH90" s="4"/>
      <c r="MDI90" s="4"/>
      <c r="MDJ90" s="4"/>
      <c r="MDK90" s="4"/>
      <c r="MDL90" s="4"/>
      <c r="MDM90" s="4"/>
      <c r="MDN90" s="4"/>
      <c r="MDO90" s="4"/>
      <c r="MDP90" s="4"/>
      <c r="MDQ90" s="4"/>
      <c r="MDR90" s="4"/>
      <c r="MDS90" s="4"/>
      <c r="MDT90" s="4"/>
      <c r="MDU90" s="4"/>
      <c r="MDV90" s="4"/>
      <c r="MDW90" s="4"/>
      <c r="MDX90" s="4"/>
      <c r="MDY90" s="4"/>
      <c r="MDZ90" s="4"/>
      <c r="MEA90" s="4"/>
      <c r="MEB90" s="4"/>
      <c r="MEC90" s="4"/>
      <c r="MED90" s="4"/>
      <c r="MEE90" s="4"/>
      <c r="MEF90" s="4"/>
      <c r="MEG90" s="4"/>
      <c r="MEH90" s="4"/>
      <c r="MEI90" s="4"/>
      <c r="MEJ90" s="4"/>
      <c r="MEK90" s="4"/>
      <c r="MEL90" s="4"/>
      <c r="MEM90" s="4"/>
      <c r="MEN90" s="4"/>
      <c r="MEO90" s="4"/>
      <c r="MEP90" s="4"/>
      <c r="MEQ90" s="4"/>
      <c r="MER90" s="4"/>
      <c r="MES90" s="4"/>
      <c r="MET90" s="4"/>
      <c r="MEU90" s="4"/>
      <c r="MEV90" s="4"/>
      <c r="MEW90" s="4"/>
      <c r="MEX90" s="4"/>
      <c r="MEY90" s="4"/>
      <c r="MEZ90" s="4"/>
      <c r="MFA90" s="4"/>
      <c r="MFB90" s="4"/>
      <c r="MFC90" s="4"/>
      <c r="MFD90" s="4"/>
      <c r="MFE90" s="4"/>
      <c r="MFF90" s="4"/>
      <c r="MFG90" s="4"/>
      <c r="MFH90" s="4"/>
      <c r="MFI90" s="4"/>
      <c r="MFJ90" s="4"/>
      <c r="MFK90" s="4"/>
      <c r="MFL90" s="4"/>
      <c r="MFM90" s="4"/>
      <c r="MFN90" s="4"/>
      <c r="MFO90" s="4"/>
      <c r="MFP90" s="4"/>
      <c r="MFQ90" s="4"/>
      <c r="MFR90" s="4"/>
      <c r="MFS90" s="4"/>
      <c r="MFT90" s="4"/>
      <c r="MFU90" s="4"/>
      <c r="MFV90" s="4"/>
      <c r="MFW90" s="4"/>
      <c r="MFX90" s="4"/>
      <c r="MFY90" s="4"/>
      <c r="MFZ90" s="4"/>
      <c r="MGA90" s="4"/>
      <c r="MGB90" s="4"/>
      <c r="MGC90" s="4"/>
      <c r="MGD90" s="4"/>
      <c r="MGE90" s="4"/>
      <c r="MGF90" s="4"/>
      <c r="MGG90" s="4"/>
      <c r="MGH90" s="4"/>
      <c r="MGI90" s="4"/>
      <c r="MGJ90" s="4"/>
      <c r="MGK90" s="4"/>
      <c r="MGL90" s="4"/>
      <c r="MGM90" s="4"/>
      <c r="MGN90" s="4"/>
      <c r="MGO90" s="4"/>
      <c r="MGP90" s="4"/>
      <c r="MGQ90" s="4"/>
      <c r="MGR90" s="4"/>
      <c r="MGS90" s="4"/>
      <c r="MGT90" s="4"/>
      <c r="MGU90" s="4"/>
      <c r="MGV90" s="4"/>
      <c r="MGW90" s="4"/>
      <c r="MGX90" s="4"/>
      <c r="MGY90" s="4"/>
      <c r="MGZ90" s="4"/>
      <c r="MHA90" s="4"/>
      <c r="MHB90" s="4"/>
      <c r="MHC90" s="4"/>
      <c r="MHD90" s="4"/>
      <c r="MHE90" s="4"/>
      <c r="MHF90" s="4"/>
      <c r="MHG90" s="4"/>
      <c r="MHH90" s="4"/>
      <c r="MHI90" s="4"/>
      <c r="MHJ90" s="4"/>
      <c r="MHK90" s="4"/>
      <c r="MHL90" s="4"/>
      <c r="MHM90" s="4"/>
      <c r="MHN90" s="4"/>
      <c r="MHO90" s="4"/>
      <c r="MHP90" s="4"/>
      <c r="MHQ90" s="4"/>
      <c r="MHR90" s="4"/>
      <c r="MHS90" s="4"/>
      <c r="MHT90" s="4"/>
      <c r="MHU90" s="4"/>
      <c r="MHV90" s="4"/>
      <c r="MHW90" s="4"/>
      <c r="MHX90" s="4"/>
      <c r="MHY90" s="4"/>
      <c r="MHZ90" s="4"/>
      <c r="MIA90" s="4"/>
      <c r="MIB90" s="4"/>
      <c r="MIC90" s="4"/>
      <c r="MID90" s="4"/>
      <c r="MIE90" s="4"/>
      <c r="MIF90" s="4"/>
      <c r="MIG90" s="4"/>
      <c r="MIH90" s="4"/>
      <c r="MII90" s="4"/>
      <c r="MIJ90" s="4"/>
      <c r="MIK90" s="4"/>
      <c r="MIL90" s="4"/>
      <c r="MIM90" s="4"/>
      <c r="MIN90" s="4"/>
      <c r="MIO90" s="4"/>
      <c r="MIP90" s="4"/>
      <c r="MIQ90" s="4"/>
      <c r="MIR90" s="4"/>
      <c r="MIS90" s="4"/>
      <c r="MIT90" s="4"/>
      <c r="MIU90" s="4"/>
      <c r="MIV90" s="4"/>
      <c r="MIW90" s="4"/>
      <c r="MIX90" s="4"/>
      <c r="MIY90" s="4"/>
      <c r="MIZ90" s="4"/>
      <c r="MJA90" s="4"/>
      <c r="MJB90" s="4"/>
      <c r="MJC90" s="4"/>
      <c r="MJD90" s="4"/>
      <c r="MJE90" s="4"/>
      <c r="MJF90" s="4"/>
      <c r="MJG90" s="4"/>
      <c r="MJH90" s="4"/>
      <c r="MJI90" s="4"/>
      <c r="MJJ90" s="4"/>
      <c r="MJK90" s="4"/>
      <c r="MJL90" s="4"/>
      <c r="MJM90" s="4"/>
      <c r="MJN90" s="4"/>
      <c r="MJO90" s="4"/>
      <c r="MJP90" s="4"/>
      <c r="MJQ90" s="4"/>
      <c r="MJR90" s="4"/>
      <c r="MJS90" s="4"/>
      <c r="MJT90" s="4"/>
      <c r="MJU90" s="4"/>
      <c r="MJV90" s="4"/>
      <c r="MJW90" s="4"/>
      <c r="MJX90" s="4"/>
      <c r="MJY90" s="4"/>
      <c r="MJZ90" s="4"/>
      <c r="MKA90" s="4"/>
      <c r="MKB90" s="4"/>
      <c r="MKC90" s="4"/>
      <c r="MKD90" s="4"/>
      <c r="MKE90" s="4"/>
      <c r="MKF90" s="4"/>
      <c r="MKG90" s="4"/>
      <c r="MKH90" s="4"/>
      <c r="MKI90" s="4"/>
      <c r="MKJ90" s="4"/>
      <c r="MKK90" s="4"/>
      <c r="MKL90" s="4"/>
      <c r="MKM90" s="4"/>
      <c r="MKN90" s="4"/>
      <c r="MKO90" s="4"/>
      <c r="MKP90" s="4"/>
      <c r="MKQ90" s="4"/>
      <c r="MKR90" s="4"/>
      <c r="MKS90" s="4"/>
      <c r="MKT90" s="4"/>
      <c r="MKU90" s="4"/>
      <c r="MKV90" s="4"/>
      <c r="MKW90" s="4"/>
      <c r="MKX90" s="4"/>
      <c r="MKY90" s="4"/>
      <c r="MKZ90" s="4"/>
      <c r="MLA90" s="4"/>
      <c r="MLB90" s="4"/>
      <c r="MLC90" s="4"/>
      <c r="MLD90" s="4"/>
      <c r="MLE90" s="4"/>
      <c r="MLF90" s="4"/>
      <c r="MLG90" s="4"/>
      <c r="MLH90" s="4"/>
      <c r="MLI90" s="4"/>
      <c r="MLJ90" s="4"/>
      <c r="MLK90" s="4"/>
      <c r="MLL90" s="4"/>
      <c r="MLM90" s="4"/>
      <c r="MLN90" s="4"/>
      <c r="MLO90" s="4"/>
      <c r="MLP90" s="4"/>
      <c r="MLQ90" s="4"/>
      <c r="MLR90" s="4"/>
      <c r="MLS90" s="4"/>
      <c r="MLT90" s="4"/>
      <c r="MLU90" s="4"/>
      <c r="MLV90" s="4"/>
      <c r="MLW90" s="4"/>
      <c r="MLX90" s="4"/>
      <c r="MLY90" s="4"/>
      <c r="MLZ90" s="4"/>
      <c r="MMA90" s="4"/>
      <c r="MMB90" s="4"/>
      <c r="MMC90" s="4"/>
      <c r="MMD90" s="4"/>
      <c r="MME90" s="4"/>
      <c r="MMF90" s="4"/>
      <c r="MMG90" s="4"/>
      <c r="MMH90" s="4"/>
      <c r="MMI90" s="4"/>
      <c r="MMJ90" s="4"/>
      <c r="MMK90" s="4"/>
      <c r="MML90" s="4"/>
      <c r="MMM90" s="4"/>
      <c r="MMN90" s="4"/>
      <c r="MMO90" s="4"/>
      <c r="MMP90" s="4"/>
      <c r="MMQ90" s="4"/>
      <c r="MMR90" s="4"/>
      <c r="MMS90" s="4"/>
      <c r="MMT90" s="4"/>
      <c r="MMU90" s="4"/>
      <c r="MMV90" s="4"/>
      <c r="MMW90" s="4"/>
      <c r="MMX90" s="4"/>
      <c r="MMY90" s="4"/>
      <c r="MMZ90" s="4"/>
      <c r="MNA90" s="4"/>
      <c r="MNB90" s="4"/>
      <c r="MNC90" s="4"/>
      <c r="MND90" s="4"/>
      <c r="MNE90" s="4"/>
      <c r="MNF90" s="4"/>
      <c r="MNG90" s="4"/>
      <c r="MNH90" s="4"/>
      <c r="MNI90" s="4"/>
      <c r="MNJ90" s="4"/>
      <c r="MNK90" s="4"/>
      <c r="MNL90" s="4"/>
      <c r="MNM90" s="4"/>
      <c r="MNN90" s="4"/>
      <c r="MNO90" s="4"/>
      <c r="MNP90" s="4"/>
      <c r="MNQ90" s="4"/>
      <c r="MNR90" s="4"/>
      <c r="MNS90" s="4"/>
      <c r="MNT90" s="4"/>
      <c r="MNU90" s="4"/>
      <c r="MNV90" s="4"/>
      <c r="MNW90" s="4"/>
      <c r="MNX90" s="4"/>
      <c r="MNY90" s="4"/>
      <c r="MNZ90" s="4"/>
      <c r="MOA90" s="4"/>
      <c r="MOB90" s="4"/>
      <c r="MOC90" s="4"/>
      <c r="MOD90" s="4"/>
      <c r="MOE90" s="4"/>
      <c r="MOF90" s="4"/>
      <c r="MOG90" s="4"/>
      <c r="MOH90" s="4"/>
      <c r="MOI90" s="4"/>
      <c r="MOJ90" s="4"/>
      <c r="MOK90" s="4"/>
      <c r="MOL90" s="4"/>
      <c r="MOM90" s="4"/>
      <c r="MON90" s="4"/>
      <c r="MOO90" s="4"/>
      <c r="MOP90" s="4"/>
      <c r="MOQ90" s="4"/>
      <c r="MOR90" s="4"/>
      <c r="MOS90" s="4"/>
      <c r="MOT90" s="4"/>
      <c r="MOU90" s="4"/>
      <c r="MOV90" s="4"/>
      <c r="MOW90" s="4"/>
      <c r="MOX90" s="4"/>
      <c r="MOY90" s="4"/>
      <c r="MOZ90" s="4"/>
      <c r="MPA90" s="4"/>
      <c r="MPB90" s="4"/>
      <c r="MPC90" s="4"/>
      <c r="MPD90" s="4"/>
      <c r="MPE90" s="4"/>
      <c r="MPF90" s="4"/>
      <c r="MPG90" s="4"/>
      <c r="MPH90" s="4"/>
      <c r="MPI90" s="4"/>
      <c r="MPJ90" s="4"/>
      <c r="MPK90" s="4"/>
      <c r="MPL90" s="4"/>
      <c r="MPM90" s="4"/>
      <c r="MPN90" s="4"/>
      <c r="MPO90" s="4"/>
      <c r="MPP90" s="4"/>
      <c r="MPQ90" s="4"/>
      <c r="MPR90" s="4"/>
      <c r="MPS90" s="4"/>
      <c r="MPT90" s="4"/>
      <c r="MPU90" s="4"/>
      <c r="MPV90" s="4"/>
      <c r="MPW90" s="4"/>
      <c r="MPX90" s="4"/>
      <c r="MPY90" s="4"/>
      <c r="MPZ90" s="4"/>
      <c r="MQA90" s="4"/>
      <c r="MQB90" s="4"/>
      <c r="MQC90" s="4"/>
      <c r="MQD90" s="4"/>
      <c r="MQE90" s="4"/>
      <c r="MQF90" s="4"/>
      <c r="MQG90" s="4"/>
      <c r="MQH90" s="4"/>
      <c r="MQI90" s="4"/>
      <c r="MQJ90" s="4"/>
      <c r="MQK90" s="4"/>
      <c r="MQL90" s="4"/>
      <c r="MQM90" s="4"/>
      <c r="MQN90" s="4"/>
      <c r="MQO90" s="4"/>
      <c r="MQP90" s="4"/>
      <c r="MQQ90" s="4"/>
      <c r="MQR90" s="4"/>
      <c r="MQS90" s="4"/>
      <c r="MQT90" s="4"/>
      <c r="MQU90" s="4"/>
      <c r="MQV90" s="4"/>
      <c r="MQW90" s="4"/>
      <c r="MQX90" s="4"/>
      <c r="MQY90" s="4"/>
      <c r="MQZ90" s="4"/>
      <c r="MRA90" s="4"/>
      <c r="MRB90" s="4"/>
      <c r="MRC90" s="4"/>
      <c r="MRD90" s="4"/>
      <c r="MRE90" s="4"/>
      <c r="MRF90" s="4"/>
      <c r="MRG90" s="4"/>
      <c r="MRH90" s="4"/>
      <c r="MRI90" s="4"/>
      <c r="MRJ90" s="4"/>
      <c r="MRK90" s="4"/>
      <c r="MRL90" s="4"/>
      <c r="MRM90" s="4"/>
      <c r="MRN90" s="4"/>
      <c r="MRO90" s="4"/>
      <c r="MRP90" s="4"/>
      <c r="MRQ90" s="4"/>
      <c r="MRR90" s="4"/>
      <c r="MRS90" s="4"/>
      <c r="MRT90" s="4"/>
      <c r="MRU90" s="4"/>
      <c r="MRV90" s="4"/>
      <c r="MRW90" s="4"/>
      <c r="MRX90" s="4"/>
      <c r="MRY90" s="4"/>
      <c r="MRZ90" s="4"/>
      <c r="MSA90" s="4"/>
      <c r="MSB90" s="4"/>
      <c r="MSC90" s="4"/>
      <c r="MSD90" s="4"/>
      <c r="MSE90" s="4"/>
      <c r="MSF90" s="4"/>
      <c r="MSG90" s="4"/>
      <c r="MSH90" s="4"/>
      <c r="MSI90" s="4"/>
      <c r="MSJ90" s="4"/>
      <c r="MSK90" s="4"/>
      <c r="MSL90" s="4"/>
      <c r="MSM90" s="4"/>
      <c r="MSN90" s="4"/>
      <c r="MSO90" s="4"/>
      <c r="MSP90" s="4"/>
      <c r="MSQ90" s="4"/>
      <c r="MSR90" s="4"/>
      <c r="MSS90" s="4"/>
      <c r="MST90" s="4"/>
      <c r="MSU90" s="4"/>
      <c r="MSV90" s="4"/>
      <c r="MSW90" s="4"/>
      <c r="MSX90" s="4"/>
      <c r="MSY90" s="4"/>
      <c r="MSZ90" s="4"/>
      <c r="MTA90" s="4"/>
      <c r="MTB90" s="4"/>
      <c r="MTC90" s="4"/>
      <c r="MTD90" s="4"/>
      <c r="MTE90" s="4"/>
      <c r="MTF90" s="4"/>
      <c r="MTG90" s="4"/>
      <c r="MTH90" s="4"/>
      <c r="MTI90" s="4"/>
      <c r="MTJ90" s="4"/>
      <c r="MTK90" s="4"/>
      <c r="MTL90" s="4"/>
      <c r="MTM90" s="4"/>
      <c r="MTN90" s="4"/>
      <c r="MTO90" s="4"/>
      <c r="MTP90" s="4"/>
      <c r="MTQ90" s="4"/>
      <c r="MTR90" s="4"/>
      <c r="MTS90" s="4"/>
      <c r="MTT90" s="4"/>
      <c r="MTU90" s="4"/>
      <c r="MTV90" s="4"/>
      <c r="MTW90" s="4"/>
      <c r="MTX90" s="4"/>
      <c r="MTY90" s="4"/>
      <c r="MTZ90" s="4"/>
      <c r="MUA90" s="4"/>
      <c r="MUB90" s="4"/>
      <c r="MUC90" s="4"/>
      <c r="MUD90" s="4"/>
      <c r="MUE90" s="4"/>
      <c r="MUF90" s="4"/>
      <c r="MUG90" s="4"/>
      <c r="MUH90" s="4"/>
      <c r="MUI90" s="4"/>
      <c r="MUJ90" s="4"/>
      <c r="MUK90" s="4"/>
      <c r="MUL90" s="4"/>
      <c r="MUM90" s="4"/>
      <c r="MUN90" s="4"/>
      <c r="MUO90" s="4"/>
      <c r="MUP90" s="4"/>
      <c r="MUQ90" s="4"/>
      <c r="MUR90" s="4"/>
      <c r="MUS90" s="4"/>
      <c r="MUT90" s="4"/>
      <c r="MUU90" s="4"/>
      <c r="MUV90" s="4"/>
      <c r="MUW90" s="4"/>
      <c r="MUX90" s="4"/>
      <c r="MUY90" s="4"/>
      <c r="MUZ90" s="4"/>
      <c r="MVA90" s="4"/>
      <c r="MVB90" s="4"/>
      <c r="MVC90" s="4"/>
      <c r="MVD90" s="4"/>
      <c r="MVE90" s="4"/>
      <c r="MVF90" s="4"/>
      <c r="MVG90" s="4"/>
      <c r="MVH90" s="4"/>
      <c r="MVI90" s="4"/>
      <c r="MVJ90" s="4"/>
      <c r="MVK90" s="4"/>
      <c r="MVL90" s="4"/>
      <c r="MVM90" s="4"/>
      <c r="MVN90" s="4"/>
      <c r="MVO90" s="4"/>
      <c r="MVP90" s="4"/>
      <c r="MVQ90" s="4"/>
      <c r="MVR90" s="4"/>
      <c r="MVS90" s="4"/>
      <c r="MVT90" s="4"/>
      <c r="MVU90" s="4"/>
      <c r="MVV90" s="4"/>
      <c r="MVW90" s="4"/>
      <c r="MVX90" s="4"/>
      <c r="MVY90" s="4"/>
      <c r="MVZ90" s="4"/>
      <c r="MWA90" s="4"/>
      <c r="MWB90" s="4"/>
      <c r="MWC90" s="4"/>
      <c r="MWD90" s="4"/>
      <c r="MWE90" s="4"/>
      <c r="MWF90" s="4"/>
      <c r="MWG90" s="4"/>
      <c r="MWH90" s="4"/>
      <c r="MWI90" s="4"/>
      <c r="MWJ90" s="4"/>
      <c r="MWK90" s="4"/>
      <c r="MWL90" s="4"/>
      <c r="MWM90" s="4"/>
      <c r="MWN90" s="4"/>
      <c r="MWO90" s="4"/>
      <c r="MWP90" s="4"/>
      <c r="MWQ90" s="4"/>
      <c r="MWR90" s="4"/>
      <c r="MWS90" s="4"/>
      <c r="MWT90" s="4"/>
      <c r="MWU90" s="4"/>
      <c r="MWV90" s="4"/>
      <c r="MWW90" s="4"/>
      <c r="MWX90" s="4"/>
      <c r="MWY90" s="4"/>
      <c r="MWZ90" s="4"/>
      <c r="MXA90" s="4"/>
      <c r="MXB90" s="4"/>
      <c r="MXC90" s="4"/>
      <c r="MXD90" s="4"/>
      <c r="MXE90" s="4"/>
      <c r="MXF90" s="4"/>
      <c r="MXG90" s="4"/>
      <c r="MXH90" s="4"/>
      <c r="MXI90" s="4"/>
      <c r="MXJ90" s="4"/>
      <c r="MXK90" s="4"/>
      <c r="MXL90" s="4"/>
      <c r="MXM90" s="4"/>
      <c r="MXN90" s="4"/>
      <c r="MXO90" s="4"/>
      <c r="MXP90" s="4"/>
      <c r="MXQ90" s="4"/>
      <c r="MXR90" s="4"/>
      <c r="MXS90" s="4"/>
      <c r="MXT90" s="4"/>
      <c r="MXU90" s="4"/>
      <c r="MXV90" s="4"/>
      <c r="MXW90" s="4"/>
      <c r="MXX90" s="4"/>
      <c r="MXY90" s="4"/>
      <c r="MXZ90" s="4"/>
      <c r="MYA90" s="4"/>
      <c r="MYB90" s="4"/>
      <c r="MYC90" s="4"/>
      <c r="MYD90" s="4"/>
      <c r="MYE90" s="4"/>
      <c r="MYF90" s="4"/>
      <c r="MYG90" s="4"/>
      <c r="MYH90" s="4"/>
      <c r="MYI90" s="4"/>
      <c r="MYJ90" s="4"/>
      <c r="MYK90" s="4"/>
      <c r="MYL90" s="4"/>
      <c r="MYM90" s="4"/>
      <c r="MYN90" s="4"/>
      <c r="MYO90" s="4"/>
      <c r="MYP90" s="4"/>
      <c r="MYQ90" s="4"/>
      <c r="MYR90" s="4"/>
      <c r="MYS90" s="4"/>
      <c r="MYT90" s="4"/>
      <c r="MYU90" s="4"/>
      <c r="MYV90" s="4"/>
      <c r="MYW90" s="4"/>
      <c r="MYX90" s="4"/>
      <c r="MYY90" s="4"/>
      <c r="MYZ90" s="4"/>
      <c r="MZA90" s="4"/>
      <c r="MZB90" s="4"/>
      <c r="MZC90" s="4"/>
      <c r="MZD90" s="4"/>
      <c r="MZE90" s="4"/>
      <c r="MZF90" s="4"/>
      <c r="MZG90" s="4"/>
      <c r="MZH90" s="4"/>
      <c r="MZI90" s="4"/>
      <c r="MZJ90" s="4"/>
      <c r="MZK90" s="4"/>
      <c r="MZL90" s="4"/>
      <c r="MZM90" s="4"/>
      <c r="MZN90" s="4"/>
      <c r="MZO90" s="4"/>
      <c r="MZP90" s="4"/>
      <c r="MZQ90" s="4"/>
      <c r="MZR90" s="4"/>
      <c r="MZS90" s="4"/>
      <c r="MZT90" s="4"/>
      <c r="MZU90" s="4"/>
      <c r="MZV90" s="4"/>
      <c r="MZW90" s="4"/>
      <c r="MZX90" s="4"/>
      <c r="MZY90" s="4"/>
      <c r="MZZ90" s="4"/>
      <c r="NAA90" s="4"/>
      <c r="NAB90" s="4"/>
      <c r="NAC90" s="4"/>
      <c r="NAD90" s="4"/>
      <c r="NAE90" s="4"/>
      <c r="NAF90" s="4"/>
      <c r="NAG90" s="4"/>
      <c r="NAH90" s="4"/>
      <c r="NAI90" s="4"/>
      <c r="NAJ90" s="4"/>
      <c r="NAK90" s="4"/>
      <c r="NAL90" s="4"/>
      <c r="NAM90" s="4"/>
      <c r="NAN90" s="4"/>
      <c r="NAO90" s="4"/>
      <c r="NAP90" s="4"/>
      <c r="NAQ90" s="4"/>
      <c r="NAR90" s="4"/>
      <c r="NAS90" s="4"/>
      <c r="NAT90" s="4"/>
      <c r="NAU90" s="4"/>
      <c r="NAV90" s="4"/>
      <c r="NAW90" s="4"/>
      <c r="NAX90" s="4"/>
      <c r="NAY90" s="4"/>
      <c r="NAZ90" s="4"/>
      <c r="NBA90" s="4"/>
      <c r="NBB90" s="4"/>
      <c r="NBC90" s="4"/>
      <c r="NBD90" s="4"/>
      <c r="NBE90" s="4"/>
      <c r="NBF90" s="4"/>
      <c r="NBG90" s="4"/>
      <c r="NBH90" s="4"/>
      <c r="NBI90" s="4"/>
      <c r="NBJ90" s="4"/>
      <c r="NBK90" s="4"/>
      <c r="NBL90" s="4"/>
      <c r="NBM90" s="4"/>
      <c r="NBN90" s="4"/>
      <c r="NBO90" s="4"/>
      <c r="NBP90" s="4"/>
      <c r="NBQ90" s="4"/>
      <c r="NBR90" s="4"/>
      <c r="NBS90" s="4"/>
      <c r="NBT90" s="4"/>
      <c r="NBU90" s="4"/>
      <c r="NBV90" s="4"/>
      <c r="NBW90" s="4"/>
      <c r="NBX90" s="4"/>
      <c r="NBY90" s="4"/>
      <c r="NBZ90" s="4"/>
      <c r="NCA90" s="4"/>
      <c r="NCB90" s="4"/>
      <c r="NCC90" s="4"/>
      <c r="NCD90" s="4"/>
      <c r="NCE90" s="4"/>
      <c r="NCF90" s="4"/>
      <c r="NCG90" s="4"/>
      <c r="NCH90" s="4"/>
      <c r="NCI90" s="4"/>
      <c r="NCJ90" s="4"/>
      <c r="NCK90" s="4"/>
      <c r="NCL90" s="4"/>
      <c r="NCM90" s="4"/>
      <c r="NCN90" s="4"/>
      <c r="NCO90" s="4"/>
      <c r="NCP90" s="4"/>
      <c r="NCQ90" s="4"/>
      <c r="NCR90" s="4"/>
      <c r="NCS90" s="4"/>
      <c r="NCT90" s="4"/>
      <c r="NCU90" s="4"/>
      <c r="NCV90" s="4"/>
      <c r="NCW90" s="4"/>
      <c r="NCX90" s="4"/>
      <c r="NCY90" s="4"/>
      <c r="NCZ90" s="4"/>
      <c r="NDA90" s="4"/>
      <c r="NDB90" s="4"/>
      <c r="NDC90" s="4"/>
      <c r="NDD90" s="4"/>
      <c r="NDE90" s="4"/>
      <c r="NDF90" s="4"/>
      <c r="NDG90" s="4"/>
      <c r="NDH90" s="4"/>
      <c r="NDI90" s="4"/>
      <c r="NDJ90" s="4"/>
      <c r="NDK90" s="4"/>
      <c r="NDL90" s="4"/>
      <c r="NDM90" s="4"/>
      <c r="NDN90" s="4"/>
      <c r="NDO90" s="4"/>
      <c r="NDP90" s="4"/>
      <c r="NDQ90" s="4"/>
      <c r="NDR90" s="4"/>
      <c r="NDS90" s="4"/>
      <c r="NDT90" s="4"/>
      <c r="NDU90" s="4"/>
      <c r="NDV90" s="4"/>
      <c r="NDW90" s="4"/>
      <c r="NDX90" s="4"/>
      <c r="NDY90" s="4"/>
      <c r="NDZ90" s="4"/>
      <c r="NEA90" s="4"/>
      <c r="NEB90" s="4"/>
      <c r="NEC90" s="4"/>
      <c r="NED90" s="4"/>
      <c r="NEE90" s="4"/>
      <c r="NEF90" s="4"/>
      <c r="NEG90" s="4"/>
      <c r="NEH90" s="4"/>
      <c r="NEI90" s="4"/>
      <c r="NEJ90" s="4"/>
      <c r="NEK90" s="4"/>
      <c r="NEL90" s="4"/>
      <c r="NEM90" s="4"/>
      <c r="NEN90" s="4"/>
      <c r="NEO90" s="4"/>
      <c r="NEP90" s="4"/>
      <c r="NEQ90" s="4"/>
      <c r="NER90" s="4"/>
      <c r="NES90" s="4"/>
      <c r="NET90" s="4"/>
      <c r="NEU90" s="4"/>
      <c r="NEV90" s="4"/>
      <c r="NEW90" s="4"/>
      <c r="NEX90" s="4"/>
      <c r="NEY90" s="4"/>
      <c r="NEZ90" s="4"/>
      <c r="NFA90" s="4"/>
      <c r="NFB90" s="4"/>
      <c r="NFC90" s="4"/>
      <c r="NFD90" s="4"/>
      <c r="NFE90" s="4"/>
      <c r="NFF90" s="4"/>
      <c r="NFG90" s="4"/>
      <c r="NFH90" s="4"/>
      <c r="NFI90" s="4"/>
      <c r="NFJ90" s="4"/>
      <c r="NFK90" s="4"/>
      <c r="NFL90" s="4"/>
      <c r="NFM90" s="4"/>
      <c r="NFN90" s="4"/>
      <c r="NFO90" s="4"/>
      <c r="NFP90" s="4"/>
      <c r="NFQ90" s="4"/>
      <c r="NFR90" s="4"/>
      <c r="NFS90" s="4"/>
      <c r="NFT90" s="4"/>
      <c r="NFU90" s="4"/>
      <c r="NFV90" s="4"/>
      <c r="NFW90" s="4"/>
      <c r="NFX90" s="4"/>
      <c r="NFY90" s="4"/>
      <c r="NFZ90" s="4"/>
      <c r="NGA90" s="4"/>
      <c r="NGB90" s="4"/>
      <c r="NGC90" s="4"/>
      <c r="NGD90" s="4"/>
      <c r="NGE90" s="4"/>
      <c r="NGF90" s="4"/>
      <c r="NGG90" s="4"/>
      <c r="NGH90" s="4"/>
      <c r="NGI90" s="4"/>
      <c r="NGJ90" s="4"/>
      <c r="NGK90" s="4"/>
      <c r="NGL90" s="4"/>
      <c r="NGM90" s="4"/>
      <c r="NGN90" s="4"/>
      <c r="NGO90" s="4"/>
      <c r="NGP90" s="4"/>
      <c r="NGQ90" s="4"/>
      <c r="NGR90" s="4"/>
      <c r="NGS90" s="4"/>
      <c r="NGT90" s="4"/>
      <c r="NGU90" s="4"/>
      <c r="NGV90" s="4"/>
      <c r="NGW90" s="4"/>
      <c r="NGX90" s="4"/>
      <c r="NGY90" s="4"/>
      <c r="NGZ90" s="4"/>
      <c r="NHA90" s="4"/>
      <c r="NHB90" s="4"/>
      <c r="NHC90" s="4"/>
      <c r="NHD90" s="4"/>
      <c r="NHE90" s="4"/>
      <c r="NHF90" s="4"/>
      <c r="NHG90" s="4"/>
      <c r="NHH90" s="4"/>
      <c r="NHI90" s="4"/>
      <c r="NHJ90" s="4"/>
      <c r="NHK90" s="4"/>
      <c r="NHL90" s="4"/>
      <c r="NHM90" s="4"/>
      <c r="NHN90" s="4"/>
      <c r="NHO90" s="4"/>
      <c r="NHP90" s="4"/>
      <c r="NHQ90" s="4"/>
      <c r="NHR90" s="4"/>
      <c r="NHS90" s="4"/>
      <c r="NHT90" s="4"/>
      <c r="NHU90" s="4"/>
      <c r="NHV90" s="4"/>
      <c r="NHW90" s="4"/>
      <c r="NHX90" s="4"/>
      <c r="NHY90" s="4"/>
      <c r="NHZ90" s="4"/>
      <c r="NIA90" s="4"/>
      <c r="NIB90" s="4"/>
      <c r="NIC90" s="4"/>
      <c r="NID90" s="4"/>
      <c r="NIE90" s="4"/>
      <c r="NIF90" s="4"/>
      <c r="NIG90" s="4"/>
      <c r="NIH90" s="4"/>
      <c r="NII90" s="4"/>
      <c r="NIJ90" s="4"/>
      <c r="NIK90" s="4"/>
      <c r="NIL90" s="4"/>
      <c r="NIM90" s="4"/>
      <c r="NIN90" s="4"/>
      <c r="NIO90" s="4"/>
      <c r="NIP90" s="4"/>
      <c r="NIQ90" s="4"/>
      <c r="NIR90" s="4"/>
      <c r="NIS90" s="4"/>
      <c r="NIT90" s="4"/>
      <c r="NIU90" s="4"/>
      <c r="NIV90" s="4"/>
      <c r="NIW90" s="4"/>
      <c r="NIX90" s="4"/>
      <c r="NIY90" s="4"/>
      <c r="NIZ90" s="4"/>
      <c r="NJA90" s="4"/>
      <c r="NJB90" s="4"/>
      <c r="NJC90" s="4"/>
      <c r="NJD90" s="4"/>
      <c r="NJE90" s="4"/>
      <c r="NJF90" s="4"/>
      <c r="NJG90" s="4"/>
      <c r="NJH90" s="4"/>
      <c r="NJI90" s="4"/>
      <c r="NJJ90" s="4"/>
      <c r="NJK90" s="4"/>
      <c r="NJL90" s="4"/>
      <c r="NJM90" s="4"/>
      <c r="NJN90" s="4"/>
      <c r="NJO90" s="4"/>
      <c r="NJP90" s="4"/>
      <c r="NJQ90" s="4"/>
      <c r="NJR90" s="4"/>
      <c r="NJS90" s="4"/>
      <c r="NJT90" s="4"/>
      <c r="NJU90" s="4"/>
      <c r="NJV90" s="4"/>
      <c r="NJW90" s="4"/>
      <c r="NJX90" s="4"/>
      <c r="NJY90" s="4"/>
      <c r="NJZ90" s="4"/>
      <c r="NKA90" s="4"/>
      <c r="NKB90" s="4"/>
      <c r="NKC90" s="4"/>
      <c r="NKD90" s="4"/>
      <c r="NKE90" s="4"/>
      <c r="NKF90" s="4"/>
      <c r="NKG90" s="4"/>
      <c r="NKH90" s="4"/>
      <c r="NKI90" s="4"/>
      <c r="NKJ90" s="4"/>
      <c r="NKK90" s="4"/>
      <c r="NKL90" s="4"/>
      <c r="NKM90" s="4"/>
      <c r="NKN90" s="4"/>
      <c r="NKO90" s="4"/>
      <c r="NKP90" s="4"/>
      <c r="NKQ90" s="4"/>
      <c r="NKR90" s="4"/>
      <c r="NKS90" s="4"/>
      <c r="NKT90" s="4"/>
      <c r="NKU90" s="4"/>
      <c r="NKV90" s="4"/>
      <c r="NKW90" s="4"/>
      <c r="NKX90" s="4"/>
      <c r="NKY90" s="4"/>
      <c r="NKZ90" s="4"/>
      <c r="NLA90" s="4"/>
      <c r="NLB90" s="4"/>
      <c r="NLC90" s="4"/>
      <c r="NLD90" s="4"/>
      <c r="NLE90" s="4"/>
      <c r="NLF90" s="4"/>
      <c r="NLG90" s="4"/>
      <c r="NLH90" s="4"/>
      <c r="NLI90" s="4"/>
      <c r="NLJ90" s="4"/>
      <c r="NLK90" s="4"/>
      <c r="NLL90" s="4"/>
      <c r="NLM90" s="4"/>
      <c r="NLN90" s="4"/>
      <c r="NLO90" s="4"/>
      <c r="NLP90" s="4"/>
      <c r="NLQ90" s="4"/>
      <c r="NLR90" s="4"/>
      <c r="NLS90" s="4"/>
      <c r="NLT90" s="4"/>
      <c r="NLU90" s="4"/>
      <c r="NLV90" s="4"/>
      <c r="NLW90" s="4"/>
      <c r="NLX90" s="4"/>
      <c r="NLY90" s="4"/>
      <c r="NLZ90" s="4"/>
      <c r="NMA90" s="4"/>
      <c r="NMB90" s="4"/>
      <c r="NMC90" s="4"/>
      <c r="NMD90" s="4"/>
      <c r="NME90" s="4"/>
      <c r="NMF90" s="4"/>
      <c r="NMG90" s="4"/>
      <c r="NMH90" s="4"/>
      <c r="NMI90" s="4"/>
      <c r="NMJ90" s="4"/>
      <c r="NMK90" s="4"/>
      <c r="NML90" s="4"/>
      <c r="NMM90" s="4"/>
      <c r="NMN90" s="4"/>
      <c r="NMO90" s="4"/>
      <c r="NMP90" s="4"/>
      <c r="NMQ90" s="4"/>
      <c r="NMR90" s="4"/>
      <c r="NMS90" s="4"/>
      <c r="NMT90" s="4"/>
      <c r="NMU90" s="4"/>
      <c r="NMV90" s="4"/>
      <c r="NMW90" s="4"/>
      <c r="NMX90" s="4"/>
      <c r="NMY90" s="4"/>
      <c r="NMZ90" s="4"/>
      <c r="NNA90" s="4"/>
      <c r="NNB90" s="4"/>
      <c r="NNC90" s="4"/>
      <c r="NND90" s="4"/>
      <c r="NNE90" s="4"/>
      <c r="NNF90" s="4"/>
      <c r="NNG90" s="4"/>
      <c r="NNH90" s="4"/>
      <c r="NNI90" s="4"/>
      <c r="NNJ90" s="4"/>
      <c r="NNK90" s="4"/>
      <c r="NNL90" s="4"/>
      <c r="NNM90" s="4"/>
      <c r="NNN90" s="4"/>
      <c r="NNO90" s="4"/>
      <c r="NNP90" s="4"/>
      <c r="NNQ90" s="4"/>
      <c r="NNR90" s="4"/>
      <c r="NNS90" s="4"/>
      <c r="NNT90" s="4"/>
      <c r="NNU90" s="4"/>
      <c r="NNV90" s="4"/>
      <c r="NNW90" s="4"/>
      <c r="NNX90" s="4"/>
      <c r="NNY90" s="4"/>
      <c r="NNZ90" s="4"/>
      <c r="NOA90" s="4"/>
      <c r="NOB90" s="4"/>
      <c r="NOC90" s="4"/>
      <c r="NOD90" s="4"/>
      <c r="NOE90" s="4"/>
      <c r="NOF90" s="4"/>
      <c r="NOG90" s="4"/>
      <c r="NOH90" s="4"/>
      <c r="NOI90" s="4"/>
      <c r="NOJ90" s="4"/>
      <c r="NOK90" s="4"/>
      <c r="NOL90" s="4"/>
      <c r="NOM90" s="4"/>
      <c r="NON90" s="4"/>
      <c r="NOO90" s="4"/>
      <c r="NOP90" s="4"/>
      <c r="NOQ90" s="4"/>
      <c r="NOR90" s="4"/>
      <c r="NOS90" s="4"/>
      <c r="NOT90" s="4"/>
      <c r="NOU90" s="4"/>
      <c r="NOV90" s="4"/>
      <c r="NOW90" s="4"/>
      <c r="NOX90" s="4"/>
      <c r="NOY90" s="4"/>
      <c r="NOZ90" s="4"/>
      <c r="NPA90" s="4"/>
      <c r="NPB90" s="4"/>
      <c r="NPC90" s="4"/>
      <c r="NPD90" s="4"/>
      <c r="NPE90" s="4"/>
      <c r="NPF90" s="4"/>
      <c r="NPG90" s="4"/>
      <c r="NPH90" s="4"/>
      <c r="NPI90" s="4"/>
      <c r="NPJ90" s="4"/>
      <c r="NPK90" s="4"/>
      <c r="NPL90" s="4"/>
      <c r="NPM90" s="4"/>
      <c r="NPN90" s="4"/>
      <c r="NPO90" s="4"/>
      <c r="NPP90" s="4"/>
      <c r="NPQ90" s="4"/>
      <c r="NPR90" s="4"/>
      <c r="NPS90" s="4"/>
      <c r="NPT90" s="4"/>
      <c r="NPU90" s="4"/>
      <c r="NPV90" s="4"/>
      <c r="NPW90" s="4"/>
      <c r="NPX90" s="4"/>
      <c r="NPY90" s="4"/>
      <c r="NPZ90" s="4"/>
      <c r="NQA90" s="4"/>
      <c r="NQB90" s="4"/>
      <c r="NQC90" s="4"/>
      <c r="NQD90" s="4"/>
      <c r="NQE90" s="4"/>
      <c r="NQF90" s="4"/>
      <c r="NQG90" s="4"/>
      <c r="NQH90" s="4"/>
      <c r="NQI90" s="4"/>
      <c r="NQJ90" s="4"/>
      <c r="NQK90" s="4"/>
      <c r="NQL90" s="4"/>
      <c r="NQM90" s="4"/>
      <c r="NQN90" s="4"/>
      <c r="NQO90" s="4"/>
      <c r="NQP90" s="4"/>
      <c r="NQQ90" s="4"/>
      <c r="NQR90" s="4"/>
      <c r="NQS90" s="4"/>
      <c r="NQT90" s="4"/>
      <c r="NQU90" s="4"/>
      <c r="NQV90" s="4"/>
      <c r="NQW90" s="4"/>
      <c r="NQX90" s="4"/>
      <c r="NQY90" s="4"/>
      <c r="NQZ90" s="4"/>
      <c r="NRA90" s="4"/>
      <c r="NRB90" s="4"/>
      <c r="NRC90" s="4"/>
      <c r="NRD90" s="4"/>
      <c r="NRE90" s="4"/>
      <c r="NRF90" s="4"/>
      <c r="NRG90" s="4"/>
      <c r="NRH90" s="4"/>
      <c r="NRI90" s="4"/>
      <c r="NRJ90" s="4"/>
      <c r="NRK90" s="4"/>
      <c r="NRL90" s="4"/>
      <c r="NRM90" s="4"/>
      <c r="NRN90" s="4"/>
      <c r="NRO90" s="4"/>
      <c r="NRP90" s="4"/>
      <c r="NRQ90" s="4"/>
      <c r="NRR90" s="4"/>
      <c r="NRS90" s="4"/>
      <c r="NRT90" s="4"/>
      <c r="NRU90" s="4"/>
      <c r="NRV90" s="4"/>
      <c r="NRW90" s="4"/>
      <c r="NRX90" s="4"/>
      <c r="NRY90" s="4"/>
      <c r="NRZ90" s="4"/>
      <c r="NSA90" s="4"/>
      <c r="NSB90" s="4"/>
      <c r="NSC90" s="4"/>
      <c r="NSD90" s="4"/>
      <c r="NSE90" s="4"/>
      <c r="NSF90" s="4"/>
      <c r="NSG90" s="4"/>
      <c r="NSH90" s="4"/>
      <c r="NSI90" s="4"/>
      <c r="NSJ90" s="4"/>
      <c r="NSK90" s="4"/>
      <c r="NSL90" s="4"/>
      <c r="NSM90" s="4"/>
      <c r="NSN90" s="4"/>
      <c r="NSO90" s="4"/>
      <c r="NSP90" s="4"/>
      <c r="NSQ90" s="4"/>
      <c r="NSR90" s="4"/>
      <c r="NSS90" s="4"/>
      <c r="NST90" s="4"/>
      <c r="NSU90" s="4"/>
      <c r="NSV90" s="4"/>
      <c r="NSW90" s="4"/>
      <c r="NSX90" s="4"/>
      <c r="NSY90" s="4"/>
      <c r="NSZ90" s="4"/>
      <c r="NTA90" s="4"/>
      <c r="NTB90" s="4"/>
      <c r="NTC90" s="4"/>
      <c r="NTD90" s="4"/>
      <c r="NTE90" s="4"/>
      <c r="NTF90" s="4"/>
      <c r="NTG90" s="4"/>
      <c r="NTH90" s="4"/>
      <c r="NTI90" s="4"/>
      <c r="NTJ90" s="4"/>
      <c r="NTK90" s="4"/>
      <c r="NTL90" s="4"/>
      <c r="NTM90" s="4"/>
      <c r="NTN90" s="4"/>
      <c r="NTO90" s="4"/>
      <c r="NTP90" s="4"/>
      <c r="NTQ90" s="4"/>
      <c r="NTR90" s="4"/>
      <c r="NTS90" s="4"/>
      <c r="NTT90" s="4"/>
      <c r="NTU90" s="4"/>
      <c r="NTV90" s="4"/>
      <c r="NTW90" s="4"/>
      <c r="NTX90" s="4"/>
      <c r="NTY90" s="4"/>
      <c r="NTZ90" s="4"/>
      <c r="NUA90" s="4"/>
      <c r="NUB90" s="4"/>
      <c r="NUC90" s="4"/>
      <c r="NUD90" s="4"/>
      <c r="NUE90" s="4"/>
      <c r="NUF90" s="4"/>
      <c r="NUG90" s="4"/>
      <c r="NUH90" s="4"/>
      <c r="NUI90" s="4"/>
      <c r="NUJ90" s="4"/>
      <c r="NUK90" s="4"/>
      <c r="NUL90" s="4"/>
      <c r="NUM90" s="4"/>
      <c r="NUN90" s="4"/>
      <c r="NUO90" s="4"/>
      <c r="NUP90" s="4"/>
      <c r="NUQ90" s="4"/>
      <c r="NUR90" s="4"/>
      <c r="NUS90" s="4"/>
      <c r="NUT90" s="4"/>
      <c r="NUU90" s="4"/>
      <c r="NUV90" s="4"/>
      <c r="NUW90" s="4"/>
      <c r="NUX90" s="4"/>
      <c r="NUY90" s="4"/>
      <c r="NUZ90" s="4"/>
      <c r="NVA90" s="4"/>
      <c r="NVB90" s="4"/>
      <c r="NVC90" s="4"/>
      <c r="NVD90" s="4"/>
      <c r="NVE90" s="4"/>
      <c r="NVF90" s="4"/>
      <c r="NVG90" s="4"/>
      <c r="NVH90" s="4"/>
      <c r="NVI90" s="4"/>
      <c r="NVJ90" s="4"/>
      <c r="NVK90" s="4"/>
      <c r="NVL90" s="4"/>
      <c r="NVM90" s="4"/>
      <c r="NVN90" s="4"/>
      <c r="NVO90" s="4"/>
      <c r="NVP90" s="4"/>
      <c r="NVQ90" s="4"/>
      <c r="NVR90" s="4"/>
      <c r="NVS90" s="4"/>
      <c r="NVT90" s="4"/>
      <c r="NVU90" s="4"/>
      <c r="NVV90" s="4"/>
      <c r="NVW90" s="4"/>
      <c r="NVX90" s="4"/>
      <c r="NVY90" s="4"/>
      <c r="NVZ90" s="4"/>
      <c r="NWA90" s="4"/>
      <c r="NWB90" s="4"/>
      <c r="NWC90" s="4"/>
      <c r="NWD90" s="4"/>
      <c r="NWE90" s="4"/>
      <c r="NWF90" s="4"/>
      <c r="NWG90" s="4"/>
      <c r="NWH90" s="4"/>
      <c r="NWI90" s="4"/>
      <c r="NWJ90" s="4"/>
      <c r="NWK90" s="4"/>
      <c r="NWL90" s="4"/>
      <c r="NWM90" s="4"/>
      <c r="NWN90" s="4"/>
      <c r="NWO90" s="4"/>
      <c r="NWP90" s="4"/>
      <c r="NWQ90" s="4"/>
      <c r="NWR90" s="4"/>
      <c r="NWS90" s="4"/>
      <c r="NWT90" s="4"/>
      <c r="NWU90" s="4"/>
      <c r="NWV90" s="4"/>
      <c r="NWW90" s="4"/>
      <c r="NWX90" s="4"/>
      <c r="NWY90" s="4"/>
      <c r="NWZ90" s="4"/>
      <c r="NXA90" s="4"/>
      <c r="NXB90" s="4"/>
      <c r="NXC90" s="4"/>
      <c r="NXD90" s="4"/>
      <c r="NXE90" s="4"/>
      <c r="NXF90" s="4"/>
      <c r="NXG90" s="4"/>
      <c r="NXH90" s="4"/>
      <c r="NXI90" s="4"/>
      <c r="NXJ90" s="4"/>
      <c r="NXK90" s="4"/>
      <c r="NXL90" s="4"/>
      <c r="NXM90" s="4"/>
      <c r="NXN90" s="4"/>
      <c r="NXO90" s="4"/>
      <c r="NXP90" s="4"/>
      <c r="NXQ90" s="4"/>
      <c r="NXR90" s="4"/>
      <c r="NXS90" s="4"/>
      <c r="NXT90" s="4"/>
      <c r="NXU90" s="4"/>
      <c r="NXV90" s="4"/>
      <c r="NXW90" s="4"/>
      <c r="NXX90" s="4"/>
      <c r="NXY90" s="4"/>
      <c r="NXZ90" s="4"/>
      <c r="NYA90" s="4"/>
      <c r="NYB90" s="4"/>
      <c r="NYC90" s="4"/>
      <c r="NYD90" s="4"/>
      <c r="NYE90" s="4"/>
      <c r="NYF90" s="4"/>
      <c r="NYG90" s="4"/>
      <c r="NYH90" s="4"/>
      <c r="NYI90" s="4"/>
      <c r="NYJ90" s="4"/>
      <c r="NYK90" s="4"/>
      <c r="NYL90" s="4"/>
      <c r="NYM90" s="4"/>
      <c r="NYN90" s="4"/>
      <c r="NYO90" s="4"/>
      <c r="NYP90" s="4"/>
      <c r="NYQ90" s="4"/>
      <c r="NYR90" s="4"/>
      <c r="NYS90" s="4"/>
      <c r="NYT90" s="4"/>
      <c r="NYU90" s="4"/>
      <c r="NYV90" s="4"/>
      <c r="NYW90" s="4"/>
      <c r="NYX90" s="4"/>
      <c r="NYY90" s="4"/>
      <c r="NYZ90" s="4"/>
      <c r="NZA90" s="4"/>
      <c r="NZB90" s="4"/>
      <c r="NZC90" s="4"/>
      <c r="NZD90" s="4"/>
      <c r="NZE90" s="4"/>
      <c r="NZF90" s="4"/>
      <c r="NZG90" s="4"/>
      <c r="NZH90" s="4"/>
      <c r="NZI90" s="4"/>
      <c r="NZJ90" s="4"/>
      <c r="NZK90" s="4"/>
      <c r="NZL90" s="4"/>
      <c r="NZM90" s="4"/>
      <c r="NZN90" s="4"/>
      <c r="NZO90" s="4"/>
      <c r="NZP90" s="4"/>
      <c r="NZQ90" s="4"/>
      <c r="NZR90" s="4"/>
      <c r="NZS90" s="4"/>
      <c r="NZT90" s="4"/>
      <c r="NZU90" s="4"/>
      <c r="NZV90" s="4"/>
      <c r="NZW90" s="4"/>
      <c r="NZX90" s="4"/>
      <c r="NZY90" s="4"/>
      <c r="NZZ90" s="4"/>
      <c r="OAA90" s="4"/>
      <c r="OAB90" s="4"/>
      <c r="OAC90" s="4"/>
      <c r="OAD90" s="4"/>
      <c r="OAE90" s="4"/>
      <c r="OAF90" s="4"/>
      <c r="OAG90" s="4"/>
      <c r="OAH90" s="4"/>
      <c r="OAI90" s="4"/>
      <c r="OAJ90" s="4"/>
      <c r="OAK90" s="4"/>
      <c r="OAL90" s="4"/>
      <c r="OAM90" s="4"/>
      <c r="OAN90" s="4"/>
      <c r="OAO90" s="4"/>
      <c r="OAP90" s="4"/>
      <c r="OAQ90" s="4"/>
      <c r="OAR90" s="4"/>
      <c r="OAS90" s="4"/>
      <c r="OAT90" s="4"/>
      <c r="OAU90" s="4"/>
      <c r="OAV90" s="4"/>
      <c r="OAW90" s="4"/>
      <c r="OAX90" s="4"/>
      <c r="OAY90" s="4"/>
      <c r="OAZ90" s="4"/>
      <c r="OBA90" s="4"/>
      <c r="OBB90" s="4"/>
      <c r="OBC90" s="4"/>
      <c r="OBD90" s="4"/>
      <c r="OBE90" s="4"/>
      <c r="OBF90" s="4"/>
      <c r="OBG90" s="4"/>
      <c r="OBH90" s="4"/>
      <c r="OBI90" s="4"/>
      <c r="OBJ90" s="4"/>
      <c r="OBK90" s="4"/>
      <c r="OBL90" s="4"/>
      <c r="OBM90" s="4"/>
      <c r="OBN90" s="4"/>
      <c r="OBO90" s="4"/>
      <c r="OBP90" s="4"/>
      <c r="OBQ90" s="4"/>
      <c r="OBR90" s="4"/>
      <c r="OBS90" s="4"/>
      <c r="OBT90" s="4"/>
      <c r="OBU90" s="4"/>
      <c r="OBV90" s="4"/>
      <c r="OBW90" s="4"/>
      <c r="OBX90" s="4"/>
      <c r="OBY90" s="4"/>
      <c r="OBZ90" s="4"/>
      <c r="OCA90" s="4"/>
      <c r="OCB90" s="4"/>
      <c r="OCC90" s="4"/>
      <c r="OCD90" s="4"/>
      <c r="OCE90" s="4"/>
      <c r="OCF90" s="4"/>
      <c r="OCG90" s="4"/>
      <c r="OCH90" s="4"/>
      <c r="OCI90" s="4"/>
      <c r="OCJ90" s="4"/>
      <c r="OCK90" s="4"/>
      <c r="OCL90" s="4"/>
      <c r="OCM90" s="4"/>
      <c r="OCN90" s="4"/>
      <c r="OCO90" s="4"/>
      <c r="OCP90" s="4"/>
      <c r="OCQ90" s="4"/>
      <c r="OCR90" s="4"/>
      <c r="OCS90" s="4"/>
      <c r="OCT90" s="4"/>
      <c r="OCU90" s="4"/>
      <c r="OCV90" s="4"/>
      <c r="OCW90" s="4"/>
      <c r="OCX90" s="4"/>
      <c r="OCY90" s="4"/>
      <c r="OCZ90" s="4"/>
      <c r="ODA90" s="4"/>
      <c r="ODB90" s="4"/>
      <c r="ODC90" s="4"/>
      <c r="ODD90" s="4"/>
      <c r="ODE90" s="4"/>
      <c r="ODF90" s="4"/>
      <c r="ODG90" s="4"/>
      <c r="ODH90" s="4"/>
      <c r="ODI90" s="4"/>
      <c r="ODJ90" s="4"/>
      <c r="ODK90" s="4"/>
      <c r="ODL90" s="4"/>
      <c r="ODM90" s="4"/>
      <c r="ODN90" s="4"/>
      <c r="ODO90" s="4"/>
      <c r="ODP90" s="4"/>
      <c r="ODQ90" s="4"/>
      <c r="ODR90" s="4"/>
      <c r="ODS90" s="4"/>
      <c r="ODT90" s="4"/>
      <c r="ODU90" s="4"/>
      <c r="ODV90" s="4"/>
      <c r="ODW90" s="4"/>
      <c r="ODX90" s="4"/>
      <c r="ODY90" s="4"/>
      <c r="ODZ90" s="4"/>
      <c r="OEA90" s="4"/>
      <c r="OEB90" s="4"/>
      <c r="OEC90" s="4"/>
      <c r="OED90" s="4"/>
      <c r="OEE90" s="4"/>
      <c r="OEF90" s="4"/>
      <c r="OEG90" s="4"/>
      <c r="OEH90" s="4"/>
      <c r="OEI90" s="4"/>
      <c r="OEJ90" s="4"/>
      <c r="OEK90" s="4"/>
      <c r="OEL90" s="4"/>
      <c r="OEM90" s="4"/>
      <c r="OEN90" s="4"/>
      <c r="OEO90" s="4"/>
      <c r="OEP90" s="4"/>
      <c r="OEQ90" s="4"/>
      <c r="OER90" s="4"/>
      <c r="OES90" s="4"/>
      <c r="OET90" s="4"/>
      <c r="OEU90" s="4"/>
      <c r="OEV90" s="4"/>
      <c r="OEW90" s="4"/>
      <c r="OEX90" s="4"/>
      <c r="OEY90" s="4"/>
      <c r="OEZ90" s="4"/>
      <c r="OFA90" s="4"/>
      <c r="OFB90" s="4"/>
      <c r="OFC90" s="4"/>
      <c r="OFD90" s="4"/>
      <c r="OFE90" s="4"/>
      <c r="OFF90" s="4"/>
      <c r="OFG90" s="4"/>
      <c r="OFH90" s="4"/>
      <c r="OFI90" s="4"/>
      <c r="OFJ90" s="4"/>
      <c r="OFK90" s="4"/>
      <c r="OFL90" s="4"/>
      <c r="OFM90" s="4"/>
      <c r="OFN90" s="4"/>
      <c r="OFO90" s="4"/>
      <c r="OFP90" s="4"/>
      <c r="OFQ90" s="4"/>
      <c r="OFR90" s="4"/>
      <c r="OFS90" s="4"/>
      <c r="OFT90" s="4"/>
      <c r="OFU90" s="4"/>
      <c r="OFV90" s="4"/>
      <c r="OFW90" s="4"/>
      <c r="OFX90" s="4"/>
      <c r="OFY90" s="4"/>
      <c r="OFZ90" s="4"/>
      <c r="OGA90" s="4"/>
      <c r="OGB90" s="4"/>
      <c r="OGC90" s="4"/>
      <c r="OGD90" s="4"/>
      <c r="OGE90" s="4"/>
      <c r="OGF90" s="4"/>
      <c r="OGG90" s="4"/>
      <c r="OGH90" s="4"/>
      <c r="OGI90" s="4"/>
      <c r="OGJ90" s="4"/>
      <c r="OGK90" s="4"/>
      <c r="OGL90" s="4"/>
      <c r="OGM90" s="4"/>
      <c r="OGN90" s="4"/>
      <c r="OGO90" s="4"/>
      <c r="OGP90" s="4"/>
      <c r="OGQ90" s="4"/>
      <c r="OGR90" s="4"/>
      <c r="OGS90" s="4"/>
      <c r="OGT90" s="4"/>
      <c r="OGU90" s="4"/>
      <c r="OGV90" s="4"/>
      <c r="OGW90" s="4"/>
      <c r="OGX90" s="4"/>
      <c r="OGY90" s="4"/>
      <c r="OGZ90" s="4"/>
      <c r="OHA90" s="4"/>
      <c r="OHB90" s="4"/>
      <c r="OHC90" s="4"/>
      <c r="OHD90" s="4"/>
      <c r="OHE90" s="4"/>
      <c r="OHF90" s="4"/>
      <c r="OHG90" s="4"/>
      <c r="OHH90" s="4"/>
      <c r="OHI90" s="4"/>
      <c r="OHJ90" s="4"/>
      <c r="OHK90" s="4"/>
      <c r="OHL90" s="4"/>
      <c r="OHM90" s="4"/>
      <c r="OHN90" s="4"/>
      <c r="OHO90" s="4"/>
      <c r="OHP90" s="4"/>
      <c r="OHQ90" s="4"/>
      <c r="OHR90" s="4"/>
      <c r="OHS90" s="4"/>
      <c r="OHT90" s="4"/>
      <c r="OHU90" s="4"/>
      <c r="OHV90" s="4"/>
      <c r="OHW90" s="4"/>
      <c r="OHX90" s="4"/>
      <c r="OHY90" s="4"/>
      <c r="OHZ90" s="4"/>
      <c r="OIA90" s="4"/>
      <c r="OIB90" s="4"/>
      <c r="OIC90" s="4"/>
      <c r="OID90" s="4"/>
      <c r="OIE90" s="4"/>
      <c r="OIF90" s="4"/>
      <c r="OIG90" s="4"/>
      <c r="OIH90" s="4"/>
      <c r="OII90" s="4"/>
      <c r="OIJ90" s="4"/>
      <c r="OIK90" s="4"/>
      <c r="OIL90" s="4"/>
      <c r="OIM90" s="4"/>
      <c r="OIN90" s="4"/>
      <c r="OIO90" s="4"/>
      <c r="OIP90" s="4"/>
      <c r="OIQ90" s="4"/>
      <c r="OIR90" s="4"/>
      <c r="OIS90" s="4"/>
      <c r="OIT90" s="4"/>
      <c r="OIU90" s="4"/>
      <c r="OIV90" s="4"/>
      <c r="OIW90" s="4"/>
      <c r="OIX90" s="4"/>
      <c r="OIY90" s="4"/>
      <c r="OIZ90" s="4"/>
      <c r="OJA90" s="4"/>
      <c r="OJB90" s="4"/>
      <c r="OJC90" s="4"/>
      <c r="OJD90" s="4"/>
      <c r="OJE90" s="4"/>
      <c r="OJF90" s="4"/>
      <c r="OJG90" s="4"/>
      <c r="OJH90" s="4"/>
      <c r="OJI90" s="4"/>
      <c r="OJJ90" s="4"/>
      <c r="OJK90" s="4"/>
      <c r="OJL90" s="4"/>
      <c r="OJM90" s="4"/>
      <c r="OJN90" s="4"/>
      <c r="OJO90" s="4"/>
      <c r="OJP90" s="4"/>
      <c r="OJQ90" s="4"/>
      <c r="OJR90" s="4"/>
      <c r="OJS90" s="4"/>
      <c r="OJT90" s="4"/>
      <c r="OJU90" s="4"/>
      <c r="OJV90" s="4"/>
      <c r="OJW90" s="4"/>
      <c r="OJX90" s="4"/>
      <c r="OJY90" s="4"/>
      <c r="OJZ90" s="4"/>
      <c r="OKA90" s="4"/>
      <c r="OKB90" s="4"/>
      <c r="OKC90" s="4"/>
      <c r="OKD90" s="4"/>
      <c r="OKE90" s="4"/>
      <c r="OKF90" s="4"/>
      <c r="OKG90" s="4"/>
      <c r="OKH90" s="4"/>
      <c r="OKI90" s="4"/>
      <c r="OKJ90" s="4"/>
      <c r="OKK90" s="4"/>
      <c r="OKL90" s="4"/>
      <c r="OKM90" s="4"/>
      <c r="OKN90" s="4"/>
      <c r="OKO90" s="4"/>
      <c r="OKP90" s="4"/>
      <c r="OKQ90" s="4"/>
      <c r="OKR90" s="4"/>
      <c r="OKS90" s="4"/>
      <c r="OKT90" s="4"/>
      <c r="OKU90" s="4"/>
      <c r="OKV90" s="4"/>
      <c r="OKW90" s="4"/>
      <c r="OKX90" s="4"/>
      <c r="OKY90" s="4"/>
      <c r="OKZ90" s="4"/>
      <c r="OLA90" s="4"/>
      <c r="OLB90" s="4"/>
      <c r="OLC90" s="4"/>
      <c r="OLD90" s="4"/>
      <c r="OLE90" s="4"/>
      <c r="OLF90" s="4"/>
      <c r="OLG90" s="4"/>
      <c r="OLH90" s="4"/>
      <c r="OLI90" s="4"/>
      <c r="OLJ90" s="4"/>
      <c r="OLK90" s="4"/>
      <c r="OLL90" s="4"/>
      <c r="OLM90" s="4"/>
      <c r="OLN90" s="4"/>
      <c r="OLO90" s="4"/>
      <c r="OLP90" s="4"/>
      <c r="OLQ90" s="4"/>
      <c r="OLR90" s="4"/>
      <c r="OLS90" s="4"/>
      <c r="OLT90" s="4"/>
      <c r="OLU90" s="4"/>
      <c r="OLV90" s="4"/>
      <c r="OLW90" s="4"/>
      <c r="OLX90" s="4"/>
      <c r="OLY90" s="4"/>
      <c r="OLZ90" s="4"/>
      <c r="OMA90" s="4"/>
      <c r="OMB90" s="4"/>
      <c r="OMC90" s="4"/>
      <c r="OMD90" s="4"/>
      <c r="OME90" s="4"/>
      <c r="OMF90" s="4"/>
      <c r="OMG90" s="4"/>
      <c r="OMH90" s="4"/>
      <c r="OMI90" s="4"/>
      <c r="OMJ90" s="4"/>
      <c r="OMK90" s="4"/>
      <c r="OML90" s="4"/>
      <c r="OMM90" s="4"/>
      <c r="OMN90" s="4"/>
      <c r="OMO90" s="4"/>
      <c r="OMP90" s="4"/>
      <c r="OMQ90" s="4"/>
      <c r="OMR90" s="4"/>
      <c r="OMS90" s="4"/>
      <c r="OMT90" s="4"/>
      <c r="OMU90" s="4"/>
      <c r="OMV90" s="4"/>
      <c r="OMW90" s="4"/>
      <c r="OMX90" s="4"/>
      <c r="OMY90" s="4"/>
      <c r="OMZ90" s="4"/>
      <c r="ONA90" s="4"/>
      <c r="ONB90" s="4"/>
      <c r="ONC90" s="4"/>
      <c r="OND90" s="4"/>
      <c r="ONE90" s="4"/>
      <c r="ONF90" s="4"/>
      <c r="ONG90" s="4"/>
      <c r="ONH90" s="4"/>
      <c r="ONI90" s="4"/>
      <c r="ONJ90" s="4"/>
      <c r="ONK90" s="4"/>
      <c r="ONL90" s="4"/>
      <c r="ONM90" s="4"/>
      <c r="ONN90" s="4"/>
      <c r="ONO90" s="4"/>
      <c r="ONP90" s="4"/>
      <c r="ONQ90" s="4"/>
      <c r="ONR90" s="4"/>
      <c r="ONS90" s="4"/>
      <c r="ONT90" s="4"/>
      <c r="ONU90" s="4"/>
      <c r="ONV90" s="4"/>
      <c r="ONW90" s="4"/>
      <c r="ONX90" s="4"/>
      <c r="ONY90" s="4"/>
      <c r="ONZ90" s="4"/>
      <c r="OOA90" s="4"/>
      <c r="OOB90" s="4"/>
      <c r="OOC90" s="4"/>
      <c r="OOD90" s="4"/>
      <c r="OOE90" s="4"/>
      <c r="OOF90" s="4"/>
      <c r="OOG90" s="4"/>
      <c r="OOH90" s="4"/>
      <c r="OOI90" s="4"/>
      <c r="OOJ90" s="4"/>
      <c r="OOK90" s="4"/>
      <c r="OOL90" s="4"/>
      <c r="OOM90" s="4"/>
      <c r="OON90" s="4"/>
      <c r="OOO90" s="4"/>
      <c r="OOP90" s="4"/>
      <c r="OOQ90" s="4"/>
      <c r="OOR90" s="4"/>
      <c r="OOS90" s="4"/>
      <c r="OOT90" s="4"/>
      <c r="OOU90" s="4"/>
      <c r="OOV90" s="4"/>
      <c r="OOW90" s="4"/>
      <c r="OOX90" s="4"/>
      <c r="OOY90" s="4"/>
      <c r="OOZ90" s="4"/>
      <c r="OPA90" s="4"/>
      <c r="OPB90" s="4"/>
      <c r="OPC90" s="4"/>
      <c r="OPD90" s="4"/>
      <c r="OPE90" s="4"/>
      <c r="OPF90" s="4"/>
      <c r="OPG90" s="4"/>
      <c r="OPH90" s="4"/>
      <c r="OPI90" s="4"/>
      <c r="OPJ90" s="4"/>
      <c r="OPK90" s="4"/>
      <c r="OPL90" s="4"/>
      <c r="OPM90" s="4"/>
      <c r="OPN90" s="4"/>
      <c r="OPO90" s="4"/>
      <c r="OPP90" s="4"/>
      <c r="OPQ90" s="4"/>
      <c r="OPR90" s="4"/>
      <c r="OPS90" s="4"/>
      <c r="OPT90" s="4"/>
      <c r="OPU90" s="4"/>
      <c r="OPV90" s="4"/>
      <c r="OPW90" s="4"/>
      <c r="OPX90" s="4"/>
      <c r="OPY90" s="4"/>
      <c r="OPZ90" s="4"/>
      <c r="OQA90" s="4"/>
      <c r="OQB90" s="4"/>
      <c r="OQC90" s="4"/>
      <c r="OQD90" s="4"/>
      <c r="OQE90" s="4"/>
      <c r="OQF90" s="4"/>
      <c r="OQG90" s="4"/>
      <c r="OQH90" s="4"/>
      <c r="OQI90" s="4"/>
      <c r="OQJ90" s="4"/>
      <c r="OQK90" s="4"/>
      <c r="OQL90" s="4"/>
      <c r="OQM90" s="4"/>
      <c r="OQN90" s="4"/>
      <c r="OQO90" s="4"/>
      <c r="OQP90" s="4"/>
      <c r="OQQ90" s="4"/>
      <c r="OQR90" s="4"/>
      <c r="OQS90" s="4"/>
      <c r="OQT90" s="4"/>
      <c r="OQU90" s="4"/>
      <c r="OQV90" s="4"/>
      <c r="OQW90" s="4"/>
      <c r="OQX90" s="4"/>
      <c r="OQY90" s="4"/>
      <c r="OQZ90" s="4"/>
      <c r="ORA90" s="4"/>
      <c r="ORB90" s="4"/>
      <c r="ORC90" s="4"/>
      <c r="ORD90" s="4"/>
      <c r="ORE90" s="4"/>
      <c r="ORF90" s="4"/>
      <c r="ORG90" s="4"/>
      <c r="ORH90" s="4"/>
      <c r="ORI90" s="4"/>
      <c r="ORJ90" s="4"/>
      <c r="ORK90" s="4"/>
      <c r="ORL90" s="4"/>
      <c r="ORM90" s="4"/>
      <c r="ORN90" s="4"/>
      <c r="ORO90" s="4"/>
      <c r="ORP90" s="4"/>
      <c r="ORQ90" s="4"/>
      <c r="ORR90" s="4"/>
      <c r="ORS90" s="4"/>
      <c r="ORT90" s="4"/>
      <c r="ORU90" s="4"/>
      <c r="ORV90" s="4"/>
      <c r="ORW90" s="4"/>
      <c r="ORX90" s="4"/>
      <c r="ORY90" s="4"/>
      <c r="ORZ90" s="4"/>
      <c r="OSA90" s="4"/>
      <c r="OSB90" s="4"/>
      <c r="OSC90" s="4"/>
      <c r="OSD90" s="4"/>
      <c r="OSE90" s="4"/>
      <c r="OSF90" s="4"/>
      <c r="OSG90" s="4"/>
      <c r="OSH90" s="4"/>
      <c r="OSI90" s="4"/>
      <c r="OSJ90" s="4"/>
      <c r="OSK90" s="4"/>
      <c r="OSL90" s="4"/>
      <c r="OSM90" s="4"/>
      <c r="OSN90" s="4"/>
      <c r="OSO90" s="4"/>
      <c r="OSP90" s="4"/>
      <c r="OSQ90" s="4"/>
      <c r="OSR90" s="4"/>
      <c r="OSS90" s="4"/>
      <c r="OST90" s="4"/>
      <c r="OSU90" s="4"/>
      <c r="OSV90" s="4"/>
      <c r="OSW90" s="4"/>
      <c r="OSX90" s="4"/>
      <c r="OSY90" s="4"/>
      <c r="OSZ90" s="4"/>
      <c r="OTA90" s="4"/>
      <c r="OTB90" s="4"/>
      <c r="OTC90" s="4"/>
      <c r="OTD90" s="4"/>
      <c r="OTE90" s="4"/>
      <c r="OTF90" s="4"/>
      <c r="OTG90" s="4"/>
      <c r="OTH90" s="4"/>
      <c r="OTI90" s="4"/>
      <c r="OTJ90" s="4"/>
      <c r="OTK90" s="4"/>
      <c r="OTL90" s="4"/>
      <c r="OTM90" s="4"/>
      <c r="OTN90" s="4"/>
      <c r="OTO90" s="4"/>
      <c r="OTP90" s="4"/>
      <c r="OTQ90" s="4"/>
      <c r="OTR90" s="4"/>
      <c r="OTS90" s="4"/>
      <c r="OTT90" s="4"/>
      <c r="OTU90" s="4"/>
      <c r="OTV90" s="4"/>
      <c r="OTW90" s="4"/>
      <c r="OTX90" s="4"/>
      <c r="OTY90" s="4"/>
      <c r="OTZ90" s="4"/>
      <c r="OUA90" s="4"/>
      <c r="OUB90" s="4"/>
      <c r="OUC90" s="4"/>
      <c r="OUD90" s="4"/>
      <c r="OUE90" s="4"/>
      <c r="OUF90" s="4"/>
      <c r="OUG90" s="4"/>
      <c r="OUH90" s="4"/>
      <c r="OUI90" s="4"/>
      <c r="OUJ90" s="4"/>
      <c r="OUK90" s="4"/>
      <c r="OUL90" s="4"/>
      <c r="OUM90" s="4"/>
      <c r="OUN90" s="4"/>
      <c r="OUO90" s="4"/>
      <c r="OUP90" s="4"/>
      <c r="OUQ90" s="4"/>
      <c r="OUR90" s="4"/>
      <c r="OUS90" s="4"/>
      <c r="OUT90" s="4"/>
      <c r="OUU90" s="4"/>
      <c r="OUV90" s="4"/>
      <c r="OUW90" s="4"/>
      <c r="OUX90" s="4"/>
      <c r="OUY90" s="4"/>
      <c r="OUZ90" s="4"/>
      <c r="OVA90" s="4"/>
      <c r="OVB90" s="4"/>
      <c r="OVC90" s="4"/>
      <c r="OVD90" s="4"/>
      <c r="OVE90" s="4"/>
      <c r="OVF90" s="4"/>
      <c r="OVG90" s="4"/>
      <c r="OVH90" s="4"/>
      <c r="OVI90" s="4"/>
      <c r="OVJ90" s="4"/>
      <c r="OVK90" s="4"/>
      <c r="OVL90" s="4"/>
      <c r="OVM90" s="4"/>
      <c r="OVN90" s="4"/>
      <c r="OVO90" s="4"/>
      <c r="OVP90" s="4"/>
      <c r="OVQ90" s="4"/>
      <c r="OVR90" s="4"/>
      <c r="OVS90" s="4"/>
      <c r="OVT90" s="4"/>
      <c r="OVU90" s="4"/>
      <c r="OVV90" s="4"/>
      <c r="OVW90" s="4"/>
      <c r="OVX90" s="4"/>
      <c r="OVY90" s="4"/>
      <c r="OVZ90" s="4"/>
      <c r="OWA90" s="4"/>
      <c r="OWB90" s="4"/>
      <c r="OWC90" s="4"/>
      <c r="OWD90" s="4"/>
      <c r="OWE90" s="4"/>
      <c r="OWF90" s="4"/>
      <c r="OWG90" s="4"/>
      <c r="OWH90" s="4"/>
      <c r="OWI90" s="4"/>
      <c r="OWJ90" s="4"/>
      <c r="OWK90" s="4"/>
      <c r="OWL90" s="4"/>
      <c r="OWM90" s="4"/>
      <c r="OWN90" s="4"/>
      <c r="OWO90" s="4"/>
      <c r="OWP90" s="4"/>
      <c r="OWQ90" s="4"/>
      <c r="OWR90" s="4"/>
      <c r="OWS90" s="4"/>
      <c r="OWT90" s="4"/>
      <c r="OWU90" s="4"/>
      <c r="OWV90" s="4"/>
      <c r="OWW90" s="4"/>
      <c r="OWX90" s="4"/>
      <c r="OWY90" s="4"/>
      <c r="OWZ90" s="4"/>
      <c r="OXA90" s="4"/>
      <c r="OXB90" s="4"/>
      <c r="OXC90" s="4"/>
      <c r="OXD90" s="4"/>
      <c r="OXE90" s="4"/>
      <c r="OXF90" s="4"/>
      <c r="OXG90" s="4"/>
      <c r="OXH90" s="4"/>
      <c r="OXI90" s="4"/>
      <c r="OXJ90" s="4"/>
      <c r="OXK90" s="4"/>
      <c r="OXL90" s="4"/>
      <c r="OXM90" s="4"/>
      <c r="OXN90" s="4"/>
      <c r="OXO90" s="4"/>
      <c r="OXP90" s="4"/>
      <c r="OXQ90" s="4"/>
      <c r="OXR90" s="4"/>
      <c r="OXS90" s="4"/>
      <c r="OXT90" s="4"/>
      <c r="OXU90" s="4"/>
      <c r="OXV90" s="4"/>
      <c r="OXW90" s="4"/>
      <c r="OXX90" s="4"/>
      <c r="OXY90" s="4"/>
      <c r="OXZ90" s="4"/>
      <c r="OYA90" s="4"/>
      <c r="OYB90" s="4"/>
      <c r="OYC90" s="4"/>
      <c r="OYD90" s="4"/>
      <c r="OYE90" s="4"/>
      <c r="OYF90" s="4"/>
      <c r="OYG90" s="4"/>
      <c r="OYH90" s="4"/>
      <c r="OYI90" s="4"/>
      <c r="OYJ90" s="4"/>
      <c r="OYK90" s="4"/>
      <c r="OYL90" s="4"/>
      <c r="OYM90" s="4"/>
      <c r="OYN90" s="4"/>
      <c r="OYO90" s="4"/>
      <c r="OYP90" s="4"/>
      <c r="OYQ90" s="4"/>
      <c r="OYR90" s="4"/>
      <c r="OYS90" s="4"/>
      <c r="OYT90" s="4"/>
      <c r="OYU90" s="4"/>
      <c r="OYV90" s="4"/>
      <c r="OYW90" s="4"/>
      <c r="OYX90" s="4"/>
      <c r="OYY90" s="4"/>
      <c r="OYZ90" s="4"/>
      <c r="OZA90" s="4"/>
      <c r="OZB90" s="4"/>
      <c r="OZC90" s="4"/>
      <c r="OZD90" s="4"/>
      <c r="OZE90" s="4"/>
      <c r="OZF90" s="4"/>
      <c r="OZG90" s="4"/>
      <c r="OZH90" s="4"/>
      <c r="OZI90" s="4"/>
      <c r="OZJ90" s="4"/>
      <c r="OZK90" s="4"/>
      <c r="OZL90" s="4"/>
      <c r="OZM90" s="4"/>
      <c r="OZN90" s="4"/>
      <c r="OZO90" s="4"/>
      <c r="OZP90" s="4"/>
      <c r="OZQ90" s="4"/>
      <c r="OZR90" s="4"/>
      <c r="OZS90" s="4"/>
      <c r="OZT90" s="4"/>
      <c r="OZU90" s="4"/>
      <c r="OZV90" s="4"/>
      <c r="OZW90" s="4"/>
      <c r="OZX90" s="4"/>
      <c r="OZY90" s="4"/>
      <c r="OZZ90" s="4"/>
      <c r="PAA90" s="4"/>
      <c r="PAB90" s="4"/>
      <c r="PAC90" s="4"/>
      <c r="PAD90" s="4"/>
      <c r="PAE90" s="4"/>
      <c r="PAF90" s="4"/>
      <c r="PAG90" s="4"/>
      <c r="PAH90" s="4"/>
      <c r="PAI90" s="4"/>
      <c r="PAJ90" s="4"/>
      <c r="PAK90" s="4"/>
      <c r="PAL90" s="4"/>
      <c r="PAM90" s="4"/>
      <c r="PAN90" s="4"/>
      <c r="PAO90" s="4"/>
      <c r="PAP90" s="4"/>
      <c r="PAQ90" s="4"/>
      <c r="PAR90" s="4"/>
      <c r="PAS90" s="4"/>
      <c r="PAT90" s="4"/>
      <c r="PAU90" s="4"/>
      <c r="PAV90" s="4"/>
      <c r="PAW90" s="4"/>
      <c r="PAX90" s="4"/>
      <c r="PAY90" s="4"/>
      <c r="PAZ90" s="4"/>
      <c r="PBA90" s="4"/>
      <c r="PBB90" s="4"/>
      <c r="PBC90" s="4"/>
      <c r="PBD90" s="4"/>
      <c r="PBE90" s="4"/>
      <c r="PBF90" s="4"/>
      <c r="PBG90" s="4"/>
      <c r="PBH90" s="4"/>
      <c r="PBI90" s="4"/>
      <c r="PBJ90" s="4"/>
      <c r="PBK90" s="4"/>
      <c r="PBL90" s="4"/>
      <c r="PBM90" s="4"/>
      <c r="PBN90" s="4"/>
      <c r="PBO90" s="4"/>
      <c r="PBP90" s="4"/>
      <c r="PBQ90" s="4"/>
      <c r="PBR90" s="4"/>
      <c r="PBS90" s="4"/>
      <c r="PBT90" s="4"/>
      <c r="PBU90" s="4"/>
      <c r="PBV90" s="4"/>
      <c r="PBW90" s="4"/>
      <c r="PBX90" s="4"/>
      <c r="PBY90" s="4"/>
      <c r="PBZ90" s="4"/>
      <c r="PCA90" s="4"/>
      <c r="PCB90" s="4"/>
      <c r="PCC90" s="4"/>
      <c r="PCD90" s="4"/>
      <c r="PCE90" s="4"/>
      <c r="PCF90" s="4"/>
      <c r="PCG90" s="4"/>
      <c r="PCH90" s="4"/>
      <c r="PCI90" s="4"/>
      <c r="PCJ90" s="4"/>
      <c r="PCK90" s="4"/>
      <c r="PCL90" s="4"/>
      <c r="PCM90" s="4"/>
      <c r="PCN90" s="4"/>
      <c r="PCO90" s="4"/>
      <c r="PCP90" s="4"/>
      <c r="PCQ90" s="4"/>
      <c r="PCR90" s="4"/>
      <c r="PCS90" s="4"/>
      <c r="PCT90" s="4"/>
      <c r="PCU90" s="4"/>
      <c r="PCV90" s="4"/>
      <c r="PCW90" s="4"/>
      <c r="PCX90" s="4"/>
      <c r="PCY90" s="4"/>
      <c r="PCZ90" s="4"/>
      <c r="PDA90" s="4"/>
      <c r="PDB90" s="4"/>
      <c r="PDC90" s="4"/>
      <c r="PDD90" s="4"/>
      <c r="PDE90" s="4"/>
      <c r="PDF90" s="4"/>
      <c r="PDG90" s="4"/>
      <c r="PDH90" s="4"/>
      <c r="PDI90" s="4"/>
      <c r="PDJ90" s="4"/>
      <c r="PDK90" s="4"/>
      <c r="PDL90" s="4"/>
      <c r="PDM90" s="4"/>
      <c r="PDN90" s="4"/>
      <c r="PDO90" s="4"/>
      <c r="PDP90" s="4"/>
      <c r="PDQ90" s="4"/>
      <c r="PDR90" s="4"/>
      <c r="PDS90" s="4"/>
      <c r="PDT90" s="4"/>
      <c r="PDU90" s="4"/>
      <c r="PDV90" s="4"/>
      <c r="PDW90" s="4"/>
      <c r="PDX90" s="4"/>
      <c r="PDY90" s="4"/>
      <c r="PDZ90" s="4"/>
      <c r="PEA90" s="4"/>
      <c r="PEB90" s="4"/>
      <c r="PEC90" s="4"/>
      <c r="PED90" s="4"/>
      <c r="PEE90" s="4"/>
      <c r="PEF90" s="4"/>
      <c r="PEG90" s="4"/>
      <c r="PEH90" s="4"/>
      <c r="PEI90" s="4"/>
      <c r="PEJ90" s="4"/>
      <c r="PEK90" s="4"/>
      <c r="PEL90" s="4"/>
      <c r="PEM90" s="4"/>
      <c r="PEN90" s="4"/>
      <c r="PEO90" s="4"/>
      <c r="PEP90" s="4"/>
      <c r="PEQ90" s="4"/>
      <c r="PER90" s="4"/>
      <c r="PES90" s="4"/>
      <c r="PET90" s="4"/>
      <c r="PEU90" s="4"/>
      <c r="PEV90" s="4"/>
      <c r="PEW90" s="4"/>
      <c r="PEX90" s="4"/>
      <c r="PEY90" s="4"/>
      <c r="PEZ90" s="4"/>
      <c r="PFA90" s="4"/>
      <c r="PFB90" s="4"/>
      <c r="PFC90" s="4"/>
      <c r="PFD90" s="4"/>
      <c r="PFE90" s="4"/>
      <c r="PFF90" s="4"/>
      <c r="PFG90" s="4"/>
      <c r="PFH90" s="4"/>
      <c r="PFI90" s="4"/>
      <c r="PFJ90" s="4"/>
      <c r="PFK90" s="4"/>
      <c r="PFL90" s="4"/>
      <c r="PFM90" s="4"/>
      <c r="PFN90" s="4"/>
      <c r="PFO90" s="4"/>
      <c r="PFP90" s="4"/>
      <c r="PFQ90" s="4"/>
      <c r="PFR90" s="4"/>
      <c r="PFS90" s="4"/>
      <c r="PFT90" s="4"/>
      <c r="PFU90" s="4"/>
      <c r="PFV90" s="4"/>
      <c r="PFW90" s="4"/>
      <c r="PFX90" s="4"/>
      <c r="PFY90" s="4"/>
      <c r="PFZ90" s="4"/>
      <c r="PGA90" s="4"/>
      <c r="PGB90" s="4"/>
      <c r="PGC90" s="4"/>
      <c r="PGD90" s="4"/>
      <c r="PGE90" s="4"/>
      <c r="PGF90" s="4"/>
      <c r="PGG90" s="4"/>
      <c r="PGH90" s="4"/>
      <c r="PGI90" s="4"/>
      <c r="PGJ90" s="4"/>
      <c r="PGK90" s="4"/>
      <c r="PGL90" s="4"/>
      <c r="PGM90" s="4"/>
      <c r="PGN90" s="4"/>
      <c r="PGO90" s="4"/>
      <c r="PGP90" s="4"/>
      <c r="PGQ90" s="4"/>
      <c r="PGR90" s="4"/>
      <c r="PGS90" s="4"/>
      <c r="PGT90" s="4"/>
      <c r="PGU90" s="4"/>
      <c r="PGV90" s="4"/>
      <c r="PGW90" s="4"/>
      <c r="PGX90" s="4"/>
      <c r="PGY90" s="4"/>
      <c r="PGZ90" s="4"/>
      <c r="PHA90" s="4"/>
      <c r="PHB90" s="4"/>
      <c r="PHC90" s="4"/>
      <c r="PHD90" s="4"/>
      <c r="PHE90" s="4"/>
      <c r="PHF90" s="4"/>
      <c r="PHG90" s="4"/>
      <c r="PHH90" s="4"/>
      <c r="PHI90" s="4"/>
      <c r="PHJ90" s="4"/>
      <c r="PHK90" s="4"/>
      <c r="PHL90" s="4"/>
      <c r="PHM90" s="4"/>
      <c r="PHN90" s="4"/>
      <c r="PHO90" s="4"/>
      <c r="PHP90" s="4"/>
      <c r="PHQ90" s="4"/>
      <c r="PHR90" s="4"/>
      <c r="PHS90" s="4"/>
      <c r="PHT90" s="4"/>
      <c r="PHU90" s="4"/>
      <c r="PHV90" s="4"/>
      <c r="PHW90" s="4"/>
      <c r="PHX90" s="4"/>
      <c r="PHY90" s="4"/>
      <c r="PHZ90" s="4"/>
      <c r="PIA90" s="4"/>
      <c r="PIB90" s="4"/>
      <c r="PIC90" s="4"/>
      <c r="PID90" s="4"/>
      <c r="PIE90" s="4"/>
      <c r="PIF90" s="4"/>
      <c r="PIG90" s="4"/>
      <c r="PIH90" s="4"/>
      <c r="PII90" s="4"/>
      <c r="PIJ90" s="4"/>
      <c r="PIK90" s="4"/>
      <c r="PIL90" s="4"/>
      <c r="PIM90" s="4"/>
      <c r="PIN90" s="4"/>
      <c r="PIO90" s="4"/>
      <c r="PIP90" s="4"/>
      <c r="PIQ90" s="4"/>
      <c r="PIR90" s="4"/>
      <c r="PIS90" s="4"/>
      <c r="PIT90" s="4"/>
      <c r="PIU90" s="4"/>
      <c r="PIV90" s="4"/>
      <c r="PIW90" s="4"/>
      <c r="PIX90" s="4"/>
      <c r="PIY90" s="4"/>
      <c r="PIZ90" s="4"/>
      <c r="PJA90" s="4"/>
      <c r="PJB90" s="4"/>
      <c r="PJC90" s="4"/>
      <c r="PJD90" s="4"/>
      <c r="PJE90" s="4"/>
      <c r="PJF90" s="4"/>
      <c r="PJG90" s="4"/>
      <c r="PJH90" s="4"/>
      <c r="PJI90" s="4"/>
      <c r="PJJ90" s="4"/>
      <c r="PJK90" s="4"/>
      <c r="PJL90" s="4"/>
      <c r="PJM90" s="4"/>
      <c r="PJN90" s="4"/>
      <c r="PJO90" s="4"/>
      <c r="PJP90" s="4"/>
      <c r="PJQ90" s="4"/>
      <c r="PJR90" s="4"/>
      <c r="PJS90" s="4"/>
      <c r="PJT90" s="4"/>
      <c r="PJU90" s="4"/>
      <c r="PJV90" s="4"/>
      <c r="PJW90" s="4"/>
      <c r="PJX90" s="4"/>
      <c r="PJY90" s="4"/>
      <c r="PJZ90" s="4"/>
      <c r="PKA90" s="4"/>
      <c r="PKB90" s="4"/>
      <c r="PKC90" s="4"/>
      <c r="PKD90" s="4"/>
      <c r="PKE90" s="4"/>
      <c r="PKF90" s="4"/>
      <c r="PKG90" s="4"/>
      <c r="PKH90" s="4"/>
      <c r="PKI90" s="4"/>
      <c r="PKJ90" s="4"/>
      <c r="PKK90" s="4"/>
      <c r="PKL90" s="4"/>
      <c r="PKM90" s="4"/>
      <c r="PKN90" s="4"/>
      <c r="PKO90" s="4"/>
      <c r="PKP90" s="4"/>
      <c r="PKQ90" s="4"/>
      <c r="PKR90" s="4"/>
      <c r="PKS90" s="4"/>
      <c r="PKT90" s="4"/>
      <c r="PKU90" s="4"/>
      <c r="PKV90" s="4"/>
      <c r="PKW90" s="4"/>
      <c r="PKX90" s="4"/>
      <c r="PKY90" s="4"/>
      <c r="PKZ90" s="4"/>
      <c r="PLA90" s="4"/>
      <c r="PLB90" s="4"/>
      <c r="PLC90" s="4"/>
      <c r="PLD90" s="4"/>
      <c r="PLE90" s="4"/>
      <c r="PLF90" s="4"/>
      <c r="PLG90" s="4"/>
      <c r="PLH90" s="4"/>
      <c r="PLI90" s="4"/>
      <c r="PLJ90" s="4"/>
      <c r="PLK90" s="4"/>
      <c r="PLL90" s="4"/>
      <c r="PLM90" s="4"/>
      <c r="PLN90" s="4"/>
      <c r="PLO90" s="4"/>
      <c r="PLP90" s="4"/>
      <c r="PLQ90" s="4"/>
      <c r="PLR90" s="4"/>
      <c r="PLS90" s="4"/>
      <c r="PLT90" s="4"/>
      <c r="PLU90" s="4"/>
      <c r="PLV90" s="4"/>
      <c r="PLW90" s="4"/>
      <c r="PLX90" s="4"/>
      <c r="PLY90" s="4"/>
      <c r="PLZ90" s="4"/>
      <c r="PMA90" s="4"/>
      <c r="PMB90" s="4"/>
      <c r="PMC90" s="4"/>
      <c r="PMD90" s="4"/>
      <c r="PME90" s="4"/>
      <c r="PMF90" s="4"/>
      <c r="PMG90" s="4"/>
      <c r="PMH90" s="4"/>
      <c r="PMI90" s="4"/>
      <c r="PMJ90" s="4"/>
      <c r="PMK90" s="4"/>
      <c r="PML90" s="4"/>
      <c r="PMM90" s="4"/>
      <c r="PMN90" s="4"/>
      <c r="PMO90" s="4"/>
      <c r="PMP90" s="4"/>
      <c r="PMQ90" s="4"/>
      <c r="PMR90" s="4"/>
      <c r="PMS90" s="4"/>
      <c r="PMT90" s="4"/>
      <c r="PMU90" s="4"/>
      <c r="PMV90" s="4"/>
      <c r="PMW90" s="4"/>
      <c r="PMX90" s="4"/>
      <c r="PMY90" s="4"/>
      <c r="PMZ90" s="4"/>
      <c r="PNA90" s="4"/>
      <c r="PNB90" s="4"/>
      <c r="PNC90" s="4"/>
      <c r="PND90" s="4"/>
      <c r="PNE90" s="4"/>
      <c r="PNF90" s="4"/>
      <c r="PNG90" s="4"/>
      <c r="PNH90" s="4"/>
      <c r="PNI90" s="4"/>
      <c r="PNJ90" s="4"/>
      <c r="PNK90" s="4"/>
      <c r="PNL90" s="4"/>
      <c r="PNM90" s="4"/>
      <c r="PNN90" s="4"/>
      <c r="PNO90" s="4"/>
      <c r="PNP90" s="4"/>
      <c r="PNQ90" s="4"/>
      <c r="PNR90" s="4"/>
      <c r="PNS90" s="4"/>
      <c r="PNT90" s="4"/>
      <c r="PNU90" s="4"/>
      <c r="PNV90" s="4"/>
      <c r="PNW90" s="4"/>
      <c r="PNX90" s="4"/>
      <c r="PNY90" s="4"/>
      <c r="PNZ90" s="4"/>
      <c r="POA90" s="4"/>
      <c r="POB90" s="4"/>
      <c r="POC90" s="4"/>
      <c r="POD90" s="4"/>
      <c r="POE90" s="4"/>
      <c r="POF90" s="4"/>
      <c r="POG90" s="4"/>
      <c r="POH90" s="4"/>
      <c r="POI90" s="4"/>
      <c r="POJ90" s="4"/>
      <c r="POK90" s="4"/>
      <c r="POL90" s="4"/>
      <c r="POM90" s="4"/>
      <c r="PON90" s="4"/>
      <c r="POO90" s="4"/>
      <c r="POP90" s="4"/>
      <c r="POQ90" s="4"/>
      <c r="POR90" s="4"/>
      <c r="POS90" s="4"/>
      <c r="POT90" s="4"/>
      <c r="POU90" s="4"/>
      <c r="POV90" s="4"/>
      <c r="POW90" s="4"/>
      <c r="POX90" s="4"/>
      <c r="POY90" s="4"/>
      <c r="POZ90" s="4"/>
      <c r="PPA90" s="4"/>
      <c r="PPB90" s="4"/>
      <c r="PPC90" s="4"/>
      <c r="PPD90" s="4"/>
      <c r="PPE90" s="4"/>
      <c r="PPF90" s="4"/>
      <c r="PPG90" s="4"/>
      <c r="PPH90" s="4"/>
      <c r="PPI90" s="4"/>
      <c r="PPJ90" s="4"/>
      <c r="PPK90" s="4"/>
      <c r="PPL90" s="4"/>
      <c r="PPM90" s="4"/>
      <c r="PPN90" s="4"/>
      <c r="PPO90" s="4"/>
      <c r="PPP90" s="4"/>
      <c r="PPQ90" s="4"/>
      <c r="PPR90" s="4"/>
      <c r="PPS90" s="4"/>
      <c r="PPT90" s="4"/>
      <c r="PPU90" s="4"/>
      <c r="PPV90" s="4"/>
      <c r="PPW90" s="4"/>
      <c r="PPX90" s="4"/>
      <c r="PPY90" s="4"/>
      <c r="PPZ90" s="4"/>
      <c r="PQA90" s="4"/>
      <c r="PQB90" s="4"/>
      <c r="PQC90" s="4"/>
      <c r="PQD90" s="4"/>
      <c r="PQE90" s="4"/>
      <c r="PQF90" s="4"/>
      <c r="PQG90" s="4"/>
      <c r="PQH90" s="4"/>
      <c r="PQI90" s="4"/>
      <c r="PQJ90" s="4"/>
      <c r="PQK90" s="4"/>
      <c r="PQL90" s="4"/>
      <c r="PQM90" s="4"/>
      <c r="PQN90" s="4"/>
      <c r="PQO90" s="4"/>
      <c r="PQP90" s="4"/>
      <c r="PQQ90" s="4"/>
      <c r="PQR90" s="4"/>
      <c r="PQS90" s="4"/>
      <c r="PQT90" s="4"/>
      <c r="PQU90" s="4"/>
      <c r="PQV90" s="4"/>
      <c r="PQW90" s="4"/>
      <c r="PQX90" s="4"/>
      <c r="PQY90" s="4"/>
      <c r="PQZ90" s="4"/>
      <c r="PRA90" s="4"/>
      <c r="PRB90" s="4"/>
      <c r="PRC90" s="4"/>
      <c r="PRD90" s="4"/>
      <c r="PRE90" s="4"/>
      <c r="PRF90" s="4"/>
      <c r="PRG90" s="4"/>
      <c r="PRH90" s="4"/>
      <c r="PRI90" s="4"/>
      <c r="PRJ90" s="4"/>
      <c r="PRK90" s="4"/>
      <c r="PRL90" s="4"/>
      <c r="PRM90" s="4"/>
      <c r="PRN90" s="4"/>
      <c r="PRO90" s="4"/>
      <c r="PRP90" s="4"/>
      <c r="PRQ90" s="4"/>
      <c r="PRR90" s="4"/>
      <c r="PRS90" s="4"/>
      <c r="PRT90" s="4"/>
      <c r="PRU90" s="4"/>
      <c r="PRV90" s="4"/>
      <c r="PRW90" s="4"/>
      <c r="PRX90" s="4"/>
      <c r="PRY90" s="4"/>
      <c r="PRZ90" s="4"/>
      <c r="PSA90" s="4"/>
      <c r="PSB90" s="4"/>
      <c r="PSC90" s="4"/>
      <c r="PSD90" s="4"/>
      <c r="PSE90" s="4"/>
      <c r="PSF90" s="4"/>
      <c r="PSG90" s="4"/>
      <c r="PSH90" s="4"/>
      <c r="PSI90" s="4"/>
      <c r="PSJ90" s="4"/>
      <c r="PSK90" s="4"/>
      <c r="PSL90" s="4"/>
      <c r="PSM90" s="4"/>
      <c r="PSN90" s="4"/>
      <c r="PSO90" s="4"/>
      <c r="PSP90" s="4"/>
      <c r="PSQ90" s="4"/>
      <c r="PSR90" s="4"/>
      <c r="PSS90" s="4"/>
      <c r="PST90" s="4"/>
      <c r="PSU90" s="4"/>
      <c r="PSV90" s="4"/>
      <c r="PSW90" s="4"/>
      <c r="PSX90" s="4"/>
      <c r="PSY90" s="4"/>
      <c r="PSZ90" s="4"/>
      <c r="PTA90" s="4"/>
      <c r="PTB90" s="4"/>
      <c r="PTC90" s="4"/>
      <c r="PTD90" s="4"/>
      <c r="PTE90" s="4"/>
      <c r="PTF90" s="4"/>
      <c r="PTG90" s="4"/>
      <c r="PTH90" s="4"/>
      <c r="PTI90" s="4"/>
      <c r="PTJ90" s="4"/>
      <c r="PTK90" s="4"/>
      <c r="PTL90" s="4"/>
      <c r="PTM90" s="4"/>
      <c r="PTN90" s="4"/>
      <c r="PTO90" s="4"/>
      <c r="PTP90" s="4"/>
      <c r="PTQ90" s="4"/>
      <c r="PTR90" s="4"/>
      <c r="PTS90" s="4"/>
      <c r="PTT90" s="4"/>
      <c r="PTU90" s="4"/>
      <c r="PTV90" s="4"/>
      <c r="PTW90" s="4"/>
      <c r="PTX90" s="4"/>
      <c r="PTY90" s="4"/>
      <c r="PTZ90" s="4"/>
      <c r="PUA90" s="4"/>
      <c r="PUB90" s="4"/>
      <c r="PUC90" s="4"/>
      <c r="PUD90" s="4"/>
      <c r="PUE90" s="4"/>
      <c r="PUF90" s="4"/>
      <c r="PUG90" s="4"/>
      <c r="PUH90" s="4"/>
      <c r="PUI90" s="4"/>
      <c r="PUJ90" s="4"/>
      <c r="PUK90" s="4"/>
      <c r="PUL90" s="4"/>
      <c r="PUM90" s="4"/>
      <c r="PUN90" s="4"/>
      <c r="PUO90" s="4"/>
      <c r="PUP90" s="4"/>
      <c r="PUQ90" s="4"/>
      <c r="PUR90" s="4"/>
      <c r="PUS90" s="4"/>
      <c r="PUT90" s="4"/>
      <c r="PUU90" s="4"/>
      <c r="PUV90" s="4"/>
      <c r="PUW90" s="4"/>
      <c r="PUX90" s="4"/>
      <c r="PUY90" s="4"/>
      <c r="PUZ90" s="4"/>
      <c r="PVA90" s="4"/>
      <c r="PVB90" s="4"/>
      <c r="PVC90" s="4"/>
      <c r="PVD90" s="4"/>
      <c r="PVE90" s="4"/>
      <c r="PVF90" s="4"/>
      <c r="PVG90" s="4"/>
      <c r="PVH90" s="4"/>
      <c r="PVI90" s="4"/>
      <c r="PVJ90" s="4"/>
      <c r="PVK90" s="4"/>
      <c r="PVL90" s="4"/>
      <c r="PVM90" s="4"/>
      <c r="PVN90" s="4"/>
      <c r="PVO90" s="4"/>
      <c r="PVP90" s="4"/>
      <c r="PVQ90" s="4"/>
      <c r="PVR90" s="4"/>
      <c r="PVS90" s="4"/>
      <c r="PVT90" s="4"/>
      <c r="PVU90" s="4"/>
      <c r="PVV90" s="4"/>
      <c r="PVW90" s="4"/>
      <c r="PVX90" s="4"/>
      <c r="PVY90" s="4"/>
      <c r="PVZ90" s="4"/>
      <c r="PWA90" s="4"/>
      <c r="PWB90" s="4"/>
      <c r="PWC90" s="4"/>
      <c r="PWD90" s="4"/>
      <c r="PWE90" s="4"/>
      <c r="PWF90" s="4"/>
      <c r="PWG90" s="4"/>
      <c r="PWH90" s="4"/>
      <c r="PWI90" s="4"/>
      <c r="PWJ90" s="4"/>
      <c r="PWK90" s="4"/>
      <c r="PWL90" s="4"/>
      <c r="PWM90" s="4"/>
      <c r="PWN90" s="4"/>
      <c r="PWO90" s="4"/>
      <c r="PWP90" s="4"/>
      <c r="PWQ90" s="4"/>
      <c r="PWR90" s="4"/>
      <c r="PWS90" s="4"/>
      <c r="PWT90" s="4"/>
      <c r="PWU90" s="4"/>
      <c r="PWV90" s="4"/>
      <c r="PWW90" s="4"/>
      <c r="PWX90" s="4"/>
      <c r="PWY90" s="4"/>
      <c r="PWZ90" s="4"/>
      <c r="PXA90" s="4"/>
      <c r="PXB90" s="4"/>
      <c r="PXC90" s="4"/>
      <c r="PXD90" s="4"/>
      <c r="PXE90" s="4"/>
      <c r="PXF90" s="4"/>
      <c r="PXG90" s="4"/>
      <c r="PXH90" s="4"/>
      <c r="PXI90" s="4"/>
      <c r="PXJ90" s="4"/>
      <c r="PXK90" s="4"/>
      <c r="PXL90" s="4"/>
      <c r="PXM90" s="4"/>
      <c r="PXN90" s="4"/>
      <c r="PXO90" s="4"/>
      <c r="PXP90" s="4"/>
      <c r="PXQ90" s="4"/>
      <c r="PXR90" s="4"/>
      <c r="PXS90" s="4"/>
      <c r="PXT90" s="4"/>
      <c r="PXU90" s="4"/>
      <c r="PXV90" s="4"/>
      <c r="PXW90" s="4"/>
      <c r="PXX90" s="4"/>
      <c r="PXY90" s="4"/>
      <c r="PXZ90" s="4"/>
      <c r="PYA90" s="4"/>
      <c r="PYB90" s="4"/>
      <c r="PYC90" s="4"/>
      <c r="PYD90" s="4"/>
      <c r="PYE90" s="4"/>
      <c r="PYF90" s="4"/>
      <c r="PYG90" s="4"/>
      <c r="PYH90" s="4"/>
      <c r="PYI90" s="4"/>
      <c r="PYJ90" s="4"/>
      <c r="PYK90" s="4"/>
      <c r="PYL90" s="4"/>
      <c r="PYM90" s="4"/>
      <c r="PYN90" s="4"/>
      <c r="PYO90" s="4"/>
      <c r="PYP90" s="4"/>
      <c r="PYQ90" s="4"/>
      <c r="PYR90" s="4"/>
      <c r="PYS90" s="4"/>
      <c r="PYT90" s="4"/>
      <c r="PYU90" s="4"/>
      <c r="PYV90" s="4"/>
      <c r="PYW90" s="4"/>
      <c r="PYX90" s="4"/>
      <c r="PYY90" s="4"/>
      <c r="PYZ90" s="4"/>
      <c r="PZA90" s="4"/>
      <c r="PZB90" s="4"/>
      <c r="PZC90" s="4"/>
      <c r="PZD90" s="4"/>
      <c r="PZE90" s="4"/>
      <c r="PZF90" s="4"/>
      <c r="PZG90" s="4"/>
      <c r="PZH90" s="4"/>
      <c r="PZI90" s="4"/>
      <c r="PZJ90" s="4"/>
      <c r="PZK90" s="4"/>
      <c r="PZL90" s="4"/>
      <c r="PZM90" s="4"/>
      <c r="PZN90" s="4"/>
      <c r="PZO90" s="4"/>
      <c r="PZP90" s="4"/>
      <c r="PZQ90" s="4"/>
      <c r="PZR90" s="4"/>
      <c r="PZS90" s="4"/>
      <c r="PZT90" s="4"/>
      <c r="PZU90" s="4"/>
      <c r="PZV90" s="4"/>
      <c r="PZW90" s="4"/>
      <c r="PZX90" s="4"/>
      <c r="PZY90" s="4"/>
      <c r="PZZ90" s="4"/>
      <c r="QAA90" s="4"/>
      <c r="QAB90" s="4"/>
      <c r="QAC90" s="4"/>
      <c r="QAD90" s="4"/>
      <c r="QAE90" s="4"/>
      <c r="QAF90" s="4"/>
      <c r="QAG90" s="4"/>
      <c r="QAH90" s="4"/>
      <c r="QAI90" s="4"/>
      <c r="QAJ90" s="4"/>
      <c r="QAK90" s="4"/>
      <c r="QAL90" s="4"/>
      <c r="QAM90" s="4"/>
      <c r="QAN90" s="4"/>
      <c r="QAO90" s="4"/>
      <c r="QAP90" s="4"/>
      <c r="QAQ90" s="4"/>
      <c r="QAR90" s="4"/>
      <c r="QAS90" s="4"/>
      <c r="QAT90" s="4"/>
      <c r="QAU90" s="4"/>
      <c r="QAV90" s="4"/>
      <c r="QAW90" s="4"/>
      <c r="QAX90" s="4"/>
      <c r="QAY90" s="4"/>
      <c r="QAZ90" s="4"/>
      <c r="QBA90" s="4"/>
      <c r="QBB90" s="4"/>
      <c r="QBC90" s="4"/>
      <c r="QBD90" s="4"/>
      <c r="QBE90" s="4"/>
      <c r="QBF90" s="4"/>
      <c r="QBG90" s="4"/>
      <c r="QBH90" s="4"/>
      <c r="QBI90" s="4"/>
      <c r="QBJ90" s="4"/>
      <c r="QBK90" s="4"/>
      <c r="QBL90" s="4"/>
      <c r="QBM90" s="4"/>
      <c r="QBN90" s="4"/>
      <c r="QBO90" s="4"/>
      <c r="QBP90" s="4"/>
      <c r="QBQ90" s="4"/>
      <c r="QBR90" s="4"/>
      <c r="QBS90" s="4"/>
      <c r="QBT90" s="4"/>
      <c r="QBU90" s="4"/>
      <c r="QBV90" s="4"/>
      <c r="QBW90" s="4"/>
      <c r="QBX90" s="4"/>
      <c r="QBY90" s="4"/>
      <c r="QBZ90" s="4"/>
      <c r="QCA90" s="4"/>
      <c r="QCB90" s="4"/>
      <c r="QCC90" s="4"/>
      <c r="QCD90" s="4"/>
      <c r="QCE90" s="4"/>
      <c r="QCF90" s="4"/>
      <c r="QCG90" s="4"/>
      <c r="QCH90" s="4"/>
      <c r="QCI90" s="4"/>
      <c r="QCJ90" s="4"/>
      <c r="QCK90" s="4"/>
      <c r="QCL90" s="4"/>
      <c r="QCM90" s="4"/>
      <c r="QCN90" s="4"/>
      <c r="QCO90" s="4"/>
      <c r="QCP90" s="4"/>
      <c r="QCQ90" s="4"/>
      <c r="QCR90" s="4"/>
      <c r="QCS90" s="4"/>
      <c r="QCT90" s="4"/>
      <c r="QCU90" s="4"/>
      <c r="QCV90" s="4"/>
      <c r="QCW90" s="4"/>
      <c r="QCX90" s="4"/>
      <c r="QCY90" s="4"/>
      <c r="QCZ90" s="4"/>
      <c r="QDA90" s="4"/>
      <c r="QDB90" s="4"/>
      <c r="QDC90" s="4"/>
      <c r="QDD90" s="4"/>
      <c r="QDE90" s="4"/>
      <c r="QDF90" s="4"/>
      <c r="QDG90" s="4"/>
      <c r="QDH90" s="4"/>
      <c r="QDI90" s="4"/>
      <c r="QDJ90" s="4"/>
      <c r="QDK90" s="4"/>
      <c r="QDL90" s="4"/>
      <c r="QDM90" s="4"/>
      <c r="QDN90" s="4"/>
      <c r="QDO90" s="4"/>
      <c r="QDP90" s="4"/>
      <c r="QDQ90" s="4"/>
      <c r="QDR90" s="4"/>
      <c r="QDS90" s="4"/>
      <c r="QDT90" s="4"/>
      <c r="QDU90" s="4"/>
      <c r="QDV90" s="4"/>
      <c r="QDW90" s="4"/>
      <c r="QDX90" s="4"/>
      <c r="QDY90" s="4"/>
      <c r="QDZ90" s="4"/>
      <c r="QEA90" s="4"/>
      <c r="QEB90" s="4"/>
      <c r="QEC90" s="4"/>
      <c r="QED90" s="4"/>
      <c r="QEE90" s="4"/>
      <c r="QEF90" s="4"/>
      <c r="QEG90" s="4"/>
      <c r="QEH90" s="4"/>
      <c r="QEI90" s="4"/>
      <c r="QEJ90" s="4"/>
      <c r="QEK90" s="4"/>
      <c r="QEL90" s="4"/>
      <c r="QEM90" s="4"/>
      <c r="QEN90" s="4"/>
      <c r="QEO90" s="4"/>
      <c r="QEP90" s="4"/>
      <c r="QEQ90" s="4"/>
      <c r="QER90" s="4"/>
      <c r="QES90" s="4"/>
      <c r="QET90" s="4"/>
      <c r="QEU90" s="4"/>
      <c r="QEV90" s="4"/>
      <c r="QEW90" s="4"/>
      <c r="QEX90" s="4"/>
      <c r="QEY90" s="4"/>
      <c r="QEZ90" s="4"/>
      <c r="QFA90" s="4"/>
      <c r="QFB90" s="4"/>
      <c r="QFC90" s="4"/>
      <c r="QFD90" s="4"/>
      <c r="QFE90" s="4"/>
      <c r="QFF90" s="4"/>
      <c r="QFG90" s="4"/>
      <c r="QFH90" s="4"/>
      <c r="QFI90" s="4"/>
      <c r="QFJ90" s="4"/>
      <c r="QFK90" s="4"/>
      <c r="QFL90" s="4"/>
      <c r="QFM90" s="4"/>
      <c r="QFN90" s="4"/>
      <c r="QFO90" s="4"/>
      <c r="QFP90" s="4"/>
      <c r="QFQ90" s="4"/>
      <c r="QFR90" s="4"/>
      <c r="QFS90" s="4"/>
      <c r="QFT90" s="4"/>
      <c r="QFU90" s="4"/>
      <c r="QFV90" s="4"/>
      <c r="QFW90" s="4"/>
      <c r="QFX90" s="4"/>
      <c r="QFY90" s="4"/>
      <c r="QFZ90" s="4"/>
      <c r="QGA90" s="4"/>
      <c r="QGB90" s="4"/>
      <c r="QGC90" s="4"/>
      <c r="QGD90" s="4"/>
      <c r="QGE90" s="4"/>
      <c r="QGF90" s="4"/>
      <c r="QGG90" s="4"/>
      <c r="QGH90" s="4"/>
      <c r="QGI90" s="4"/>
      <c r="QGJ90" s="4"/>
      <c r="QGK90" s="4"/>
      <c r="QGL90" s="4"/>
      <c r="QGM90" s="4"/>
      <c r="QGN90" s="4"/>
      <c r="QGO90" s="4"/>
      <c r="QGP90" s="4"/>
      <c r="QGQ90" s="4"/>
      <c r="QGR90" s="4"/>
      <c r="QGS90" s="4"/>
      <c r="QGT90" s="4"/>
      <c r="QGU90" s="4"/>
      <c r="QGV90" s="4"/>
      <c r="QGW90" s="4"/>
      <c r="QGX90" s="4"/>
      <c r="QGY90" s="4"/>
      <c r="QGZ90" s="4"/>
      <c r="QHA90" s="4"/>
      <c r="QHB90" s="4"/>
      <c r="QHC90" s="4"/>
      <c r="QHD90" s="4"/>
      <c r="QHE90" s="4"/>
      <c r="QHF90" s="4"/>
      <c r="QHG90" s="4"/>
      <c r="QHH90" s="4"/>
      <c r="QHI90" s="4"/>
      <c r="QHJ90" s="4"/>
      <c r="QHK90" s="4"/>
      <c r="QHL90" s="4"/>
      <c r="QHM90" s="4"/>
      <c r="QHN90" s="4"/>
      <c r="QHO90" s="4"/>
      <c r="QHP90" s="4"/>
      <c r="QHQ90" s="4"/>
      <c r="QHR90" s="4"/>
      <c r="QHS90" s="4"/>
      <c r="QHT90" s="4"/>
      <c r="QHU90" s="4"/>
      <c r="QHV90" s="4"/>
      <c r="QHW90" s="4"/>
      <c r="QHX90" s="4"/>
      <c r="QHY90" s="4"/>
      <c r="QHZ90" s="4"/>
      <c r="QIA90" s="4"/>
      <c r="QIB90" s="4"/>
      <c r="QIC90" s="4"/>
      <c r="QID90" s="4"/>
      <c r="QIE90" s="4"/>
      <c r="QIF90" s="4"/>
      <c r="QIG90" s="4"/>
      <c r="QIH90" s="4"/>
      <c r="QII90" s="4"/>
      <c r="QIJ90" s="4"/>
      <c r="QIK90" s="4"/>
      <c r="QIL90" s="4"/>
      <c r="QIM90" s="4"/>
      <c r="QIN90" s="4"/>
      <c r="QIO90" s="4"/>
      <c r="QIP90" s="4"/>
      <c r="QIQ90" s="4"/>
      <c r="QIR90" s="4"/>
      <c r="QIS90" s="4"/>
      <c r="QIT90" s="4"/>
      <c r="QIU90" s="4"/>
      <c r="QIV90" s="4"/>
      <c r="QIW90" s="4"/>
      <c r="QIX90" s="4"/>
      <c r="QIY90" s="4"/>
      <c r="QIZ90" s="4"/>
      <c r="QJA90" s="4"/>
      <c r="QJB90" s="4"/>
      <c r="QJC90" s="4"/>
      <c r="QJD90" s="4"/>
      <c r="QJE90" s="4"/>
      <c r="QJF90" s="4"/>
      <c r="QJG90" s="4"/>
      <c r="QJH90" s="4"/>
      <c r="QJI90" s="4"/>
      <c r="QJJ90" s="4"/>
      <c r="QJK90" s="4"/>
      <c r="QJL90" s="4"/>
      <c r="QJM90" s="4"/>
      <c r="QJN90" s="4"/>
      <c r="QJO90" s="4"/>
      <c r="QJP90" s="4"/>
      <c r="QJQ90" s="4"/>
      <c r="QJR90" s="4"/>
      <c r="QJS90" s="4"/>
      <c r="QJT90" s="4"/>
      <c r="QJU90" s="4"/>
      <c r="QJV90" s="4"/>
      <c r="QJW90" s="4"/>
      <c r="QJX90" s="4"/>
      <c r="QJY90" s="4"/>
      <c r="QJZ90" s="4"/>
      <c r="QKA90" s="4"/>
      <c r="QKB90" s="4"/>
      <c r="QKC90" s="4"/>
      <c r="QKD90" s="4"/>
      <c r="QKE90" s="4"/>
      <c r="QKF90" s="4"/>
      <c r="QKG90" s="4"/>
      <c r="QKH90" s="4"/>
      <c r="QKI90" s="4"/>
      <c r="QKJ90" s="4"/>
      <c r="QKK90" s="4"/>
      <c r="QKL90" s="4"/>
      <c r="QKM90" s="4"/>
      <c r="QKN90" s="4"/>
      <c r="QKO90" s="4"/>
      <c r="QKP90" s="4"/>
      <c r="QKQ90" s="4"/>
      <c r="QKR90" s="4"/>
      <c r="QKS90" s="4"/>
      <c r="QKT90" s="4"/>
      <c r="QKU90" s="4"/>
      <c r="QKV90" s="4"/>
      <c r="QKW90" s="4"/>
      <c r="QKX90" s="4"/>
      <c r="QKY90" s="4"/>
      <c r="QKZ90" s="4"/>
      <c r="QLA90" s="4"/>
      <c r="QLB90" s="4"/>
      <c r="QLC90" s="4"/>
      <c r="QLD90" s="4"/>
      <c r="QLE90" s="4"/>
      <c r="QLF90" s="4"/>
      <c r="QLG90" s="4"/>
      <c r="QLH90" s="4"/>
      <c r="QLI90" s="4"/>
      <c r="QLJ90" s="4"/>
      <c r="QLK90" s="4"/>
      <c r="QLL90" s="4"/>
      <c r="QLM90" s="4"/>
      <c r="QLN90" s="4"/>
      <c r="QLO90" s="4"/>
      <c r="QLP90" s="4"/>
      <c r="QLQ90" s="4"/>
      <c r="QLR90" s="4"/>
      <c r="QLS90" s="4"/>
      <c r="QLT90" s="4"/>
      <c r="QLU90" s="4"/>
      <c r="QLV90" s="4"/>
      <c r="QLW90" s="4"/>
      <c r="QLX90" s="4"/>
      <c r="QLY90" s="4"/>
      <c r="QLZ90" s="4"/>
      <c r="QMA90" s="4"/>
      <c r="QMB90" s="4"/>
      <c r="QMC90" s="4"/>
      <c r="QMD90" s="4"/>
      <c r="QME90" s="4"/>
      <c r="QMF90" s="4"/>
      <c r="QMG90" s="4"/>
      <c r="QMH90" s="4"/>
      <c r="QMI90" s="4"/>
      <c r="QMJ90" s="4"/>
      <c r="QMK90" s="4"/>
      <c r="QML90" s="4"/>
      <c r="QMM90" s="4"/>
      <c r="QMN90" s="4"/>
      <c r="QMO90" s="4"/>
      <c r="QMP90" s="4"/>
      <c r="QMQ90" s="4"/>
      <c r="QMR90" s="4"/>
      <c r="QMS90" s="4"/>
      <c r="QMT90" s="4"/>
      <c r="QMU90" s="4"/>
      <c r="QMV90" s="4"/>
      <c r="QMW90" s="4"/>
      <c r="QMX90" s="4"/>
      <c r="QMY90" s="4"/>
      <c r="QMZ90" s="4"/>
      <c r="QNA90" s="4"/>
      <c r="QNB90" s="4"/>
      <c r="QNC90" s="4"/>
      <c r="QND90" s="4"/>
      <c r="QNE90" s="4"/>
      <c r="QNF90" s="4"/>
      <c r="QNG90" s="4"/>
      <c r="QNH90" s="4"/>
      <c r="QNI90" s="4"/>
      <c r="QNJ90" s="4"/>
      <c r="QNK90" s="4"/>
      <c r="QNL90" s="4"/>
      <c r="QNM90" s="4"/>
      <c r="QNN90" s="4"/>
      <c r="QNO90" s="4"/>
      <c r="QNP90" s="4"/>
      <c r="QNQ90" s="4"/>
      <c r="QNR90" s="4"/>
      <c r="QNS90" s="4"/>
      <c r="QNT90" s="4"/>
      <c r="QNU90" s="4"/>
      <c r="QNV90" s="4"/>
      <c r="QNW90" s="4"/>
      <c r="QNX90" s="4"/>
      <c r="QNY90" s="4"/>
      <c r="QNZ90" s="4"/>
      <c r="QOA90" s="4"/>
      <c r="QOB90" s="4"/>
      <c r="QOC90" s="4"/>
      <c r="QOD90" s="4"/>
      <c r="QOE90" s="4"/>
      <c r="QOF90" s="4"/>
      <c r="QOG90" s="4"/>
      <c r="QOH90" s="4"/>
      <c r="QOI90" s="4"/>
      <c r="QOJ90" s="4"/>
      <c r="QOK90" s="4"/>
      <c r="QOL90" s="4"/>
      <c r="QOM90" s="4"/>
      <c r="QON90" s="4"/>
      <c r="QOO90" s="4"/>
      <c r="QOP90" s="4"/>
      <c r="QOQ90" s="4"/>
      <c r="QOR90" s="4"/>
      <c r="QOS90" s="4"/>
      <c r="QOT90" s="4"/>
      <c r="QOU90" s="4"/>
      <c r="QOV90" s="4"/>
      <c r="QOW90" s="4"/>
      <c r="QOX90" s="4"/>
      <c r="QOY90" s="4"/>
      <c r="QOZ90" s="4"/>
      <c r="QPA90" s="4"/>
      <c r="QPB90" s="4"/>
      <c r="QPC90" s="4"/>
      <c r="QPD90" s="4"/>
      <c r="QPE90" s="4"/>
      <c r="QPF90" s="4"/>
      <c r="QPG90" s="4"/>
      <c r="QPH90" s="4"/>
      <c r="QPI90" s="4"/>
      <c r="QPJ90" s="4"/>
      <c r="QPK90" s="4"/>
      <c r="QPL90" s="4"/>
      <c r="QPM90" s="4"/>
      <c r="QPN90" s="4"/>
      <c r="QPO90" s="4"/>
      <c r="QPP90" s="4"/>
      <c r="QPQ90" s="4"/>
      <c r="QPR90" s="4"/>
      <c r="QPS90" s="4"/>
      <c r="QPT90" s="4"/>
      <c r="QPU90" s="4"/>
      <c r="QPV90" s="4"/>
      <c r="QPW90" s="4"/>
      <c r="QPX90" s="4"/>
      <c r="QPY90" s="4"/>
      <c r="QPZ90" s="4"/>
      <c r="QQA90" s="4"/>
      <c r="QQB90" s="4"/>
      <c r="QQC90" s="4"/>
      <c r="QQD90" s="4"/>
      <c r="QQE90" s="4"/>
      <c r="QQF90" s="4"/>
      <c r="QQG90" s="4"/>
      <c r="QQH90" s="4"/>
      <c r="QQI90" s="4"/>
      <c r="QQJ90" s="4"/>
      <c r="QQK90" s="4"/>
      <c r="QQL90" s="4"/>
      <c r="QQM90" s="4"/>
      <c r="QQN90" s="4"/>
      <c r="QQO90" s="4"/>
      <c r="QQP90" s="4"/>
      <c r="QQQ90" s="4"/>
      <c r="QQR90" s="4"/>
      <c r="QQS90" s="4"/>
      <c r="QQT90" s="4"/>
      <c r="QQU90" s="4"/>
      <c r="QQV90" s="4"/>
      <c r="QQW90" s="4"/>
      <c r="QQX90" s="4"/>
      <c r="QQY90" s="4"/>
      <c r="QQZ90" s="4"/>
      <c r="QRA90" s="4"/>
      <c r="QRB90" s="4"/>
      <c r="QRC90" s="4"/>
      <c r="QRD90" s="4"/>
      <c r="QRE90" s="4"/>
      <c r="QRF90" s="4"/>
      <c r="QRG90" s="4"/>
      <c r="QRH90" s="4"/>
      <c r="QRI90" s="4"/>
      <c r="QRJ90" s="4"/>
      <c r="QRK90" s="4"/>
      <c r="QRL90" s="4"/>
      <c r="QRM90" s="4"/>
      <c r="QRN90" s="4"/>
      <c r="QRO90" s="4"/>
      <c r="QRP90" s="4"/>
      <c r="QRQ90" s="4"/>
      <c r="QRR90" s="4"/>
      <c r="QRS90" s="4"/>
      <c r="QRT90" s="4"/>
      <c r="QRU90" s="4"/>
      <c r="QRV90" s="4"/>
      <c r="QRW90" s="4"/>
      <c r="QRX90" s="4"/>
      <c r="QRY90" s="4"/>
      <c r="QRZ90" s="4"/>
      <c r="QSA90" s="4"/>
      <c r="QSB90" s="4"/>
      <c r="QSC90" s="4"/>
      <c r="QSD90" s="4"/>
      <c r="QSE90" s="4"/>
      <c r="QSF90" s="4"/>
      <c r="QSG90" s="4"/>
      <c r="QSH90" s="4"/>
      <c r="QSI90" s="4"/>
      <c r="QSJ90" s="4"/>
      <c r="QSK90" s="4"/>
      <c r="QSL90" s="4"/>
      <c r="QSM90" s="4"/>
      <c r="QSN90" s="4"/>
      <c r="QSO90" s="4"/>
      <c r="QSP90" s="4"/>
      <c r="QSQ90" s="4"/>
      <c r="QSR90" s="4"/>
      <c r="QSS90" s="4"/>
      <c r="QST90" s="4"/>
      <c r="QSU90" s="4"/>
      <c r="QSV90" s="4"/>
      <c r="QSW90" s="4"/>
      <c r="QSX90" s="4"/>
      <c r="QSY90" s="4"/>
      <c r="QSZ90" s="4"/>
      <c r="QTA90" s="4"/>
      <c r="QTB90" s="4"/>
      <c r="QTC90" s="4"/>
      <c r="QTD90" s="4"/>
      <c r="QTE90" s="4"/>
      <c r="QTF90" s="4"/>
      <c r="QTG90" s="4"/>
      <c r="QTH90" s="4"/>
      <c r="QTI90" s="4"/>
      <c r="QTJ90" s="4"/>
      <c r="QTK90" s="4"/>
      <c r="QTL90" s="4"/>
      <c r="QTM90" s="4"/>
      <c r="QTN90" s="4"/>
      <c r="QTO90" s="4"/>
      <c r="QTP90" s="4"/>
      <c r="QTQ90" s="4"/>
      <c r="QTR90" s="4"/>
      <c r="QTS90" s="4"/>
      <c r="QTT90" s="4"/>
      <c r="QTU90" s="4"/>
      <c r="QTV90" s="4"/>
      <c r="QTW90" s="4"/>
      <c r="QTX90" s="4"/>
      <c r="QTY90" s="4"/>
      <c r="QTZ90" s="4"/>
      <c r="QUA90" s="4"/>
      <c r="QUB90" s="4"/>
      <c r="QUC90" s="4"/>
      <c r="QUD90" s="4"/>
      <c r="QUE90" s="4"/>
      <c r="QUF90" s="4"/>
      <c r="QUG90" s="4"/>
      <c r="QUH90" s="4"/>
      <c r="QUI90" s="4"/>
      <c r="QUJ90" s="4"/>
      <c r="QUK90" s="4"/>
      <c r="QUL90" s="4"/>
      <c r="QUM90" s="4"/>
      <c r="QUN90" s="4"/>
      <c r="QUO90" s="4"/>
      <c r="QUP90" s="4"/>
      <c r="QUQ90" s="4"/>
      <c r="QUR90" s="4"/>
      <c r="QUS90" s="4"/>
      <c r="QUT90" s="4"/>
      <c r="QUU90" s="4"/>
      <c r="QUV90" s="4"/>
      <c r="QUW90" s="4"/>
      <c r="QUX90" s="4"/>
      <c r="QUY90" s="4"/>
      <c r="QUZ90" s="4"/>
      <c r="QVA90" s="4"/>
      <c r="QVB90" s="4"/>
      <c r="QVC90" s="4"/>
      <c r="QVD90" s="4"/>
      <c r="QVE90" s="4"/>
      <c r="QVF90" s="4"/>
      <c r="QVG90" s="4"/>
      <c r="QVH90" s="4"/>
      <c r="QVI90" s="4"/>
      <c r="QVJ90" s="4"/>
      <c r="QVK90" s="4"/>
      <c r="QVL90" s="4"/>
      <c r="QVM90" s="4"/>
      <c r="QVN90" s="4"/>
      <c r="QVO90" s="4"/>
      <c r="QVP90" s="4"/>
      <c r="QVQ90" s="4"/>
      <c r="QVR90" s="4"/>
      <c r="QVS90" s="4"/>
      <c r="QVT90" s="4"/>
      <c r="QVU90" s="4"/>
      <c r="QVV90" s="4"/>
      <c r="QVW90" s="4"/>
      <c r="QVX90" s="4"/>
      <c r="QVY90" s="4"/>
      <c r="QVZ90" s="4"/>
      <c r="QWA90" s="4"/>
      <c r="QWB90" s="4"/>
      <c r="QWC90" s="4"/>
      <c r="QWD90" s="4"/>
      <c r="QWE90" s="4"/>
      <c r="QWF90" s="4"/>
      <c r="QWG90" s="4"/>
      <c r="QWH90" s="4"/>
      <c r="QWI90" s="4"/>
      <c r="QWJ90" s="4"/>
      <c r="QWK90" s="4"/>
      <c r="QWL90" s="4"/>
      <c r="QWM90" s="4"/>
      <c r="QWN90" s="4"/>
      <c r="QWO90" s="4"/>
      <c r="QWP90" s="4"/>
      <c r="QWQ90" s="4"/>
      <c r="QWR90" s="4"/>
      <c r="QWS90" s="4"/>
      <c r="QWT90" s="4"/>
      <c r="QWU90" s="4"/>
      <c r="QWV90" s="4"/>
      <c r="QWW90" s="4"/>
      <c r="QWX90" s="4"/>
      <c r="QWY90" s="4"/>
      <c r="QWZ90" s="4"/>
      <c r="QXA90" s="4"/>
      <c r="QXB90" s="4"/>
      <c r="QXC90" s="4"/>
      <c r="QXD90" s="4"/>
      <c r="QXE90" s="4"/>
      <c r="QXF90" s="4"/>
      <c r="QXG90" s="4"/>
      <c r="QXH90" s="4"/>
      <c r="QXI90" s="4"/>
      <c r="QXJ90" s="4"/>
      <c r="QXK90" s="4"/>
      <c r="QXL90" s="4"/>
      <c r="QXM90" s="4"/>
      <c r="QXN90" s="4"/>
      <c r="QXO90" s="4"/>
      <c r="QXP90" s="4"/>
      <c r="QXQ90" s="4"/>
      <c r="QXR90" s="4"/>
      <c r="QXS90" s="4"/>
      <c r="QXT90" s="4"/>
      <c r="QXU90" s="4"/>
      <c r="QXV90" s="4"/>
      <c r="QXW90" s="4"/>
      <c r="QXX90" s="4"/>
      <c r="QXY90" s="4"/>
      <c r="QXZ90" s="4"/>
      <c r="QYA90" s="4"/>
      <c r="QYB90" s="4"/>
      <c r="QYC90" s="4"/>
      <c r="QYD90" s="4"/>
      <c r="QYE90" s="4"/>
      <c r="QYF90" s="4"/>
      <c r="QYG90" s="4"/>
      <c r="QYH90" s="4"/>
      <c r="QYI90" s="4"/>
      <c r="QYJ90" s="4"/>
      <c r="QYK90" s="4"/>
      <c r="QYL90" s="4"/>
      <c r="QYM90" s="4"/>
      <c r="QYN90" s="4"/>
      <c r="QYO90" s="4"/>
      <c r="QYP90" s="4"/>
      <c r="QYQ90" s="4"/>
      <c r="QYR90" s="4"/>
      <c r="QYS90" s="4"/>
      <c r="QYT90" s="4"/>
      <c r="QYU90" s="4"/>
      <c r="QYV90" s="4"/>
      <c r="QYW90" s="4"/>
      <c r="QYX90" s="4"/>
      <c r="QYY90" s="4"/>
      <c r="QYZ90" s="4"/>
      <c r="QZA90" s="4"/>
      <c r="QZB90" s="4"/>
      <c r="QZC90" s="4"/>
      <c r="QZD90" s="4"/>
      <c r="QZE90" s="4"/>
      <c r="QZF90" s="4"/>
      <c r="QZG90" s="4"/>
      <c r="QZH90" s="4"/>
      <c r="QZI90" s="4"/>
      <c r="QZJ90" s="4"/>
      <c r="QZK90" s="4"/>
      <c r="QZL90" s="4"/>
      <c r="QZM90" s="4"/>
      <c r="QZN90" s="4"/>
      <c r="QZO90" s="4"/>
      <c r="QZP90" s="4"/>
      <c r="QZQ90" s="4"/>
      <c r="QZR90" s="4"/>
      <c r="QZS90" s="4"/>
      <c r="QZT90" s="4"/>
      <c r="QZU90" s="4"/>
      <c r="QZV90" s="4"/>
      <c r="QZW90" s="4"/>
      <c r="QZX90" s="4"/>
      <c r="QZY90" s="4"/>
      <c r="QZZ90" s="4"/>
      <c r="RAA90" s="4"/>
      <c r="RAB90" s="4"/>
      <c r="RAC90" s="4"/>
      <c r="RAD90" s="4"/>
      <c r="RAE90" s="4"/>
      <c r="RAF90" s="4"/>
      <c r="RAG90" s="4"/>
      <c r="RAH90" s="4"/>
      <c r="RAI90" s="4"/>
      <c r="RAJ90" s="4"/>
      <c r="RAK90" s="4"/>
      <c r="RAL90" s="4"/>
      <c r="RAM90" s="4"/>
      <c r="RAN90" s="4"/>
      <c r="RAO90" s="4"/>
      <c r="RAP90" s="4"/>
      <c r="RAQ90" s="4"/>
      <c r="RAR90" s="4"/>
      <c r="RAS90" s="4"/>
      <c r="RAT90" s="4"/>
      <c r="RAU90" s="4"/>
      <c r="RAV90" s="4"/>
      <c r="RAW90" s="4"/>
      <c r="RAX90" s="4"/>
      <c r="RAY90" s="4"/>
      <c r="RAZ90" s="4"/>
      <c r="RBA90" s="4"/>
      <c r="RBB90" s="4"/>
      <c r="RBC90" s="4"/>
      <c r="RBD90" s="4"/>
      <c r="RBE90" s="4"/>
      <c r="RBF90" s="4"/>
      <c r="RBG90" s="4"/>
      <c r="RBH90" s="4"/>
      <c r="RBI90" s="4"/>
      <c r="RBJ90" s="4"/>
      <c r="RBK90" s="4"/>
      <c r="RBL90" s="4"/>
      <c r="RBM90" s="4"/>
      <c r="RBN90" s="4"/>
      <c r="RBO90" s="4"/>
      <c r="RBP90" s="4"/>
      <c r="RBQ90" s="4"/>
      <c r="RBR90" s="4"/>
      <c r="RBS90" s="4"/>
      <c r="RBT90" s="4"/>
      <c r="RBU90" s="4"/>
      <c r="RBV90" s="4"/>
      <c r="RBW90" s="4"/>
      <c r="RBX90" s="4"/>
      <c r="RBY90" s="4"/>
      <c r="RBZ90" s="4"/>
      <c r="RCA90" s="4"/>
      <c r="RCB90" s="4"/>
      <c r="RCC90" s="4"/>
      <c r="RCD90" s="4"/>
      <c r="RCE90" s="4"/>
      <c r="RCF90" s="4"/>
      <c r="RCG90" s="4"/>
      <c r="RCH90" s="4"/>
      <c r="RCI90" s="4"/>
      <c r="RCJ90" s="4"/>
      <c r="RCK90" s="4"/>
      <c r="RCL90" s="4"/>
      <c r="RCM90" s="4"/>
      <c r="RCN90" s="4"/>
      <c r="RCO90" s="4"/>
      <c r="RCP90" s="4"/>
      <c r="RCQ90" s="4"/>
      <c r="RCR90" s="4"/>
      <c r="RCS90" s="4"/>
      <c r="RCT90" s="4"/>
      <c r="RCU90" s="4"/>
      <c r="RCV90" s="4"/>
      <c r="RCW90" s="4"/>
      <c r="RCX90" s="4"/>
      <c r="RCY90" s="4"/>
      <c r="RCZ90" s="4"/>
      <c r="RDA90" s="4"/>
      <c r="RDB90" s="4"/>
      <c r="RDC90" s="4"/>
      <c r="RDD90" s="4"/>
      <c r="RDE90" s="4"/>
      <c r="RDF90" s="4"/>
      <c r="RDG90" s="4"/>
      <c r="RDH90" s="4"/>
      <c r="RDI90" s="4"/>
      <c r="RDJ90" s="4"/>
      <c r="RDK90" s="4"/>
      <c r="RDL90" s="4"/>
      <c r="RDM90" s="4"/>
      <c r="RDN90" s="4"/>
      <c r="RDO90" s="4"/>
      <c r="RDP90" s="4"/>
      <c r="RDQ90" s="4"/>
      <c r="RDR90" s="4"/>
      <c r="RDS90" s="4"/>
      <c r="RDT90" s="4"/>
      <c r="RDU90" s="4"/>
      <c r="RDV90" s="4"/>
      <c r="RDW90" s="4"/>
      <c r="RDX90" s="4"/>
      <c r="RDY90" s="4"/>
      <c r="RDZ90" s="4"/>
      <c r="REA90" s="4"/>
      <c r="REB90" s="4"/>
      <c r="REC90" s="4"/>
      <c r="RED90" s="4"/>
      <c r="REE90" s="4"/>
      <c r="REF90" s="4"/>
      <c r="REG90" s="4"/>
      <c r="REH90" s="4"/>
      <c r="REI90" s="4"/>
      <c r="REJ90" s="4"/>
      <c r="REK90" s="4"/>
      <c r="REL90" s="4"/>
      <c r="REM90" s="4"/>
      <c r="REN90" s="4"/>
      <c r="REO90" s="4"/>
      <c r="REP90" s="4"/>
      <c r="REQ90" s="4"/>
      <c r="RER90" s="4"/>
      <c r="RES90" s="4"/>
      <c r="RET90" s="4"/>
      <c r="REU90" s="4"/>
      <c r="REV90" s="4"/>
      <c r="REW90" s="4"/>
      <c r="REX90" s="4"/>
      <c r="REY90" s="4"/>
      <c r="REZ90" s="4"/>
      <c r="RFA90" s="4"/>
      <c r="RFB90" s="4"/>
      <c r="RFC90" s="4"/>
      <c r="RFD90" s="4"/>
      <c r="RFE90" s="4"/>
      <c r="RFF90" s="4"/>
      <c r="RFG90" s="4"/>
      <c r="RFH90" s="4"/>
      <c r="RFI90" s="4"/>
      <c r="RFJ90" s="4"/>
      <c r="RFK90" s="4"/>
      <c r="RFL90" s="4"/>
      <c r="RFM90" s="4"/>
      <c r="RFN90" s="4"/>
      <c r="RFO90" s="4"/>
      <c r="RFP90" s="4"/>
      <c r="RFQ90" s="4"/>
      <c r="RFR90" s="4"/>
      <c r="RFS90" s="4"/>
      <c r="RFT90" s="4"/>
      <c r="RFU90" s="4"/>
      <c r="RFV90" s="4"/>
      <c r="RFW90" s="4"/>
      <c r="RFX90" s="4"/>
      <c r="RFY90" s="4"/>
      <c r="RFZ90" s="4"/>
      <c r="RGA90" s="4"/>
      <c r="RGB90" s="4"/>
      <c r="RGC90" s="4"/>
      <c r="RGD90" s="4"/>
      <c r="RGE90" s="4"/>
      <c r="RGF90" s="4"/>
      <c r="RGG90" s="4"/>
      <c r="RGH90" s="4"/>
      <c r="RGI90" s="4"/>
      <c r="RGJ90" s="4"/>
      <c r="RGK90" s="4"/>
      <c r="RGL90" s="4"/>
      <c r="RGM90" s="4"/>
      <c r="RGN90" s="4"/>
      <c r="RGO90" s="4"/>
      <c r="RGP90" s="4"/>
      <c r="RGQ90" s="4"/>
      <c r="RGR90" s="4"/>
      <c r="RGS90" s="4"/>
      <c r="RGT90" s="4"/>
      <c r="RGU90" s="4"/>
      <c r="RGV90" s="4"/>
      <c r="RGW90" s="4"/>
      <c r="RGX90" s="4"/>
      <c r="RGY90" s="4"/>
      <c r="RGZ90" s="4"/>
      <c r="RHA90" s="4"/>
      <c r="RHB90" s="4"/>
      <c r="RHC90" s="4"/>
      <c r="RHD90" s="4"/>
      <c r="RHE90" s="4"/>
      <c r="RHF90" s="4"/>
      <c r="RHG90" s="4"/>
      <c r="RHH90" s="4"/>
      <c r="RHI90" s="4"/>
      <c r="RHJ90" s="4"/>
      <c r="RHK90" s="4"/>
      <c r="RHL90" s="4"/>
      <c r="RHM90" s="4"/>
      <c r="RHN90" s="4"/>
      <c r="RHO90" s="4"/>
      <c r="RHP90" s="4"/>
      <c r="RHQ90" s="4"/>
      <c r="RHR90" s="4"/>
      <c r="RHS90" s="4"/>
      <c r="RHT90" s="4"/>
      <c r="RHU90" s="4"/>
      <c r="RHV90" s="4"/>
      <c r="RHW90" s="4"/>
      <c r="RHX90" s="4"/>
      <c r="RHY90" s="4"/>
      <c r="RHZ90" s="4"/>
      <c r="RIA90" s="4"/>
      <c r="RIB90" s="4"/>
      <c r="RIC90" s="4"/>
      <c r="RID90" s="4"/>
      <c r="RIE90" s="4"/>
      <c r="RIF90" s="4"/>
      <c r="RIG90" s="4"/>
      <c r="RIH90" s="4"/>
      <c r="RII90" s="4"/>
      <c r="RIJ90" s="4"/>
      <c r="RIK90" s="4"/>
      <c r="RIL90" s="4"/>
      <c r="RIM90" s="4"/>
      <c r="RIN90" s="4"/>
      <c r="RIO90" s="4"/>
      <c r="RIP90" s="4"/>
      <c r="RIQ90" s="4"/>
      <c r="RIR90" s="4"/>
      <c r="RIS90" s="4"/>
      <c r="RIT90" s="4"/>
      <c r="RIU90" s="4"/>
      <c r="RIV90" s="4"/>
      <c r="RIW90" s="4"/>
      <c r="RIX90" s="4"/>
      <c r="RIY90" s="4"/>
      <c r="RIZ90" s="4"/>
      <c r="RJA90" s="4"/>
      <c r="RJB90" s="4"/>
      <c r="RJC90" s="4"/>
      <c r="RJD90" s="4"/>
      <c r="RJE90" s="4"/>
      <c r="RJF90" s="4"/>
      <c r="RJG90" s="4"/>
      <c r="RJH90" s="4"/>
      <c r="RJI90" s="4"/>
      <c r="RJJ90" s="4"/>
      <c r="RJK90" s="4"/>
      <c r="RJL90" s="4"/>
      <c r="RJM90" s="4"/>
      <c r="RJN90" s="4"/>
      <c r="RJO90" s="4"/>
      <c r="RJP90" s="4"/>
      <c r="RJQ90" s="4"/>
      <c r="RJR90" s="4"/>
      <c r="RJS90" s="4"/>
      <c r="RJT90" s="4"/>
      <c r="RJU90" s="4"/>
      <c r="RJV90" s="4"/>
      <c r="RJW90" s="4"/>
      <c r="RJX90" s="4"/>
      <c r="RJY90" s="4"/>
      <c r="RJZ90" s="4"/>
      <c r="RKA90" s="4"/>
      <c r="RKB90" s="4"/>
      <c r="RKC90" s="4"/>
      <c r="RKD90" s="4"/>
      <c r="RKE90" s="4"/>
      <c r="RKF90" s="4"/>
      <c r="RKG90" s="4"/>
      <c r="RKH90" s="4"/>
      <c r="RKI90" s="4"/>
      <c r="RKJ90" s="4"/>
      <c r="RKK90" s="4"/>
      <c r="RKL90" s="4"/>
      <c r="RKM90" s="4"/>
      <c r="RKN90" s="4"/>
      <c r="RKO90" s="4"/>
      <c r="RKP90" s="4"/>
      <c r="RKQ90" s="4"/>
      <c r="RKR90" s="4"/>
      <c r="RKS90" s="4"/>
      <c r="RKT90" s="4"/>
      <c r="RKU90" s="4"/>
      <c r="RKV90" s="4"/>
      <c r="RKW90" s="4"/>
      <c r="RKX90" s="4"/>
      <c r="RKY90" s="4"/>
      <c r="RKZ90" s="4"/>
      <c r="RLA90" s="4"/>
      <c r="RLB90" s="4"/>
      <c r="RLC90" s="4"/>
      <c r="RLD90" s="4"/>
      <c r="RLE90" s="4"/>
      <c r="RLF90" s="4"/>
      <c r="RLG90" s="4"/>
      <c r="RLH90" s="4"/>
      <c r="RLI90" s="4"/>
      <c r="RLJ90" s="4"/>
      <c r="RLK90" s="4"/>
      <c r="RLL90" s="4"/>
      <c r="RLM90" s="4"/>
      <c r="RLN90" s="4"/>
      <c r="RLO90" s="4"/>
      <c r="RLP90" s="4"/>
      <c r="RLQ90" s="4"/>
      <c r="RLR90" s="4"/>
      <c r="RLS90" s="4"/>
      <c r="RLT90" s="4"/>
      <c r="RLU90" s="4"/>
      <c r="RLV90" s="4"/>
      <c r="RLW90" s="4"/>
      <c r="RLX90" s="4"/>
      <c r="RLY90" s="4"/>
      <c r="RLZ90" s="4"/>
      <c r="RMA90" s="4"/>
      <c r="RMB90" s="4"/>
      <c r="RMC90" s="4"/>
      <c r="RMD90" s="4"/>
      <c r="RME90" s="4"/>
      <c r="RMF90" s="4"/>
      <c r="RMG90" s="4"/>
      <c r="RMH90" s="4"/>
      <c r="RMI90" s="4"/>
      <c r="RMJ90" s="4"/>
      <c r="RMK90" s="4"/>
      <c r="RML90" s="4"/>
      <c r="RMM90" s="4"/>
      <c r="RMN90" s="4"/>
      <c r="RMO90" s="4"/>
      <c r="RMP90" s="4"/>
      <c r="RMQ90" s="4"/>
      <c r="RMR90" s="4"/>
      <c r="RMS90" s="4"/>
      <c r="RMT90" s="4"/>
      <c r="RMU90" s="4"/>
      <c r="RMV90" s="4"/>
      <c r="RMW90" s="4"/>
      <c r="RMX90" s="4"/>
      <c r="RMY90" s="4"/>
      <c r="RMZ90" s="4"/>
      <c r="RNA90" s="4"/>
      <c r="RNB90" s="4"/>
      <c r="RNC90" s="4"/>
      <c r="RND90" s="4"/>
      <c r="RNE90" s="4"/>
      <c r="RNF90" s="4"/>
      <c r="RNG90" s="4"/>
      <c r="RNH90" s="4"/>
      <c r="RNI90" s="4"/>
      <c r="RNJ90" s="4"/>
      <c r="RNK90" s="4"/>
      <c r="RNL90" s="4"/>
      <c r="RNM90" s="4"/>
      <c r="RNN90" s="4"/>
      <c r="RNO90" s="4"/>
      <c r="RNP90" s="4"/>
      <c r="RNQ90" s="4"/>
      <c r="RNR90" s="4"/>
      <c r="RNS90" s="4"/>
      <c r="RNT90" s="4"/>
      <c r="RNU90" s="4"/>
      <c r="RNV90" s="4"/>
      <c r="RNW90" s="4"/>
      <c r="RNX90" s="4"/>
      <c r="RNY90" s="4"/>
      <c r="RNZ90" s="4"/>
      <c r="ROA90" s="4"/>
      <c r="ROB90" s="4"/>
      <c r="ROC90" s="4"/>
      <c r="ROD90" s="4"/>
      <c r="ROE90" s="4"/>
      <c r="ROF90" s="4"/>
      <c r="ROG90" s="4"/>
      <c r="ROH90" s="4"/>
      <c r="ROI90" s="4"/>
      <c r="ROJ90" s="4"/>
      <c r="ROK90" s="4"/>
      <c r="ROL90" s="4"/>
      <c r="ROM90" s="4"/>
      <c r="RON90" s="4"/>
      <c r="ROO90" s="4"/>
      <c r="ROP90" s="4"/>
      <c r="ROQ90" s="4"/>
      <c r="ROR90" s="4"/>
      <c r="ROS90" s="4"/>
      <c r="ROT90" s="4"/>
      <c r="ROU90" s="4"/>
      <c r="ROV90" s="4"/>
      <c r="ROW90" s="4"/>
      <c r="ROX90" s="4"/>
      <c r="ROY90" s="4"/>
      <c r="ROZ90" s="4"/>
      <c r="RPA90" s="4"/>
      <c r="RPB90" s="4"/>
      <c r="RPC90" s="4"/>
      <c r="RPD90" s="4"/>
      <c r="RPE90" s="4"/>
      <c r="RPF90" s="4"/>
      <c r="RPG90" s="4"/>
      <c r="RPH90" s="4"/>
      <c r="RPI90" s="4"/>
      <c r="RPJ90" s="4"/>
      <c r="RPK90" s="4"/>
      <c r="RPL90" s="4"/>
      <c r="RPM90" s="4"/>
      <c r="RPN90" s="4"/>
      <c r="RPO90" s="4"/>
      <c r="RPP90" s="4"/>
      <c r="RPQ90" s="4"/>
      <c r="RPR90" s="4"/>
      <c r="RPS90" s="4"/>
      <c r="RPT90" s="4"/>
      <c r="RPU90" s="4"/>
      <c r="RPV90" s="4"/>
      <c r="RPW90" s="4"/>
      <c r="RPX90" s="4"/>
      <c r="RPY90" s="4"/>
      <c r="RPZ90" s="4"/>
      <c r="RQA90" s="4"/>
      <c r="RQB90" s="4"/>
      <c r="RQC90" s="4"/>
      <c r="RQD90" s="4"/>
      <c r="RQE90" s="4"/>
      <c r="RQF90" s="4"/>
      <c r="RQG90" s="4"/>
      <c r="RQH90" s="4"/>
      <c r="RQI90" s="4"/>
      <c r="RQJ90" s="4"/>
      <c r="RQK90" s="4"/>
      <c r="RQL90" s="4"/>
      <c r="RQM90" s="4"/>
      <c r="RQN90" s="4"/>
      <c r="RQO90" s="4"/>
      <c r="RQP90" s="4"/>
      <c r="RQQ90" s="4"/>
      <c r="RQR90" s="4"/>
      <c r="RQS90" s="4"/>
      <c r="RQT90" s="4"/>
      <c r="RQU90" s="4"/>
      <c r="RQV90" s="4"/>
      <c r="RQW90" s="4"/>
      <c r="RQX90" s="4"/>
      <c r="RQY90" s="4"/>
      <c r="RQZ90" s="4"/>
      <c r="RRA90" s="4"/>
      <c r="RRB90" s="4"/>
      <c r="RRC90" s="4"/>
      <c r="RRD90" s="4"/>
      <c r="RRE90" s="4"/>
      <c r="RRF90" s="4"/>
      <c r="RRG90" s="4"/>
      <c r="RRH90" s="4"/>
      <c r="RRI90" s="4"/>
      <c r="RRJ90" s="4"/>
      <c r="RRK90" s="4"/>
      <c r="RRL90" s="4"/>
      <c r="RRM90" s="4"/>
      <c r="RRN90" s="4"/>
      <c r="RRO90" s="4"/>
      <c r="RRP90" s="4"/>
      <c r="RRQ90" s="4"/>
      <c r="RRR90" s="4"/>
      <c r="RRS90" s="4"/>
      <c r="RRT90" s="4"/>
      <c r="RRU90" s="4"/>
      <c r="RRV90" s="4"/>
      <c r="RRW90" s="4"/>
      <c r="RRX90" s="4"/>
      <c r="RRY90" s="4"/>
      <c r="RRZ90" s="4"/>
      <c r="RSA90" s="4"/>
      <c r="RSB90" s="4"/>
      <c r="RSC90" s="4"/>
      <c r="RSD90" s="4"/>
      <c r="RSE90" s="4"/>
      <c r="RSF90" s="4"/>
      <c r="RSG90" s="4"/>
      <c r="RSH90" s="4"/>
      <c r="RSI90" s="4"/>
      <c r="RSJ90" s="4"/>
      <c r="RSK90" s="4"/>
      <c r="RSL90" s="4"/>
      <c r="RSM90" s="4"/>
      <c r="RSN90" s="4"/>
      <c r="RSO90" s="4"/>
      <c r="RSP90" s="4"/>
      <c r="RSQ90" s="4"/>
      <c r="RSR90" s="4"/>
      <c r="RSS90" s="4"/>
      <c r="RST90" s="4"/>
      <c r="RSU90" s="4"/>
      <c r="RSV90" s="4"/>
      <c r="RSW90" s="4"/>
      <c r="RSX90" s="4"/>
      <c r="RSY90" s="4"/>
      <c r="RSZ90" s="4"/>
      <c r="RTA90" s="4"/>
      <c r="RTB90" s="4"/>
      <c r="RTC90" s="4"/>
      <c r="RTD90" s="4"/>
      <c r="RTE90" s="4"/>
      <c r="RTF90" s="4"/>
      <c r="RTG90" s="4"/>
      <c r="RTH90" s="4"/>
      <c r="RTI90" s="4"/>
      <c r="RTJ90" s="4"/>
      <c r="RTK90" s="4"/>
      <c r="RTL90" s="4"/>
      <c r="RTM90" s="4"/>
      <c r="RTN90" s="4"/>
      <c r="RTO90" s="4"/>
      <c r="RTP90" s="4"/>
      <c r="RTQ90" s="4"/>
      <c r="RTR90" s="4"/>
      <c r="RTS90" s="4"/>
      <c r="RTT90" s="4"/>
      <c r="RTU90" s="4"/>
      <c r="RTV90" s="4"/>
      <c r="RTW90" s="4"/>
      <c r="RTX90" s="4"/>
      <c r="RTY90" s="4"/>
      <c r="RTZ90" s="4"/>
      <c r="RUA90" s="4"/>
      <c r="RUB90" s="4"/>
      <c r="RUC90" s="4"/>
      <c r="RUD90" s="4"/>
      <c r="RUE90" s="4"/>
      <c r="RUF90" s="4"/>
      <c r="RUG90" s="4"/>
      <c r="RUH90" s="4"/>
      <c r="RUI90" s="4"/>
      <c r="RUJ90" s="4"/>
      <c r="RUK90" s="4"/>
      <c r="RUL90" s="4"/>
      <c r="RUM90" s="4"/>
      <c r="RUN90" s="4"/>
      <c r="RUO90" s="4"/>
      <c r="RUP90" s="4"/>
      <c r="RUQ90" s="4"/>
      <c r="RUR90" s="4"/>
      <c r="RUS90" s="4"/>
      <c r="RUT90" s="4"/>
      <c r="RUU90" s="4"/>
      <c r="RUV90" s="4"/>
      <c r="RUW90" s="4"/>
      <c r="RUX90" s="4"/>
      <c r="RUY90" s="4"/>
      <c r="RUZ90" s="4"/>
      <c r="RVA90" s="4"/>
      <c r="RVB90" s="4"/>
      <c r="RVC90" s="4"/>
      <c r="RVD90" s="4"/>
      <c r="RVE90" s="4"/>
      <c r="RVF90" s="4"/>
      <c r="RVG90" s="4"/>
      <c r="RVH90" s="4"/>
      <c r="RVI90" s="4"/>
      <c r="RVJ90" s="4"/>
      <c r="RVK90" s="4"/>
      <c r="RVL90" s="4"/>
      <c r="RVM90" s="4"/>
      <c r="RVN90" s="4"/>
      <c r="RVO90" s="4"/>
      <c r="RVP90" s="4"/>
      <c r="RVQ90" s="4"/>
      <c r="RVR90" s="4"/>
      <c r="RVS90" s="4"/>
      <c r="RVT90" s="4"/>
      <c r="RVU90" s="4"/>
      <c r="RVV90" s="4"/>
      <c r="RVW90" s="4"/>
      <c r="RVX90" s="4"/>
      <c r="RVY90" s="4"/>
      <c r="RVZ90" s="4"/>
      <c r="RWA90" s="4"/>
      <c r="RWB90" s="4"/>
      <c r="RWC90" s="4"/>
      <c r="RWD90" s="4"/>
      <c r="RWE90" s="4"/>
      <c r="RWF90" s="4"/>
      <c r="RWG90" s="4"/>
      <c r="RWH90" s="4"/>
      <c r="RWI90" s="4"/>
      <c r="RWJ90" s="4"/>
      <c r="RWK90" s="4"/>
      <c r="RWL90" s="4"/>
      <c r="RWM90" s="4"/>
      <c r="RWN90" s="4"/>
      <c r="RWO90" s="4"/>
      <c r="RWP90" s="4"/>
      <c r="RWQ90" s="4"/>
      <c r="RWR90" s="4"/>
      <c r="RWS90" s="4"/>
      <c r="RWT90" s="4"/>
      <c r="RWU90" s="4"/>
      <c r="RWV90" s="4"/>
      <c r="RWW90" s="4"/>
      <c r="RWX90" s="4"/>
      <c r="RWY90" s="4"/>
      <c r="RWZ90" s="4"/>
      <c r="RXA90" s="4"/>
      <c r="RXB90" s="4"/>
      <c r="RXC90" s="4"/>
      <c r="RXD90" s="4"/>
      <c r="RXE90" s="4"/>
      <c r="RXF90" s="4"/>
      <c r="RXG90" s="4"/>
      <c r="RXH90" s="4"/>
      <c r="RXI90" s="4"/>
      <c r="RXJ90" s="4"/>
      <c r="RXK90" s="4"/>
      <c r="RXL90" s="4"/>
      <c r="RXM90" s="4"/>
      <c r="RXN90" s="4"/>
      <c r="RXO90" s="4"/>
      <c r="RXP90" s="4"/>
      <c r="RXQ90" s="4"/>
      <c r="RXR90" s="4"/>
      <c r="RXS90" s="4"/>
      <c r="RXT90" s="4"/>
      <c r="RXU90" s="4"/>
      <c r="RXV90" s="4"/>
      <c r="RXW90" s="4"/>
      <c r="RXX90" s="4"/>
      <c r="RXY90" s="4"/>
      <c r="RXZ90" s="4"/>
      <c r="RYA90" s="4"/>
      <c r="RYB90" s="4"/>
      <c r="RYC90" s="4"/>
      <c r="RYD90" s="4"/>
      <c r="RYE90" s="4"/>
      <c r="RYF90" s="4"/>
      <c r="RYG90" s="4"/>
      <c r="RYH90" s="4"/>
      <c r="RYI90" s="4"/>
      <c r="RYJ90" s="4"/>
      <c r="RYK90" s="4"/>
      <c r="RYL90" s="4"/>
      <c r="RYM90" s="4"/>
      <c r="RYN90" s="4"/>
      <c r="RYO90" s="4"/>
      <c r="RYP90" s="4"/>
      <c r="RYQ90" s="4"/>
      <c r="RYR90" s="4"/>
      <c r="RYS90" s="4"/>
      <c r="RYT90" s="4"/>
      <c r="RYU90" s="4"/>
      <c r="RYV90" s="4"/>
      <c r="RYW90" s="4"/>
      <c r="RYX90" s="4"/>
      <c r="RYY90" s="4"/>
      <c r="RYZ90" s="4"/>
      <c r="RZA90" s="4"/>
      <c r="RZB90" s="4"/>
      <c r="RZC90" s="4"/>
      <c r="RZD90" s="4"/>
      <c r="RZE90" s="4"/>
      <c r="RZF90" s="4"/>
      <c r="RZG90" s="4"/>
      <c r="RZH90" s="4"/>
      <c r="RZI90" s="4"/>
      <c r="RZJ90" s="4"/>
      <c r="RZK90" s="4"/>
      <c r="RZL90" s="4"/>
      <c r="RZM90" s="4"/>
      <c r="RZN90" s="4"/>
      <c r="RZO90" s="4"/>
      <c r="RZP90" s="4"/>
      <c r="RZQ90" s="4"/>
      <c r="RZR90" s="4"/>
      <c r="RZS90" s="4"/>
      <c r="RZT90" s="4"/>
      <c r="RZU90" s="4"/>
      <c r="RZV90" s="4"/>
      <c r="RZW90" s="4"/>
      <c r="RZX90" s="4"/>
      <c r="RZY90" s="4"/>
      <c r="RZZ90" s="4"/>
      <c r="SAA90" s="4"/>
      <c r="SAB90" s="4"/>
      <c r="SAC90" s="4"/>
      <c r="SAD90" s="4"/>
      <c r="SAE90" s="4"/>
      <c r="SAF90" s="4"/>
      <c r="SAG90" s="4"/>
      <c r="SAH90" s="4"/>
      <c r="SAI90" s="4"/>
      <c r="SAJ90" s="4"/>
      <c r="SAK90" s="4"/>
      <c r="SAL90" s="4"/>
      <c r="SAM90" s="4"/>
      <c r="SAN90" s="4"/>
      <c r="SAO90" s="4"/>
      <c r="SAP90" s="4"/>
      <c r="SAQ90" s="4"/>
      <c r="SAR90" s="4"/>
      <c r="SAS90" s="4"/>
      <c r="SAT90" s="4"/>
      <c r="SAU90" s="4"/>
      <c r="SAV90" s="4"/>
      <c r="SAW90" s="4"/>
      <c r="SAX90" s="4"/>
      <c r="SAY90" s="4"/>
      <c r="SAZ90" s="4"/>
      <c r="SBA90" s="4"/>
      <c r="SBB90" s="4"/>
      <c r="SBC90" s="4"/>
      <c r="SBD90" s="4"/>
      <c r="SBE90" s="4"/>
      <c r="SBF90" s="4"/>
      <c r="SBG90" s="4"/>
      <c r="SBH90" s="4"/>
      <c r="SBI90" s="4"/>
      <c r="SBJ90" s="4"/>
      <c r="SBK90" s="4"/>
      <c r="SBL90" s="4"/>
      <c r="SBM90" s="4"/>
      <c r="SBN90" s="4"/>
      <c r="SBO90" s="4"/>
      <c r="SBP90" s="4"/>
      <c r="SBQ90" s="4"/>
      <c r="SBR90" s="4"/>
      <c r="SBS90" s="4"/>
      <c r="SBT90" s="4"/>
      <c r="SBU90" s="4"/>
      <c r="SBV90" s="4"/>
      <c r="SBW90" s="4"/>
      <c r="SBX90" s="4"/>
      <c r="SBY90" s="4"/>
      <c r="SBZ90" s="4"/>
      <c r="SCA90" s="4"/>
      <c r="SCB90" s="4"/>
      <c r="SCC90" s="4"/>
      <c r="SCD90" s="4"/>
      <c r="SCE90" s="4"/>
      <c r="SCF90" s="4"/>
      <c r="SCG90" s="4"/>
      <c r="SCH90" s="4"/>
      <c r="SCI90" s="4"/>
      <c r="SCJ90" s="4"/>
      <c r="SCK90" s="4"/>
      <c r="SCL90" s="4"/>
      <c r="SCM90" s="4"/>
      <c r="SCN90" s="4"/>
      <c r="SCO90" s="4"/>
      <c r="SCP90" s="4"/>
      <c r="SCQ90" s="4"/>
      <c r="SCR90" s="4"/>
      <c r="SCS90" s="4"/>
      <c r="SCT90" s="4"/>
      <c r="SCU90" s="4"/>
      <c r="SCV90" s="4"/>
      <c r="SCW90" s="4"/>
      <c r="SCX90" s="4"/>
      <c r="SCY90" s="4"/>
      <c r="SCZ90" s="4"/>
      <c r="SDA90" s="4"/>
      <c r="SDB90" s="4"/>
      <c r="SDC90" s="4"/>
      <c r="SDD90" s="4"/>
      <c r="SDE90" s="4"/>
      <c r="SDF90" s="4"/>
      <c r="SDG90" s="4"/>
      <c r="SDH90" s="4"/>
      <c r="SDI90" s="4"/>
      <c r="SDJ90" s="4"/>
      <c r="SDK90" s="4"/>
      <c r="SDL90" s="4"/>
      <c r="SDM90" s="4"/>
      <c r="SDN90" s="4"/>
      <c r="SDO90" s="4"/>
      <c r="SDP90" s="4"/>
      <c r="SDQ90" s="4"/>
      <c r="SDR90" s="4"/>
      <c r="SDS90" s="4"/>
      <c r="SDT90" s="4"/>
      <c r="SDU90" s="4"/>
      <c r="SDV90" s="4"/>
      <c r="SDW90" s="4"/>
      <c r="SDX90" s="4"/>
      <c r="SDY90" s="4"/>
      <c r="SDZ90" s="4"/>
      <c r="SEA90" s="4"/>
      <c r="SEB90" s="4"/>
      <c r="SEC90" s="4"/>
      <c r="SED90" s="4"/>
      <c r="SEE90" s="4"/>
      <c r="SEF90" s="4"/>
      <c r="SEG90" s="4"/>
      <c r="SEH90" s="4"/>
      <c r="SEI90" s="4"/>
      <c r="SEJ90" s="4"/>
      <c r="SEK90" s="4"/>
      <c r="SEL90" s="4"/>
      <c r="SEM90" s="4"/>
      <c r="SEN90" s="4"/>
      <c r="SEO90" s="4"/>
      <c r="SEP90" s="4"/>
      <c r="SEQ90" s="4"/>
      <c r="SER90" s="4"/>
      <c r="SES90" s="4"/>
      <c r="SET90" s="4"/>
      <c r="SEU90" s="4"/>
      <c r="SEV90" s="4"/>
      <c r="SEW90" s="4"/>
      <c r="SEX90" s="4"/>
      <c r="SEY90" s="4"/>
      <c r="SEZ90" s="4"/>
      <c r="SFA90" s="4"/>
      <c r="SFB90" s="4"/>
      <c r="SFC90" s="4"/>
      <c r="SFD90" s="4"/>
      <c r="SFE90" s="4"/>
      <c r="SFF90" s="4"/>
      <c r="SFG90" s="4"/>
      <c r="SFH90" s="4"/>
      <c r="SFI90" s="4"/>
      <c r="SFJ90" s="4"/>
      <c r="SFK90" s="4"/>
      <c r="SFL90" s="4"/>
      <c r="SFM90" s="4"/>
      <c r="SFN90" s="4"/>
      <c r="SFO90" s="4"/>
      <c r="SFP90" s="4"/>
      <c r="SFQ90" s="4"/>
      <c r="SFR90" s="4"/>
      <c r="SFS90" s="4"/>
      <c r="SFT90" s="4"/>
      <c r="SFU90" s="4"/>
      <c r="SFV90" s="4"/>
      <c r="SFW90" s="4"/>
      <c r="SFX90" s="4"/>
      <c r="SFY90" s="4"/>
      <c r="SFZ90" s="4"/>
      <c r="SGA90" s="4"/>
      <c r="SGB90" s="4"/>
      <c r="SGC90" s="4"/>
      <c r="SGD90" s="4"/>
      <c r="SGE90" s="4"/>
      <c r="SGF90" s="4"/>
      <c r="SGG90" s="4"/>
      <c r="SGH90" s="4"/>
      <c r="SGI90" s="4"/>
      <c r="SGJ90" s="4"/>
      <c r="SGK90" s="4"/>
      <c r="SGL90" s="4"/>
      <c r="SGM90" s="4"/>
      <c r="SGN90" s="4"/>
      <c r="SGO90" s="4"/>
      <c r="SGP90" s="4"/>
      <c r="SGQ90" s="4"/>
      <c r="SGR90" s="4"/>
      <c r="SGS90" s="4"/>
      <c r="SGT90" s="4"/>
      <c r="SGU90" s="4"/>
      <c r="SGV90" s="4"/>
      <c r="SGW90" s="4"/>
      <c r="SGX90" s="4"/>
      <c r="SGY90" s="4"/>
      <c r="SGZ90" s="4"/>
      <c r="SHA90" s="4"/>
      <c r="SHB90" s="4"/>
      <c r="SHC90" s="4"/>
      <c r="SHD90" s="4"/>
      <c r="SHE90" s="4"/>
      <c r="SHF90" s="4"/>
      <c r="SHG90" s="4"/>
      <c r="SHH90" s="4"/>
      <c r="SHI90" s="4"/>
      <c r="SHJ90" s="4"/>
      <c r="SHK90" s="4"/>
      <c r="SHL90" s="4"/>
      <c r="SHM90" s="4"/>
      <c r="SHN90" s="4"/>
      <c r="SHO90" s="4"/>
      <c r="SHP90" s="4"/>
      <c r="SHQ90" s="4"/>
      <c r="SHR90" s="4"/>
      <c r="SHS90" s="4"/>
      <c r="SHT90" s="4"/>
      <c r="SHU90" s="4"/>
      <c r="SHV90" s="4"/>
      <c r="SHW90" s="4"/>
      <c r="SHX90" s="4"/>
      <c r="SHY90" s="4"/>
      <c r="SHZ90" s="4"/>
      <c r="SIA90" s="4"/>
      <c r="SIB90" s="4"/>
      <c r="SIC90" s="4"/>
      <c r="SID90" s="4"/>
      <c r="SIE90" s="4"/>
      <c r="SIF90" s="4"/>
      <c r="SIG90" s="4"/>
      <c r="SIH90" s="4"/>
      <c r="SII90" s="4"/>
      <c r="SIJ90" s="4"/>
      <c r="SIK90" s="4"/>
      <c r="SIL90" s="4"/>
      <c r="SIM90" s="4"/>
      <c r="SIN90" s="4"/>
      <c r="SIO90" s="4"/>
      <c r="SIP90" s="4"/>
      <c r="SIQ90" s="4"/>
      <c r="SIR90" s="4"/>
      <c r="SIS90" s="4"/>
      <c r="SIT90" s="4"/>
      <c r="SIU90" s="4"/>
      <c r="SIV90" s="4"/>
      <c r="SIW90" s="4"/>
      <c r="SIX90" s="4"/>
      <c r="SIY90" s="4"/>
      <c r="SIZ90" s="4"/>
      <c r="SJA90" s="4"/>
      <c r="SJB90" s="4"/>
      <c r="SJC90" s="4"/>
      <c r="SJD90" s="4"/>
      <c r="SJE90" s="4"/>
      <c r="SJF90" s="4"/>
      <c r="SJG90" s="4"/>
      <c r="SJH90" s="4"/>
      <c r="SJI90" s="4"/>
      <c r="SJJ90" s="4"/>
      <c r="SJK90" s="4"/>
      <c r="SJL90" s="4"/>
      <c r="SJM90" s="4"/>
      <c r="SJN90" s="4"/>
      <c r="SJO90" s="4"/>
      <c r="SJP90" s="4"/>
      <c r="SJQ90" s="4"/>
      <c r="SJR90" s="4"/>
      <c r="SJS90" s="4"/>
      <c r="SJT90" s="4"/>
      <c r="SJU90" s="4"/>
      <c r="SJV90" s="4"/>
      <c r="SJW90" s="4"/>
      <c r="SJX90" s="4"/>
      <c r="SJY90" s="4"/>
      <c r="SJZ90" s="4"/>
      <c r="SKA90" s="4"/>
      <c r="SKB90" s="4"/>
      <c r="SKC90" s="4"/>
      <c r="SKD90" s="4"/>
      <c r="SKE90" s="4"/>
      <c r="SKF90" s="4"/>
      <c r="SKG90" s="4"/>
      <c r="SKH90" s="4"/>
      <c r="SKI90" s="4"/>
      <c r="SKJ90" s="4"/>
      <c r="SKK90" s="4"/>
      <c r="SKL90" s="4"/>
      <c r="SKM90" s="4"/>
      <c r="SKN90" s="4"/>
      <c r="SKO90" s="4"/>
      <c r="SKP90" s="4"/>
      <c r="SKQ90" s="4"/>
      <c r="SKR90" s="4"/>
      <c r="SKS90" s="4"/>
      <c r="SKT90" s="4"/>
      <c r="SKU90" s="4"/>
      <c r="SKV90" s="4"/>
      <c r="SKW90" s="4"/>
      <c r="SKX90" s="4"/>
      <c r="SKY90" s="4"/>
      <c r="SKZ90" s="4"/>
      <c r="SLA90" s="4"/>
      <c r="SLB90" s="4"/>
      <c r="SLC90" s="4"/>
      <c r="SLD90" s="4"/>
      <c r="SLE90" s="4"/>
      <c r="SLF90" s="4"/>
      <c r="SLG90" s="4"/>
      <c r="SLH90" s="4"/>
      <c r="SLI90" s="4"/>
      <c r="SLJ90" s="4"/>
      <c r="SLK90" s="4"/>
      <c r="SLL90" s="4"/>
      <c r="SLM90" s="4"/>
      <c r="SLN90" s="4"/>
      <c r="SLO90" s="4"/>
      <c r="SLP90" s="4"/>
      <c r="SLQ90" s="4"/>
      <c r="SLR90" s="4"/>
      <c r="SLS90" s="4"/>
      <c r="SLT90" s="4"/>
      <c r="SLU90" s="4"/>
      <c r="SLV90" s="4"/>
      <c r="SLW90" s="4"/>
      <c r="SLX90" s="4"/>
      <c r="SLY90" s="4"/>
      <c r="SLZ90" s="4"/>
      <c r="SMA90" s="4"/>
      <c r="SMB90" s="4"/>
      <c r="SMC90" s="4"/>
      <c r="SMD90" s="4"/>
      <c r="SME90" s="4"/>
      <c r="SMF90" s="4"/>
      <c r="SMG90" s="4"/>
      <c r="SMH90" s="4"/>
      <c r="SMI90" s="4"/>
      <c r="SMJ90" s="4"/>
      <c r="SMK90" s="4"/>
      <c r="SML90" s="4"/>
      <c r="SMM90" s="4"/>
      <c r="SMN90" s="4"/>
      <c r="SMO90" s="4"/>
      <c r="SMP90" s="4"/>
      <c r="SMQ90" s="4"/>
      <c r="SMR90" s="4"/>
      <c r="SMS90" s="4"/>
      <c r="SMT90" s="4"/>
      <c r="SMU90" s="4"/>
      <c r="SMV90" s="4"/>
      <c r="SMW90" s="4"/>
      <c r="SMX90" s="4"/>
      <c r="SMY90" s="4"/>
      <c r="SMZ90" s="4"/>
      <c r="SNA90" s="4"/>
      <c r="SNB90" s="4"/>
      <c r="SNC90" s="4"/>
      <c r="SND90" s="4"/>
      <c r="SNE90" s="4"/>
      <c r="SNF90" s="4"/>
      <c r="SNG90" s="4"/>
      <c r="SNH90" s="4"/>
      <c r="SNI90" s="4"/>
      <c r="SNJ90" s="4"/>
      <c r="SNK90" s="4"/>
      <c r="SNL90" s="4"/>
      <c r="SNM90" s="4"/>
      <c r="SNN90" s="4"/>
      <c r="SNO90" s="4"/>
      <c r="SNP90" s="4"/>
      <c r="SNQ90" s="4"/>
      <c r="SNR90" s="4"/>
      <c r="SNS90" s="4"/>
      <c r="SNT90" s="4"/>
      <c r="SNU90" s="4"/>
      <c r="SNV90" s="4"/>
      <c r="SNW90" s="4"/>
      <c r="SNX90" s="4"/>
      <c r="SNY90" s="4"/>
      <c r="SNZ90" s="4"/>
      <c r="SOA90" s="4"/>
      <c r="SOB90" s="4"/>
      <c r="SOC90" s="4"/>
      <c r="SOD90" s="4"/>
      <c r="SOE90" s="4"/>
      <c r="SOF90" s="4"/>
      <c r="SOG90" s="4"/>
      <c r="SOH90" s="4"/>
      <c r="SOI90" s="4"/>
      <c r="SOJ90" s="4"/>
      <c r="SOK90" s="4"/>
      <c r="SOL90" s="4"/>
      <c r="SOM90" s="4"/>
      <c r="SON90" s="4"/>
      <c r="SOO90" s="4"/>
      <c r="SOP90" s="4"/>
      <c r="SOQ90" s="4"/>
      <c r="SOR90" s="4"/>
      <c r="SOS90" s="4"/>
      <c r="SOT90" s="4"/>
      <c r="SOU90" s="4"/>
      <c r="SOV90" s="4"/>
      <c r="SOW90" s="4"/>
      <c r="SOX90" s="4"/>
      <c r="SOY90" s="4"/>
      <c r="SOZ90" s="4"/>
      <c r="SPA90" s="4"/>
      <c r="SPB90" s="4"/>
      <c r="SPC90" s="4"/>
      <c r="SPD90" s="4"/>
      <c r="SPE90" s="4"/>
      <c r="SPF90" s="4"/>
      <c r="SPG90" s="4"/>
      <c r="SPH90" s="4"/>
      <c r="SPI90" s="4"/>
      <c r="SPJ90" s="4"/>
      <c r="SPK90" s="4"/>
      <c r="SPL90" s="4"/>
      <c r="SPM90" s="4"/>
      <c r="SPN90" s="4"/>
      <c r="SPO90" s="4"/>
      <c r="SPP90" s="4"/>
      <c r="SPQ90" s="4"/>
      <c r="SPR90" s="4"/>
      <c r="SPS90" s="4"/>
      <c r="SPT90" s="4"/>
      <c r="SPU90" s="4"/>
      <c r="SPV90" s="4"/>
      <c r="SPW90" s="4"/>
      <c r="SPX90" s="4"/>
      <c r="SPY90" s="4"/>
      <c r="SPZ90" s="4"/>
      <c r="SQA90" s="4"/>
      <c r="SQB90" s="4"/>
      <c r="SQC90" s="4"/>
      <c r="SQD90" s="4"/>
      <c r="SQE90" s="4"/>
      <c r="SQF90" s="4"/>
      <c r="SQG90" s="4"/>
      <c r="SQH90" s="4"/>
      <c r="SQI90" s="4"/>
      <c r="SQJ90" s="4"/>
      <c r="SQK90" s="4"/>
      <c r="SQL90" s="4"/>
      <c r="SQM90" s="4"/>
      <c r="SQN90" s="4"/>
      <c r="SQO90" s="4"/>
      <c r="SQP90" s="4"/>
      <c r="SQQ90" s="4"/>
      <c r="SQR90" s="4"/>
      <c r="SQS90" s="4"/>
      <c r="SQT90" s="4"/>
      <c r="SQU90" s="4"/>
      <c r="SQV90" s="4"/>
      <c r="SQW90" s="4"/>
      <c r="SQX90" s="4"/>
      <c r="SQY90" s="4"/>
      <c r="SQZ90" s="4"/>
      <c r="SRA90" s="4"/>
      <c r="SRB90" s="4"/>
      <c r="SRC90" s="4"/>
      <c r="SRD90" s="4"/>
      <c r="SRE90" s="4"/>
      <c r="SRF90" s="4"/>
      <c r="SRG90" s="4"/>
      <c r="SRH90" s="4"/>
      <c r="SRI90" s="4"/>
      <c r="SRJ90" s="4"/>
      <c r="SRK90" s="4"/>
      <c r="SRL90" s="4"/>
      <c r="SRM90" s="4"/>
      <c r="SRN90" s="4"/>
      <c r="SRO90" s="4"/>
      <c r="SRP90" s="4"/>
      <c r="SRQ90" s="4"/>
      <c r="SRR90" s="4"/>
      <c r="SRS90" s="4"/>
      <c r="SRT90" s="4"/>
      <c r="SRU90" s="4"/>
      <c r="SRV90" s="4"/>
      <c r="SRW90" s="4"/>
      <c r="SRX90" s="4"/>
      <c r="SRY90" s="4"/>
      <c r="SRZ90" s="4"/>
      <c r="SSA90" s="4"/>
      <c r="SSB90" s="4"/>
      <c r="SSC90" s="4"/>
      <c r="SSD90" s="4"/>
      <c r="SSE90" s="4"/>
      <c r="SSF90" s="4"/>
      <c r="SSG90" s="4"/>
      <c r="SSH90" s="4"/>
      <c r="SSI90" s="4"/>
      <c r="SSJ90" s="4"/>
      <c r="SSK90" s="4"/>
      <c r="SSL90" s="4"/>
      <c r="SSM90" s="4"/>
      <c r="SSN90" s="4"/>
      <c r="SSO90" s="4"/>
      <c r="SSP90" s="4"/>
      <c r="SSQ90" s="4"/>
      <c r="SSR90" s="4"/>
      <c r="SSS90" s="4"/>
      <c r="SST90" s="4"/>
      <c r="SSU90" s="4"/>
      <c r="SSV90" s="4"/>
      <c r="SSW90" s="4"/>
      <c r="SSX90" s="4"/>
      <c r="SSY90" s="4"/>
      <c r="SSZ90" s="4"/>
      <c r="STA90" s="4"/>
      <c r="STB90" s="4"/>
      <c r="STC90" s="4"/>
      <c r="STD90" s="4"/>
      <c r="STE90" s="4"/>
      <c r="STF90" s="4"/>
      <c r="STG90" s="4"/>
      <c r="STH90" s="4"/>
      <c r="STI90" s="4"/>
      <c r="STJ90" s="4"/>
      <c r="STK90" s="4"/>
      <c r="STL90" s="4"/>
      <c r="STM90" s="4"/>
      <c r="STN90" s="4"/>
      <c r="STO90" s="4"/>
      <c r="STP90" s="4"/>
      <c r="STQ90" s="4"/>
      <c r="STR90" s="4"/>
      <c r="STS90" s="4"/>
      <c r="STT90" s="4"/>
      <c r="STU90" s="4"/>
      <c r="STV90" s="4"/>
      <c r="STW90" s="4"/>
      <c r="STX90" s="4"/>
      <c r="STY90" s="4"/>
      <c r="STZ90" s="4"/>
      <c r="SUA90" s="4"/>
      <c r="SUB90" s="4"/>
      <c r="SUC90" s="4"/>
      <c r="SUD90" s="4"/>
      <c r="SUE90" s="4"/>
      <c r="SUF90" s="4"/>
      <c r="SUG90" s="4"/>
      <c r="SUH90" s="4"/>
      <c r="SUI90" s="4"/>
      <c r="SUJ90" s="4"/>
      <c r="SUK90" s="4"/>
      <c r="SUL90" s="4"/>
      <c r="SUM90" s="4"/>
      <c r="SUN90" s="4"/>
      <c r="SUO90" s="4"/>
      <c r="SUP90" s="4"/>
      <c r="SUQ90" s="4"/>
      <c r="SUR90" s="4"/>
      <c r="SUS90" s="4"/>
      <c r="SUT90" s="4"/>
      <c r="SUU90" s="4"/>
      <c r="SUV90" s="4"/>
      <c r="SUW90" s="4"/>
      <c r="SUX90" s="4"/>
      <c r="SUY90" s="4"/>
      <c r="SUZ90" s="4"/>
      <c r="SVA90" s="4"/>
      <c r="SVB90" s="4"/>
      <c r="SVC90" s="4"/>
      <c r="SVD90" s="4"/>
      <c r="SVE90" s="4"/>
      <c r="SVF90" s="4"/>
      <c r="SVG90" s="4"/>
      <c r="SVH90" s="4"/>
      <c r="SVI90" s="4"/>
      <c r="SVJ90" s="4"/>
      <c r="SVK90" s="4"/>
      <c r="SVL90" s="4"/>
      <c r="SVM90" s="4"/>
      <c r="SVN90" s="4"/>
      <c r="SVO90" s="4"/>
      <c r="SVP90" s="4"/>
      <c r="SVQ90" s="4"/>
      <c r="SVR90" s="4"/>
      <c r="SVS90" s="4"/>
      <c r="SVT90" s="4"/>
      <c r="SVU90" s="4"/>
      <c r="SVV90" s="4"/>
      <c r="SVW90" s="4"/>
      <c r="SVX90" s="4"/>
      <c r="SVY90" s="4"/>
      <c r="SVZ90" s="4"/>
      <c r="SWA90" s="4"/>
      <c r="SWB90" s="4"/>
      <c r="SWC90" s="4"/>
      <c r="SWD90" s="4"/>
      <c r="SWE90" s="4"/>
      <c r="SWF90" s="4"/>
      <c r="SWG90" s="4"/>
      <c r="SWH90" s="4"/>
      <c r="SWI90" s="4"/>
      <c r="SWJ90" s="4"/>
      <c r="SWK90" s="4"/>
      <c r="SWL90" s="4"/>
      <c r="SWM90" s="4"/>
      <c r="SWN90" s="4"/>
      <c r="SWO90" s="4"/>
      <c r="SWP90" s="4"/>
      <c r="SWQ90" s="4"/>
      <c r="SWR90" s="4"/>
      <c r="SWS90" s="4"/>
      <c r="SWT90" s="4"/>
      <c r="SWU90" s="4"/>
      <c r="SWV90" s="4"/>
      <c r="SWW90" s="4"/>
      <c r="SWX90" s="4"/>
      <c r="SWY90" s="4"/>
      <c r="SWZ90" s="4"/>
      <c r="SXA90" s="4"/>
      <c r="SXB90" s="4"/>
      <c r="SXC90" s="4"/>
      <c r="SXD90" s="4"/>
      <c r="SXE90" s="4"/>
      <c r="SXF90" s="4"/>
      <c r="SXG90" s="4"/>
      <c r="SXH90" s="4"/>
      <c r="SXI90" s="4"/>
      <c r="SXJ90" s="4"/>
      <c r="SXK90" s="4"/>
      <c r="SXL90" s="4"/>
      <c r="SXM90" s="4"/>
      <c r="SXN90" s="4"/>
      <c r="SXO90" s="4"/>
      <c r="SXP90" s="4"/>
      <c r="SXQ90" s="4"/>
      <c r="SXR90" s="4"/>
      <c r="SXS90" s="4"/>
      <c r="SXT90" s="4"/>
      <c r="SXU90" s="4"/>
      <c r="SXV90" s="4"/>
      <c r="SXW90" s="4"/>
      <c r="SXX90" s="4"/>
      <c r="SXY90" s="4"/>
      <c r="SXZ90" s="4"/>
      <c r="SYA90" s="4"/>
      <c r="SYB90" s="4"/>
      <c r="SYC90" s="4"/>
      <c r="SYD90" s="4"/>
      <c r="SYE90" s="4"/>
      <c r="SYF90" s="4"/>
      <c r="SYG90" s="4"/>
      <c r="SYH90" s="4"/>
      <c r="SYI90" s="4"/>
      <c r="SYJ90" s="4"/>
      <c r="SYK90" s="4"/>
      <c r="SYL90" s="4"/>
      <c r="SYM90" s="4"/>
      <c r="SYN90" s="4"/>
      <c r="SYO90" s="4"/>
      <c r="SYP90" s="4"/>
      <c r="SYQ90" s="4"/>
      <c r="SYR90" s="4"/>
      <c r="SYS90" s="4"/>
      <c r="SYT90" s="4"/>
      <c r="SYU90" s="4"/>
      <c r="SYV90" s="4"/>
      <c r="SYW90" s="4"/>
      <c r="SYX90" s="4"/>
      <c r="SYY90" s="4"/>
      <c r="SYZ90" s="4"/>
      <c r="SZA90" s="4"/>
      <c r="SZB90" s="4"/>
      <c r="SZC90" s="4"/>
      <c r="SZD90" s="4"/>
      <c r="SZE90" s="4"/>
      <c r="SZF90" s="4"/>
      <c r="SZG90" s="4"/>
      <c r="SZH90" s="4"/>
      <c r="SZI90" s="4"/>
      <c r="SZJ90" s="4"/>
      <c r="SZK90" s="4"/>
      <c r="SZL90" s="4"/>
      <c r="SZM90" s="4"/>
      <c r="SZN90" s="4"/>
      <c r="SZO90" s="4"/>
      <c r="SZP90" s="4"/>
      <c r="SZQ90" s="4"/>
      <c r="SZR90" s="4"/>
      <c r="SZS90" s="4"/>
      <c r="SZT90" s="4"/>
      <c r="SZU90" s="4"/>
      <c r="SZV90" s="4"/>
      <c r="SZW90" s="4"/>
      <c r="SZX90" s="4"/>
      <c r="SZY90" s="4"/>
      <c r="SZZ90" s="4"/>
      <c r="TAA90" s="4"/>
      <c r="TAB90" s="4"/>
      <c r="TAC90" s="4"/>
      <c r="TAD90" s="4"/>
      <c r="TAE90" s="4"/>
      <c r="TAF90" s="4"/>
      <c r="TAG90" s="4"/>
      <c r="TAH90" s="4"/>
      <c r="TAI90" s="4"/>
      <c r="TAJ90" s="4"/>
      <c r="TAK90" s="4"/>
      <c r="TAL90" s="4"/>
      <c r="TAM90" s="4"/>
      <c r="TAN90" s="4"/>
      <c r="TAO90" s="4"/>
      <c r="TAP90" s="4"/>
      <c r="TAQ90" s="4"/>
      <c r="TAR90" s="4"/>
      <c r="TAS90" s="4"/>
      <c r="TAT90" s="4"/>
      <c r="TAU90" s="4"/>
      <c r="TAV90" s="4"/>
      <c r="TAW90" s="4"/>
      <c r="TAX90" s="4"/>
      <c r="TAY90" s="4"/>
      <c r="TAZ90" s="4"/>
      <c r="TBA90" s="4"/>
      <c r="TBB90" s="4"/>
      <c r="TBC90" s="4"/>
      <c r="TBD90" s="4"/>
      <c r="TBE90" s="4"/>
      <c r="TBF90" s="4"/>
      <c r="TBG90" s="4"/>
      <c r="TBH90" s="4"/>
      <c r="TBI90" s="4"/>
      <c r="TBJ90" s="4"/>
      <c r="TBK90" s="4"/>
      <c r="TBL90" s="4"/>
      <c r="TBM90" s="4"/>
      <c r="TBN90" s="4"/>
      <c r="TBO90" s="4"/>
      <c r="TBP90" s="4"/>
      <c r="TBQ90" s="4"/>
      <c r="TBR90" s="4"/>
      <c r="TBS90" s="4"/>
      <c r="TBT90" s="4"/>
      <c r="TBU90" s="4"/>
      <c r="TBV90" s="4"/>
      <c r="TBW90" s="4"/>
      <c r="TBX90" s="4"/>
      <c r="TBY90" s="4"/>
      <c r="TBZ90" s="4"/>
      <c r="TCA90" s="4"/>
      <c r="TCB90" s="4"/>
      <c r="TCC90" s="4"/>
      <c r="TCD90" s="4"/>
      <c r="TCE90" s="4"/>
      <c r="TCF90" s="4"/>
      <c r="TCG90" s="4"/>
      <c r="TCH90" s="4"/>
      <c r="TCI90" s="4"/>
      <c r="TCJ90" s="4"/>
      <c r="TCK90" s="4"/>
      <c r="TCL90" s="4"/>
      <c r="TCM90" s="4"/>
      <c r="TCN90" s="4"/>
      <c r="TCO90" s="4"/>
      <c r="TCP90" s="4"/>
      <c r="TCQ90" s="4"/>
      <c r="TCR90" s="4"/>
      <c r="TCS90" s="4"/>
      <c r="TCT90" s="4"/>
      <c r="TCU90" s="4"/>
      <c r="TCV90" s="4"/>
      <c r="TCW90" s="4"/>
      <c r="TCX90" s="4"/>
      <c r="TCY90" s="4"/>
      <c r="TCZ90" s="4"/>
      <c r="TDA90" s="4"/>
      <c r="TDB90" s="4"/>
      <c r="TDC90" s="4"/>
      <c r="TDD90" s="4"/>
      <c r="TDE90" s="4"/>
      <c r="TDF90" s="4"/>
      <c r="TDG90" s="4"/>
      <c r="TDH90" s="4"/>
      <c r="TDI90" s="4"/>
      <c r="TDJ90" s="4"/>
      <c r="TDK90" s="4"/>
      <c r="TDL90" s="4"/>
      <c r="TDM90" s="4"/>
      <c r="TDN90" s="4"/>
      <c r="TDO90" s="4"/>
      <c r="TDP90" s="4"/>
      <c r="TDQ90" s="4"/>
      <c r="TDR90" s="4"/>
      <c r="TDS90" s="4"/>
      <c r="TDT90" s="4"/>
      <c r="TDU90" s="4"/>
      <c r="TDV90" s="4"/>
      <c r="TDW90" s="4"/>
      <c r="TDX90" s="4"/>
      <c r="TDY90" s="4"/>
      <c r="TDZ90" s="4"/>
      <c r="TEA90" s="4"/>
      <c r="TEB90" s="4"/>
      <c r="TEC90" s="4"/>
      <c r="TED90" s="4"/>
      <c r="TEE90" s="4"/>
      <c r="TEF90" s="4"/>
      <c r="TEG90" s="4"/>
      <c r="TEH90" s="4"/>
      <c r="TEI90" s="4"/>
      <c r="TEJ90" s="4"/>
      <c r="TEK90" s="4"/>
      <c r="TEL90" s="4"/>
      <c r="TEM90" s="4"/>
      <c r="TEN90" s="4"/>
      <c r="TEO90" s="4"/>
      <c r="TEP90" s="4"/>
      <c r="TEQ90" s="4"/>
      <c r="TER90" s="4"/>
      <c r="TES90" s="4"/>
      <c r="TET90" s="4"/>
      <c r="TEU90" s="4"/>
      <c r="TEV90" s="4"/>
      <c r="TEW90" s="4"/>
      <c r="TEX90" s="4"/>
      <c r="TEY90" s="4"/>
      <c r="TEZ90" s="4"/>
      <c r="TFA90" s="4"/>
      <c r="TFB90" s="4"/>
      <c r="TFC90" s="4"/>
      <c r="TFD90" s="4"/>
      <c r="TFE90" s="4"/>
      <c r="TFF90" s="4"/>
      <c r="TFG90" s="4"/>
      <c r="TFH90" s="4"/>
      <c r="TFI90" s="4"/>
      <c r="TFJ90" s="4"/>
      <c r="TFK90" s="4"/>
      <c r="TFL90" s="4"/>
      <c r="TFM90" s="4"/>
      <c r="TFN90" s="4"/>
      <c r="TFO90" s="4"/>
      <c r="TFP90" s="4"/>
      <c r="TFQ90" s="4"/>
      <c r="TFR90" s="4"/>
      <c r="TFS90" s="4"/>
      <c r="TFT90" s="4"/>
      <c r="TFU90" s="4"/>
      <c r="TFV90" s="4"/>
      <c r="TFW90" s="4"/>
      <c r="TFX90" s="4"/>
      <c r="TFY90" s="4"/>
      <c r="TFZ90" s="4"/>
      <c r="TGA90" s="4"/>
      <c r="TGB90" s="4"/>
      <c r="TGC90" s="4"/>
      <c r="TGD90" s="4"/>
      <c r="TGE90" s="4"/>
      <c r="TGF90" s="4"/>
      <c r="TGG90" s="4"/>
      <c r="TGH90" s="4"/>
      <c r="TGI90" s="4"/>
      <c r="TGJ90" s="4"/>
      <c r="TGK90" s="4"/>
      <c r="TGL90" s="4"/>
      <c r="TGM90" s="4"/>
      <c r="TGN90" s="4"/>
      <c r="TGO90" s="4"/>
      <c r="TGP90" s="4"/>
      <c r="TGQ90" s="4"/>
      <c r="TGR90" s="4"/>
      <c r="TGS90" s="4"/>
      <c r="TGT90" s="4"/>
      <c r="TGU90" s="4"/>
      <c r="TGV90" s="4"/>
      <c r="TGW90" s="4"/>
      <c r="TGX90" s="4"/>
      <c r="TGY90" s="4"/>
      <c r="TGZ90" s="4"/>
      <c r="THA90" s="4"/>
      <c r="THB90" s="4"/>
      <c r="THC90" s="4"/>
      <c r="THD90" s="4"/>
      <c r="THE90" s="4"/>
      <c r="THF90" s="4"/>
      <c r="THG90" s="4"/>
      <c r="THH90" s="4"/>
      <c r="THI90" s="4"/>
      <c r="THJ90" s="4"/>
      <c r="THK90" s="4"/>
      <c r="THL90" s="4"/>
      <c r="THM90" s="4"/>
      <c r="THN90" s="4"/>
      <c r="THO90" s="4"/>
      <c r="THP90" s="4"/>
      <c r="THQ90" s="4"/>
      <c r="THR90" s="4"/>
      <c r="THS90" s="4"/>
      <c r="THT90" s="4"/>
      <c r="THU90" s="4"/>
      <c r="THV90" s="4"/>
      <c r="THW90" s="4"/>
      <c r="THX90" s="4"/>
      <c r="THY90" s="4"/>
      <c r="THZ90" s="4"/>
      <c r="TIA90" s="4"/>
      <c r="TIB90" s="4"/>
      <c r="TIC90" s="4"/>
      <c r="TID90" s="4"/>
      <c r="TIE90" s="4"/>
      <c r="TIF90" s="4"/>
      <c r="TIG90" s="4"/>
      <c r="TIH90" s="4"/>
      <c r="TII90" s="4"/>
      <c r="TIJ90" s="4"/>
      <c r="TIK90" s="4"/>
      <c r="TIL90" s="4"/>
      <c r="TIM90" s="4"/>
      <c r="TIN90" s="4"/>
      <c r="TIO90" s="4"/>
      <c r="TIP90" s="4"/>
      <c r="TIQ90" s="4"/>
      <c r="TIR90" s="4"/>
      <c r="TIS90" s="4"/>
      <c r="TIT90" s="4"/>
      <c r="TIU90" s="4"/>
      <c r="TIV90" s="4"/>
      <c r="TIW90" s="4"/>
      <c r="TIX90" s="4"/>
      <c r="TIY90" s="4"/>
      <c r="TIZ90" s="4"/>
      <c r="TJA90" s="4"/>
      <c r="TJB90" s="4"/>
      <c r="TJC90" s="4"/>
      <c r="TJD90" s="4"/>
      <c r="TJE90" s="4"/>
      <c r="TJF90" s="4"/>
      <c r="TJG90" s="4"/>
      <c r="TJH90" s="4"/>
      <c r="TJI90" s="4"/>
      <c r="TJJ90" s="4"/>
      <c r="TJK90" s="4"/>
      <c r="TJL90" s="4"/>
      <c r="TJM90" s="4"/>
      <c r="TJN90" s="4"/>
      <c r="TJO90" s="4"/>
      <c r="TJP90" s="4"/>
      <c r="TJQ90" s="4"/>
      <c r="TJR90" s="4"/>
      <c r="TJS90" s="4"/>
      <c r="TJT90" s="4"/>
      <c r="TJU90" s="4"/>
      <c r="TJV90" s="4"/>
      <c r="TJW90" s="4"/>
      <c r="TJX90" s="4"/>
      <c r="TJY90" s="4"/>
      <c r="TJZ90" s="4"/>
      <c r="TKA90" s="4"/>
      <c r="TKB90" s="4"/>
      <c r="TKC90" s="4"/>
      <c r="TKD90" s="4"/>
      <c r="TKE90" s="4"/>
      <c r="TKF90" s="4"/>
      <c r="TKG90" s="4"/>
      <c r="TKH90" s="4"/>
      <c r="TKI90" s="4"/>
      <c r="TKJ90" s="4"/>
      <c r="TKK90" s="4"/>
      <c r="TKL90" s="4"/>
      <c r="TKM90" s="4"/>
      <c r="TKN90" s="4"/>
      <c r="TKO90" s="4"/>
      <c r="TKP90" s="4"/>
      <c r="TKQ90" s="4"/>
      <c r="TKR90" s="4"/>
      <c r="TKS90" s="4"/>
      <c r="TKT90" s="4"/>
      <c r="TKU90" s="4"/>
      <c r="TKV90" s="4"/>
      <c r="TKW90" s="4"/>
      <c r="TKX90" s="4"/>
      <c r="TKY90" s="4"/>
      <c r="TKZ90" s="4"/>
      <c r="TLA90" s="4"/>
      <c r="TLB90" s="4"/>
      <c r="TLC90" s="4"/>
      <c r="TLD90" s="4"/>
      <c r="TLE90" s="4"/>
      <c r="TLF90" s="4"/>
      <c r="TLG90" s="4"/>
      <c r="TLH90" s="4"/>
      <c r="TLI90" s="4"/>
      <c r="TLJ90" s="4"/>
      <c r="TLK90" s="4"/>
      <c r="TLL90" s="4"/>
      <c r="TLM90" s="4"/>
      <c r="TLN90" s="4"/>
      <c r="TLO90" s="4"/>
      <c r="TLP90" s="4"/>
      <c r="TLQ90" s="4"/>
      <c r="TLR90" s="4"/>
      <c r="TLS90" s="4"/>
      <c r="TLT90" s="4"/>
      <c r="TLU90" s="4"/>
      <c r="TLV90" s="4"/>
      <c r="TLW90" s="4"/>
      <c r="TLX90" s="4"/>
      <c r="TLY90" s="4"/>
      <c r="TLZ90" s="4"/>
      <c r="TMA90" s="4"/>
      <c r="TMB90" s="4"/>
      <c r="TMC90" s="4"/>
      <c r="TMD90" s="4"/>
      <c r="TME90" s="4"/>
      <c r="TMF90" s="4"/>
      <c r="TMG90" s="4"/>
      <c r="TMH90" s="4"/>
      <c r="TMI90" s="4"/>
      <c r="TMJ90" s="4"/>
      <c r="TMK90" s="4"/>
      <c r="TML90" s="4"/>
      <c r="TMM90" s="4"/>
      <c r="TMN90" s="4"/>
      <c r="TMO90" s="4"/>
      <c r="TMP90" s="4"/>
      <c r="TMQ90" s="4"/>
      <c r="TMR90" s="4"/>
      <c r="TMS90" s="4"/>
      <c r="TMT90" s="4"/>
      <c r="TMU90" s="4"/>
      <c r="TMV90" s="4"/>
      <c r="TMW90" s="4"/>
      <c r="TMX90" s="4"/>
      <c r="TMY90" s="4"/>
      <c r="TMZ90" s="4"/>
      <c r="TNA90" s="4"/>
      <c r="TNB90" s="4"/>
      <c r="TNC90" s="4"/>
      <c r="TND90" s="4"/>
      <c r="TNE90" s="4"/>
      <c r="TNF90" s="4"/>
      <c r="TNG90" s="4"/>
      <c r="TNH90" s="4"/>
      <c r="TNI90" s="4"/>
      <c r="TNJ90" s="4"/>
      <c r="TNK90" s="4"/>
      <c r="TNL90" s="4"/>
      <c r="TNM90" s="4"/>
      <c r="TNN90" s="4"/>
      <c r="TNO90" s="4"/>
      <c r="TNP90" s="4"/>
      <c r="TNQ90" s="4"/>
      <c r="TNR90" s="4"/>
      <c r="TNS90" s="4"/>
      <c r="TNT90" s="4"/>
      <c r="TNU90" s="4"/>
      <c r="TNV90" s="4"/>
      <c r="TNW90" s="4"/>
      <c r="TNX90" s="4"/>
      <c r="TNY90" s="4"/>
      <c r="TNZ90" s="4"/>
      <c r="TOA90" s="4"/>
      <c r="TOB90" s="4"/>
      <c r="TOC90" s="4"/>
      <c r="TOD90" s="4"/>
      <c r="TOE90" s="4"/>
      <c r="TOF90" s="4"/>
      <c r="TOG90" s="4"/>
      <c r="TOH90" s="4"/>
      <c r="TOI90" s="4"/>
      <c r="TOJ90" s="4"/>
      <c r="TOK90" s="4"/>
      <c r="TOL90" s="4"/>
      <c r="TOM90" s="4"/>
      <c r="TON90" s="4"/>
      <c r="TOO90" s="4"/>
      <c r="TOP90" s="4"/>
      <c r="TOQ90" s="4"/>
      <c r="TOR90" s="4"/>
      <c r="TOS90" s="4"/>
      <c r="TOT90" s="4"/>
      <c r="TOU90" s="4"/>
      <c r="TOV90" s="4"/>
      <c r="TOW90" s="4"/>
      <c r="TOX90" s="4"/>
      <c r="TOY90" s="4"/>
      <c r="TOZ90" s="4"/>
      <c r="TPA90" s="4"/>
      <c r="TPB90" s="4"/>
      <c r="TPC90" s="4"/>
      <c r="TPD90" s="4"/>
      <c r="TPE90" s="4"/>
      <c r="TPF90" s="4"/>
      <c r="TPG90" s="4"/>
      <c r="TPH90" s="4"/>
      <c r="TPI90" s="4"/>
      <c r="TPJ90" s="4"/>
      <c r="TPK90" s="4"/>
      <c r="TPL90" s="4"/>
      <c r="TPM90" s="4"/>
      <c r="TPN90" s="4"/>
      <c r="TPO90" s="4"/>
      <c r="TPP90" s="4"/>
      <c r="TPQ90" s="4"/>
      <c r="TPR90" s="4"/>
      <c r="TPS90" s="4"/>
      <c r="TPT90" s="4"/>
      <c r="TPU90" s="4"/>
      <c r="TPV90" s="4"/>
      <c r="TPW90" s="4"/>
      <c r="TPX90" s="4"/>
      <c r="TPY90" s="4"/>
      <c r="TPZ90" s="4"/>
      <c r="TQA90" s="4"/>
      <c r="TQB90" s="4"/>
      <c r="TQC90" s="4"/>
      <c r="TQD90" s="4"/>
      <c r="TQE90" s="4"/>
      <c r="TQF90" s="4"/>
      <c r="TQG90" s="4"/>
      <c r="TQH90" s="4"/>
      <c r="TQI90" s="4"/>
      <c r="TQJ90" s="4"/>
      <c r="TQK90" s="4"/>
      <c r="TQL90" s="4"/>
      <c r="TQM90" s="4"/>
      <c r="TQN90" s="4"/>
      <c r="TQO90" s="4"/>
      <c r="TQP90" s="4"/>
      <c r="TQQ90" s="4"/>
      <c r="TQR90" s="4"/>
      <c r="TQS90" s="4"/>
      <c r="TQT90" s="4"/>
      <c r="TQU90" s="4"/>
      <c r="TQV90" s="4"/>
      <c r="TQW90" s="4"/>
      <c r="TQX90" s="4"/>
      <c r="TQY90" s="4"/>
      <c r="TQZ90" s="4"/>
      <c r="TRA90" s="4"/>
      <c r="TRB90" s="4"/>
      <c r="TRC90" s="4"/>
      <c r="TRD90" s="4"/>
      <c r="TRE90" s="4"/>
      <c r="TRF90" s="4"/>
      <c r="TRG90" s="4"/>
      <c r="TRH90" s="4"/>
      <c r="TRI90" s="4"/>
      <c r="TRJ90" s="4"/>
      <c r="TRK90" s="4"/>
      <c r="TRL90" s="4"/>
      <c r="TRM90" s="4"/>
      <c r="TRN90" s="4"/>
      <c r="TRO90" s="4"/>
      <c r="TRP90" s="4"/>
      <c r="TRQ90" s="4"/>
      <c r="TRR90" s="4"/>
      <c r="TRS90" s="4"/>
      <c r="TRT90" s="4"/>
      <c r="TRU90" s="4"/>
      <c r="TRV90" s="4"/>
      <c r="TRW90" s="4"/>
      <c r="TRX90" s="4"/>
      <c r="TRY90" s="4"/>
      <c r="TRZ90" s="4"/>
      <c r="TSA90" s="4"/>
      <c r="TSB90" s="4"/>
      <c r="TSC90" s="4"/>
      <c r="TSD90" s="4"/>
      <c r="TSE90" s="4"/>
      <c r="TSF90" s="4"/>
      <c r="TSG90" s="4"/>
      <c r="TSH90" s="4"/>
      <c r="TSI90" s="4"/>
      <c r="TSJ90" s="4"/>
      <c r="TSK90" s="4"/>
      <c r="TSL90" s="4"/>
      <c r="TSM90" s="4"/>
      <c r="TSN90" s="4"/>
      <c r="TSO90" s="4"/>
      <c r="TSP90" s="4"/>
      <c r="TSQ90" s="4"/>
      <c r="TSR90" s="4"/>
      <c r="TSS90" s="4"/>
      <c r="TST90" s="4"/>
      <c r="TSU90" s="4"/>
      <c r="TSV90" s="4"/>
      <c r="TSW90" s="4"/>
      <c r="TSX90" s="4"/>
      <c r="TSY90" s="4"/>
      <c r="TSZ90" s="4"/>
      <c r="TTA90" s="4"/>
      <c r="TTB90" s="4"/>
      <c r="TTC90" s="4"/>
      <c r="TTD90" s="4"/>
      <c r="TTE90" s="4"/>
      <c r="TTF90" s="4"/>
      <c r="TTG90" s="4"/>
      <c r="TTH90" s="4"/>
      <c r="TTI90" s="4"/>
      <c r="TTJ90" s="4"/>
      <c r="TTK90" s="4"/>
      <c r="TTL90" s="4"/>
      <c r="TTM90" s="4"/>
      <c r="TTN90" s="4"/>
      <c r="TTO90" s="4"/>
      <c r="TTP90" s="4"/>
      <c r="TTQ90" s="4"/>
      <c r="TTR90" s="4"/>
      <c r="TTS90" s="4"/>
      <c r="TTT90" s="4"/>
      <c r="TTU90" s="4"/>
      <c r="TTV90" s="4"/>
      <c r="TTW90" s="4"/>
      <c r="TTX90" s="4"/>
      <c r="TTY90" s="4"/>
      <c r="TTZ90" s="4"/>
      <c r="TUA90" s="4"/>
      <c r="TUB90" s="4"/>
      <c r="TUC90" s="4"/>
      <c r="TUD90" s="4"/>
      <c r="TUE90" s="4"/>
      <c r="TUF90" s="4"/>
      <c r="TUG90" s="4"/>
      <c r="TUH90" s="4"/>
      <c r="TUI90" s="4"/>
      <c r="TUJ90" s="4"/>
      <c r="TUK90" s="4"/>
      <c r="TUL90" s="4"/>
      <c r="TUM90" s="4"/>
      <c r="TUN90" s="4"/>
      <c r="TUO90" s="4"/>
      <c r="TUP90" s="4"/>
      <c r="TUQ90" s="4"/>
      <c r="TUR90" s="4"/>
      <c r="TUS90" s="4"/>
      <c r="TUT90" s="4"/>
      <c r="TUU90" s="4"/>
      <c r="TUV90" s="4"/>
      <c r="TUW90" s="4"/>
      <c r="TUX90" s="4"/>
      <c r="TUY90" s="4"/>
      <c r="TUZ90" s="4"/>
      <c r="TVA90" s="4"/>
      <c r="TVB90" s="4"/>
      <c r="TVC90" s="4"/>
      <c r="TVD90" s="4"/>
      <c r="TVE90" s="4"/>
      <c r="TVF90" s="4"/>
      <c r="TVG90" s="4"/>
      <c r="TVH90" s="4"/>
      <c r="TVI90" s="4"/>
      <c r="TVJ90" s="4"/>
      <c r="TVK90" s="4"/>
      <c r="TVL90" s="4"/>
      <c r="TVM90" s="4"/>
      <c r="TVN90" s="4"/>
      <c r="TVO90" s="4"/>
      <c r="TVP90" s="4"/>
      <c r="TVQ90" s="4"/>
      <c r="TVR90" s="4"/>
      <c r="TVS90" s="4"/>
      <c r="TVT90" s="4"/>
      <c r="TVU90" s="4"/>
      <c r="TVV90" s="4"/>
      <c r="TVW90" s="4"/>
      <c r="TVX90" s="4"/>
      <c r="TVY90" s="4"/>
      <c r="TVZ90" s="4"/>
      <c r="TWA90" s="4"/>
      <c r="TWB90" s="4"/>
      <c r="TWC90" s="4"/>
      <c r="TWD90" s="4"/>
      <c r="TWE90" s="4"/>
      <c r="TWF90" s="4"/>
      <c r="TWG90" s="4"/>
      <c r="TWH90" s="4"/>
      <c r="TWI90" s="4"/>
      <c r="TWJ90" s="4"/>
      <c r="TWK90" s="4"/>
      <c r="TWL90" s="4"/>
      <c r="TWM90" s="4"/>
      <c r="TWN90" s="4"/>
      <c r="TWO90" s="4"/>
      <c r="TWP90" s="4"/>
      <c r="TWQ90" s="4"/>
      <c r="TWR90" s="4"/>
      <c r="TWS90" s="4"/>
      <c r="TWT90" s="4"/>
      <c r="TWU90" s="4"/>
      <c r="TWV90" s="4"/>
      <c r="TWW90" s="4"/>
      <c r="TWX90" s="4"/>
      <c r="TWY90" s="4"/>
      <c r="TWZ90" s="4"/>
      <c r="TXA90" s="4"/>
      <c r="TXB90" s="4"/>
      <c r="TXC90" s="4"/>
      <c r="TXD90" s="4"/>
      <c r="TXE90" s="4"/>
      <c r="TXF90" s="4"/>
      <c r="TXG90" s="4"/>
      <c r="TXH90" s="4"/>
      <c r="TXI90" s="4"/>
      <c r="TXJ90" s="4"/>
      <c r="TXK90" s="4"/>
      <c r="TXL90" s="4"/>
      <c r="TXM90" s="4"/>
      <c r="TXN90" s="4"/>
      <c r="TXO90" s="4"/>
      <c r="TXP90" s="4"/>
      <c r="TXQ90" s="4"/>
      <c r="TXR90" s="4"/>
      <c r="TXS90" s="4"/>
      <c r="TXT90" s="4"/>
      <c r="TXU90" s="4"/>
      <c r="TXV90" s="4"/>
      <c r="TXW90" s="4"/>
      <c r="TXX90" s="4"/>
      <c r="TXY90" s="4"/>
      <c r="TXZ90" s="4"/>
      <c r="TYA90" s="4"/>
      <c r="TYB90" s="4"/>
      <c r="TYC90" s="4"/>
      <c r="TYD90" s="4"/>
      <c r="TYE90" s="4"/>
      <c r="TYF90" s="4"/>
      <c r="TYG90" s="4"/>
      <c r="TYH90" s="4"/>
      <c r="TYI90" s="4"/>
      <c r="TYJ90" s="4"/>
      <c r="TYK90" s="4"/>
      <c r="TYL90" s="4"/>
      <c r="TYM90" s="4"/>
      <c r="TYN90" s="4"/>
      <c r="TYO90" s="4"/>
      <c r="TYP90" s="4"/>
      <c r="TYQ90" s="4"/>
      <c r="TYR90" s="4"/>
      <c r="TYS90" s="4"/>
      <c r="TYT90" s="4"/>
      <c r="TYU90" s="4"/>
      <c r="TYV90" s="4"/>
      <c r="TYW90" s="4"/>
      <c r="TYX90" s="4"/>
      <c r="TYY90" s="4"/>
      <c r="TYZ90" s="4"/>
      <c r="TZA90" s="4"/>
      <c r="TZB90" s="4"/>
      <c r="TZC90" s="4"/>
      <c r="TZD90" s="4"/>
      <c r="TZE90" s="4"/>
      <c r="TZF90" s="4"/>
      <c r="TZG90" s="4"/>
      <c r="TZH90" s="4"/>
      <c r="TZI90" s="4"/>
      <c r="TZJ90" s="4"/>
      <c r="TZK90" s="4"/>
      <c r="TZL90" s="4"/>
      <c r="TZM90" s="4"/>
      <c r="TZN90" s="4"/>
      <c r="TZO90" s="4"/>
      <c r="TZP90" s="4"/>
      <c r="TZQ90" s="4"/>
      <c r="TZR90" s="4"/>
      <c r="TZS90" s="4"/>
      <c r="TZT90" s="4"/>
      <c r="TZU90" s="4"/>
      <c r="TZV90" s="4"/>
      <c r="TZW90" s="4"/>
      <c r="TZX90" s="4"/>
      <c r="TZY90" s="4"/>
      <c r="TZZ90" s="4"/>
      <c r="UAA90" s="4"/>
      <c r="UAB90" s="4"/>
      <c r="UAC90" s="4"/>
      <c r="UAD90" s="4"/>
      <c r="UAE90" s="4"/>
      <c r="UAF90" s="4"/>
      <c r="UAG90" s="4"/>
      <c r="UAH90" s="4"/>
      <c r="UAI90" s="4"/>
      <c r="UAJ90" s="4"/>
      <c r="UAK90" s="4"/>
      <c r="UAL90" s="4"/>
      <c r="UAM90" s="4"/>
      <c r="UAN90" s="4"/>
      <c r="UAO90" s="4"/>
      <c r="UAP90" s="4"/>
      <c r="UAQ90" s="4"/>
      <c r="UAR90" s="4"/>
      <c r="UAS90" s="4"/>
      <c r="UAT90" s="4"/>
      <c r="UAU90" s="4"/>
      <c r="UAV90" s="4"/>
      <c r="UAW90" s="4"/>
      <c r="UAX90" s="4"/>
      <c r="UAY90" s="4"/>
      <c r="UAZ90" s="4"/>
      <c r="UBA90" s="4"/>
      <c r="UBB90" s="4"/>
      <c r="UBC90" s="4"/>
      <c r="UBD90" s="4"/>
      <c r="UBE90" s="4"/>
      <c r="UBF90" s="4"/>
      <c r="UBG90" s="4"/>
      <c r="UBH90" s="4"/>
      <c r="UBI90" s="4"/>
      <c r="UBJ90" s="4"/>
      <c r="UBK90" s="4"/>
      <c r="UBL90" s="4"/>
      <c r="UBM90" s="4"/>
      <c r="UBN90" s="4"/>
      <c r="UBO90" s="4"/>
      <c r="UBP90" s="4"/>
      <c r="UBQ90" s="4"/>
      <c r="UBR90" s="4"/>
      <c r="UBS90" s="4"/>
      <c r="UBT90" s="4"/>
      <c r="UBU90" s="4"/>
      <c r="UBV90" s="4"/>
      <c r="UBW90" s="4"/>
      <c r="UBX90" s="4"/>
      <c r="UBY90" s="4"/>
      <c r="UBZ90" s="4"/>
      <c r="UCA90" s="4"/>
      <c r="UCB90" s="4"/>
      <c r="UCC90" s="4"/>
      <c r="UCD90" s="4"/>
      <c r="UCE90" s="4"/>
      <c r="UCF90" s="4"/>
      <c r="UCG90" s="4"/>
      <c r="UCH90" s="4"/>
      <c r="UCI90" s="4"/>
      <c r="UCJ90" s="4"/>
      <c r="UCK90" s="4"/>
      <c r="UCL90" s="4"/>
      <c r="UCM90" s="4"/>
      <c r="UCN90" s="4"/>
      <c r="UCO90" s="4"/>
      <c r="UCP90" s="4"/>
      <c r="UCQ90" s="4"/>
      <c r="UCR90" s="4"/>
      <c r="UCS90" s="4"/>
      <c r="UCT90" s="4"/>
      <c r="UCU90" s="4"/>
      <c r="UCV90" s="4"/>
      <c r="UCW90" s="4"/>
      <c r="UCX90" s="4"/>
      <c r="UCY90" s="4"/>
      <c r="UCZ90" s="4"/>
      <c r="UDA90" s="4"/>
      <c r="UDB90" s="4"/>
      <c r="UDC90" s="4"/>
      <c r="UDD90" s="4"/>
      <c r="UDE90" s="4"/>
      <c r="UDF90" s="4"/>
      <c r="UDG90" s="4"/>
      <c r="UDH90" s="4"/>
      <c r="UDI90" s="4"/>
      <c r="UDJ90" s="4"/>
      <c r="UDK90" s="4"/>
      <c r="UDL90" s="4"/>
      <c r="UDM90" s="4"/>
      <c r="UDN90" s="4"/>
      <c r="UDO90" s="4"/>
      <c r="UDP90" s="4"/>
      <c r="UDQ90" s="4"/>
      <c r="UDR90" s="4"/>
      <c r="UDS90" s="4"/>
      <c r="UDT90" s="4"/>
      <c r="UDU90" s="4"/>
      <c r="UDV90" s="4"/>
      <c r="UDW90" s="4"/>
      <c r="UDX90" s="4"/>
      <c r="UDY90" s="4"/>
      <c r="UDZ90" s="4"/>
      <c r="UEA90" s="4"/>
      <c r="UEB90" s="4"/>
      <c r="UEC90" s="4"/>
      <c r="UED90" s="4"/>
      <c r="UEE90" s="4"/>
      <c r="UEF90" s="4"/>
      <c r="UEG90" s="4"/>
      <c r="UEH90" s="4"/>
      <c r="UEI90" s="4"/>
      <c r="UEJ90" s="4"/>
      <c r="UEK90" s="4"/>
      <c r="UEL90" s="4"/>
      <c r="UEM90" s="4"/>
      <c r="UEN90" s="4"/>
      <c r="UEO90" s="4"/>
      <c r="UEP90" s="4"/>
      <c r="UEQ90" s="4"/>
      <c r="UER90" s="4"/>
      <c r="UES90" s="4"/>
      <c r="UET90" s="4"/>
      <c r="UEU90" s="4"/>
      <c r="UEV90" s="4"/>
      <c r="UEW90" s="4"/>
      <c r="UEX90" s="4"/>
      <c r="UEY90" s="4"/>
      <c r="UEZ90" s="4"/>
      <c r="UFA90" s="4"/>
      <c r="UFB90" s="4"/>
      <c r="UFC90" s="4"/>
      <c r="UFD90" s="4"/>
      <c r="UFE90" s="4"/>
      <c r="UFF90" s="4"/>
      <c r="UFG90" s="4"/>
      <c r="UFH90" s="4"/>
      <c r="UFI90" s="4"/>
      <c r="UFJ90" s="4"/>
      <c r="UFK90" s="4"/>
      <c r="UFL90" s="4"/>
      <c r="UFM90" s="4"/>
      <c r="UFN90" s="4"/>
      <c r="UFO90" s="4"/>
      <c r="UFP90" s="4"/>
      <c r="UFQ90" s="4"/>
      <c r="UFR90" s="4"/>
      <c r="UFS90" s="4"/>
      <c r="UFT90" s="4"/>
      <c r="UFU90" s="4"/>
      <c r="UFV90" s="4"/>
      <c r="UFW90" s="4"/>
      <c r="UFX90" s="4"/>
      <c r="UFY90" s="4"/>
      <c r="UFZ90" s="4"/>
      <c r="UGA90" s="4"/>
      <c r="UGB90" s="4"/>
      <c r="UGC90" s="4"/>
      <c r="UGD90" s="4"/>
      <c r="UGE90" s="4"/>
      <c r="UGF90" s="4"/>
      <c r="UGG90" s="4"/>
      <c r="UGH90" s="4"/>
      <c r="UGI90" s="4"/>
      <c r="UGJ90" s="4"/>
      <c r="UGK90" s="4"/>
      <c r="UGL90" s="4"/>
      <c r="UGM90" s="4"/>
      <c r="UGN90" s="4"/>
      <c r="UGO90" s="4"/>
      <c r="UGP90" s="4"/>
      <c r="UGQ90" s="4"/>
      <c r="UGR90" s="4"/>
      <c r="UGS90" s="4"/>
      <c r="UGT90" s="4"/>
      <c r="UGU90" s="4"/>
      <c r="UGV90" s="4"/>
      <c r="UGW90" s="4"/>
      <c r="UGX90" s="4"/>
      <c r="UGY90" s="4"/>
      <c r="UGZ90" s="4"/>
      <c r="UHA90" s="4"/>
      <c r="UHB90" s="4"/>
      <c r="UHC90" s="4"/>
      <c r="UHD90" s="4"/>
      <c r="UHE90" s="4"/>
      <c r="UHF90" s="4"/>
      <c r="UHG90" s="4"/>
      <c r="UHH90" s="4"/>
      <c r="UHI90" s="4"/>
      <c r="UHJ90" s="4"/>
      <c r="UHK90" s="4"/>
      <c r="UHL90" s="4"/>
      <c r="UHM90" s="4"/>
      <c r="UHN90" s="4"/>
      <c r="UHO90" s="4"/>
      <c r="UHP90" s="4"/>
      <c r="UHQ90" s="4"/>
      <c r="UHR90" s="4"/>
      <c r="UHS90" s="4"/>
      <c r="UHT90" s="4"/>
      <c r="UHU90" s="4"/>
      <c r="UHV90" s="4"/>
      <c r="UHW90" s="4"/>
      <c r="UHX90" s="4"/>
      <c r="UHY90" s="4"/>
      <c r="UHZ90" s="4"/>
      <c r="UIA90" s="4"/>
      <c r="UIB90" s="4"/>
      <c r="UIC90" s="4"/>
      <c r="UID90" s="4"/>
      <c r="UIE90" s="4"/>
      <c r="UIF90" s="4"/>
      <c r="UIG90" s="4"/>
      <c r="UIH90" s="4"/>
      <c r="UII90" s="4"/>
      <c r="UIJ90" s="4"/>
      <c r="UIK90" s="4"/>
      <c r="UIL90" s="4"/>
      <c r="UIM90" s="4"/>
      <c r="UIN90" s="4"/>
      <c r="UIO90" s="4"/>
      <c r="UIP90" s="4"/>
      <c r="UIQ90" s="4"/>
      <c r="UIR90" s="4"/>
      <c r="UIS90" s="4"/>
      <c r="UIT90" s="4"/>
      <c r="UIU90" s="4"/>
      <c r="UIV90" s="4"/>
      <c r="UIW90" s="4"/>
      <c r="UIX90" s="4"/>
      <c r="UIY90" s="4"/>
      <c r="UIZ90" s="4"/>
      <c r="UJA90" s="4"/>
      <c r="UJB90" s="4"/>
      <c r="UJC90" s="4"/>
      <c r="UJD90" s="4"/>
      <c r="UJE90" s="4"/>
      <c r="UJF90" s="4"/>
      <c r="UJG90" s="4"/>
      <c r="UJH90" s="4"/>
      <c r="UJI90" s="4"/>
      <c r="UJJ90" s="4"/>
      <c r="UJK90" s="4"/>
      <c r="UJL90" s="4"/>
      <c r="UJM90" s="4"/>
      <c r="UJN90" s="4"/>
      <c r="UJO90" s="4"/>
      <c r="UJP90" s="4"/>
      <c r="UJQ90" s="4"/>
      <c r="UJR90" s="4"/>
      <c r="UJS90" s="4"/>
      <c r="UJT90" s="4"/>
      <c r="UJU90" s="4"/>
      <c r="UJV90" s="4"/>
      <c r="UJW90" s="4"/>
      <c r="UJX90" s="4"/>
      <c r="UJY90" s="4"/>
      <c r="UJZ90" s="4"/>
      <c r="UKA90" s="4"/>
      <c r="UKB90" s="4"/>
      <c r="UKC90" s="4"/>
      <c r="UKD90" s="4"/>
      <c r="UKE90" s="4"/>
      <c r="UKF90" s="4"/>
      <c r="UKG90" s="4"/>
      <c r="UKH90" s="4"/>
      <c r="UKI90" s="4"/>
      <c r="UKJ90" s="4"/>
      <c r="UKK90" s="4"/>
      <c r="UKL90" s="4"/>
      <c r="UKM90" s="4"/>
      <c r="UKN90" s="4"/>
      <c r="UKO90" s="4"/>
      <c r="UKP90" s="4"/>
      <c r="UKQ90" s="4"/>
      <c r="UKR90" s="4"/>
      <c r="UKS90" s="4"/>
      <c r="UKT90" s="4"/>
      <c r="UKU90" s="4"/>
      <c r="UKV90" s="4"/>
      <c r="UKW90" s="4"/>
      <c r="UKX90" s="4"/>
      <c r="UKY90" s="4"/>
      <c r="UKZ90" s="4"/>
      <c r="ULA90" s="4"/>
      <c r="ULB90" s="4"/>
      <c r="ULC90" s="4"/>
      <c r="ULD90" s="4"/>
      <c r="ULE90" s="4"/>
      <c r="ULF90" s="4"/>
      <c r="ULG90" s="4"/>
      <c r="ULH90" s="4"/>
      <c r="ULI90" s="4"/>
      <c r="ULJ90" s="4"/>
      <c r="ULK90" s="4"/>
      <c r="ULL90" s="4"/>
      <c r="ULM90" s="4"/>
      <c r="ULN90" s="4"/>
      <c r="ULO90" s="4"/>
      <c r="ULP90" s="4"/>
      <c r="ULQ90" s="4"/>
      <c r="ULR90" s="4"/>
      <c r="ULS90" s="4"/>
      <c r="ULT90" s="4"/>
      <c r="ULU90" s="4"/>
      <c r="ULV90" s="4"/>
      <c r="ULW90" s="4"/>
      <c r="ULX90" s="4"/>
      <c r="ULY90" s="4"/>
      <c r="ULZ90" s="4"/>
      <c r="UMA90" s="4"/>
      <c r="UMB90" s="4"/>
      <c r="UMC90" s="4"/>
      <c r="UMD90" s="4"/>
      <c r="UME90" s="4"/>
      <c r="UMF90" s="4"/>
      <c r="UMG90" s="4"/>
      <c r="UMH90" s="4"/>
      <c r="UMI90" s="4"/>
      <c r="UMJ90" s="4"/>
      <c r="UMK90" s="4"/>
      <c r="UML90" s="4"/>
      <c r="UMM90" s="4"/>
      <c r="UMN90" s="4"/>
      <c r="UMO90" s="4"/>
      <c r="UMP90" s="4"/>
      <c r="UMQ90" s="4"/>
      <c r="UMR90" s="4"/>
      <c r="UMS90" s="4"/>
      <c r="UMT90" s="4"/>
      <c r="UMU90" s="4"/>
      <c r="UMV90" s="4"/>
      <c r="UMW90" s="4"/>
      <c r="UMX90" s="4"/>
      <c r="UMY90" s="4"/>
      <c r="UMZ90" s="4"/>
      <c r="UNA90" s="4"/>
      <c r="UNB90" s="4"/>
      <c r="UNC90" s="4"/>
      <c r="UND90" s="4"/>
      <c r="UNE90" s="4"/>
      <c r="UNF90" s="4"/>
      <c r="UNG90" s="4"/>
      <c r="UNH90" s="4"/>
      <c r="UNI90" s="4"/>
      <c r="UNJ90" s="4"/>
      <c r="UNK90" s="4"/>
      <c r="UNL90" s="4"/>
      <c r="UNM90" s="4"/>
      <c r="UNN90" s="4"/>
      <c r="UNO90" s="4"/>
      <c r="UNP90" s="4"/>
      <c r="UNQ90" s="4"/>
      <c r="UNR90" s="4"/>
      <c r="UNS90" s="4"/>
      <c r="UNT90" s="4"/>
      <c r="UNU90" s="4"/>
      <c r="UNV90" s="4"/>
      <c r="UNW90" s="4"/>
      <c r="UNX90" s="4"/>
      <c r="UNY90" s="4"/>
      <c r="UNZ90" s="4"/>
      <c r="UOA90" s="4"/>
      <c r="UOB90" s="4"/>
      <c r="UOC90" s="4"/>
      <c r="UOD90" s="4"/>
      <c r="UOE90" s="4"/>
      <c r="UOF90" s="4"/>
      <c r="UOG90" s="4"/>
      <c r="UOH90" s="4"/>
      <c r="UOI90" s="4"/>
      <c r="UOJ90" s="4"/>
      <c r="UOK90" s="4"/>
      <c r="UOL90" s="4"/>
      <c r="UOM90" s="4"/>
      <c r="UON90" s="4"/>
      <c r="UOO90" s="4"/>
      <c r="UOP90" s="4"/>
      <c r="UOQ90" s="4"/>
      <c r="UOR90" s="4"/>
      <c r="UOS90" s="4"/>
      <c r="UOT90" s="4"/>
      <c r="UOU90" s="4"/>
      <c r="UOV90" s="4"/>
      <c r="UOW90" s="4"/>
      <c r="UOX90" s="4"/>
      <c r="UOY90" s="4"/>
      <c r="UOZ90" s="4"/>
      <c r="UPA90" s="4"/>
      <c r="UPB90" s="4"/>
      <c r="UPC90" s="4"/>
      <c r="UPD90" s="4"/>
      <c r="UPE90" s="4"/>
      <c r="UPF90" s="4"/>
      <c r="UPG90" s="4"/>
      <c r="UPH90" s="4"/>
      <c r="UPI90" s="4"/>
      <c r="UPJ90" s="4"/>
      <c r="UPK90" s="4"/>
      <c r="UPL90" s="4"/>
      <c r="UPM90" s="4"/>
      <c r="UPN90" s="4"/>
      <c r="UPO90" s="4"/>
      <c r="UPP90" s="4"/>
      <c r="UPQ90" s="4"/>
      <c r="UPR90" s="4"/>
      <c r="UPS90" s="4"/>
      <c r="UPT90" s="4"/>
      <c r="UPU90" s="4"/>
      <c r="UPV90" s="4"/>
      <c r="UPW90" s="4"/>
      <c r="UPX90" s="4"/>
      <c r="UPY90" s="4"/>
      <c r="UPZ90" s="4"/>
      <c r="UQA90" s="4"/>
      <c r="UQB90" s="4"/>
      <c r="UQC90" s="4"/>
      <c r="UQD90" s="4"/>
      <c r="UQE90" s="4"/>
      <c r="UQF90" s="4"/>
      <c r="UQG90" s="4"/>
      <c r="UQH90" s="4"/>
      <c r="UQI90" s="4"/>
      <c r="UQJ90" s="4"/>
      <c r="UQK90" s="4"/>
      <c r="UQL90" s="4"/>
      <c r="UQM90" s="4"/>
      <c r="UQN90" s="4"/>
      <c r="UQO90" s="4"/>
      <c r="UQP90" s="4"/>
      <c r="UQQ90" s="4"/>
      <c r="UQR90" s="4"/>
      <c r="UQS90" s="4"/>
      <c r="UQT90" s="4"/>
      <c r="UQU90" s="4"/>
      <c r="UQV90" s="4"/>
      <c r="UQW90" s="4"/>
      <c r="UQX90" s="4"/>
      <c r="UQY90" s="4"/>
      <c r="UQZ90" s="4"/>
      <c r="URA90" s="4"/>
      <c r="URB90" s="4"/>
      <c r="URC90" s="4"/>
      <c r="URD90" s="4"/>
      <c r="URE90" s="4"/>
      <c r="URF90" s="4"/>
      <c r="URG90" s="4"/>
      <c r="URH90" s="4"/>
      <c r="URI90" s="4"/>
      <c r="URJ90" s="4"/>
      <c r="URK90" s="4"/>
      <c r="URL90" s="4"/>
      <c r="URM90" s="4"/>
      <c r="URN90" s="4"/>
      <c r="URO90" s="4"/>
      <c r="URP90" s="4"/>
      <c r="URQ90" s="4"/>
      <c r="URR90" s="4"/>
      <c r="URS90" s="4"/>
      <c r="URT90" s="4"/>
      <c r="URU90" s="4"/>
      <c r="URV90" s="4"/>
      <c r="URW90" s="4"/>
      <c r="URX90" s="4"/>
      <c r="URY90" s="4"/>
      <c r="URZ90" s="4"/>
      <c r="USA90" s="4"/>
      <c r="USB90" s="4"/>
      <c r="USC90" s="4"/>
      <c r="USD90" s="4"/>
      <c r="USE90" s="4"/>
      <c r="USF90" s="4"/>
      <c r="USG90" s="4"/>
      <c r="USH90" s="4"/>
      <c r="USI90" s="4"/>
      <c r="USJ90" s="4"/>
      <c r="USK90" s="4"/>
      <c r="USL90" s="4"/>
      <c r="USM90" s="4"/>
      <c r="USN90" s="4"/>
      <c r="USO90" s="4"/>
      <c r="USP90" s="4"/>
      <c r="USQ90" s="4"/>
      <c r="USR90" s="4"/>
      <c r="USS90" s="4"/>
      <c r="UST90" s="4"/>
      <c r="USU90" s="4"/>
      <c r="USV90" s="4"/>
      <c r="USW90" s="4"/>
      <c r="USX90" s="4"/>
      <c r="USY90" s="4"/>
      <c r="USZ90" s="4"/>
      <c r="UTA90" s="4"/>
      <c r="UTB90" s="4"/>
      <c r="UTC90" s="4"/>
      <c r="UTD90" s="4"/>
      <c r="UTE90" s="4"/>
      <c r="UTF90" s="4"/>
      <c r="UTG90" s="4"/>
      <c r="UTH90" s="4"/>
      <c r="UTI90" s="4"/>
      <c r="UTJ90" s="4"/>
      <c r="UTK90" s="4"/>
      <c r="UTL90" s="4"/>
      <c r="UTM90" s="4"/>
      <c r="UTN90" s="4"/>
      <c r="UTO90" s="4"/>
      <c r="UTP90" s="4"/>
      <c r="UTQ90" s="4"/>
      <c r="UTR90" s="4"/>
      <c r="UTS90" s="4"/>
      <c r="UTT90" s="4"/>
      <c r="UTU90" s="4"/>
      <c r="UTV90" s="4"/>
      <c r="UTW90" s="4"/>
      <c r="UTX90" s="4"/>
      <c r="UTY90" s="4"/>
      <c r="UTZ90" s="4"/>
      <c r="UUA90" s="4"/>
      <c r="UUB90" s="4"/>
      <c r="UUC90" s="4"/>
      <c r="UUD90" s="4"/>
      <c r="UUE90" s="4"/>
      <c r="UUF90" s="4"/>
      <c r="UUG90" s="4"/>
      <c r="UUH90" s="4"/>
      <c r="UUI90" s="4"/>
      <c r="UUJ90" s="4"/>
      <c r="UUK90" s="4"/>
      <c r="UUL90" s="4"/>
      <c r="UUM90" s="4"/>
      <c r="UUN90" s="4"/>
      <c r="UUO90" s="4"/>
      <c r="UUP90" s="4"/>
      <c r="UUQ90" s="4"/>
      <c r="UUR90" s="4"/>
      <c r="UUS90" s="4"/>
      <c r="UUT90" s="4"/>
      <c r="UUU90" s="4"/>
      <c r="UUV90" s="4"/>
      <c r="UUW90" s="4"/>
      <c r="UUX90" s="4"/>
      <c r="UUY90" s="4"/>
      <c r="UUZ90" s="4"/>
      <c r="UVA90" s="4"/>
      <c r="UVB90" s="4"/>
      <c r="UVC90" s="4"/>
      <c r="UVD90" s="4"/>
      <c r="UVE90" s="4"/>
      <c r="UVF90" s="4"/>
      <c r="UVG90" s="4"/>
      <c r="UVH90" s="4"/>
      <c r="UVI90" s="4"/>
      <c r="UVJ90" s="4"/>
      <c r="UVK90" s="4"/>
      <c r="UVL90" s="4"/>
      <c r="UVM90" s="4"/>
      <c r="UVN90" s="4"/>
      <c r="UVO90" s="4"/>
      <c r="UVP90" s="4"/>
      <c r="UVQ90" s="4"/>
      <c r="UVR90" s="4"/>
      <c r="UVS90" s="4"/>
      <c r="UVT90" s="4"/>
      <c r="UVU90" s="4"/>
      <c r="UVV90" s="4"/>
      <c r="UVW90" s="4"/>
      <c r="UVX90" s="4"/>
      <c r="UVY90" s="4"/>
      <c r="UVZ90" s="4"/>
      <c r="UWA90" s="4"/>
      <c r="UWB90" s="4"/>
      <c r="UWC90" s="4"/>
      <c r="UWD90" s="4"/>
      <c r="UWE90" s="4"/>
      <c r="UWF90" s="4"/>
      <c r="UWG90" s="4"/>
      <c r="UWH90" s="4"/>
      <c r="UWI90" s="4"/>
      <c r="UWJ90" s="4"/>
      <c r="UWK90" s="4"/>
      <c r="UWL90" s="4"/>
      <c r="UWM90" s="4"/>
      <c r="UWN90" s="4"/>
      <c r="UWO90" s="4"/>
      <c r="UWP90" s="4"/>
      <c r="UWQ90" s="4"/>
      <c r="UWR90" s="4"/>
      <c r="UWS90" s="4"/>
      <c r="UWT90" s="4"/>
      <c r="UWU90" s="4"/>
      <c r="UWV90" s="4"/>
      <c r="UWW90" s="4"/>
      <c r="UWX90" s="4"/>
      <c r="UWY90" s="4"/>
      <c r="UWZ90" s="4"/>
      <c r="UXA90" s="4"/>
      <c r="UXB90" s="4"/>
      <c r="UXC90" s="4"/>
      <c r="UXD90" s="4"/>
      <c r="UXE90" s="4"/>
      <c r="UXF90" s="4"/>
      <c r="UXG90" s="4"/>
      <c r="UXH90" s="4"/>
      <c r="UXI90" s="4"/>
      <c r="UXJ90" s="4"/>
      <c r="UXK90" s="4"/>
      <c r="UXL90" s="4"/>
      <c r="UXM90" s="4"/>
      <c r="UXN90" s="4"/>
      <c r="UXO90" s="4"/>
      <c r="UXP90" s="4"/>
      <c r="UXQ90" s="4"/>
      <c r="UXR90" s="4"/>
      <c r="UXS90" s="4"/>
      <c r="UXT90" s="4"/>
      <c r="UXU90" s="4"/>
      <c r="UXV90" s="4"/>
      <c r="UXW90" s="4"/>
      <c r="UXX90" s="4"/>
      <c r="UXY90" s="4"/>
      <c r="UXZ90" s="4"/>
      <c r="UYA90" s="4"/>
      <c r="UYB90" s="4"/>
      <c r="UYC90" s="4"/>
      <c r="UYD90" s="4"/>
      <c r="UYE90" s="4"/>
      <c r="UYF90" s="4"/>
      <c r="UYG90" s="4"/>
      <c r="UYH90" s="4"/>
      <c r="UYI90" s="4"/>
      <c r="UYJ90" s="4"/>
      <c r="UYK90" s="4"/>
      <c r="UYL90" s="4"/>
      <c r="UYM90" s="4"/>
      <c r="UYN90" s="4"/>
      <c r="UYO90" s="4"/>
      <c r="UYP90" s="4"/>
      <c r="UYQ90" s="4"/>
      <c r="UYR90" s="4"/>
      <c r="UYS90" s="4"/>
      <c r="UYT90" s="4"/>
      <c r="UYU90" s="4"/>
      <c r="UYV90" s="4"/>
      <c r="UYW90" s="4"/>
      <c r="UYX90" s="4"/>
      <c r="UYY90" s="4"/>
      <c r="UYZ90" s="4"/>
      <c r="UZA90" s="4"/>
      <c r="UZB90" s="4"/>
      <c r="UZC90" s="4"/>
      <c r="UZD90" s="4"/>
      <c r="UZE90" s="4"/>
      <c r="UZF90" s="4"/>
      <c r="UZG90" s="4"/>
      <c r="UZH90" s="4"/>
      <c r="UZI90" s="4"/>
      <c r="UZJ90" s="4"/>
      <c r="UZK90" s="4"/>
      <c r="UZL90" s="4"/>
      <c r="UZM90" s="4"/>
      <c r="UZN90" s="4"/>
      <c r="UZO90" s="4"/>
      <c r="UZP90" s="4"/>
      <c r="UZQ90" s="4"/>
      <c r="UZR90" s="4"/>
      <c r="UZS90" s="4"/>
      <c r="UZT90" s="4"/>
      <c r="UZU90" s="4"/>
      <c r="UZV90" s="4"/>
      <c r="UZW90" s="4"/>
      <c r="UZX90" s="4"/>
      <c r="UZY90" s="4"/>
      <c r="UZZ90" s="4"/>
      <c r="VAA90" s="4"/>
      <c r="VAB90" s="4"/>
      <c r="VAC90" s="4"/>
      <c r="VAD90" s="4"/>
      <c r="VAE90" s="4"/>
      <c r="VAF90" s="4"/>
      <c r="VAG90" s="4"/>
      <c r="VAH90" s="4"/>
      <c r="VAI90" s="4"/>
      <c r="VAJ90" s="4"/>
      <c r="VAK90" s="4"/>
      <c r="VAL90" s="4"/>
      <c r="VAM90" s="4"/>
      <c r="VAN90" s="4"/>
      <c r="VAO90" s="4"/>
      <c r="VAP90" s="4"/>
      <c r="VAQ90" s="4"/>
      <c r="VAR90" s="4"/>
      <c r="VAS90" s="4"/>
      <c r="VAT90" s="4"/>
      <c r="VAU90" s="4"/>
      <c r="VAV90" s="4"/>
      <c r="VAW90" s="4"/>
      <c r="VAX90" s="4"/>
      <c r="VAY90" s="4"/>
      <c r="VAZ90" s="4"/>
      <c r="VBA90" s="4"/>
      <c r="VBB90" s="4"/>
      <c r="VBC90" s="4"/>
      <c r="VBD90" s="4"/>
      <c r="VBE90" s="4"/>
      <c r="VBF90" s="4"/>
      <c r="VBG90" s="4"/>
      <c r="VBH90" s="4"/>
      <c r="VBI90" s="4"/>
      <c r="VBJ90" s="4"/>
      <c r="VBK90" s="4"/>
      <c r="VBL90" s="4"/>
      <c r="VBM90" s="4"/>
      <c r="VBN90" s="4"/>
      <c r="VBO90" s="4"/>
      <c r="VBP90" s="4"/>
      <c r="VBQ90" s="4"/>
      <c r="VBR90" s="4"/>
      <c r="VBS90" s="4"/>
      <c r="VBT90" s="4"/>
      <c r="VBU90" s="4"/>
      <c r="VBV90" s="4"/>
      <c r="VBW90" s="4"/>
      <c r="VBX90" s="4"/>
      <c r="VBY90" s="4"/>
      <c r="VBZ90" s="4"/>
      <c r="VCA90" s="4"/>
      <c r="VCB90" s="4"/>
      <c r="VCC90" s="4"/>
      <c r="VCD90" s="4"/>
      <c r="VCE90" s="4"/>
      <c r="VCF90" s="4"/>
      <c r="VCG90" s="4"/>
      <c r="VCH90" s="4"/>
      <c r="VCI90" s="4"/>
      <c r="VCJ90" s="4"/>
      <c r="VCK90" s="4"/>
      <c r="VCL90" s="4"/>
      <c r="VCM90" s="4"/>
      <c r="VCN90" s="4"/>
      <c r="VCO90" s="4"/>
      <c r="VCP90" s="4"/>
      <c r="VCQ90" s="4"/>
      <c r="VCR90" s="4"/>
      <c r="VCS90" s="4"/>
      <c r="VCT90" s="4"/>
      <c r="VCU90" s="4"/>
      <c r="VCV90" s="4"/>
      <c r="VCW90" s="4"/>
      <c r="VCX90" s="4"/>
      <c r="VCY90" s="4"/>
      <c r="VCZ90" s="4"/>
      <c r="VDA90" s="4"/>
      <c r="VDB90" s="4"/>
      <c r="VDC90" s="4"/>
      <c r="VDD90" s="4"/>
      <c r="VDE90" s="4"/>
      <c r="VDF90" s="4"/>
      <c r="VDG90" s="4"/>
      <c r="VDH90" s="4"/>
      <c r="VDI90" s="4"/>
      <c r="VDJ90" s="4"/>
      <c r="VDK90" s="4"/>
      <c r="VDL90" s="4"/>
      <c r="VDM90" s="4"/>
      <c r="VDN90" s="4"/>
      <c r="VDO90" s="4"/>
      <c r="VDP90" s="4"/>
      <c r="VDQ90" s="4"/>
      <c r="VDR90" s="4"/>
      <c r="VDS90" s="4"/>
      <c r="VDT90" s="4"/>
      <c r="VDU90" s="4"/>
      <c r="VDV90" s="4"/>
      <c r="VDW90" s="4"/>
      <c r="VDX90" s="4"/>
      <c r="VDY90" s="4"/>
      <c r="VDZ90" s="4"/>
      <c r="VEA90" s="4"/>
      <c r="VEB90" s="4"/>
      <c r="VEC90" s="4"/>
      <c r="VED90" s="4"/>
      <c r="VEE90" s="4"/>
      <c r="VEF90" s="4"/>
      <c r="VEG90" s="4"/>
      <c r="VEH90" s="4"/>
      <c r="VEI90" s="4"/>
      <c r="VEJ90" s="4"/>
      <c r="VEK90" s="4"/>
      <c r="VEL90" s="4"/>
      <c r="VEM90" s="4"/>
      <c r="VEN90" s="4"/>
      <c r="VEO90" s="4"/>
      <c r="VEP90" s="4"/>
      <c r="VEQ90" s="4"/>
      <c r="VER90" s="4"/>
      <c r="VES90" s="4"/>
      <c r="VET90" s="4"/>
      <c r="VEU90" s="4"/>
      <c r="VEV90" s="4"/>
      <c r="VEW90" s="4"/>
      <c r="VEX90" s="4"/>
      <c r="VEY90" s="4"/>
      <c r="VEZ90" s="4"/>
      <c r="VFA90" s="4"/>
      <c r="VFB90" s="4"/>
      <c r="VFC90" s="4"/>
      <c r="VFD90" s="4"/>
      <c r="VFE90" s="4"/>
      <c r="VFF90" s="4"/>
      <c r="VFG90" s="4"/>
      <c r="VFH90" s="4"/>
      <c r="VFI90" s="4"/>
      <c r="VFJ90" s="4"/>
      <c r="VFK90" s="4"/>
      <c r="VFL90" s="4"/>
      <c r="VFM90" s="4"/>
      <c r="VFN90" s="4"/>
      <c r="VFO90" s="4"/>
      <c r="VFP90" s="4"/>
      <c r="VFQ90" s="4"/>
      <c r="VFR90" s="4"/>
      <c r="VFS90" s="4"/>
      <c r="VFT90" s="4"/>
      <c r="VFU90" s="4"/>
      <c r="VFV90" s="4"/>
      <c r="VFW90" s="4"/>
      <c r="VFX90" s="4"/>
      <c r="VFY90" s="4"/>
      <c r="VFZ90" s="4"/>
      <c r="VGA90" s="4"/>
      <c r="VGB90" s="4"/>
      <c r="VGC90" s="4"/>
      <c r="VGD90" s="4"/>
      <c r="VGE90" s="4"/>
      <c r="VGF90" s="4"/>
      <c r="VGG90" s="4"/>
      <c r="VGH90" s="4"/>
      <c r="VGI90" s="4"/>
      <c r="VGJ90" s="4"/>
      <c r="VGK90" s="4"/>
      <c r="VGL90" s="4"/>
      <c r="VGM90" s="4"/>
      <c r="VGN90" s="4"/>
      <c r="VGO90" s="4"/>
      <c r="VGP90" s="4"/>
      <c r="VGQ90" s="4"/>
      <c r="VGR90" s="4"/>
      <c r="VGS90" s="4"/>
      <c r="VGT90" s="4"/>
      <c r="VGU90" s="4"/>
      <c r="VGV90" s="4"/>
      <c r="VGW90" s="4"/>
      <c r="VGX90" s="4"/>
      <c r="VGY90" s="4"/>
      <c r="VGZ90" s="4"/>
      <c r="VHA90" s="4"/>
      <c r="VHB90" s="4"/>
      <c r="VHC90" s="4"/>
      <c r="VHD90" s="4"/>
      <c r="VHE90" s="4"/>
      <c r="VHF90" s="4"/>
      <c r="VHG90" s="4"/>
      <c r="VHH90" s="4"/>
      <c r="VHI90" s="4"/>
      <c r="VHJ90" s="4"/>
      <c r="VHK90" s="4"/>
      <c r="VHL90" s="4"/>
      <c r="VHM90" s="4"/>
      <c r="VHN90" s="4"/>
      <c r="VHO90" s="4"/>
      <c r="VHP90" s="4"/>
      <c r="VHQ90" s="4"/>
      <c r="VHR90" s="4"/>
      <c r="VHS90" s="4"/>
      <c r="VHT90" s="4"/>
      <c r="VHU90" s="4"/>
      <c r="VHV90" s="4"/>
      <c r="VHW90" s="4"/>
      <c r="VHX90" s="4"/>
      <c r="VHY90" s="4"/>
      <c r="VHZ90" s="4"/>
      <c r="VIA90" s="4"/>
      <c r="VIB90" s="4"/>
      <c r="VIC90" s="4"/>
      <c r="VID90" s="4"/>
      <c r="VIE90" s="4"/>
      <c r="VIF90" s="4"/>
      <c r="VIG90" s="4"/>
      <c r="VIH90" s="4"/>
      <c r="VII90" s="4"/>
      <c r="VIJ90" s="4"/>
      <c r="VIK90" s="4"/>
      <c r="VIL90" s="4"/>
      <c r="VIM90" s="4"/>
      <c r="VIN90" s="4"/>
      <c r="VIO90" s="4"/>
      <c r="VIP90" s="4"/>
      <c r="VIQ90" s="4"/>
      <c r="VIR90" s="4"/>
      <c r="VIS90" s="4"/>
      <c r="VIT90" s="4"/>
      <c r="VIU90" s="4"/>
      <c r="VIV90" s="4"/>
      <c r="VIW90" s="4"/>
      <c r="VIX90" s="4"/>
      <c r="VIY90" s="4"/>
      <c r="VIZ90" s="4"/>
      <c r="VJA90" s="4"/>
      <c r="VJB90" s="4"/>
      <c r="VJC90" s="4"/>
      <c r="VJD90" s="4"/>
      <c r="VJE90" s="4"/>
      <c r="VJF90" s="4"/>
      <c r="VJG90" s="4"/>
      <c r="VJH90" s="4"/>
      <c r="VJI90" s="4"/>
      <c r="VJJ90" s="4"/>
      <c r="VJK90" s="4"/>
      <c r="VJL90" s="4"/>
      <c r="VJM90" s="4"/>
      <c r="VJN90" s="4"/>
      <c r="VJO90" s="4"/>
      <c r="VJP90" s="4"/>
      <c r="VJQ90" s="4"/>
      <c r="VJR90" s="4"/>
      <c r="VJS90" s="4"/>
      <c r="VJT90" s="4"/>
      <c r="VJU90" s="4"/>
      <c r="VJV90" s="4"/>
      <c r="VJW90" s="4"/>
      <c r="VJX90" s="4"/>
      <c r="VJY90" s="4"/>
      <c r="VJZ90" s="4"/>
      <c r="VKA90" s="4"/>
      <c r="VKB90" s="4"/>
      <c r="VKC90" s="4"/>
      <c r="VKD90" s="4"/>
      <c r="VKE90" s="4"/>
      <c r="VKF90" s="4"/>
      <c r="VKG90" s="4"/>
      <c r="VKH90" s="4"/>
      <c r="VKI90" s="4"/>
      <c r="VKJ90" s="4"/>
      <c r="VKK90" s="4"/>
      <c r="VKL90" s="4"/>
      <c r="VKM90" s="4"/>
      <c r="VKN90" s="4"/>
      <c r="VKO90" s="4"/>
      <c r="VKP90" s="4"/>
      <c r="VKQ90" s="4"/>
      <c r="VKR90" s="4"/>
      <c r="VKS90" s="4"/>
      <c r="VKT90" s="4"/>
      <c r="VKU90" s="4"/>
      <c r="VKV90" s="4"/>
      <c r="VKW90" s="4"/>
      <c r="VKX90" s="4"/>
      <c r="VKY90" s="4"/>
      <c r="VKZ90" s="4"/>
      <c r="VLA90" s="4"/>
      <c r="VLB90" s="4"/>
      <c r="VLC90" s="4"/>
      <c r="VLD90" s="4"/>
      <c r="VLE90" s="4"/>
      <c r="VLF90" s="4"/>
      <c r="VLG90" s="4"/>
      <c r="VLH90" s="4"/>
      <c r="VLI90" s="4"/>
      <c r="VLJ90" s="4"/>
      <c r="VLK90" s="4"/>
      <c r="VLL90" s="4"/>
      <c r="VLM90" s="4"/>
      <c r="VLN90" s="4"/>
      <c r="VLO90" s="4"/>
      <c r="VLP90" s="4"/>
      <c r="VLQ90" s="4"/>
      <c r="VLR90" s="4"/>
      <c r="VLS90" s="4"/>
      <c r="VLT90" s="4"/>
      <c r="VLU90" s="4"/>
      <c r="VLV90" s="4"/>
      <c r="VLW90" s="4"/>
      <c r="VLX90" s="4"/>
      <c r="VLY90" s="4"/>
      <c r="VLZ90" s="4"/>
      <c r="VMA90" s="4"/>
      <c r="VMB90" s="4"/>
      <c r="VMC90" s="4"/>
      <c r="VMD90" s="4"/>
      <c r="VME90" s="4"/>
      <c r="VMF90" s="4"/>
      <c r="VMG90" s="4"/>
      <c r="VMH90" s="4"/>
      <c r="VMI90" s="4"/>
      <c r="VMJ90" s="4"/>
      <c r="VMK90" s="4"/>
      <c r="VML90" s="4"/>
      <c r="VMM90" s="4"/>
      <c r="VMN90" s="4"/>
      <c r="VMO90" s="4"/>
      <c r="VMP90" s="4"/>
      <c r="VMQ90" s="4"/>
      <c r="VMR90" s="4"/>
      <c r="VMS90" s="4"/>
      <c r="VMT90" s="4"/>
      <c r="VMU90" s="4"/>
      <c r="VMV90" s="4"/>
      <c r="VMW90" s="4"/>
      <c r="VMX90" s="4"/>
      <c r="VMY90" s="4"/>
      <c r="VMZ90" s="4"/>
      <c r="VNA90" s="4"/>
      <c r="VNB90" s="4"/>
      <c r="VNC90" s="4"/>
      <c r="VND90" s="4"/>
      <c r="VNE90" s="4"/>
      <c r="VNF90" s="4"/>
      <c r="VNG90" s="4"/>
      <c r="VNH90" s="4"/>
      <c r="VNI90" s="4"/>
      <c r="VNJ90" s="4"/>
      <c r="VNK90" s="4"/>
      <c r="VNL90" s="4"/>
      <c r="VNM90" s="4"/>
      <c r="VNN90" s="4"/>
      <c r="VNO90" s="4"/>
      <c r="VNP90" s="4"/>
      <c r="VNQ90" s="4"/>
      <c r="VNR90" s="4"/>
      <c r="VNS90" s="4"/>
      <c r="VNT90" s="4"/>
      <c r="VNU90" s="4"/>
      <c r="VNV90" s="4"/>
      <c r="VNW90" s="4"/>
      <c r="VNX90" s="4"/>
      <c r="VNY90" s="4"/>
      <c r="VNZ90" s="4"/>
      <c r="VOA90" s="4"/>
      <c r="VOB90" s="4"/>
      <c r="VOC90" s="4"/>
      <c r="VOD90" s="4"/>
      <c r="VOE90" s="4"/>
      <c r="VOF90" s="4"/>
      <c r="VOG90" s="4"/>
      <c r="VOH90" s="4"/>
      <c r="VOI90" s="4"/>
      <c r="VOJ90" s="4"/>
      <c r="VOK90" s="4"/>
      <c r="VOL90" s="4"/>
      <c r="VOM90" s="4"/>
      <c r="VON90" s="4"/>
      <c r="VOO90" s="4"/>
      <c r="VOP90" s="4"/>
      <c r="VOQ90" s="4"/>
      <c r="VOR90" s="4"/>
      <c r="VOS90" s="4"/>
      <c r="VOT90" s="4"/>
      <c r="VOU90" s="4"/>
      <c r="VOV90" s="4"/>
      <c r="VOW90" s="4"/>
      <c r="VOX90" s="4"/>
      <c r="VOY90" s="4"/>
      <c r="VOZ90" s="4"/>
      <c r="VPA90" s="4"/>
      <c r="VPB90" s="4"/>
      <c r="VPC90" s="4"/>
      <c r="VPD90" s="4"/>
      <c r="VPE90" s="4"/>
      <c r="VPF90" s="4"/>
      <c r="VPG90" s="4"/>
      <c r="VPH90" s="4"/>
      <c r="VPI90" s="4"/>
      <c r="VPJ90" s="4"/>
      <c r="VPK90" s="4"/>
      <c r="VPL90" s="4"/>
      <c r="VPM90" s="4"/>
      <c r="VPN90" s="4"/>
      <c r="VPO90" s="4"/>
      <c r="VPP90" s="4"/>
      <c r="VPQ90" s="4"/>
      <c r="VPR90" s="4"/>
      <c r="VPS90" s="4"/>
      <c r="VPT90" s="4"/>
      <c r="VPU90" s="4"/>
      <c r="VPV90" s="4"/>
      <c r="VPW90" s="4"/>
      <c r="VPX90" s="4"/>
      <c r="VPY90" s="4"/>
      <c r="VPZ90" s="4"/>
      <c r="VQA90" s="4"/>
      <c r="VQB90" s="4"/>
      <c r="VQC90" s="4"/>
      <c r="VQD90" s="4"/>
      <c r="VQE90" s="4"/>
      <c r="VQF90" s="4"/>
      <c r="VQG90" s="4"/>
      <c r="VQH90" s="4"/>
      <c r="VQI90" s="4"/>
      <c r="VQJ90" s="4"/>
      <c r="VQK90" s="4"/>
      <c r="VQL90" s="4"/>
      <c r="VQM90" s="4"/>
      <c r="VQN90" s="4"/>
      <c r="VQO90" s="4"/>
      <c r="VQP90" s="4"/>
      <c r="VQQ90" s="4"/>
      <c r="VQR90" s="4"/>
      <c r="VQS90" s="4"/>
      <c r="VQT90" s="4"/>
      <c r="VQU90" s="4"/>
      <c r="VQV90" s="4"/>
      <c r="VQW90" s="4"/>
      <c r="VQX90" s="4"/>
      <c r="VQY90" s="4"/>
      <c r="VQZ90" s="4"/>
      <c r="VRA90" s="4"/>
      <c r="VRB90" s="4"/>
      <c r="VRC90" s="4"/>
      <c r="VRD90" s="4"/>
      <c r="VRE90" s="4"/>
      <c r="VRF90" s="4"/>
      <c r="VRG90" s="4"/>
      <c r="VRH90" s="4"/>
      <c r="VRI90" s="4"/>
      <c r="VRJ90" s="4"/>
      <c r="VRK90" s="4"/>
      <c r="VRL90" s="4"/>
      <c r="VRM90" s="4"/>
      <c r="VRN90" s="4"/>
      <c r="VRO90" s="4"/>
      <c r="VRP90" s="4"/>
      <c r="VRQ90" s="4"/>
      <c r="VRR90" s="4"/>
      <c r="VRS90" s="4"/>
      <c r="VRT90" s="4"/>
      <c r="VRU90" s="4"/>
      <c r="VRV90" s="4"/>
      <c r="VRW90" s="4"/>
      <c r="VRX90" s="4"/>
      <c r="VRY90" s="4"/>
      <c r="VRZ90" s="4"/>
      <c r="VSA90" s="4"/>
      <c r="VSB90" s="4"/>
      <c r="VSC90" s="4"/>
      <c r="VSD90" s="4"/>
      <c r="VSE90" s="4"/>
      <c r="VSF90" s="4"/>
      <c r="VSG90" s="4"/>
      <c r="VSH90" s="4"/>
      <c r="VSI90" s="4"/>
      <c r="VSJ90" s="4"/>
      <c r="VSK90" s="4"/>
      <c r="VSL90" s="4"/>
      <c r="VSM90" s="4"/>
      <c r="VSN90" s="4"/>
      <c r="VSO90" s="4"/>
      <c r="VSP90" s="4"/>
      <c r="VSQ90" s="4"/>
      <c r="VSR90" s="4"/>
      <c r="VSS90" s="4"/>
      <c r="VST90" s="4"/>
      <c r="VSU90" s="4"/>
      <c r="VSV90" s="4"/>
      <c r="VSW90" s="4"/>
      <c r="VSX90" s="4"/>
      <c r="VSY90" s="4"/>
      <c r="VSZ90" s="4"/>
      <c r="VTA90" s="4"/>
      <c r="VTB90" s="4"/>
      <c r="VTC90" s="4"/>
      <c r="VTD90" s="4"/>
      <c r="VTE90" s="4"/>
      <c r="VTF90" s="4"/>
      <c r="VTG90" s="4"/>
      <c r="VTH90" s="4"/>
      <c r="VTI90" s="4"/>
      <c r="VTJ90" s="4"/>
      <c r="VTK90" s="4"/>
      <c r="VTL90" s="4"/>
      <c r="VTM90" s="4"/>
      <c r="VTN90" s="4"/>
      <c r="VTO90" s="4"/>
      <c r="VTP90" s="4"/>
      <c r="VTQ90" s="4"/>
      <c r="VTR90" s="4"/>
      <c r="VTS90" s="4"/>
      <c r="VTT90" s="4"/>
      <c r="VTU90" s="4"/>
      <c r="VTV90" s="4"/>
      <c r="VTW90" s="4"/>
      <c r="VTX90" s="4"/>
      <c r="VTY90" s="4"/>
      <c r="VTZ90" s="4"/>
      <c r="VUA90" s="4"/>
      <c r="VUB90" s="4"/>
      <c r="VUC90" s="4"/>
      <c r="VUD90" s="4"/>
      <c r="VUE90" s="4"/>
      <c r="VUF90" s="4"/>
      <c r="VUG90" s="4"/>
      <c r="VUH90" s="4"/>
      <c r="VUI90" s="4"/>
      <c r="VUJ90" s="4"/>
      <c r="VUK90" s="4"/>
      <c r="VUL90" s="4"/>
      <c r="VUM90" s="4"/>
      <c r="VUN90" s="4"/>
      <c r="VUO90" s="4"/>
      <c r="VUP90" s="4"/>
      <c r="VUQ90" s="4"/>
      <c r="VUR90" s="4"/>
      <c r="VUS90" s="4"/>
      <c r="VUT90" s="4"/>
      <c r="VUU90" s="4"/>
      <c r="VUV90" s="4"/>
      <c r="VUW90" s="4"/>
      <c r="VUX90" s="4"/>
      <c r="VUY90" s="4"/>
      <c r="VUZ90" s="4"/>
      <c r="VVA90" s="4"/>
      <c r="VVB90" s="4"/>
      <c r="VVC90" s="4"/>
      <c r="VVD90" s="4"/>
      <c r="VVE90" s="4"/>
      <c r="VVF90" s="4"/>
      <c r="VVG90" s="4"/>
      <c r="VVH90" s="4"/>
      <c r="VVI90" s="4"/>
      <c r="VVJ90" s="4"/>
      <c r="VVK90" s="4"/>
      <c r="VVL90" s="4"/>
      <c r="VVM90" s="4"/>
      <c r="VVN90" s="4"/>
      <c r="VVO90" s="4"/>
      <c r="VVP90" s="4"/>
      <c r="VVQ90" s="4"/>
      <c r="VVR90" s="4"/>
      <c r="VVS90" s="4"/>
      <c r="VVT90" s="4"/>
      <c r="VVU90" s="4"/>
      <c r="VVV90" s="4"/>
      <c r="VVW90" s="4"/>
      <c r="VVX90" s="4"/>
      <c r="VVY90" s="4"/>
      <c r="VVZ90" s="4"/>
      <c r="VWA90" s="4"/>
      <c r="VWB90" s="4"/>
      <c r="VWC90" s="4"/>
      <c r="VWD90" s="4"/>
      <c r="VWE90" s="4"/>
      <c r="VWF90" s="4"/>
      <c r="VWG90" s="4"/>
      <c r="VWH90" s="4"/>
      <c r="VWI90" s="4"/>
      <c r="VWJ90" s="4"/>
      <c r="VWK90" s="4"/>
      <c r="VWL90" s="4"/>
      <c r="VWM90" s="4"/>
      <c r="VWN90" s="4"/>
      <c r="VWO90" s="4"/>
      <c r="VWP90" s="4"/>
      <c r="VWQ90" s="4"/>
      <c r="VWR90" s="4"/>
      <c r="VWS90" s="4"/>
      <c r="VWT90" s="4"/>
      <c r="VWU90" s="4"/>
      <c r="VWV90" s="4"/>
      <c r="VWW90" s="4"/>
      <c r="VWX90" s="4"/>
      <c r="VWY90" s="4"/>
      <c r="VWZ90" s="4"/>
      <c r="VXA90" s="4"/>
      <c r="VXB90" s="4"/>
      <c r="VXC90" s="4"/>
      <c r="VXD90" s="4"/>
      <c r="VXE90" s="4"/>
      <c r="VXF90" s="4"/>
      <c r="VXG90" s="4"/>
      <c r="VXH90" s="4"/>
      <c r="VXI90" s="4"/>
      <c r="VXJ90" s="4"/>
      <c r="VXK90" s="4"/>
      <c r="VXL90" s="4"/>
      <c r="VXM90" s="4"/>
      <c r="VXN90" s="4"/>
      <c r="VXO90" s="4"/>
      <c r="VXP90" s="4"/>
      <c r="VXQ90" s="4"/>
      <c r="VXR90" s="4"/>
      <c r="VXS90" s="4"/>
      <c r="VXT90" s="4"/>
      <c r="VXU90" s="4"/>
      <c r="VXV90" s="4"/>
      <c r="VXW90" s="4"/>
      <c r="VXX90" s="4"/>
      <c r="VXY90" s="4"/>
      <c r="VXZ90" s="4"/>
      <c r="VYA90" s="4"/>
      <c r="VYB90" s="4"/>
      <c r="VYC90" s="4"/>
      <c r="VYD90" s="4"/>
      <c r="VYE90" s="4"/>
      <c r="VYF90" s="4"/>
      <c r="VYG90" s="4"/>
      <c r="VYH90" s="4"/>
      <c r="VYI90" s="4"/>
      <c r="VYJ90" s="4"/>
      <c r="VYK90" s="4"/>
      <c r="VYL90" s="4"/>
      <c r="VYM90" s="4"/>
      <c r="VYN90" s="4"/>
      <c r="VYO90" s="4"/>
      <c r="VYP90" s="4"/>
      <c r="VYQ90" s="4"/>
      <c r="VYR90" s="4"/>
      <c r="VYS90" s="4"/>
      <c r="VYT90" s="4"/>
      <c r="VYU90" s="4"/>
      <c r="VYV90" s="4"/>
      <c r="VYW90" s="4"/>
      <c r="VYX90" s="4"/>
      <c r="VYY90" s="4"/>
      <c r="VYZ90" s="4"/>
      <c r="VZA90" s="4"/>
      <c r="VZB90" s="4"/>
      <c r="VZC90" s="4"/>
      <c r="VZD90" s="4"/>
      <c r="VZE90" s="4"/>
      <c r="VZF90" s="4"/>
      <c r="VZG90" s="4"/>
      <c r="VZH90" s="4"/>
      <c r="VZI90" s="4"/>
      <c r="VZJ90" s="4"/>
      <c r="VZK90" s="4"/>
      <c r="VZL90" s="4"/>
      <c r="VZM90" s="4"/>
      <c r="VZN90" s="4"/>
      <c r="VZO90" s="4"/>
      <c r="VZP90" s="4"/>
      <c r="VZQ90" s="4"/>
      <c r="VZR90" s="4"/>
      <c r="VZS90" s="4"/>
      <c r="VZT90" s="4"/>
      <c r="VZU90" s="4"/>
      <c r="VZV90" s="4"/>
      <c r="VZW90" s="4"/>
      <c r="VZX90" s="4"/>
      <c r="VZY90" s="4"/>
      <c r="VZZ90" s="4"/>
      <c r="WAA90" s="4"/>
      <c r="WAB90" s="4"/>
      <c r="WAC90" s="4"/>
      <c r="WAD90" s="4"/>
      <c r="WAE90" s="4"/>
      <c r="WAF90" s="4"/>
      <c r="WAG90" s="4"/>
      <c r="WAH90" s="4"/>
      <c r="WAI90" s="4"/>
      <c r="WAJ90" s="4"/>
      <c r="WAK90" s="4"/>
      <c r="WAL90" s="4"/>
      <c r="WAM90" s="4"/>
      <c r="WAN90" s="4"/>
      <c r="WAO90" s="4"/>
      <c r="WAP90" s="4"/>
      <c r="WAQ90" s="4"/>
      <c r="WAR90" s="4"/>
      <c r="WAS90" s="4"/>
      <c r="WAT90" s="4"/>
      <c r="WAU90" s="4"/>
      <c r="WAV90" s="4"/>
      <c r="WAW90" s="4"/>
      <c r="WAX90" s="4"/>
      <c r="WAY90" s="4"/>
      <c r="WAZ90" s="4"/>
      <c r="WBA90" s="4"/>
      <c r="WBB90" s="4"/>
      <c r="WBC90" s="4"/>
      <c r="WBD90" s="4"/>
      <c r="WBE90" s="4"/>
      <c r="WBF90" s="4"/>
      <c r="WBG90" s="4"/>
      <c r="WBH90" s="4"/>
      <c r="WBI90" s="4"/>
      <c r="WBJ90" s="4"/>
      <c r="WBK90" s="4"/>
      <c r="WBL90" s="4"/>
      <c r="WBM90" s="4"/>
      <c r="WBN90" s="4"/>
      <c r="WBO90" s="4"/>
      <c r="WBP90" s="4"/>
      <c r="WBQ90" s="4"/>
      <c r="WBR90" s="4"/>
      <c r="WBS90" s="4"/>
      <c r="WBT90" s="4"/>
      <c r="WBU90" s="4"/>
      <c r="WBV90" s="4"/>
      <c r="WBW90" s="4"/>
      <c r="WBX90" s="4"/>
      <c r="WBY90" s="4"/>
      <c r="WBZ90" s="4"/>
      <c r="WCA90" s="4"/>
      <c r="WCB90" s="4"/>
      <c r="WCC90" s="4"/>
      <c r="WCD90" s="4"/>
      <c r="WCE90" s="4"/>
      <c r="WCF90" s="4"/>
      <c r="WCG90" s="4"/>
      <c r="WCH90" s="4"/>
      <c r="WCI90" s="4"/>
      <c r="WCJ90" s="4"/>
      <c r="WCK90" s="4"/>
      <c r="WCL90" s="4"/>
      <c r="WCM90" s="4"/>
      <c r="WCN90" s="4"/>
      <c r="WCO90" s="4"/>
      <c r="WCP90" s="4"/>
      <c r="WCQ90" s="4"/>
      <c r="WCR90" s="4"/>
      <c r="WCS90" s="4"/>
      <c r="WCT90" s="4"/>
      <c r="WCU90" s="4"/>
      <c r="WCV90" s="4"/>
      <c r="WCW90" s="4"/>
      <c r="WCX90" s="4"/>
      <c r="WCY90" s="4"/>
      <c r="WCZ90" s="4"/>
      <c r="WDA90" s="4"/>
      <c r="WDB90" s="4"/>
      <c r="WDC90" s="4"/>
      <c r="WDD90" s="4"/>
      <c r="WDE90" s="4"/>
      <c r="WDF90" s="4"/>
      <c r="WDG90" s="4"/>
      <c r="WDH90" s="4"/>
      <c r="WDI90" s="4"/>
      <c r="WDJ90" s="4"/>
      <c r="WDK90" s="4"/>
      <c r="WDL90" s="4"/>
      <c r="WDM90" s="4"/>
      <c r="WDN90" s="4"/>
      <c r="WDO90" s="4"/>
      <c r="WDP90" s="4"/>
      <c r="WDQ90" s="4"/>
      <c r="WDR90" s="4"/>
      <c r="WDS90" s="4"/>
      <c r="WDT90" s="4"/>
      <c r="WDU90" s="4"/>
      <c r="WDV90" s="4"/>
      <c r="WDW90" s="4"/>
      <c r="WDX90" s="4"/>
      <c r="WDY90" s="4"/>
      <c r="WDZ90" s="4"/>
      <c r="WEA90" s="4"/>
      <c r="WEB90" s="4"/>
      <c r="WEC90" s="4"/>
      <c r="WED90" s="4"/>
      <c r="WEE90" s="4"/>
      <c r="WEF90" s="4"/>
      <c r="WEG90" s="4"/>
      <c r="WEH90" s="4"/>
      <c r="WEI90" s="4"/>
      <c r="WEJ90" s="4"/>
      <c r="WEK90" s="4"/>
      <c r="WEL90" s="4"/>
      <c r="WEM90" s="4"/>
      <c r="WEN90" s="4"/>
      <c r="WEO90" s="4"/>
      <c r="WEP90" s="4"/>
      <c r="WEQ90" s="4"/>
      <c r="WER90" s="4"/>
      <c r="WES90" s="4"/>
      <c r="WET90" s="4"/>
      <c r="WEU90" s="4"/>
      <c r="WEV90" s="4"/>
      <c r="WEW90" s="4"/>
      <c r="WEX90" s="4"/>
      <c r="WEY90" s="4"/>
      <c r="WEZ90" s="4"/>
      <c r="WFA90" s="4"/>
      <c r="WFB90" s="4"/>
      <c r="WFC90" s="4"/>
      <c r="WFD90" s="4"/>
      <c r="WFE90" s="4"/>
      <c r="WFF90" s="4"/>
      <c r="WFG90" s="4"/>
      <c r="WFH90" s="4"/>
      <c r="WFI90" s="4"/>
      <c r="WFJ90" s="4"/>
      <c r="WFK90" s="4"/>
      <c r="WFL90" s="4"/>
      <c r="WFM90" s="4"/>
      <c r="WFN90" s="4"/>
      <c r="WFO90" s="4"/>
      <c r="WFP90" s="4"/>
      <c r="WFQ90" s="4"/>
      <c r="WFR90" s="4"/>
      <c r="WFS90" s="4"/>
      <c r="WFT90" s="4"/>
      <c r="WFU90" s="4"/>
      <c r="WFV90" s="4"/>
      <c r="WFW90" s="4"/>
      <c r="WFX90" s="4"/>
      <c r="WFY90" s="4"/>
      <c r="WFZ90" s="4"/>
      <c r="WGA90" s="4"/>
      <c r="WGB90" s="4"/>
      <c r="WGC90" s="4"/>
      <c r="WGD90" s="4"/>
      <c r="WGE90" s="4"/>
      <c r="WGF90" s="4"/>
      <c r="WGG90" s="4"/>
      <c r="WGH90" s="4"/>
      <c r="WGI90" s="4"/>
      <c r="WGJ90" s="4"/>
      <c r="WGK90" s="4"/>
      <c r="WGL90" s="4"/>
      <c r="WGM90" s="4"/>
      <c r="WGN90" s="4"/>
      <c r="WGO90" s="4"/>
      <c r="WGP90" s="4"/>
      <c r="WGQ90" s="4"/>
      <c r="WGR90" s="4"/>
      <c r="WGS90" s="4"/>
      <c r="WGT90" s="4"/>
      <c r="WGU90" s="4"/>
      <c r="WGV90" s="4"/>
      <c r="WGW90" s="4"/>
      <c r="WGX90" s="4"/>
      <c r="WGY90" s="4"/>
      <c r="WGZ90" s="4"/>
      <c r="WHA90" s="4"/>
      <c r="WHB90" s="4"/>
      <c r="WHC90" s="4"/>
      <c r="WHD90" s="4"/>
      <c r="WHE90" s="4"/>
      <c r="WHF90" s="4"/>
      <c r="WHG90" s="4"/>
      <c r="WHH90" s="4"/>
      <c r="WHI90" s="4"/>
      <c r="WHJ90" s="4"/>
      <c r="WHK90" s="4"/>
      <c r="WHL90" s="4"/>
      <c r="WHM90" s="4"/>
      <c r="WHN90" s="4"/>
      <c r="WHO90" s="4"/>
      <c r="WHP90" s="4"/>
      <c r="WHQ90" s="4"/>
      <c r="WHR90" s="4"/>
      <c r="WHS90" s="4"/>
      <c r="WHT90" s="4"/>
      <c r="WHU90" s="4"/>
      <c r="WHV90" s="4"/>
      <c r="WHW90" s="4"/>
      <c r="WHX90" s="4"/>
      <c r="WHY90" s="4"/>
      <c r="WHZ90" s="4"/>
      <c r="WIA90" s="4"/>
      <c r="WIB90" s="4"/>
      <c r="WIC90" s="4"/>
      <c r="WID90" s="4"/>
      <c r="WIE90" s="4"/>
      <c r="WIF90" s="4"/>
      <c r="WIG90" s="4"/>
      <c r="WIH90" s="4"/>
      <c r="WII90" s="4"/>
      <c r="WIJ90" s="4"/>
      <c r="WIK90" s="4"/>
      <c r="WIL90" s="4"/>
      <c r="WIM90" s="4"/>
      <c r="WIN90" s="4"/>
      <c r="WIO90" s="4"/>
      <c r="WIP90" s="4"/>
      <c r="WIQ90" s="4"/>
      <c r="WIR90" s="4"/>
      <c r="WIS90" s="4"/>
      <c r="WIT90" s="4"/>
      <c r="WIU90" s="4"/>
      <c r="WIV90" s="4"/>
      <c r="WIW90" s="4"/>
      <c r="WIX90" s="4"/>
      <c r="WIY90" s="4"/>
      <c r="WIZ90" s="4"/>
      <c r="WJA90" s="4"/>
      <c r="WJB90" s="4"/>
      <c r="WJC90" s="4"/>
      <c r="WJD90" s="4"/>
      <c r="WJE90" s="4"/>
      <c r="WJF90" s="4"/>
      <c r="WJG90" s="4"/>
      <c r="WJH90" s="4"/>
      <c r="WJI90" s="4"/>
      <c r="WJJ90" s="4"/>
      <c r="WJK90" s="4"/>
      <c r="WJL90" s="4"/>
      <c r="WJM90" s="4"/>
      <c r="WJN90" s="4"/>
      <c r="WJO90" s="4"/>
      <c r="WJP90" s="4"/>
      <c r="WJQ90" s="4"/>
      <c r="WJR90" s="4"/>
      <c r="WJS90" s="4"/>
      <c r="WJT90" s="4"/>
      <c r="WJU90" s="4"/>
      <c r="WJV90" s="4"/>
      <c r="WJW90" s="4"/>
      <c r="WJX90" s="4"/>
      <c r="WJY90" s="4"/>
      <c r="WJZ90" s="4"/>
      <c r="WKA90" s="4"/>
      <c r="WKB90" s="4"/>
      <c r="WKC90" s="4"/>
      <c r="WKD90" s="4"/>
      <c r="WKE90" s="4"/>
      <c r="WKF90" s="4"/>
      <c r="WKG90" s="4"/>
      <c r="WKH90" s="4"/>
      <c r="WKI90" s="4"/>
      <c r="WKJ90" s="4"/>
      <c r="WKK90" s="4"/>
      <c r="WKL90" s="4"/>
      <c r="WKM90" s="4"/>
      <c r="WKN90" s="4"/>
      <c r="WKO90" s="4"/>
      <c r="WKP90" s="4"/>
      <c r="WKQ90" s="4"/>
      <c r="WKR90" s="4"/>
      <c r="WKS90" s="4"/>
      <c r="WKT90" s="4"/>
      <c r="WKU90" s="4"/>
      <c r="WKV90" s="4"/>
      <c r="WKW90" s="4"/>
      <c r="WKX90" s="4"/>
      <c r="WKY90" s="4"/>
      <c r="WKZ90" s="4"/>
      <c r="WLA90" s="4"/>
      <c r="WLB90" s="4"/>
      <c r="WLC90" s="4"/>
      <c r="WLD90" s="4"/>
      <c r="WLE90" s="4"/>
      <c r="WLF90" s="4"/>
      <c r="WLG90" s="4"/>
      <c r="WLH90" s="4"/>
      <c r="WLI90" s="4"/>
      <c r="WLJ90" s="4"/>
      <c r="WLK90" s="4"/>
      <c r="WLL90" s="4"/>
      <c r="WLM90" s="4"/>
      <c r="WLN90" s="4"/>
      <c r="WLO90" s="4"/>
      <c r="WLP90" s="4"/>
      <c r="WLQ90" s="4"/>
      <c r="WLR90" s="4"/>
      <c r="WLS90" s="4"/>
      <c r="WLT90" s="4"/>
      <c r="WLU90" s="4"/>
      <c r="WLV90" s="4"/>
      <c r="WLW90" s="4"/>
      <c r="WLX90" s="4"/>
      <c r="WLY90" s="4"/>
      <c r="WLZ90" s="4"/>
      <c r="WMA90" s="4"/>
      <c r="WMB90" s="4"/>
      <c r="WMC90" s="4"/>
      <c r="WMD90" s="4"/>
      <c r="WME90" s="4"/>
      <c r="WMF90" s="4"/>
      <c r="WMG90" s="4"/>
      <c r="WMH90" s="4"/>
      <c r="WMI90" s="4"/>
      <c r="WMJ90" s="4"/>
      <c r="WMK90" s="4"/>
      <c r="WML90" s="4"/>
      <c r="WMM90" s="4"/>
      <c r="WMN90" s="4"/>
      <c r="WMO90" s="4"/>
      <c r="WMP90" s="4"/>
      <c r="WMQ90" s="4"/>
      <c r="WMR90" s="4"/>
      <c r="WMS90" s="4"/>
      <c r="WMT90" s="4"/>
      <c r="WMU90" s="4"/>
      <c r="WMV90" s="4"/>
      <c r="WMW90" s="4"/>
      <c r="WMX90" s="4"/>
      <c r="WMY90" s="4"/>
      <c r="WMZ90" s="4"/>
      <c r="WNA90" s="4"/>
      <c r="WNB90" s="4"/>
      <c r="WNC90" s="4"/>
      <c r="WND90" s="4"/>
      <c r="WNE90" s="4"/>
      <c r="WNF90" s="4"/>
      <c r="WNG90" s="4"/>
      <c r="WNH90" s="4"/>
      <c r="WNI90" s="4"/>
      <c r="WNJ90" s="4"/>
      <c r="WNK90" s="4"/>
      <c r="WNL90" s="4"/>
      <c r="WNM90" s="4"/>
      <c r="WNN90" s="4"/>
      <c r="WNO90" s="4"/>
      <c r="WNP90" s="4"/>
      <c r="WNQ90" s="4"/>
      <c r="WNR90" s="4"/>
      <c r="WNS90" s="4"/>
      <c r="WNT90" s="4"/>
      <c r="WNU90" s="4"/>
      <c r="WNV90" s="4"/>
      <c r="WNW90" s="4"/>
      <c r="WNX90" s="4"/>
      <c r="WNY90" s="4"/>
      <c r="WNZ90" s="4"/>
      <c r="WOA90" s="4"/>
      <c r="WOB90" s="4"/>
      <c r="WOC90" s="4"/>
      <c r="WOD90" s="4"/>
      <c r="WOE90" s="4"/>
      <c r="WOF90" s="4"/>
      <c r="WOG90" s="4"/>
      <c r="WOH90" s="4"/>
      <c r="WOI90" s="4"/>
      <c r="WOJ90" s="4"/>
      <c r="WOK90" s="4"/>
      <c r="WOL90" s="4"/>
      <c r="WOM90" s="4"/>
      <c r="WON90" s="4"/>
      <c r="WOO90" s="4"/>
      <c r="WOP90" s="4"/>
      <c r="WOQ90" s="4"/>
      <c r="WOR90" s="4"/>
      <c r="WOS90" s="4"/>
      <c r="WOT90" s="4"/>
      <c r="WOU90" s="4"/>
      <c r="WOV90" s="4"/>
      <c r="WOW90" s="4"/>
      <c r="WOX90" s="4"/>
      <c r="WOY90" s="4"/>
      <c r="WOZ90" s="4"/>
      <c r="WPA90" s="4"/>
      <c r="WPB90" s="4"/>
      <c r="WPC90" s="4"/>
      <c r="WPD90" s="4"/>
      <c r="WPE90" s="4"/>
      <c r="WPF90" s="4"/>
      <c r="WPG90" s="4"/>
      <c r="WPH90" s="4"/>
      <c r="WPI90" s="4"/>
      <c r="WPJ90" s="4"/>
      <c r="WPK90" s="4"/>
      <c r="WPL90" s="4"/>
      <c r="WPM90" s="4"/>
      <c r="WPN90" s="4"/>
      <c r="WPO90" s="4"/>
      <c r="WPP90" s="4"/>
      <c r="WPQ90" s="4"/>
      <c r="WPR90" s="4"/>
      <c r="WPS90" s="4"/>
      <c r="WPT90" s="4"/>
      <c r="WPU90" s="4"/>
      <c r="WPV90" s="4"/>
      <c r="WPW90" s="4"/>
      <c r="WPX90" s="4"/>
      <c r="WPY90" s="4"/>
      <c r="WPZ90" s="4"/>
      <c r="WQA90" s="4"/>
      <c r="WQB90" s="4"/>
      <c r="WQC90" s="4"/>
      <c r="WQD90" s="4"/>
      <c r="WQE90" s="4"/>
      <c r="WQF90" s="4"/>
      <c r="WQG90" s="4"/>
      <c r="WQH90" s="4"/>
      <c r="WQI90" s="4"/>
      <c r="WQJ90" s="4"/>
      <c r="WQK90" s="4"/>
      <c r="WQL90" s="4"/>
      <c r="WQM90" s="4"/>
      <c r="WQN90" s="4"/>
      <c r="WQO90" s="4"/>
      <c r="WQP90" s="4"/>
      <c r="WQQ90" s="4"/>
      <c r="WQR90" s="4"/>
      <c r="WQS90" s="4"/>
      <c r="WQT90" s="4"/>
      <c r="WQU90" s="4"/>
      <c r="WQV90" s="4"/>
      <c r="WQW90" s="4"/>
      <c r="WQX90" s="4"/>
      <c r="WQY90" s="4"/>
      <c r="WQZ90" s="4"/>
      <c r="WRA90" s="4"/>
      <c r="WRB90" s="4"/>
      <c r="WRC90" s="4"/>
      <c r="WRD90" s="4"/>
      <c r="WRE90" s="4"/>
      <c r="WRF90" s="4"/>
      <c r="WRG90" s="4"/>
      <c r="WRH90" s="4"/>
      <c r="WRI90" s="4"/>
      <c r="WRJ90" s="4"/>
      <c r="WRK90" s="4"/>
      <c r="WRL90" s="4"/>
      <c r="WRM90" s="4"/>
      <c r="WRN90" s="4"/>
      <c r="WRO90" s="4"/>
      <c r="WRP90" s="4"/>
      <c r="WRQ90" s="4"/>
      <c r="WRR90" s="4"/>
      <c r="WRS90" s="4"/>
      <c r="WRT90" s="4"/>
      <c r="WRU90" s="4"/>
      <c r="WRV90" s="4"/>
      <c r="WRW90" s="4"/>
      <c r="WRX90" s="4"/>
      <c r="WRY90" s="4"/>
      <c r="WRZ90" s="4"/>
      <c r="WSA90" s="4"/>
      <c r="WSB90" s="4"/>
      <c r="WSC90" s="4"/>
      <c r="WSD90" s="4"/>
      <c r="WSE90" s="4"/>
      <c r="WSF90" s="4"/>
      <c r="WSG90" s="4"/>
      <c r="WSH90" s="4"/>
      <c r="WSI90" s="4"/>
      <c r="WSJ90" s="4"/>
      <c r="WSK90" s="4"/>
      <c r="WSL90" s="4"/>
      <c r="WSM90" s="4"/>
      <c r="WSN90" s="4"/>
      <c r="WSO90" s="4"/>
      <c r="WSP90" s="4"/>
      <c r="WSQ90" s="4"/>
      <c r="WSR90" s="4"/>
      <c r="WSS90" s="4"/>
      <c r="WST90" s="4"/>
      <c r="WSU90" s="4"/>
      <c r="WSV90" s="4"/>
      <c r="WSW90" s="4"/>
      <c r="WSX90" s="4"/>
      <c r="WSY90" s="4"/>
      <c r="WSZ90" s="4"/>
      <c r="WTA90" s="4"/>
      <c r="WTB90" s="4"/>
      <c r="WTC90" s="4"/>
      <c r="WTD90" s="4"/>
      <c r="WTE90" s="4"/>
      <c r="WTF90" s="4"/>
      <c r="WTG90" s="4"/>
      <c r="WTH90" s="4"/>
      <c r="WTI90" s="4"/>
      <c r="WTJ90" s="4"/>
      <c r="WTK90" s="4"/>
      <c r="WTL90" s="4"/>
      <c r="WTM90" s="4"/>
      <c r="WTN90" s="4"/>
      <c r="WTO90" s="4"/>
      <c r="WTP90" s="4"/>
      <c r="WTQ90" s="4"/>
      <c r="WTR90" s="4"/>
      <c r="WTS90" s="4"/>
      <c r="WTT90" s="4"/>
      <c r="WTU90" s="4"/>
      <c r="WTV90" s="4"/>
      <c r="WTW90" s="4"/>
      <c r="WTX90" s="4"/>
      <c r="WTY90" s="4"/>
      <c r="WTZ90" s="4"/>
      <c r="WUA90" s="4"/>
      <c r="WUB90" s="4"/>
      <c r="WUC90" s="4"/>
      <c r="WUD90" s="4"/>
      <c r="WUE90" s="4"/>
      <c r="WUF90" s="4"/>
      <c r="WUG90" s="4"/>
      <c r="WUH90" s="4"/>
      <c r="WUI90" s="4"/>
      <c r="WUJ90" s="4"/>
      <c r="WUK90" s="4"/>
      <c r="WUL90" s="4"/>
      <c r="WUM90" s="4"/>
      <c r="WUN90" s="4"/>
      <c r="WUO90" s="4"/>
      <c r="WUP90" s="4"/>
      <c r="WUQ90" s="4"/>
      <c r="WUR90" s="4"/>
      <c r="WUS90" s="4"/>
      <c r="WUT90" s="4"/>
      <c r="WUU90" s="4"/>
      <c r="WUV90" s="4"/>
      <c r="WUW90" s="4"/>
      <c r="WUX90" s="4"/>
      <c r="WUY90" s="4"/>
      <c r="WUZ90" s="4"/>
      <c r="WVA90" s="4"/>
      <c r="WVB90" s="4"/>
      <c r="WVC90" s="4"/>
      <c r="WVD90" s="4"/>
      <c r="WVE90" s="4"/>
      <c r="WVF90" s="4"/>
      <c r="WVG90" s="4"/>
      <c r="WVH90" s="4"/>
      <c r="WVI90" s="4"/>
      <c r="WVJ90" s="4"/>
      <c r="WVK90" s="4"/>
      <c r="WVL90" s="4"/>
      <c r="WVM90" s="4"/>
      <c r="WVN90" s="4"/>
      <c r="WVO90" s="4"/>
      <c r="WVP90" s="4"/>
      <c r="WVQ90" s="4"/>
      <c r="WVR90" s="4"/>
      <c r="WVS90" s="4"/>
      <c r="WVT90" s="4"/>
      <c r="WVU90" s="4"/>
      <c r="WVV90" s="4"/>
      <c r="WVW90" s="4"/>
      <c r="WVX90" s="4"/>
      <c r="WVY90" s="4"/>
      <c r="WVZ90" s="4"/>
      <c r="WWA90" s="4"/>
      <c r="WWB90" s="4"/>
      <c r="WWC90" s="4"/>
      <c r="WWD90" s="4"/>
      <c r="WWE90" s="4"/>
      <c r="WWF90" s="4"/>
      <c r="WWG90" s="4"/>
      <c r="WWH90" s="4"/>
      <c r="WWI90" s="4"/>
      <c r="WWJ90" s="4"/>
      <c r="WWK90" s="4"/>
      <c r="WWL90" s="4"/>
      <c r="WWM90" s="4"/>
      <c r="WWN90" s="4"/>
      <c r="WWO90" s="4"/>
      <c r="WWP90" s="4"/>
      <c r="WWQ90" s="4"/>
      <c r="WWR90" s="4"/>
      <c r="WWS90" s="4"/>
      <c r="WWT90" s="4"/>
      <c r="WWU90" s="4"/>
      <c r="WWV90" s="4"/>
      <c r="WWW90" s="4"/>
      <c r="WWX90" s="4"/>
      <c r="WWY90" s="4"/>
      <c r="WWZ90" s="4"/>
      <c r="WXA90" s="4"/>
      <c r="WXB90" s="4"/>
      <c r="WXC90" s="4"/>
      <c r="WXD90" s="4"/>
      <c r="WXE90" s="4"/>
      <c r="WXF90" s="4"/>
      <c r="WXG90" s="4"/>
      <c r="WXH90" s="4"/>
      <c r="WXI90" s="4"/>
      <c r="WXJ90" s="4"/>
      <c r="WXK90" s="4"/>
      <c r="WXL90" s="4"/>
      <c r="WXM90" s="4"/>
      <c r="WXN90" s="4"/>
      <c r="WXO90" s="4"/>
      <c r="WXP90" s="4"/>
      <c r="WXQ90" s="4"/>
      <c r="WXR90" s="4"/>
      <c r="WXS90" s="4"/>
      <c r="WXT90" s="4"/>
      <c r="WXU90" s="4"/>
      <c r="WXV90" s="4"/>
      <c r="WXW90" s="4"/>
      <c r="WXX90" s="4"/>
      <c r="WXY90" s="4"/>
      <c r="WXZ90" s="4"/>
      <c r="WYA90" s="4"/>
      <c r="WYB90" s="4"/>
      <c r="WYC90" s="4"/>
      <c r="WYD90" s="4"/>
      <c r="WYE90" s="4"/>
      <c r="WYF90" s="4"/>
      <c r="WYG90" s="4"/>
      <c r="WYH90" s="4"/>
      <c r="WYI90" s="4"/>
      <c r="WYJ90" s="4"/>
      <c r="WYK90" s="4"/>
      <c r="WYL90" s="4"/>
      <c r="WYM90" s="4"/>
      <c r="WYN90" s="4"/>
      <c r="WYO90" s="4"/>
      <c r="WYP90" s="4"/>
      <c r="WYQ90" s="4"/>
      <c r="WYR90" s="4"/>
      <c r="WYS90" s="4"/>
      <c r="WYT90" s="4"/>
      <c r="WYU90" s="4"/>
      <c r="WYV90" s="4"/>
      <c r="WYW90" s="4"/>
      <c r="WYX90" s="4"/>
      <c r="WYY90" s="4"/>
      <c r="WYZ90" s="4"/>
      <c r="WZA90" s="4"/>
      <c r="WZB90" s="4"/>
      <c r="WZC90" s="4"/>
      <c r="WZD90" s="4"/>
      <c r="WZE90" s="4"/>
      <c r="WZF90" s="4"/>
      <c r="WZG90" s="4"/>
      <c r="WZH90" s="4"/>
      <c r="WZI90" s="4"/>
      <c r="WZJ90" s="4"/>
      <c r="WZK90" s="4"/>
      <c r="WZL90" s="4"/>
      <c r="WZM90" s="4"/>
      <c r="WZN90" s="4"/>
      <c r="WZO90" s="4"/>
      <c r="WZP90" s="4"/>
      <c r="WZQ90" s="4"/>
      <c r="WZR90" s="4"/>
      <c r="WZS90" s="4"/>
      <c r="WZT90" s="4"/>
      <c r="WZU90" s="4"/>
      <c r="WZV90" s="4"/>
      <c r="WZW90" s="4"/>
      <c r="WZX90" s="4"/>
      <c r="WZY90" s="4"/>
      <c r="WZZ90" s="4"/>
      <c r="XAA90" s="4"/>
      <c r="XAB90" s="4"/>
      <c r="XAC90" s="4"/>
      <c r="XAD90" s="4"/>
      <c r="XAE90" s="4"/>
      <c r="XAF90" s="4"/>
      <c r="XAG90" s="4"/>
      <c r="XAH90" s="4"/>
      <c r="XAI90" s="4"/>
      <c r="XAJ90" s="4"/>
      <c r="XAK90" s="4"/>
      <c r="XAL90" s="4"/>
      <c r="XAM90" s="4"/>
      <c r="XAN90" s="4"/>
      <c r="XAO90" s="4"/>
      <c r="XAP90" s="4"/>
      <c r="XAQ90" s="4"/>
      <c r="XAR90" s="4"/>
      <c r="XAS90" s="4"/>
      <c r="XAT90" s="4"/>
      <c r="XAU90" s="4"/>
      <c r="XAV90" s="4"/>
      <c r="XAW90" s="4"/>
      <c r="XAX90" s="4"/>
      <c r="XAY90" s="4"/>
      <c r="XAZ90" s="4"/>
      <c r="XBA90" s="4"/>
      <c r="XBB90" s="4"/>
      <c r="XBC90" s="4"/>
      <c r="XBD90" s="4"/>
      <c r="XBE90" s="4"/>
      <c r="XBF90" s="4"/>
      <c r="XBG90" s="4"/>
      <c r="XBH90" s="4"/>
      <c r="XBI90" s="4"/>
      <c r="XBJ90" s="4"/>
      <c r="XBK90" s="4"/>
      <c r="XBL90" s="4"/>
      <c r="XBM90" s="4"/>
      <c r="XBN90" s="4"/>
      <c r="XBO90" s="4"/>
      <c r="XBP90" s="4"/>
      <c r="XBQ90" s="4"/>
      <c r="XBR90" s="4"/>
      <c r="XBS90" s="4"/>
      <c r="XBT90" s="4"/>
      <c r="XBU90" s="4"/>
      <c r="XBV90" s="4"/>
      <c r="XBW90" s="4"/>
      <c r="XBX90" s="4"/>
      <c r="XBY90" s="4"/>
      <c r="XBZ90" s="4"/>
      <c r="XCA90" s="4"/>
      <c r="XCB90" s="4"/>
      <c r="XCC90" s="4"/>
      <c r="XCD90" s="4"/>
      <c r="XCE90" s="4"/>
      <c r="XCF90" s="4"/>
      <c r="XCG90" s="4"/>
      <c r="XCH90" s="4"/>
      <c r="XCI90" s="4"/>
      <c r="XCJ90" s="4"/>
      <c r="XCK90" s="4"/>
      <c r="XCL90" s="4"/>
      <c r="XCM90" s="4"/>
      <c r="XCN90" s="4"/>
      <c r="XCO90" s="4"/>
      <c r="XCP90" s="4"/>
      <c r="XCQ90" s="4"/>
      <c r="XCR90" s="4"/>
      <c r="XCS90" s="4"/>
      <c r="XCT90" s="4"/>
      <c r="XCU90" s="4"/>
      <c r="XCV90" s="4"/>
      <c r="XCW90" s="4"/>
      <c r="XCX90" s="4"/>
      <c r="XCY90" s="4"/>
      <c r="XCZ90" s="4"/>
      <c r="XDA90" s="4"/>
      <c r="XDB90" s="4"/>
      <c r="XDC90" s="4"/>
      <c r="XDD90" s="4"/>
      <c r="XDE90" s="4"/>
      <c r="XDF90" s="4"/>
      <c r="XDG90" s="4"/>
      <c r="XDH90" s="4"/>
      <c r="XDI90" s="4"/>
      <c r="XDJ90" s="4"/>
      <c r="XDK90" s="4"/>
      <c r="XDL90" s="4"/>
      <c r="XDM90" s="4"/>
      <c r="XDN90" s="4"/>
      <c r="XDO90" s="4"/>
      <c r="XDP90" s="4"/>
      <c r="XDQ90" s="4"/>
      <c r="XDR90" s="4"/>
      <c r="XDS90" s="4"/>
      <c r="XDT90" s="4"/>
      <c r="XDU90" s="4"/>
      <c r="XDV90" s="4"/>
      <c r="XDW90" s="4"/>
      <c r="XDX90" s="4"/>
      <c r="XDY90" s="4"/>
      <c r="XDZ90" s="4"/>
      <c r="XEA90" s="4"/>
      <c r="XEB90" s="4"/>
      <c r="XEC90" s="4"/>
      <c r="XED90" s="4"/>
      <c r="XEE90" s="4"/>
      <c r="XEF90" s="4"/>
      <c r="XEG90" s="4"/>
      <c r="XEH90" s="4"/>
      <c r="XEI90" s="4"/>
      <c r="XEJ90" s="4"/>
      <c r="XEK90" s="4"/>
      <c r="XEL90" s="4"/>
      <c r="XEM90" s="4"/>
      <c r="XEN90" s="4"/>
      <c r="XEO90" s="4"/>
      <c r="XEP90" s="4"/>
      <c r="XEQ90" s="4"/>
      <c r="XER90" s="4"/>
      <c r="XES90" s="4"/>
      <c r="XET90" s="4"/>
      <c r="XEU90" s="4"/>
      <c r="XEV90" s="4"/>
      <c r="XEW90" s="4"/>
      <c r="XEX90" s="4"/>
      <c r="XEY90" s="4"/>
      <c r="XEZ90" s="4"/>
      <c r="XFA90" s="4"/>
      <c r="XFB90" s="4"/>
      <c r="XFC90" s="39"/>
    </row>
    <row r="91" spans="1:16383" s="112" customFormat="1" x14ac:dyDescent="0.35">
      <c r="A91" s="88" t="s">
        <v>114</v>
      </c>
      <c r="B91" s="101" t="s">
        <v>0</v>
      </c>
      <c r="C91" s="101"/>
      <c r="D91" s="39"/>
      <c r="E91" s="39"/>
      <c r="F91" s="14" t="s">
        <v>76</v>
      </c>
      <c r="G91" s="14" t="s">
        <v>48</v>
      </c>
      <c r="H91" s="14" t="s">
        <v>46</v>
      </c>
      <c r="I91" s="14" t="s">
        <v>10</v>
      </c>
      <c r="J91" s="40" t="s">
        <v>11</v>
      </c>
      <c r="K91" s="40" t="s">
        <v>30</v>
      </c>
      <c r="L91" s="40"/>
      <c r="M91" s="41"/>
      <c r="N91" s="42">
        <v>1</v>
      </c>
      <c r="O91" s="43">
        <f>2610*12</f>
        <v>31320</v>
      </c>
      <c r="P91" s="44">
        <f>2610*3</f>
        <v>7830</v>
      </c>
      <c r="Q91" s="44">
        <f>2610*3</f>
        <v>7830</v>
      </c>
      <c r="R91" s="44">
        <f>2610*3</f>
        <v>7830</v>
      </c>
      <c r="S91" s="44">
        <f>2610*3</f>
        <v>7830</v>
      </c>
      <c r="T91" s="43">
        <f>+P91+Q91+R91+S91</f>
        <v>31320</v>
      </c>
      <c r="U91" s="43"/>
      <c r="V91" s="41"/>
      <c r="W91" s="41" t="s">
        <v>382</v>
      </c>
      <c r="X91" s="41"/>
      <c r="Y91" s="41"/>
      <c r="Z91" s="41"/>
    </row>
    <row r="92" spans="1:16383" s="90" customFormat="1" x14ac:dyDescent="0.35">
      <c r="A92" s="39" t="s">
        <v>167</v>
      </c>
      <c r="B92" s="14" t="s">
        <v>0</v>
      </c>
      <c r="C92" s="14"/>
      <c r="D92" s="39"/>
      <c r="E92" s="39"/>
      <c r="F92" s="14" t="s">
        <v>75</v>
      </c>
      <c r="G92" s="14" t="s">
        <v>48</v>
      </c>
      <c r="H92" s="14" t="s">
        <v>47</v>
      </c>
      <c r="I92" s="14" t="s">
        <v>21</v>
      </c>
      <c r="J92" s="40" t="s">
        <v>11</v>
      </c>
      <c r="K92" s="40"/>
      <c r="L92" s="40"/>
      <c r="M92" s="41"/>
      <c r="N92" s="42">
        <v>1</v>
      </c>
      <c r="O92" s="43">
        <v>29770</v>
      </c>
      <c r="P92" s="44">
        <f>+O92*N92</f>
        <v>29770</v>
      </c>
      <c r="Q92" s="44"/>
      <c r="R92" s="44"/>
      <c r="S92" s="44"/>
      <c r="T92" s="43">
        <f>+P92+Q92+R92+S92</f>
        <v>29770</v>
      </c>
      <c r="U92" s="43"/>
      <c r="V92" s="41"/>
      <c r="W92" s="41" t="s">
        <v>382</v>
      </c>
      <c r="X92" s="41"/>
      <c r="Y92" s="112"/>
      <c r="Z92" s="112"/>
      <c r="AA92" s="41"/>
      <c r="AB92" s="4"/>
      <c r="AC92" s="4"/>
      <c r="AD92" s="4"/>
      <c r="AE92" s="4"/>
      <c r="AF92" s="4"/>
      <c r="AG92" s="4"/>
      <c r="AH92" s="4"/>
      <c r="AI92" s="4"/>
    </row>
    <row r="93" spans="1:16383" s="112" customFormat="1" x14ac:dyDescent="0.35">
      <c r="A93" s="106" t="s">
        <v>498</v>
      </c>
      <c r="B93" s="107" t="s">
        <v>0</v>
      </c>
      <c r="C93" s="107"/>
      <c r="D93" s="106"/>
      <c r="E93" s="106"/>
      <c r="F93" s="107" t="s">
        <v>74</v>
      </c>
      <c r="G93" s="107" t="s">
        <v>48</v>
      </c>
      <c r="H93" s="108" t="s">
        <v>46</v>
      </c>
      <c r="I93" s="108" t="s">
        <v>10</v>
      </c>
      <c r="J93" s="108" t="s">
        <v>11</v>
      </c>
      <c r="K93" s="108">
        <v>25000</v>
      </c>
      <c r="L93" s="109"/>
      <c r="M93" s="110"/>
      <c r="N93" s="109">
        <v>1</v>
      </c>
      <c r="O93" s="111">
        <v>25000</v>
      </c>
      <c r="P93" s="111">
        <f>+O93*N93</f>
        <v>25000</v>
      </c>
      <c r="Q93" s="110"/>
      <c r="R93" s="110"/>
      <c r="T93" s="110">
        <f>+P93+Q93+R93+S93</f>
        <v>25000</v>
      </c>
      <c r="W93" s="112" t="s">
        <v>499</v>
      </c>
    </row>
    <row r="94" spans="1:16383" s="90" customFormat="1" x14ac:dyDescent="0.35">
      <c r="A94" s="39" t="s">
        <v>143</v>
      </c>
      <c r="B94" s="14" t="s">
        <v>0</v>
      </c>
      <c r="C94" s="14"/>
      <c r="D94" s="39"/>
      <c r="E94" s="39"/>
      <c r="F94" s="14" t="s">
        <v>80</v>
      </c>
      <c r="G94" s="14" t="s">
        <v>48</v>
      </c>
      <c r="H94" s="14" t="s">
        <v>46</v>
      </c>
      <c r="I94" s="14" t="s">
        <v>10</v>
      </c>
      <c r="J94" s="40" t="s">
        <v>11</v>
      </c>
      <c r="K94" s="40"/>
      <c r="L94" s="40"/>
      <c r="M94" s="41"/>
      <c r="N94" s="42">
        <v>1</v>
      </c>
      <c r="O94" s="43">
        <v>21154</v>
      </c>
      <c r="P94" s="44">
        <f>+O94*N94</f>
        <v>21154</v>
      </c>
      <c r="Q94" s="44"/>
      <c r="R94" s="44"/>
      <c r="S94" s="44"/>
      <c r="T94" s="43">
        <f>+P94+Q94+R94+S94</f>
        <v>21154</v>
      </c>
      <c r="U94" s="43"/>
      <c r="V94" s="41"/>
      <c r="W94" s="41" t="s">
        <v>382</v>
      </c>
      <c r="X94" s="41"/>
      <c r="Y94" s="41"/>
      <c r="Z94" s="41"/>
      <c r="AA94" s="41"/>
      <c r="AB94" s="41"/>
      <c r="AC94" s="41"/>
      <c r="AD94" s="41"/>
      <c r="AE94" s="41"/>
      <c r="AF94" s="41"/>
      <c r="AG94" s="41"/>
    </row>
    <row r="95" spans="1:16383" s="112" customFormat="1" x14ac:dyDescent="0.35">
      <c r="A95" s="89" t="s">
        <v>429</v>
      </c>
      <c r="B95" s="120" t="s">
        <v>0</v>
      </c>
      <c r="C95" s="120"/>
      <c r="D95" s="89"/>
      <c r="E95" s="89"/>
      <c r="F95" s="120" t="s">
        <v>75</v>
      </c>
      <c r="G95" s="120" t="s">
        <v>48</v>
      </c>
      <c r="H95" s="120" t="s">
        <v>116</v>
      </c>
      <c r="I95" s="120" t="s">
        <v>116</v>
      </c>
      <c r="J95" s="121" t="s">
        <v>11</v>
      </c>
      <c r="K95" s="121"/>
      <c r="L95" s="121"/>
      <c r="M95" s="90"/>
      <c r="N95" s="122">
        <v>1</v>
      </c>
      <c r="O95" s="124">
        <v>20000</v>
      </c>
      <c r="P95" s="126">
        <v>5000</v>
      </c>
      <c r="Q95" s="126">
        <v>10000</v>
      </c>
      <c r="R95" s="126">
        <v>5000</v>
      </c>
      <c r="S95" s="126"/>
      <c r="T95" s="124">
        <f>+P95+Q95+R95+S95</f>
        <v>20000</v>
      </c>
      <c r="U95" s="124"/>
      <c r="V95" s="90"/>
      <c r="W95" s="90" t="s">
        <v>336</v>
      </c>
      <c r="X95" s="90"/>
    </row>
    <row r="96" spans="1:16383" s="112" customFormat="1" x14ac:dyDescent="0.35">
      <c r="A96" s="106" t="s">
        <v>53</v>
      </c>
      <c r="B96" s="107" t="s">
        <v>0</v>
      </c>
      <c r="C96" s="107"/>
      <c r="D96" s="106"/>
      <c r="E96" s="106"/>
      <c r="F96" s="107" t="s">
        <v>80</v>
      </c>
      <c r="G96" s="107" t="s">
        <v>48</v>
      </c>
      <c r="H96" s="108" t="s">
        <v>38</v>
      </c>
      <c r="I96" s="108" t="s">
        <v>10</v>
      </c>
      <c r="J96" s="108" t="s">
        <v>11</v>
      </c>
      <c r="K96" s="108"/>
      <c r="L96" s="109"/>
      <c r="M96" s="110"/>
      <c r="N96" s="109">
        <v>1</v>
      </c>
      <c r="O96" s="111">
        <v>18514</v>
      </c>
      <c r="P96" s="111">
        <f>+O96*N96</f>
        <v>18514</v>
      </c>
      <c r="Q96" s="110"/>
      <c r="R96" s="110"/>
      <c r="T96" s="110">
        <f>+P96+Q96+R96+S96</f>
        <v>18514</v>
      </c>
      <c r="W96" s="112" t="s">
        <v>341</v>
      </c>
      <c r="Y96" s="41"/>
      <c r="Z96" s="41"/>
      <c r="AA96" s="41"/>
      <c r="AB96" s="41"/>
      <c r="AC96" s="41"/>
      <c r="AD96" s="41"/>
      <c r="AE96" s="41"/>
      <c r="AF96" s="41"/>
      <c r="AG96" s="41"/>
      <c r="AH96" s="90"/>
      <c r="AI96" s="90"/>
    </row>
    <row r="97" spans="1:16384" s="90" customFormat="1" x14ac:dyDescent="0.35">
      <c r="A97" s="106" t="s">
        <v>387</v>
      </c>
      <c r="B97" s="107" t="s">
        <v>0</v>
      </c>
      <c r="C97" s="107"/>
      <c r="D97" s="106"/>
      <c r="E97" s="106"/>
      <c r="F97" s="107" t="s">
        <v>80</v>
      </c>
      <c r="G97" s="107" t="s">
        <v>48</v>
      </c>
      <c r="H97" s="108" t="s">
        <v>46</v>
      </c>
      <c r="I97" s="108" t="s">
        <v>10</v>
      </c>
      <c r="J97" s="108" t="s">
        <v>11</v>
      </c>
      <c r="K97" s="108">
        <v>18000</v>
      </c>
      <c r="L97" s="109"/>
      <c r="M97" s="110"/>
      <c r="N97" s="109">
        <v>1</v>
      </c>
      <c r="O97" s="111">
        <v>18000</v>
      </c>
      <c r="P97" s="111">
        <f>+O97*N97</f>
        <v>18000</v>
      </c>
      <c r="Q97" s="110"/>
      <c r="R97" s="110"/>
      <c r="S97" s="112"/>
      <c r="T97" s="110">
        <f>+P97+Q97+R97+S97</f>
        <v>18000</v>
      </c>
      <c r="U97" s="112"/>
      <c r="V97" s="112"/>
      <c r="W97" s="112" t="s">
        <v>388</v>
      </c>
      <c r="X97" s="112"/>
      <c r="Y97" s="94"/>
      <c r="Z97" s="94"/>
      <c r="AA97" s="112"/>
      <c r="AB97" s="112"/>
      <c r="AC97" s="112"/>
      <c r="AD97" s="112"/>
      <c r="AE97" s="112"/>
      <c r="AF97" s="112"/>
      <c r="AG97" s="112"/>
      <c r="AH97" s="112"/>
      <c r="AI97" s="112"/>
    </row>
    <row r="98" spans="1:16384" s="112" customFormat="1" x14ac:dyDescent="0.35">
      <c r="A98" s="55" t="s">
        <v>322</v>
      </c>
      <c r="B98" s="14" t="s">
        <v>0</v>
      </c>
      <c r="C98" s="14"/>
      <c r="D98" s="55"/>
      <c r="E98" s="55"/>
      <c r="F98" s="14" t="s">
        <v>77</v>
      </c>
      <c r="G98" s="14" t="s">
        <v>48</v>
      </c>
      <c r="H98" s="14" t="s">
        <v>46</v>
      </c>
      <c r="I98" s="14" t="s">
        <v>10</v>
      </c>
      <c r="J98" s="40" t="s">
        <v>11</v>
      </c>
      <c r="K98" s="40"/>
      <c r="L98" s="40"/>
      <c r="M98" s="41"/>
      <c r="N98" s="42">
        <v>1</v>
      </c>
      <c r="O98" s="71">
        <v>18000</v>
      </c>
      <c r="P98" s="43"/>
      <c r="Q98" s="43">
        <f>+O98*N98</f>
        <v>18000</v>
      </c>
      <c r="R98" s="43"/>
      <c r="S98" s="43"/>
      <c r="T98" s="43">
        <f>+P98+Q98+R98+S98</f>
        <v>18000</v>
      </c>
      <c r="U98" s="73"/>
      <c r="V98" s="73"/>
      <c r="W98" s="41"/>
      <c r="X98" s="41"/>
    </row>
    <row r="99" spans="1:16384" s="41" customFormat="1" x14ac:dyDescent="0.35">
      <c r="A99" s="39" t="s">
        <v>246</v>
      </c>
      <c r="B99" s="14" t="s">
        <v>0</v>
      </c>
      <c r="C99" s="14"/>
      <c r="D99" s="39"/>
      <c r="E99" s="39"/>
      <c r="F99" s="14" t="s">
        <v>76</v>
      </c>
      <c r="G99" s="14" t="s">
        <v>48</v>
      </c>
      <c r="H99" s="14" t="s">
        <v>172</v>
      </c>
      <c r="I99" s="14" t="s">
        <v>173</v>
      </c>
      <c r="J99" s="40" t="s">
        <v>11</v>
      </c>
      <c r="K99" s="40"/>
      <c r="L99" s="40"/>
      <c r="N99" s="42">
        <v>1</v>
      </c>
      <c r="O99" s="43">
        <v>15000</v>
      </c>
      <c r="P99" s="44">
        <f>+O99*N99</f>
        <v>15000</v>
      </c>
      <c r="Q99" s="44"/>
      <c r="R99" s="44"/>
      <c r="S99" s="44"/>
      <c r="T99" s="43">
        <f>+P99+Q99+R99+S99</f>
        <v>15000</v>
      </c>
      <c r="U99" s="43"/>
      <c r="W99" s="41" t="s">
        <v>382</v>
      </c>
      <c r="AH99" s="90"/>
      <c r="AI99" s="90"/>
    </row>
    <row r="100" spans="1:16384" s="41" customFormat="1" x14ac:dyDescent="0.35">
      <c r="A100" s="88" t="s">
        <v>67</v>
      </c>
      <c r="B100" s="102" t="s">
        <v>0</v>
      </c>
      <c r="C100" s="102"/>
      <c r="D100" s="39"/>
      <c r="E100" s="39"/>
      <c r="F100" s="14" t="s">
        <v>80</v>
      </c>
      <c r="G100" s="14" t="s">
        <v>48</v>
      </c>
      <c r="H100" s="14" t="s">
        <v>46</v>
      </c>
      <c r="I100" s="14" t="s">
        <v>10</v>
      </c>
      <c r="J100" s="40" t="s">
        <v>11</v>
      </c>
      <c r="K100" s="40"/>
      <c r="L100" s="40"/>
      <c r="N100" s="42">
        <v>1</v>
      </c>
      <c r="O100" s="43">
        <v>8997</v>
      </c>
      <c r="P100" s="44">
        <f>+O100*N100</f>
        <v>8997</v>
      </c>
      <c r="Q100" s="44"/>
      <c r="R100" s="44"/>
      <c r="S100" s="44"/>
      <c r="T100" s="43">
        <f>+P100+Q100+R100+S100</f>
        <v>8997</v>
      </c>
      <c r="U100" s="43"/>
      <c r="W100" s="41" t="s">
        <v>382</v>
      </c>
      <c r="AA100" s="112"/>
      <c r="AB100" s="112"/>
      <c r="AC100" s="112"/>
      <c r="AD100" s="112"/>
      <c r="AE100" s="112"/>
      <c r="AF100" s="112"/>
      <c r="AG100" s="112"/>
      <c r="AH100" s="112"/>
      <c r="AI100" s="112"/>
    </row>
    <row r="101" spans="1:16384" s="112" customFormat="1" x14ac:dyDescent="0.35">
      <c r="A101" s="91" t="s">
        <v>64</v>
      </c>
      <c r="B101" s="92" t="s">
        <v>0</v>
      </c>
      <c r="C101" s="92"/>
      <c r="D101" s="91"/>
      <c r="E101" s="91"/>
      <c r="F101" s="92" t="s">
        <v>78</v>
      </c>
      <c r="G101" s="92" t="s">
        <v>48</v>
      </c>
      <c r="H101" s="92" t="s">
        <v>38</v>
      </c>
      <c r="I101" s="92" t="s">
        <v>65</v>
      </c>
      <c r="J101" s="93" t="s">
        <v>11</v>
      </c>
      <c r="K101" s="93" t="s">
        <v>25</v>
      </c>
      <c r="L101" s="93"/>
      <c r="M101" s="94"/>
      <c r="N101" s="95">
        <v>1</v>
      </c>
      <c r="O101" s="24">
        <v>8100</v>
      </c>
      <c r="P101" s="96">
        <f>+O101*N101</f>
        <v>8100</v>
      </c>
      <c r="Q101" s="96"/>
      <c r="R101" s="96"/>
      <c r="S101" s="96"/>
      <c r="T101" s="24">
        <f>+P101+Q101+R101+S101</f>
        <v>8100</v>
      </c>
      <c r="U101" s="43"/>
      <c r="V101" s="41"/>
      <c r="W101" s="94" t="s">
        <v>184</v>
      </c>
      <c r="X101" s="94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</row>
    <row r="102" spans="1:16384" s="94" customFormat="1" x14ac:dyDescent="0.35">
      <c r="A102" s="106" t="s">
        <v>321</v>
      </c>
      <c r="B102" s="107" t="s">
        <v>0</v>
      </c>
      <c r="C102" s="107"/>
      <c r="D102" s="106"/>
      <c r="E102" s="106"/>
      <c r="F102" s="107" t="s">
        <v>77</v>
      </c>
      <c r="G102" s="107" t="s">
        <v>48</v>
      </c>
      <c r="H102" s="108" t="s">
        <v>46</v>
      </c>
      <c r="I102" s="108" t="s">
        <v>65</v>
      </c>
      <c r="J102" s="108" t="s">
        <v>11</v>
      </c>
      <c r="K102" s="108"/>
      <c r="L102" s="109"/>
      <c r="M102" s="110"/>
      <c r="N102" s="109">
        <v>1</v>
      </c>
      <c r="O102" s="111">
        <v>8000</v>
      </c>
      <c r="P102" s="111">
        <f>+O102*N102</f>
        <v>8000</v>
      </c>
      <c r="Q102" s="110"/>
      <c r="R102" s="110"/>
      <c r="S102" s="112"/>
      <c r="T102" s="110">
        <f>+P102+Q102+R102+S102</f>
        <v>8000</v>
      </c>
      <c r="U102" s="112"/>
      <c r="V102" s="112"/>
      <c r="W102" s="112" t="s">
        <v>389</v>
      </c>
      <c r="X102" s="112"/>
      <c r="Y102" s="41"/>
      <c r="Z102" s="41"/>
      <c r="AH102" s="41"/>
      <c r="AI102" s="41"/>
    </row>
    <row r="103" spans="1:16384" s="94" customFormat="1" x14ac:dyDescent="0.35">
      <c r="A103" s="55" t="s">
        <v>321</v>
      </c>
      <c r="B103" s="14" t="s">
        <v>0</v>
      </c>
      <c r="C103" s="14"/>
      <c r="D103" s="55"/>
      <c r="E103" s="55"/>
      <c r="F103" s="14" t="s">
        <v>77</v>
      </c>
      <c r="G103" s="14" t="s">
        <v>48</v>
      </c>
      <c r="H103" s="14" t="s">
        <v>46</v>
      </c>
      <c r="I103" s="14" t="s">
        <v>10</v>
      </c>
      <c r="J103" s="40" t="s">
        <v>11</v>
      </c>
      <c r="K103" s="40"/>
      <c r="L103" s="40"/>
      <c r="M103" s="41"/>
      <c r="N103" s="42">
        <v>1</v>
      </c>
      <c r="O103" s="71">
        <v>8000</v>
      </c>
      <c r="P103" s="43"/>
      <c r="Q103" s="43">
        <f>+O103*N103</f>
        <v>8000</v>
      </c>
      <c r="R103" s="43"/>
      <c r="S103" s="43"/>
      <c r="T103" s="43">
        <f>+P103+Q103+R103+S103</f>
        <v>8000</v>
      </c>
      <c r="U103" s="73"/>
      <c r="V103" s="73"/>
      <c r="W103" s="41"/>
      <c r="X103" s="41"/>
      <c r="Y103" s="41"/>
      <c r="Z103" s="4"/>
      <c r="AA103" s="112"/>
      <c r="AB103" s="112"/>
      <c r="AC103" s="112"/>
      <c r="AD103" s="112"/>
      <c r="AE103" s="112"/>
      <c r="AF103" s="112"/>
      <c r="AG103" s="112"/>
      <c r="AH103" s="112"/>
      <c r="AI103" s="112"/>
    </row>
    <row r="104" spans="1:16384" s="67" customFormat="1" x14ac:dyDescent="0.35">
      <c r="A104" s="39" t="s">
        <v>148</v>
      </c>
      <c r="B104" s="14" t="s">
        <v>0</v>
      </c>
      <c r="C104" s="14"/>
      <c r="D104" s="39"/>
      <c r="E104" s="39"/>
      <c r="F104" s="14" t="s">
        <v>76</v>
      </c>
      <c r="G104" s="14" t="s">
        <v>48</v>
      </c>
      <c r="H104" s="14" t="s">
        <v>71</v>
      </c>
      <c r="I104" s="14" t="s">
        <v>70</v>
      </c>
      <c r="J104" s="40" t="s">
        <v>11</v>
      </c>
      <c r="K104" s="40" t="s">
        <v>25</v>
      </c>
      <c r="L104" s="40"/>
      <c r="M104" s="41" t="s">
        <v>146</v>
      </c>
      <c r="N104" s="42">
        <v>1</v>
      </c>
      <c r="O104" s="43">
        <v>6979</v>
      </c>
      <c r="P104" s="44">
        <f>+O104*N104</f>
        <v>6979</v>
      </c>
      <c r="Q104" s="44"/>
      <c r="R104" s="44"/>
      <c r="S104" s="44"/>
      <c r="T104" s="43">
        <f>+P104+Q104+R104+S104</f>
        <v>6979</v>
      </c>
      <c r="U104" s="43"/>
      <c r="V104" s="41"/>
      <c r="W104" s="41" t="s">
        <v>382</v>
      </c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94"/>
      <c r="AI104" s="94"/>
    </row>
    <row r="105" spans="1:16384" s="94" customFormat="1" x14ac:dyDescent="0.35">
      <c r="A105" s="39" t="s">
        <v>390</v>
      </c>
      <c r="B105" s="14" t="s">
        <v>0</v>
      </c>
      <c r="C105" s="14"/>
      <c r="D105" s="39"/>
      <c r="E105" s="39"/>
      <c r="F105" s="14" t="s">
        <v>75</v>
      </c>
      <c r="G105" s="14" t="s">
        <v>48</v>
      </c>
      <c r="H105" s="14" t="s">
        <v>116</v>
      </c>
      <c r="I105" s="14" t="s">
        <v>116</v>
      </c>
      <c r="J105" s="40" t="s">
        <v>11</v>
      </c>
      <c r="K105" s="40"/>
      <c r="L105" s="40"/>
      <c r="M105" s="41"/>
      <c r="N105" s="42">
        <v>1</v>
      </c>
      <c r="O105" s="43">
        <v>6500</v>
      </c>
      <c r="P105" s="44">
        <f>+O105*N105</f>
        <v>6500</v>
      </c>
      <c r="Q105" s="44"/>
      <c r="R105" s="44"/>
      <c r="S105" s="44"/>
      <c r="T105" s="43">
        <f>+P105+Q105+R105+S105</f>
        <v>6500</v>
      </c>
      <c r="U105" s="43"/>
      <c r="V105" s="41"/>
      <c r="W105" s="41" t="s">
        <v>336</v>
      </c>
      <c r="X105" s="41"/>
      <c r="Y105" s="90"/>
      <c r="Z105" s="125"/>
      <c r="AA105" s="41"/>
      <c r="AB105" s="41"/>
      <c r="AC105" s="41"/>
      <c r="AD105" s="41"/>
      <c r="AE105" s="41"/>
      <c r="AF105" s="41"/>
      <c r="AG105" s="41"/>
    </row>
    <row r="106" spans="1:16384" s="41" customFormat="1" x14ac:dyDescent="0.35">
      <c r="A106" s="39" t="s">
        <v>62</v>
      </c>
      <c r="B106" s="14" t="s">
        <v>0</v>
      </c>
      <c r="C106" s="14"/>
      <c r="D106" s="39"/>
      <c r="E106" s="39"/>
      <c r="F106" s="14" t="s">
        <v>76</v>
      </c>
      <c r="G106" s="14" t="s">
        <v>48</v>
      </c>
      <c r="H106" s="14" t="s">
        <v>38</v>
      </c>
      <c r="I106" s="14" t="s">
        <v>9</v>
      </c>
      <c r="J106" s="40" t="s">
        <v>11</v>
      </c>
      <c r="K106" s="40" t="s">
        <v>25</v>
      </c>
      <c r="L106" s="40"/>
      <c r="M106" s="41" t="s">
        <v>197</v>
      </c>
      <c r="N106" s="42">
        <v>1</v>
      </c>
      <c r="O106" s="43">
        <v>5962</v>
      </c>
      <c r="P106" s="44">
        <f>+O106*N106</f>
        <v>5962</v>
      </c>
      <c r="Q106" s="44"/>
      <c r="R106" s="44"/>
      <c r="S106" s="44"/>
      <c r="T106" s="43">
        <f>+P106+Q106+R106+S106</f>
        <v>5962</v>
      </c>
      <c r="U106" s="43"/>
      <c r="W106" s="41" t="s">
        <v>391</v>
      </c>
      <c r="Z106" s="4"/>
      <c r="AH106" s="94"/>
      <c r="AI106" s="94"/>
    </row>
    <row r="107" spans="1:16384" s="41" customFormat="1" x14ac:dyDescent="0.35">
      <c r="A107" s="88" t="s">
        <v>354</v>
      </c>
      <c r="B107" s="101" t="s">
        <v>0</v>
      </c>
      <c r="C107" s="101"/>
      <c r="D107" s="39"/>
      <c r="E107" s="39"/>
      <c r="F107" s="14" t="s">
        <v>76</v>
      </c>
      <c r="G107" s="14" t="s">
        <v>48</v>
      </c>
      <c r="H107" s="14" t="s">
        <v>116</v>
      </c>
      <c r="I107" s="14" t="s">
        <v>116</v>
      </c>
      <c r="J107" s="40" t="s">
        <v>11</v>
      </c>
      <c r="K107" s="40"/>
      <c r="L107" s="40"/>
      <c r="N107" s="42">
        <v>1</v>
      </c>
      <c r="O107" s="43">
        <f>6736000/1430</f>
        <v>4710.4895104895104</v>
      </c>
      <c r="P107" s="44">
        <f>+O107*N107</f>
        <v>4710.4895104895104</v>
      </c>
      <c r="Q107" s="44"/>
      <c r="R107" s="44"/>
      <c r="S107" s="44"/>
      <c r="T107" s="43">
        <f>+P107+Q107+R107+S107</f>
        <v>4710.4895104895104</v>
      </c>
      <c r="U107" s="43"/>
      <c r="W107" s="41" t="s">
        <v>382</v>
      </c>
    </row>
    <row r="108" spans="1:16384" s="41" customFormat="1" x14ac:dyDescent="0.35">
      <c r="A108" s="88" t="s">
        <v>68</v>
      </c>
      <c r="B108" s="101" t="s">
        <v>0</v>
      </c>
      <c r="C108" s="101"/>
      <c r="D108" s="39"/>
      <c r="E108" s="39"/>
      <c r="F108" s="14" t="s">
        <v>76</v>
      </c>
      <c r="G108" s="14" t="s">
        <v>48</v>
      </c>
      <c r="H108" s="14" t="s">
        <v>38</v>
      </c>
      <c r="I108" s="14" t="s">
        <v>10</v>
      </c>
      <c r="J108" s="40" t="s">
        <v>11</v>
      </c>
      <c r="K108" s="40"/>
      <c r="L108" s="40"/>
      <c r="N108" s="42">
        <v>1</v>
      </c>
      <c r="O108" s="43">
        <v>4275</v>
      </c>
      <c r="P108" s="44">
        <f>+O108*N108</f>
        <v>4275</v>
      </c>
      <c r="Q108" s="44"/>
      <c r="R108" s="44"/>
      <c r="S108" s="44"/>
      <c r="T108" s="43">
        <f>+P108+Q108+R108+S108</f>
        <v>4275</v>
      </c>
      <c r="U108" s="43"/>
      <c r="W108" s="41" t="s">
        <v>382</v>
      </c>
      <c r="Z108" s="4"/>
      <c r="AA108" s="4"/>
      <c r="AH108" s="94"/>
      <c r="AI108" s="94"/>
    </row>
    <row r="109" spans="1:16384" s="41" customFormat="1" x14ac:dyDescent="0.35">
      <c r="A109" s="39" t="s">
        <v>61</v>
      </c>
      <c r="B109" s="101" t="s">
        <v>0</v>
      </c>
      <c r="C109" s="101"/>
      <c r="D109" s="39"/>
      <c r="E109" s="39"/>
      <c r="F109" s="14" t="s">
        <v>174</v>
      </c>
      <c r="G109" s="14" t="s">
        <v>48</v>
      </c>
      <c r="H109" s="14" t="s">
        <v>180</v>
      </c>
      <c r="I109" s="14" t="s">
        <v>10</v>
      </c>
      <c r="J109" s="40" t="s">
        <v>11</v>
      </c>
      <c r="K109" s="40" t="s">
        <v>26</v>
      </c>
      <c r="L109" s="40"/>
      <c r="N109" s="42">
        <v>1</v>
      </c>
      <c r="O109" s="43">
        <v>4257.3</v>
      </c>
      <c r="P109" s="44">
        <f>+O109*N109</f>
        <v>4257.3</v>
      </c>
      <c r="Q109" s="44"/>
      <c r="R109" s="44"/>
      <c r="S109" s="44"/>
      <c r="T109" s="43">
        <f>+P109+Q109+R109+S109</f>
        <v>4257.3</v>
      </c>
      <c r="U109" s="43"/>
      <c r="W109" s="41" t="s">
        <v>382</v>
      </c>
      <c r="Z109" s="4"/>
    </row>
    <row r="110" spans="1:16384" x14ac:dyDescent="0.35">
      <c r="A110" s="89" t="s">
        <v>491</v>
      </c>
      <c r="B110" s="128" t="s">
        <v>0</v>
      </c>
      <c r="C110" s="128"/>
      <c r="D110" s="89"/>
      <c r="E110" s="89"/>
      <c r="F110" s="120" t="s">
        <v>73</v>
      </c>
      <c r="G110" s="120" t="s">
        <v>48</v>
      </c>
      <c r="H110" s="120" t="s">
        <v>172</v>
      </c>
      <c r="I110" s="120" t="s">
        <v>70</v>
      </c>
      <c r="J110" s="121" t="s">
        <v>11</v>
      </c>
      <c r="K110" s="121"/>
      <c r="L110" s="121"/>
      <c r="M110" s="90"/>
      <c r="N110" s="122">
        <v>1</v>
      </c>
      <c r="O110" s="123">
        <v>4000</v>
      </c>
      <c r="P110" s="124">
        <f>+O110*N110</f>
        <v>4000</v>
      </c>
      <c r="Q110" s="124"/>
      <c r="R110" s="124"/>
      <c r="S110" s="124"/>
      <c r="T110" s="124">
        <f>+P110+Q110+R110+S110</f>
        <v>4000</v>
      </c>
      <c r="U110" s="90"/>
      <c r="V110" s="90"/>
      <c r="W110" s="90"/>
      <c r="X110" s="90"/>
      <c r="AH110" s="41"/>
      <c r="AI110" s="41"/>
    </row>
    <row r="111" spans="1:16384" x14ac:dyDescent="0.35">
      <c r="A111" s="39" t="s">
        <v>250</v>
      </c>
      <c r="B111" s="101" t="s">
        <v>0</v>
      </c>
      <c r="C111" s="101"/>
      <c r="D111" s="39"/>
      <c r="E111" s="39"/>
      <c r="F111" s="14" t="s">
        <v>76</v>
      </c>
      <c r="G111" s="14" t="s">
        <v>48</v>
      </c>
      <c r="H111" s="14" t="s">
        <v>46</v>
      </c>
      <c r="I111" s="14" t="s">
        <v>10</v>
      </c>
      <c r="J111" s="40" t="s">
        <v>11</v>
      </c>
      <c r="K111" s="40"/>
      <c r="L111" s="40"/>
      <c r="M111" s="41"/>
      <c r="N111" s="42">
        <v>1</v>
      </c>
      <c r="O111" s="43">
        <f>1900*2</f>
        <v>3800</v>
      </c>
      <c r="P111" s="44">
        <f>+O111*N111</f>
        <v>3800</v>
      </c>
      <c r="Q111" s="44"/>
      <c r="R111" s="44"/>
      <c r="S111" s="44"/>
      <c r="T111" s="43">
        <f>+P111+Q111+R111+S111</f>
        <v>3800</v>
      </c>
      <c r="U111" s="43"/>
      <c r="V111" s="41"/>
      <c r="W111" s="41" t="s">
        <v>382</v>
      </c>
      <c r="X111" s="41"/>
      <c r="Y111" s="67"/>
      <c r="Z111" s="60"/>
    </row>
    <row r="112" spans="1:16384" s="41" customFormat="1" x14ac:dyDescent="0.35">
      <c r="A112" s="39" t="s">
        <v>395</v>
      </c>
      <c r="B112" s="14" t="s">
        <v>0</v>
      </c>
      <c r="C112" s="14"/>
      <c r="D112" s="39"/>
      <c r="E112" s="39"/>
      <c r="F112" s="14" t="s">
        <v>78</v>
      </c>
      <c r="G112" s="14" t="s">
        <v>48</v>
      </c>
      <c r="H112" s="14" t="s">
        <v>46</v>
      </c>
      <c r="I112" s="14" t="s">
        <v>10</v>
      </c>
      <c r="J112" s="40" t="s">
        <v>11</v>
      </c>
      <c r="K112" s="40"/>
      <c r="L112" s="40"/>
      <c r="N112" s="42">
        <v>1</v>
      </c>
      <c r="O112" s="43">
        <v>3800</v>
      </c>
      <c r="P112" s="44">
        <f>+O112*N112</f>
        <v>3800</v>
      </c>
      <c r="Q112" s="44"/>
      <c r="R112" s="44"/>
      <c r="S112" s="44"/>
      <c r="T112" s="43">
        <f>+P112+Q112+R112+S112</f>
        <v>3800</v>
      </c>
      <c r="U112" s="43"/>
      <c r="W112" s="41" t="s">
        <v>430</v>
      </c>
      <c r="Z112" s="67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  <c r="ALS112" s="4"/>
      <c r="ALT112" s="4"/>
      <c r="ALU112" s="4"/>
      <c r="ALV112" s="4"/>
      <c r="ALW112" s="4"/>
      <c r="ALX112" s="4"/>
      <c r="ALY112" s="4"/>
      <c r="ALZ112" s="4"/>
      <c r="AMA112" s="4"/>
      <c r="AMB112" s="4"/>
      <c r="AMC112" s="4"/>
      <c r="AMD112" s="4"/>
      <c r="AME112" s="4"/>
      <c r="AMF112" s="4"/>
      <c r="AMG112" s="4"/>
      <c r="AMH112" s="4"/>
      <c r="AMI112" s="4"/>
      <c r="AMJ112" s="4"/>
      <c r="AMK112" s="4"/>
      <c r="AML112" s="4"/>
      <c r="AMM112" s="4"/>
      <c r="AMN112" s="4"/>
      <c r="AMO112" s="4"/>
      <c r="AMP112" s="4"/>
      <c r="AMQ112" s="4"/>
      <c r="AMR112" s="4"/>
      <c r="AMS112" s="4"/>
      <c r="AMT112" s="4"/>
      <c r="AMU112" s="4"/>
      <c r="AMV112" s="4"/>
      <c r="AMW112" s="4"/>
      <c r="AMX112" s="4"/>
      <c r="AMY112" s="4"/>
      <c r="AMZ112" s="4"/>
      <c r="ANA112" s="4"/>
      <c r="ANB112" s="4"/>
      <c r="ANC112" s="4"/>
      <c r="AND112" s="4"/>
      <c r="ANE112" s="4"/>
      <c r="ANF112" s="4"/>
      <c r="ANG112" s="4"/>
      <c r="ANH112" s="4"/>
      <c r="ANI112" s="4"/>
      <c r="ANJ112" s="4"/>
      <c r="ANK112" s="4"/>
      <c r="ANL112" s="4"/>
      <c r="ANM112" s="4"/>
      <c r="ANN112" s="4"/>
      <c r="ANO112" s="4"/>
      <c r="ANP112" s="4"/>
      <c r="ANQ112" s="4"/>
      <c r="ANR112" s="4"/>
      <c r="ANS112" s="4"/>
      <c r="ANT112" s="4"/>
      <c r="ANU112" s="4"/>
      <c r="ANV112" s="4"/>
      <c r="ANW112" s="4"/>
      <c r="ANX112" s="4"/>
      <c r="ANY112" s="4"/>
      <c r="ANZ112" s="4"/>
      <c r="AOA112" s="4"/>
      <c r="AOB112" s="4"/>
      <c r="AOC112" s="4"/>
      <c r="AOD112" s="4"/>
      <c r="AOE112" s="4"/>
      <c r="AOF112" s="4"/>
      <c r="AOG112" s="4"/>
      <c r="AOH112" s="4"/>
      <c r="AOI112" s="4"/>
      <c r="AOJ112" s="4"/>
      <c r="AOK112" s="4"/>
      <c r="AOL112" s="4"/>
      <c r="AOM112" s="4"/>
      <c r="AON112" s="4"/>
      <c r="AOO112" s="4"/>
      <c r="AOP112" s="4"/>
      <c r="AOQ112" s="4"/>
      <c r="AOR112" s="4"/>
      <c r="AOS112" s="4"/>
      <c r="AOT112" s="4"/>
      <c r="AOU112" s="4"/>
      <c r="AOV112" s="4"/>
      <c r="AOW112" s="4"/>
      <c r="AOX112" s="4"/>
      <c r="AOY112" s="4"/>
      <c r="AOZ112" s="4"/>
      <c r="APA112" s="4"/>
      <c r="APB112" s="4"/>
      <c r="APC112" s="4"/>
      <c r="APD112" s="4"/>
      <c r="APE112" s="4"/>
      <c r="APF112" s="4"/>
      <c r="APG112" s="4"/>
      <c r="APH112" s="4"/>
      <c r="API112" s="4"/>
      <c r="APJ112" s="4"/>
      <c r="APK112" s="4"/>
      <c r="APL112" s="4"/>
      <c r="APM112" s="4"/>
      <c r="APN112" s="4"/>
      <c r="APO112" s="4"/>
      <c r="APP112" s="4"/>
      <c r="APQ112" s="4"/>
      <c r="APR112" s="4"/>
      <c r="APS112" s="4"/>
      <c r="APT112" s="4"/>
      <c r="APU112" s="4"/>
      <c r="APV112" s="4"/>
      <c r="APW112" s="4"/>
      <c r="APX112" s="4"/>
      <c r="APY112" s="4"/>
      <c r="APZ112" s="4"/>
      <c r="AQA112" s="4"/>
      <c r="AQB112" s="4"/>
      <c r="AQC112" s="4"/>
      <c r="AQD112" s="4"/>
      <c r="AQE112" s="4"/>
      <c r="AQF112" s="4"/>
      <c r="AQG112" s="4"/>
      <c r="AQH112" s="4"/>
      <c r="AQI112" s="4"/>
      <c r="AQJ112" s="4"/>
      <c r="AQK112" s="4"/>
      <c r="AQL112" s="4"/>
      <c r="AQM112" s="4"/>
      <c r="AQN112" s="4"/>
      <c r="AQO112" s="4"/>
      <c r="AQP112" s="4"/>
      <c r="AQQ112" s="4"/>
      <c r="AQR112" s="4"/>
      <c r="AQS112" s="4"/>
      <c r="AQT112" s="4"/>
      <c r="AQU112" s="4"/>
      <c r="AQV112" s="4"/>
      <c r="AQW112" s="4"/>
      <c r="AQX112" s="4"/>
      <c r="AQY112" s="4"/>
      <c r="AQZ112" s="4"/>
      <c r="ARA112" s="4"/>
      <c r="ARB112" s="4"/>
      <c r="ARC112" s="4"/>
      <c r="ARD112" s="4"/>
      <c r="ARE112" s="4"/>
      <c r="ARF112" s="4"/>
      <c r="ARG112" s="4"/>
      <c r="ARH112" s="4"/>
      <c r="ARI112" s="4"/>
      <c r="ARJ112" s="4"/>
      <c r="ARK112" s="4"/>
      <c r="ARL112" s="4"/>
      <c r="ARM112" s="4"/>
      <c r="ARN112" s="4"/>
      <c r="ARO112" s="4"/>
      <c r="ARP112" s="4"/>
      <c r="ARQ112" s="4"/>
      <c r="ARR112" s="4"/>
      <c r="ARS112" s="4"/>
      <c r="ART112" s="4"/>
      <c r="ARU112" s="4"/>
      <c r="ARV112" s="4"/>
      <c r="ARW112" s="4"/>
      <c r="ARX112" s="4"/>
      <c r="ARY112" s="4"/>
      <c r="ARZ112" s="4"/>
      <c r="ASA112" s="4"/>
      <c r="ASB112" s="4"/>
      <c r="ASC112" s="4"/>
      <c r="ASD112" s="4"/>
      <c r="ASE112" s="4"/>
      <c r="ASF112" s="4"/>
      <c r="ASG112" s="4"/>
      <c r="ASH112" s="4"/>
      <c r="ASI112" s="4"/>
      <c r="ASJ112" s="4"/>
      <c r="ASK112" s="4"/>
      <c r="ASL112" s="4"/>
      <c r="ASM112" s="4"/>
      <c r="ASN112" s="4"/>
      <c r="ASO112" s="4"/>
      <c r="ASP112" s="4"/>
      <c r="ASQ112" s="4"/>
      <c r="ASR112" s="4"/>
      <c r="ASS112" s="4"/>
      <c r="AST112" s="4"/>
      <c r="ASU112" s="4"/>
      <c r="ASV112" s="4"/>
      <c r="ASW112" s="4"/>
      <c r="ASX112" s="4"/>
      <c r="ASY112" s="4"/>
      <c r="ASZ112" s="4"/>
      <c r="ATA112" s="4"/>
      <c r="ATB112" s="4"/>
      <c r="ATC112" s="4"/>
      <c r="ATD112" s="4"/>
      <c r="ATE112" s="4"/>
      <c r="ATF112" s="4"/>
      <c r="ATG112" s="4"/>
      <c r="ATH112" s="4"/>
      <c r="ATI112" s="4"/>
      <c r="ATJ112" s="4"/>
      <c r="ATK112" s="4"/>
      <c r="ATL112" s="4"/>
      <c r="ATM112" s="4"/>
      <c r="ATN112" s="4"/>
      <c r="ATO112" s="4"/>
      <c r="ATP112" s="4"/>
      <c r="ATQ112" s="4"/>
      <c r="ATR112" s="4"/>
      <c r="ATS112" s="4"/>
      <c r="ATT112" s="4"/>
      <c r="ATU112" s="4"/>
      <c r="ATV112" s="4"/>
      <c r="ATW112" s="4"/>
      <c r="ATX112" s="4"/>
      <c r="ATY112" s="4"/>
      <c r="ATZ112" s="4"/>
      <c r="AUA112" s="4"/>
      <c r="AUB112" s="4"/>
      <c r="AUC112" s="4"/>
      <c r="AUD112" s="4"/>
      <c r="AUE112" s="4"/>
      <c r="AUF112" s="4"/>
      <c r="AUG112" s="4"/>
      <c r="AUH112" s="4"/>
      <c r="AUI112" s="4"/>
      <c r="AUJ112" s="4"/>
      <c r="AUK112" s="4"/>
      <c r="AUL112" s="4"/>
      <c r="AUM112" s="4"/>
      <c r="AUN112" s="4"/>
      <c r="AUO112" s="4"/>
      <c r="AUP112" s="4"/>
      <c r="AUQ112" s="4"/>
      <c r="AUR112" s="4"/>
      <c r="AUS112" s="4"/>
      <c r="AUT112" s="4"/>
      <c r="AUU112" s="4"/>
      <c r="AUV112" s="4"/>
      <c r="AUW112" s="4"/>
      <c r="AUX112" s="4"/>
      <c r="AUY112" s="4"/>
      <c r="AUZ112" s="4"/>
      <c r="AVA112" s="4"/>
      <c r="AVB112" s="4"/>
      <c r="AVC112" s="4"/>
      <c r="AVD112" s="4"/>
      <c r="AVE112" s="4"/>
      <c r="AVF112" s="4"/>
      <c r="AVG112" s="4"/>
      <c r="AVH112" s="4"/>
      <c r="AVI112" s="4"/>
      <c r="AVJ112" s="4"/>
      <c r="AVK112" s="4"/>
      <c r="AVL112" s="4"/>
      <c r="AVM112" s="4"/>
      <c r="AVN112" s="4"/>
      <c r="AVO112" s="4"/>
      <c r="AVP112" s="4"/>
      <c r="AVQ112" s="4"/>
      <c r="AVR112" s="4"/>
      <c r="AVS112" s="4"/>
      <c r="AVT112" s="4"/>
      <c r="AVU112" s="4"/>
      <c r="AVV112" s="4"/>
      <c r="AVW112" s="4"/>
      <c r="AVX112" s="4"/>
      <c r="AVY112" s="4"/>
      <c r="AVZ112" s="4"/>
      <c r="AWA112" s="4"/>
      <c r="AWB112" s="4"/>
      <c r="AWC112" s="4"/>
      <c r="AWD112" s="4"/>
      <c r="AWE112" s="4"/>
      <c r="AWF112" s="4"/>
      <c r="AWG112" s="4"/>
      <c r="AWH112" s="4"/>
      <c r="AWI112" s="4"/>
      <c r="AWJ112" s="4"/>
      <c r="AWK112" s="4"/>
      <c r="AWL112" s="4"/>
      <c r="AWM112" s="4"/>
      <c r="AWN112" s="4"/>
      <c r="AWO112" s="4"/>
      <c r="AWP112" s="4"/>
      <c r="AWQ112" s="4"/>
      <c r="AWR112" s="4"/>
      <c r="AWS112" s="4"/>
      <c r="AWT112" s="4"/>
      <c r="AWU112" s="4"/>
      <c r="AWV112" s="4"/>
      <c r="AWW112" s="4"/>
      <c r="AWX112" s="4"/>
      <c r="AWY112" s="4"/>
      <c r="AWZ112" s="4"/>
      <c r="AXA112" s="4"/>
      <c r="AXB112" s="4"/>
      <c r="AXC112" s="4"/>
      <c r="AXD112" s="4"/>
      <c r="AXE112" s="4"/>
      <c r="AXF112" s="4"/>
      <c r="AXG112" s="4"/>
      <c r="AXH112" s="4"/>
      <c r="AXI112" s="4"/>
      <c r="AXJ112" s="4"/>
      <c r="AXK112" s="4"/>
      <c r="AXL112" s="4"/>
      <c r="AXM112" s="4"/>
      <c r="AXN112" s="4"/>
      <c r="AXO112" s="4"/>
      <c r="AXP112" s="4"/>
      <c r="AXQ112" s="4"/>
      <c r="AXR112" s="4"/>
      <c r="AXS112" s="4"/>
      <c r="AXT112" s="4"/>
      <c r="AXU112" s="4"/>
      <c r="AXV112" s="4"/>
      <c r="AXW112" s="4"/>
      <c r="AXX112" s="4"/>
      <c r="AXY112" s="4"/>
      <c r="AXZ112" s="4"/>
      <c r="AYA112" s="4"/>
      <c r="AYB112" s="4"/>
      <c r="AYC112" s="4"/>
      <c r="AYD112" s="4"/>
      <c r="AYE112" s="4"/>
      <c r="AYF112" s="4"/>
      <c r="AYG112" s="4"/>
      <c r="AYH112" s="4"/>
      <c r="AYI112" s="4"/>
      <c r="AYJ112" s="4"/>
      <c r="AYK112" s="4"/>
      <c r="AYL112" s="4"/>
      <c r="AYM112" s="4"/>
      <c r="AYN112" s="4"/>
      <c r="AYO112" s="4"/>
      <c r="AYP112" s="4"/>
      <c r="AYQ112" s="4"/>
      <c r="AYR112" s="4"/>
      <c r="AYS112" s="4"/>
      <c r="AYT112" s="4"/>
      <c r="AYU112" s="4"/>
      <c r="AYV112" s="4"/>
      <c r="AYW112" s="4"/>
      <c r="AYX112" s="4"/>
      <c r="AYY112" s="4"/>
      <c r="AYZ112" s="4"/>
      <c r="AZA112" s="4"/>
      <c r="AZB112" s="4"/>
      <c r="AZC112" s="4"/>
      <c r="AZD112" s="4"/>
      <c r="AZE112" s="4"/>
      <c r="AZF112" s="4"/>
      <c r="AZG112" s="4"/>
      <c r="AZH112" s="4"/>
      <c r="AZI112" s="4"/>
      <c r="AZJ112" s="4"/>
      <c r="AZK112" s="4"/>
      <c r="AZL112" s="4"/>
      <c r="AZM112" s="4"/>
      <c r="AZN112" s="4"/>
      <c r="AZO112" s="4"/>
      <c r="AZP112" s="4"/>
      <c r="AZQ112" s="4"/>
      <c r="AZR112" s="4"/>
      <c r="AZS112" s="4"/>
      <c r="AZT112" s="4"/>
      <c r="AZU112" s="4"/>
      <c r="AZV112" s="4"/>
      <c r="AZW112" s="4"/>
      <c r="AZX112" s="4"/>
      <c r="AZY112" s="4"/>
      <c r="AZZ112" s="4"/>
      <c r="BAA112" s="4"/>
      <c r="BAB112" s="4"/>
      <c r="BAC112" s="4"/>
      <c r="BAD112" s="4"/>
      <c r="BAE112" s="4"/>
      <c r="BAF112" s="4"/>
      <c r="BAG112" s="4"/>
      <c r="BAH112" s="4"/>
      <c r="BAI112" s="4"/>
      <c r="BAJ112" s="4"/>
      <c r="BAK112" s="4"/>
      <c r="BAL112" s="4"/>
      <c r="BAM112" s="4"/>
      <c r="BAN112" s="4"/>
      <c r="BAO112" s="4"/>
      <c r="BAP112" s="4"/>
      <c r="BAQ112" s="4"/>
      <c r="BAR112" s="4"/>
      <c r="BAS112" s="4"/>
      <c r="BAT112" s="4"/>
      <c r="BAU112" s="4"/>
      <c r="BAV112" s="4"/>
      <c r="BAW112" s="4"/>
      <c r="BAX112" s="4"/>
      <c r="BAY112" s="4"/>
      <c r="BAZ112" s="4"/>
      <c r="BBA112" s="4"/>
      <c r="BBB112" s="4"/>
      <c r="BBC112" s="4"/>
      <c r="BBD112" s="4"/>
      <c r="BBE112" s="4"/>
      <c r="BBF112" s="4"/>
      <c r="BBG112" s="4"/>
      <c r="BBH112" s="4"/>
      <c r="BBI112" s="4"/>
      <c r="BBJ112" s="4"/>
      <c r="BBK112" s="4"/>
      <c r="BBL112" s="4"/>
      <c r="BBM112" s="4"/>
      <c r="BBN112" s="4"/>
      <c r="BBO112" s="4"/>
      <c r="BBP112" s="4"/>
      <c r="BBQ112" s="4"/>
      <c r="BBR112" s="4"/>
      <c r="BBS112" s="4"/>
      <c r="BBT112" s="4"/>
      <c r="BBU112" s="4"/>
      <c r="BBV112" s="4"/>
      <c r="BBW112" s="4"/>
      <c r="BBX112" s="4"/>
      <c r="BBY112" s="4"/>
      <c r="BBZ112" s="4"/>
      <c r="BCA112" s="4"/>
      <c r="BCB112" s="4"/>
      <c r="BCC112" s="4"/>
      <c r="BCD112" s="4"/>
      <c r="BCE112" s="4"/>
      <c r="BCF112" s="4"/>
      <c r="BCG112" s="4"/>
      <c r="BCH112" s="4"/>
      <c r="BCI112" s="4"/>
      <c r="BCJ112" s="4"/>
      <c r="BCK112" s="4"/>
      <c r="BCL112" s="4"/>
      <c r="BCM112" s="4"/>
      <c r="BCN112" s="4"/>
      <c r="BCO112" s="4"/>
      <c r="BCP112" s="4"/>
      <c r="BCQ112" s="4"/>
      <c r="BCR112" s="4"/>
      <c r="BCS112" s="4"/>
      <c r="BCT112" s="4"/>
      <c r="BCU112" s="4"/>
      <c r="BCV112" s="4"/>
      <c r="BCW112" s="4"/>
      <c r="BCX112" s="4"/>
      <c r="BCY112" s="4"/>
      <c r="BCZ112" s="4"/>
      <c r="BDA112" s="4"/>
      <c r="BDB112" s="4"/>
      <c r="BDC112" s="4"/>
      <c r="BDD112" s="4"/>
      <c r="BDE112" s="4"/>
      <c r="BDF112" s="4"/>
      <c r="BDG112" s="4"/>
      <c r="BDH112" s="4"/>
      <c r="BDI112" s="4"/>
      <c r="BDJ112" s="4"/>
      <c r="BDK112" s="4"/>
      <c r="BDL112" s="4"/>
      <c r="BDM112" s="4"/>
      <c r="BDN112" s="4"/>
      <c r="BDO112" s="4"/>
      <c r="BDP112" s="4"/>
      <c r="BDQ112" s="4"/>
      <c r="BDR112" s="4"/>
      <c r="BDS112" s="4"/>
      <c r="BDT112" s="4"/>
      <c r="BDU112" s="4"/>
      <c r="BDV112" s="4"/>
      <c r="BDW112" s="4"/>
      <c r="BDX112" s="4"/>
      <c r="BDY112" s="4"/>
      <c r="BDZ112" s="4"/>
      <c r="BEA112" s="4"/>
      <c r="BEB112" s="4"/>
      <c r="BEC112" s="4"/>
      <c r="BED112" s="4"/>
      <c r="BEE112" s="4"/>
      <c r="BEF112" s="4"/>
      <c r="BEG112" s="4"/>
      <c r="BEH112" s="4"/>
      <c r="BEI112" s="4"/>
      <c r="BEJ112" s="4"/>
      <c r="BEK112" s="4"/>
      <c r="BEL112" s="4"/>
      <c r="BEM112" s="4"/>
      <c r="BEN112" s="4"/>
      <c r="BEO112" s="4"/>
      <c r="BEP112" s="4"/>
      <c r="BEQ112" s="4"/>
      <c r="BER112" s="4"/>
      <c r="BES112" s="4"/>
      <c r="BET112" s="4"/>
      <c r="BEU112" s="4"/>
      <c r="BEV112" s="4"/>
      <c r="BEW112" s="4"/>
      <c r="BEX112" s="4"/>
      <c r="BEY112" s="4"/>
      <c r="BEZ112" s="4"/>
      <c r="BFA112" s="4"/>
      <c r="BFB112" s="4"/>
      <c r="BFC112" s="4"/>
      <c r="BFD112" s="4"/>
      <c r="BFE112" s="4"/>
      <c r="BFF112" s="4"/>
      <c r="BFG112" s="4"/>
      <c r="BFH112" s="4"/>
      <c r="BFI112" s="4"/>
      <c r="BFJ112" s="4"/>
      <c r="BFK112" s="4"/>
      <c r="BFL112" s="4"/>
      <c r="BFM112" s="4"/>
      <c r="BFN112" s="4"/>
      <c r="BFO112" s="4"/>
      <c r="BFP112" s="4"/>
      <c r="BFQ112" s="4"/>
      <c r="BFR112" s="4"/>
      <c r="BFS112" s="4"/>
      <c r="BFT112" s="4"/>
      <c r="BFU112" s="4"/>
      <c r="BFV112" s="4"/>
      <c r="BFW112" s="4"/>
      <c r="BFX112" s="4"/>
      <c r="BFY112" s="4"/>
      <c r="BFZ112" s="4"/>
      <c r="BGA112" s="4"/>
      <c r="BGB112" s="4"/>
      <c r="BGC112" s="4"/>
      <c r="BGD112" s="4"/>
      <c r="BGE112" s="4"/>
      <c r="BGF112" s="4"/>
      <c r="BGG112" s="4"/>
      <c r="BGH112" s="4"/>
      <c r="BGI112" s="4"/>
      <c r="BGJ112" s="4"/>
      <c r="BGK112" s="4"/>
      <c r="BGL112" s="4"/>
      <c r="BGM112" s="4"/>
      <c r="BGN112" s="4"/>
      <c r="BGO112" s="4"/>
      <c r="BGP112" s="4"/>
      <c r="BGQ112" s="4"/>
      <c r="BGR112" s="4"/>
      <c r="BGS112" s="4"/>
      <c r="BGT112" s="4"/>
      <c r="BGU112" s="4"/>
      <c r="BGV112" s="4"/>
      <c r="BGW112" s="4"/>
      <c r="BGX112" s="4"/>
      <c r="BGY112" s="4"/>
      <c r="BGZ112" s="4"/>
      <c r="BHA112" s="4"/>
      <c r="BHB112" s="4"/>
      <c r="BHC112" s="4"/>
      <c r="BHD112" s="4"/>
      <c r="BHE112" s="4"/>
      <c r="BHF112" s="4"/>
      <c r="BHG112" s="4"/>
      <c r="BHH112" s="4"/>
      <c r="BHI112" s="4"/>
      <c r="BHJ112" s="4"/>
      <c r="BHK112" s="4"/>
      <c r="BHL112" s="4"/>
      <c r="BHM112" s="4"/>
      <c r="BHN112" s="4"/>
      <c r="BHO112" s="4"/>
      <c r="BHP112" s="4"/>
      <c r="BHQ112" s="4"/>
      <c r="BHR112" s="4"/>
      <c r="BHS112" s="4"/>
      <c r="BHT112" s="4"/>
      <c r="BHU112" s="4"/>
      <c r="BHV112" s="4"/>
      <c r="BHW112" s="4"/>
      <c r="BHX112" s="4"/>
      <c r="BHY112" s="4"/>
      <c r="BHZ112" s="4"/>
      <c r="BIA112" s="4"/>
      <c r="BIB112" s="4"/>
      <c r="BIC112" s="4"/>
      <c r="BID112" s="4"/>
      <c r="BIE112" s="4"/>
      <c r="BIF112" s="4"/>
      <c r="BIG112" s="4"/>
      <c r="BIH112" s="4"/>
      <c r="BII112" s="4"/>
      <c r="BIJ112" s="4"/>
      <c r="BIK112" s="4"/>
      <c r="BIL112" s="4"/>
      <c r="BIM112" s="4"/>
      <c r="BIN112" s="4"/>
      <c r="BIO112" s="4"/>
      <c r="BIP112" s="4"/>
      <c r="BIQ112" s="4"/>
      <c r="BIR112" s="4"/>
      <c r="BIS112" s="4"/>
      <c r="BIT112" s="4"/>
      <c r="BIU112" s="4"/>
      <c r="BIV112" s="4"/>
      <c r="BIW112" s="4"/>
      <c r="BIX112" s="4"/>
      <c r="BIY112" s="4"/>
      <c r="BIZ112" s="4"/>
      <c r="BJA112" s="4"/>
      <c r="BJB112" s="4"/>
      <c r="BJC112" s="4"/>
      <c r="BJD112" s="4"/>
      <c r="BJE112" s="4"/>
      <c r="BJF112" s="4"/>
      <c r="BJG112" s="4"/>
      <c r="BJH112" s="4"/>
      <c r="BJI112" s="4"/>
      <c r="BJJ112" s="4"/>
      <c r="BJK112" s="4"/>
      <c r="BJL112" s="4"/>
      <c r="BJM112" s="4"/>
      <c r="BJN112" s="4"/>
      <c r="BJO112" s="4"/>
      <c r="BJP112" s="4"/>
      <c r="BJQ112" s="4"/>
      <c r="BJR112" s="4"/>
      <c r="BJS112" s="4"/>
      <c r="BJT112" s="4"/>
      <c r="BJU112" s="4"/>
      <c r="BJV112" s="4"/>
      <c r="BJW112" s="4"/>
      <c r="BJX112" s="4"/>
      <c r="BJY112" s="4"/>
      <c r="BJZ112" s="4"/>
      <c r="BKA112" s="4"/>
      <c r="BKB112" s="4"/>
      <c r="BKC112" s="4"/>
      <c r="BKD112" s="4"/>
      <c r="BKE112" s="4"/>
      <c r="BKF112" s="4"/>
      <c r="BKG112" s="4"/>
      <c r="BKH112" s="4"/>
      <c r="BKI112" s="4"/>
      <c r="BKJ112" s="4"/>
      <c r="BKK112" s="4"/>
      <c r="BKL112" s="4"/>
      <c r="BKM112" s="4"/>
      <c r="BKN112" s="4"/>
      <c r="BKO112" s="4"/>
      <c r="BKP112" s="4"/>
      <c r="BKQ112" s="4"/>
      <c r="BKR112" s="4"/>
      <c r="BKS112" s="4"/>
      <c r="BKT112" s="4"/>
      <c r="BKU112" s="4"/>
      <c r="BKV112" s="4"/>
      <c r="BKW112" s="4"/>
      <c r="BKX112" s="4"/>
      <c r="BKY112" s="4"/>
      <c r="BKZ112" s="4"/>
      <c r="BLA112" s="4"/>
      <c r="BLB112" s="4"/>
      <c r="BLC112" s="4"/>
      <c r="BLD112" s="4"/>
      <c r="BLE112" s="4"/>
      <c r="BLF112" s="4"/>
      <c r="BLG112" s="4"/>
      <c r="BLH112" s="4"/>
      <c r="BLI112" s="4"/>
      <c r="BLJ112" s="4"/>
      <c r="BLK112" s="4"/>
      <c r="BLL112" s="4"/>
      <c r="BLM112" s="4"/>
      <c r="BLN112" s="4"/>
      <c r="BLO112" s="4"/>
      <c r="BLP112" s="4"/>
      <c r="BLQ112" s="4"/>
      <c r="BLR112" s="4"/>
      <c r="BLS112" s="4"/>
      <c r="BLT112" s="4"/>
      <c r="BLU112" s="4"/>
      <c r="BLV112" s="4"/>
      <c r="BLW112" s="4"/>
      <c r="BLX112" s="4"/>
      <c r="BLY112" s="4"/>
      <c r="BLZ112" s="4"/>
      <c r="BMA112" s="4"/>
      <c r="BMB112" s="4"/>
      <c r="BMC112" s="4"/>
      <c r="BMD112" s="4"/>
      <c r="BME112" s="4"/>
      <c r="BMF112" s="4"/>
      <c r="BMG112" s="4"/>
      <c r="BMH112" s="4"/>
      <c r="BMI112" s="4"/>
      <c r="BMJ112" s="4"/>
      <c r="BMK112" s="4"/>
      <c r="BML112" s="4"/>
      <c r="BMM112" s="4"/>
      <c r="BMN112" s="4"/>
      <c r="BMO112" s="4"/>
      <c r="BMP112" s="4"/>
      <c r="BMQ112" s="4"/>
      <c r="BMR112" s="4"/>
      <c r="BMS112" s="4"/>
      <c r="BMT112" s="4"/>
      <c r="BMU112" s="4"/>
      <c r="BMV112" s="4"/>
      <c r="BMW112" s="4"/>
      <c r="BMX112" s="4"/>
      <c r="BMY112" s="4"/>
      <c r="BMZ112" s="4"/>
      <c r="BNA112" s="4"/>
      <c r="BNB112" s="4"/>
      <c r="BNC112" s="4"/>
      <c r="BND112" s="4"/>
      <c r="BNE112" s="4"/>
      <c r="BNF112" s="4"/>
      <c r="BNG112" s="4"/>
      <c r="BNH112" s="4"/>
      <c r="BNI112" s="4"/>
      <c r="BNJ112" s="4"/>
      <c r="BNK112" s="4"/>
      <c r="BNL112" s="4"/>
      <c r="BNM112" s="4"/>
      <c r="BNN112" s="4"/>
      <c r="BNO112" s="4"/>
      <c r="BNP112" s="4"/>
      <c r="BNQ112" s="4"/>
      <c r="BNR112" s="4"/>
      <c r="BNS112" s="4"/>
      <c r="BNT112" s="4"/>
      <c r="BNU112" s="4"/>
      <c r="BNV112" s="4"/>
      <c r="BNW112" s="4"/>
      <c r="BNX112" s="4"/>
      <c r="BNY112" s="4"/>
      <c r="BNZ112" s="4"/>
      <c r="BOA112" s="4"/>
      <c r="BOB112" s="4"/>
      <c r="BOC112" s="4"/>
      <c r="BOD112" s="4"/>
      <c r="BOE112" s="4"/>
      <c r="BOF112" s="4"/>
      <c r="BOG112" s="4"/>
      <c r="BOH112" s="4"/>
      <c r="BOI112" s="4"/>
      <c r="BOJ112" s="4"/>
      <c r="BOK112" s="4"/>
      <c r="BOL112" s="4"/>
      <c r="BOM112" s="4"/>
      <c r="BON112" s="4"/>
      <c r="BOO112" s="4"/>
      <c r="BOP112" s="4"/>
      <c r="BOQ112" s="4"/>
      <c r="BOR112" s="4"/>
      <c r="BOS112" s="4"/>
      <c r="BOT112" s="4"/>
      <c r="BOU112" s="4"/>
      <c r="BOV112" s="4"/>
      <c r="BOW112" s="4"/>
      <c r="BOX112" s="4"/>
      <c r="BOY112" s="4"/>
      <c r="BOZ112" s="4"/>
      <c r="BPA112" s="4"/>
      <c r="BPB112" s="4"/>
      <c r="BPC112" s="4"/>
      <c r="BPD112" s="4"/>
      <c r="BPE112" s="4"/>
      <c r="BPF112" s="4"/>
      <c r="BPG112" s="4"/>
      <c r="BPH112" s="4"/>
      <c r="BPI112" s="4"/>
      <c r="BPJ112" s="4"/>
      <c r="BPK112" s="4"/>
      <c r="BPL112" s="4"/>
      <c r="BPM112" s="4"/>
      <c r="BPN112" s="4"/>
      <c r="BPO112" s="4"/>
      <c r="BPP112" s="4"/>
      <c r="BPQ112" s="4"/>
      <c r="BPR112" s="4"/>
      <c r="BPS112" s="4"/>
      <c r="BPT112" s="4"/>
      <c r="BPU112" s="4"/>
      <c r="BPV112" s="4"/>
      <c r="BPW112" s="4"/>
      <c r="BPX112" s="4"/>
      <c r="BPY112" s="4"/>
      <c r="BPZ112" s="4"/>
      <c r="BQA112" s="4"/>
      <c r="BQB112" s="4"/>
      <c r="BQC112" s="4"/>
      <c r="BQD112" s="4"/>
      <c r="BQE112" s="4"/>
      <c r="BQF112" s="4"/>
      <c r="BQG112" s="4"/>
      <c r="BQH112" s="4"/>
      <c r="BQI112" s="4"/>
      <c r="BQJ112" s="4"/>
      <c r="BQK112" s="4"/>
      <c r="BQL112" s="4"/>
      <c r="BQM112" s="4"/>
      <c r="BQN112" s="4"/>
      <c r="BQO112" s="4"/>
      <c r="BQP112" s="4"/>
      <c r="BQQ112" s="4"/>
      <c r="BQR112" s="4"/>
      <c r="BQS112" s="4"/>
      <c r="BQT112" s="4"/>
      <c r="BQU112" s="4"/>
      <c r="BQV112" s="4"/>
      <c r="BQW112" s="4"/>
      <c r="BQX112" s="4"/>
      <c r="BQY112" s="4"/>
      <c r="BQZ112" s="4"/>
      <c r="BRA112" s="4"/>
      <c r="BRB112" s="4"/>
      <c r="BRC112" s="4"/>
      <c r="BRD112" s="4"/>
      <c r="BRE112" s="4"/>
      <c r="BRF112" s="4"/>
      <c r="BRG112" s="4"/>
      <c r="BRH112" s="4"/>
      <c r="BRI112" s="4"/>
      <c r="BRJ112" s="4"/>
      <c r="BRK112" s="4"/>
      <c r="BRL112" s="4"/>
      <c r="BRM112" s="4"/>
      <c r="BRN112" s="4"/>
      <c r="BRO112" s="4"/>
      <c r="BRP112" s="4"/>
      <c r="BRQ112" s="4"/>
      <c r="BRR112" s="4"/>
      <c r="BRS112" s="4"/>
      <c r="BRT112" s="4"/>
      <c r="BRU112" s="4"/>
      <c r="BRV112" s="4"/>
      <c r="BRW112" s="4"/>
      <c r="BRX112" s="4"/>
      <c r="BRY112" s="4"/>
      <c r="BRZ112" s="4"/>
      <c r="BSA112" s="4"/>
      <c r="BSB112" s="4"/>
      <c r="BSC112" s="4"/>
      <c r="BSD112" s="4"/>
      <c r="BSE112" s="4"/>
      <c r="BSF112" s="4"/>
      <c r="BSG112" s="4"/>
      <c r="BSH112" s="4"/>
      <c r="BSI112" s="4"/>
      <c r="BSJ112" s="4"/>
      <c r="BSK112" s="4"/>
      <c r="BSL112" s="4"/>
      <c r="BSM112" s="4"/>
      <c r="BSN112" s="4"/>
      <c r="BSO112" s="4"/>
      <c r="BSP112" s="4"/>
      <c r="BSQ112" s="4"/>
      <c r="BSR112" s="4"/>
      <c r="BSS112" s="4"/>
      <c r="BST112" s="4"/>
      <c r="BSU112" s="4"/>
      <c r="BSV112" s="4"/>
      <c r="BSW112" s="4"/>
      <c r="BSX112" s="4"/>
      <c r="BSY112" s="4"/>
      <c r="BSZ112" s="4"/>
      <c r="BTA112" s="4"/>
      <c r="BTB112" s="4"/>
      <c r="BTC112" s="4"/>
      <c r="BTD112" s="4"/>
      <c r="BTE112" s="4"/>
      <c r="BTF112" s="4"/>
      <c r="BTG112" s="4"/>
      <c r="BTH112" s="4"/>
      <c r="BTI112" s="4"/>
      <c r="BTJ112" s="4"/>
      <c r="BTK112" s="4"/>
      <c r="BTL112" s="4"/>
      <c r="BTM112" s="4"/>
      <c r="BTN112" s="4"/>
      <c r="BTO112" s="4"/>
      <c r="BTP112" s="4"/>
      <c r="BTQ112" s="4"/>
      <c r="BTR112" s="4"/>
      <c r="BTS112" s="4"/>
      <c r="BTT112" s="4"/>
      <c r="BTU112" s="4"/>
      <c r="BTV112" s="4"/>
      <c r="BTW112" s="4"/>
      <c r="BTX112" s="4"/>
      <c r="BTY112" s="4"/>
      <c r="BTZ112" s="4"/>
      <c r="BUA112" s="4"/>
      <c r="BUB112" s="4"/>
      <c r="BUC112" s="4"/>
      <c r="BUD112" s="4"/>
      <c r="BUE112" s="4"/>
      <c r="BUF112" s="4"/>
      <c r="BUG112" s="4"/>
      <c r="BUH112" s="4"/>
      <c r="BUI112" s="4"/>
      <c r="BUJ112" s="4"/>
      <c r="BUK112" s="4"/>
      <c r="BUL112" s="4"/>
      <c r="BUM112" s="4"/>
      <c r="BUN112" s="4"/>
      <c r="BUO112" s="4"/>
      <c r="BUP112" s="4"/>
      <c r="BUQ112" s="4"/>
      <c r="BUR112" s="4"/>
      <c r="BUS112" s="4"/>
      <c r="BUT112" s="4"/>
      <c r="BUU112" s="4"/>
      <c r="BUV112" s="4"/>
      <c r="BUW112" s="4"/>
      <c r="BUX112" s="4"/>
      <c r="BUY112" s="4"/>
      <c r="BUZ112" s="4"/>
      <c r="BVA112" s="4"/>
      <c r="BVB112" s="4"/>
      <c r="BVC112" s="4"/>
      <c r="BVD112" s="4"/>
      <c r="BVE112" s="4"/>
      <c r="BVF112" s="4"/>
      <c r="BVG112" s="4"/>
      <c r="BVH112" s="4"/>
      <c r="BVI112" s="4"/>
      <c r="BVJ112" s="4"/>
      <c r="BVK112" s="4"/>
      <c r="BVL112" s="4"/>
      <c r="BVM112" s="4"/>
      <c r="BVN112" s="4"/>
      <c r="BVO112" s="4"/>
      <c r="BVP112" s="4"/>
      <c r="BVQ112" s="4"/>
      <c r="BVR112" s="4"/>
      <c r="BVS112" s="4"/>
      <c r="BVT112" s="4"/>
      <c r="BVU112" s="4"/>
      <c r="BVV112" s="4"/>
      <c r="BVW112" s="4"/>
      <c r="BVX112" s="4"/>
      <c r="BVY112" s="4"/>
      <c r="BVZ112" s="4"/>
      <c r="BWA112" s="4"/>
      <c r="BWB112" s="4"/>
      <c r="BWC112" s="4"/>
      <c r="BWD112" s="4"/>
      <c r="BWE112" s="4"/>
      <c r="BWF112" s="4"/>
      <c r="BWG112" s="4"/>
      <c r="BWH112" s="4"/>
      <c r="BWI112" s="4"/>
      <c r="BWJ112" s="4"/>
      <c r="BWK112" s="4"/>
      <c r="BWL112" s="4"/>
      <c r="BWM112" s="4"/>
      <c r="BWN112" s="4"/>
      <c r="BWO112" s="4"/>
      <c r="BWP112" s="4"/>
      <c r="BWQ112" s="4"/>
      <c r="BWR112" s="4"/>
      <c r="BWS112" s="4"/>
      <c r="BWT112" s="4"/>
      <c r="BWU112" s="4"/>
      <c r="BWV112" s="4"/>
      <c r="BWW112" s="4"/>
      <c r="BWX112" s="4"/>
      <c r="BWY112" s="4"/>
      <c r="BWZ112" s="4"/>
      <c r="BXA112" s="4"/>
      <c r="BXB112" s="4"/>
      <c r="BXC112" s="4"/>
      <c r="BXD112" s="4"/>
      <c r="BXE112" s="4"/>
      <c r="BXF112" s="4"/>
      <c r="BXG112" s="4"/>
      <c r="BXH112" s="4"/>
      <c r="BXI112" s="4"/>
      <c r="BXJ112" s="4"/>
      <c r="BXK112" s="4"/>
      <c r="BXL112" s="4"/>
      <c r="BXM112" s="4"/>
      <c r="BXN112" s="4"/>
      <c r="BXO112" s="4"/>
      <c r="BXP112" s="4"/>
      <c r="BXQ112" s="4"/>
      <c r="BXR112" s="4"/>
      <c r="BXS112" s="4"/>
      <c r="BXT112" s="4"/>
      <c r="BXU112" s="4"/>
      <c r="BXV112" s="4"/>
      <c r="BXW112" s="4"/>
      <c r="BXX112" s="4"/>
      <c r="BXY112" s="4"/>
      <c r="BXZ112" s="4"/>
      <c r="BYA112" s="4"/>
      <c r="BYB112" s="4"/>
      <c r="BYC112" s="4"/>
      <c r="BYD112" s="4"/>
      <c r="BYE112" s="4"/>
      <c r="BYF112" s="4"/>
      <c r="BYG112" s="4"/>
      <c r="BYH112" s="4"/>
      <c r="BYI112" s="4"/>
      <c r="BYJ112" s="4"/>
      <c r="BYK112" s="4"/>
      <c r="BYL112" s="4"/>
      <c r="BYM112" s="4"/>
      <c r="BYN112" s="4"/>
      <c r="BYO112" s="4"/>
      <c r="BYP112" s="4"/>
      <c r="BYQ112" s="4"/>
      <c r="BYR112" s="4"/>
      <c r="BYS112" s="4"/>
      <c r="BYT112" s="4"/>
      <c r="BYU112" s="4"/>
      <c r="BYV112" s="4"/>
      <c r="BYW112" s="4"/>
      <c r="BYX112" s="4"/>
      <c r="BYY112" s="4"/>
      <c r="BYZ112" s="4"/>
      <c r="BZA112" s="4"/>
      <c r="BZB112" s="4"/>
      <c r="BZC112" s="4"/>
      <c r="BZD112" s="4"/>
      <c r="BZE112" s="4"/>
      <c r="BZF112" s="4"/>
      <c r="BZG112" s="4"/>
      <c r="BZH112" s="4"/>
      <c r="BZI112" s="4"/>
      <c r="BZJ112" s="4"/>
      <c r="BZK112" s="4"/>
      <c r="BZL112" s="4"/>
      <c r="BZM112" s="4"/>
      <c r="BZN112" s="4"/>
      <c r="BZO112" s="4"/>
      <c r="BZP112" s="4"/>
      <c r="BZQ112" s="4"/>
      <c r="BZR112" s="4"/>
      <c r="BZS112" s="4"/>
      <c r="BZT112" s="4"/>
      <c r="BZU112" s="4"/>
      <c r="BZV112" s="4"/>
      <c r="BZW112" s="4"/>
      <c r="BZX112" s="4"/>
      <c r="BZY112" s="4"/>
      <c r="BZZ112" s="4"/>
      <c r="CAA112" s="4"/>
      <c r="CAB112" s="4"/>
      <c r="CAC112" s="4"/>
      <c r="CAD112" s="4"/>
      <c r="CAE112" s="4"/>
      <c r="CAF112" s="4"/>
      <c r="CAG112" s="4"/>
      <c r="CAH112" s="4"/>
      <c r="CAI112" s="4"/>
      <c r="CAJ112" s="4"/>
      <c r="CAK112" s="4"/>
      <c r="CAL112" s="4"/>
      <c r="CAM112" s="4"/>
      <c r="CAN112" s="4"/>
      <c r="CAO112" s="4"/>
      <c r="CAP112" s="4"/>
      <c r="CAQ112" s="4"/>
      <c r="CAR112" s="4"/>
      <c r="CAS112" s="4"/>
      <c r="CAT112" s="4"/>
      <c r="CAU112" s="4"/>
      <c r="CAV112" s="4"/>
      <c r="CAW112" s="4"/>
      <c r="CAX112" s="4"/>
      <c r="CAY112" s="4"/>
      <c r="CAZ112" s="4"/>
      <c r="CBA112" s="4"/>
      <c r="CBB112" s="4"/>
      <c r="CBC112" s="4"/>
      <c r="CBD112" s="4"/>
      <c r="CBE112" s="4"/>
      <c r="CBF112" s="4"/>
      <c r="CBG112" s="4"/>
      <c r="CBH112" s="4"/>
      <c r="CBI112" s="4"/>
      <c r="CBJ112" s="4"/>
      <c r="CBK112" s="4"/>
      <c r="CBL112" s="4"/>
      <c r="CBM112" s="4"/>
      <c r="CBN112" s="4"/>
      <c r="CBO112" s="4"/>
      <c r="CBP112" s="4"/>
      <c r="CBQ112" s="4"/>
      <c r="CBR112" s="4"/>
      <c r="CBS112" s="4"/>
      <c r="CBT112" s="4"/>
      <c r="CBU112" s="4"/>
      <c r="CBV112" s="4"/>
      <c r="CBW112" s="4"/>
      <c r="CBX112" s="4"/>
      <c r="CBY112" s="4"/>
      <c r="CBZ112" s="4"/>
      <c r="CCA112" s="4"/>
      <c r="CCB112" s="4"/>
      <c r="CCC112" s="4"/>
      <c r="CCD112" s="4"/>
      <c r="CCE112" s="4"/>
      <c r="CCF112" s="4"/>
      <c r="CCG112" s="4"/>
      <c r="CCH112" s="4"/>
      <c r="CCI112" s="4"/>
      <c r="CCJ112" s="4"/>
      <c r="CCK112" s="4"/>
      <c r="CCL112" s="4"/>
      <c r="CCM112" s="4"/>
      <c r="CCN112" s="4"/>
      <c r="CCO112" s="4"/>
      <c r="CCP112" s="4"/>
      <c r="CCQ112" s="4"/>
      <c r="CCR112" s="4"/>
      <c r="CCS112" s="4"/>
      <c r="CCT112" s="4"/>
      <c r="CCU112" s="4"/>
      <c r="CCV112" s="4"/>
      <c r="CCW112" s="4"/>
      <c r="CCX112" s="4"/>
      <c r="CCY112" s="4"/>
      <c r="CCZ112" s="4"/>
      <c r="CDA112" s="4"/>
      <c r="CDB112" s="4"/>
      <c r="CDC112" s="4"/>
      <c r="CDD112" s="4"/>
      <c r="CDE112" s="4"/>
      <c r="CDF112" s="4"/>
      <c r="CDG112" s="4"/>
      <c r="CDH112" s="4"/>
      <c r="CDI112" s="4"/>
      <c r="CDJ112" s="4"/>
      <c r="CDK112" s="4"/>
      <c r="CDL112" s="4"/>
      <c r="CDM112" s="4"/>
      <c r="CDN112" s="4"/>
      <c r="CDO112" s="4"/>
      <c r="CDP112" s="4"/>
      <c r="CDQ112" s="4"/>
      <c r="CDR112" s="4"/>
      <c r="CDS112" s="4"/>
      <c r="CDT112" s="4"/>
      <c r="CDU112" s="4"/>
      <c r="CDV112" s="4"/>
      <c r="CDW112" s="4"/>
      <c r="CDX112" s="4"/>
      <c r="CDY112" s="4"/>
      <c r="CDZ112" s="4"/>
      <c r="CEA112" s="4"/>
      <c r="CEB112" s="4"/>
      <c r="CEC112" s="4"/>
      <c r="CED112" s="4"/>
      <c r="CEE112" s="4"/>
      <c r="CEF112" s="4"/>
      <c r="CEG112" s="4"/>
      <c r="CEH112" s="4"/>
      <c r="CEI112" s="4"/>
      <c r="CEJ112" s="4"/>
      <c r="CEK112" s="4"/>
      <c r="CEL112" s="4"/>
      <c r="CEM112" s="4"/>
      <c r="CEN112" s="4"/>
      <c r="CEO112" s="4"/>
      <c r="CEP112" s="4"/>
      <c r="CEQ112" s="4"/>
      <c r="CER112" s="4"/>
      <c r="CES112" s="4"/>
      <c r="CET112" s="4"/>
      <c r="CEU112" s="4"/>
      <c r="CEV112" s="4"/>
      <c r="CEW112" s="4"/>
      <c r="CEX112" s="4"/>
      <c r="CEY112" s="4"/>
      <c r="CEZ112" s="4"/>
      <c r="CFA112" s="4"/>
      <c r="CFB112" s="4"/>
      <c r="CFC112" s="4"/>
      <c r="CFD112" s="4"/>
      <c r="CFE112" s="4"/>
      <c r="CFF112" s="4"/>
      <c r="CFG112" s="4"/>
      <c r="CFH112" s="4"/>
      <c r="CFI112" s="4"/>
      <c r="CFJ112" s="4"/>
      <c r="CFK112" s="4"/>
      <c r="CFL112" s="4"/>
      <c r="CFM112" s="4"/>
      <c r="CFN112" s="4"/>
      <c r="CFO112" s="4"/>
      <c r="CFP112" s="4"/>
      <c r="CFQ112" s="4"/>
      <c r="CFR112" s="4"/>
      <c r="CFS112" s="4"/>
      <c r="CFT112" s="4"/>
      <c r="CFU112" s="4"/>
      <c r="CFV112" s="4"/>
      <c r="CFW112" s="4"/>
      <c r="CFX112" s="4"/>
      <c r="CFY112" s="4"/>
      <c r="CFZ112" s="4"/>
      <c r="CGA112" s="4"/>
      <c r="CGB112" s="4"/>
      <c r="CGC112" s="4"/>
      <c r="CGD112" s="4"/>
      <c r="CGE112" s="4"/>
      <c r="CGF112" s="4"/>
      <c r="CGG112" s="4"/>
      <c r="CGH112" s="4"/>
      <c r="CGI112" s="4"/>
      <c r="CGJ112" s="4"/>
      <c r="CGK112" s="4"/>
      <c r="CGL112" s="4"/>
      <c r="CGM112" s="4"/>
      <c r="CGN112" s="4"/>
      <c r="CGO112" s="4"/>
      <c r="CGP112" s="4"/>
      <c r="CGQ112" s="4"/>
      <c r="CGR112" s="4"/>
      <c r="CGS112" s="4"/>
      <c r="CGT112" s="4"/>
      <c r="CGU112" s="4"/>
      <c r="CGV112" s="4"/>
      <c r="CGW112" s="4"/>
      <c r="CGX112" s="4"/>
      <c r="CGY112" s="4"/>
      <c r="CGZ112" s="4"/>
      <c r="CHA112" s="4"/>
      <c r="CHB112" s="4"/>
      <c r="CHC112" s="4"/>
      <c r="CHD112" s="4"/>
      <c r="CHE112" s="4"/>
      <c r="CHF112" s="4"/>
      <c r="CHG112" s="4"/>
      <c r="CHH112" s="4"/>
      <c r="CHI112" s="4"/>
      <c r="CHJ112" s="4"/>
      <c r="CHK112" s="4"/>
      <c r="CHL112" s="4"/>
      <c r="CHM112" s="4"/>
      <c r="CHN112" s="4"/>
      <c r="CHO112" s="4"/>
      <c r="CHP112" s="4"/>
      <c r="CHQ112" s="4"/>
      <c r="CHR112" s="4"/>
      <c r="CHS112" s="4"/>
      <c r="CHT112" s="4"/>
      <c r="CHU112" s="4"/>
      <c r="CHV112" s="4"/>
      <c r="CHW112" s="4"/>
      <c r="CHX112" s="4"/>
      <c r="CHY112" s="4"/>
      <c r="CHZ112" s="4"/>
      <c r="CIA112" s="4"/>
      <c r="CIB112" s="4"/>
      <c r="CIC112" s="4"/>
      <c r="CID112" s="4"/>
      <c r="CIE112" s="4"/>
      <c r="CIF112" s="4"/>
      <c r="CIG112" s="4"/>
      <c r="CIH112" s="4"/>
      <c r="CII112" s="4"/>
      <c r="CIJ112" s="4"/>
      <c r="CIK112" s="4"/>
      <c r="CIL112" s="4"/>
      <c r="CIM112" s="4"/>
      <c r="CIN112" s="4"/>
      <c r="CIO112" s="4"/>
      <c r="CIP112" s="4"/>
      <c r="CIQ112" s="4"/>
      <c r="CIR112" s="4"/>
      <c r="CIS112" s="4"/>
      <c r="CIT112" s="4"/>
      <c r="CIU112" s="4"/>
      <c r="CIV112" s="4"/>
      <c r="CIW112" s="4"/>
      <c r="CIX112" s="4"/>
      <c r="CIY112" s="4"/>
      <c r="CIZ112" s="4"/>
      <c r="CJA112" s="4"/>
      <c r="CJB112" s="4"/>
      <c r="CJC112" s="4"/>
      <c r="CJD112" s="4"/>
      <c r="CJE112" s="4"/>
      <c r="CJF112" s="4"/>
      <c r="CJG112" s="4"/>
      <c r="CJH112" s="4"/>
      <c r="CJI112" s="4"/>
      <c r="CJJ112" s="4"/>
      <c r="CJK112" s="4"/>
      <c r="CJL112" s="4"/>
      <c r="CJM112" s="4"/>
      <c r="CJN112" s="4"/>
      <c r="CJO112" s="4"/>
      <c r="CJP112" s="4"/>
      <c r="CJQ112" s="4"/>
      <c r="CJR112" s="4"/>
      <c r="CJS112" s="4"/>
      <c r="CJT112" s="4"/>
      <c r="CJU112" s="4"/>
      <c r="CJV112" s="4"/>
      <c r="CJW112" s="4"/>
      <c r="CJX112" s="4"/>
      <c r="CJY112" s="4"/>
      <c r="CJZ112" s="4"/>
      <c r="CKA112" s="4"/>
      <c r="CKB112" s="4"/>
      <c r="CKC112" s="4"/>
      <c r="CKD112" s="4"/>
      <c r="CKE112" s="4"/>
      <c r="CKF112" s="4"/>
      <c r="CKG112" s="4"/>
      <c r="CKH112" s="4"/>
      <c r="CKI112" s="4"/>
      <c r="CKJ112" s="4"/>
      <c r="CKK112" s="4"/>
      <c r="CKL112" s="4"/>
      <c r="CKM112" s="4"/>
      <c r="CKN112" s="4"/>
      <c r="CKO112" s="4"/>
      <c r="CKP112" s="4"/>
      <c r="CKQ112" s="4"/>
      <c r="CKR112" s="4"/>
      <c r="CKS112" s="4"/>
      <c r="CKT112" s="4"/>
      <c r="CKU112" s="4"/>
      <c r="CKV112" s="4"/>
      <c r="CKW112" s="4"/>
      <c r="CKX112" s="4"/>
      <c r="CKY112" s="4"/>
      <c r="CKZ112" s="4"/>
      <c r="CLA112" s="4"/>
      <c r="CLB112" s="4"/>
      <c r="CLC112" s="4"/>
      <c r="CLD112" s="4"/>
      <c r="CLE112" s="4"/>
      <c r="CLF112" s="4"/>
      <c r="CLG112" s="4"/>
      <c r="CLH112" s="4"/>
      <c r="CLI112" s="4"/>
      <c r="CLJ112" s="4"/>
      <c r="CLK112" s="4"/>
      <c r="CLL112" s="4"/>
      <c r="CLM112" s="4"/>
      <c r="CLN112" s="4"/>
      <c r="CLO112" s="4"/>
      <c r="CLP112" s="4"/>
      <c r="CLQ112" s="4"/>
      <c r="CLR112" s="4"/>
      <c r="CLS112" s="4"/>
      <c r="CLT112" s="4"/>
      <c r="CLU112" s="4"/>
      <c r="CLV112" s="4"/>
      <c r="CLW112" s="4"/>
      <c r="CLX112" s="4"/>
      <c r="CLY112" s="4"/>
      <c r="CLZ112" s="4"/>
      <c r="CMA112" s="4"/>
      <c r="CMB112" s="4"/>
      <c r="CMC112" s="4"/>
      <c r="CMD112" s="4"/>
      <c r="CME112" s="4"/>
      <c r="CMF112" s="4"/>
      <c r="CMG112" s="4"/>
      <c r="CMH112" s="4"/>
      <c r="CMI112" s="4"/>
      <c r="CMJ112" s="4"/>
      <c r="CMK112" s="4"/>
      <c r="CML112" s="4"/>
      <c r="CMM112" s="4"/>
      <c r="CMN112" s="4"/>
      <c r="CMO112" s="4"/>
      <c r="CMP112" s="4"/>
      <c r="CMQ112" s="4"/>
      <c r="CMR112" s="4"/>
      <c r="CMS112" s="4"/>
      <c r="CMT112" s="4"/>
      <c r="CMU112" s="4"/>
      <c r="CMV112" s="4"/>
      <c r="CMW112" s="4"/>
      <c r="CMX112" s="4"/>
      <c r="CMY112" s="4"/>
      <c r="CMZ112" s="4"/>
      <c r="CNA112" s="4"/>
      <c r="CNB112" s="4"/>
      <c r="CNC112" s="4"/>
      <c r="CND112" s="4"/>
      <c r="CNE112" s="4"/>
      <c r="CNF112" s="4"/>
      <c r="CNG112" s="4"/>
      <c r="CNH112" s="4"/>
      <c r="CNI112" s="4"/>
      <c r="CNJ112" s="4"/>
      <c r="CNK112" s="4"/>
      <c r="CNL112" s="4"/>
      <c r="CNM112" s="4"/>
      <c r="CNN112" s="4"/>
      <c r="CNO112" s="4"/>
      <c r="CNP112" s="4"/>
      <c r="CNQ112" s="4"/>
      <c r="CNR112" s="4"/>
      <c r="CNS112" s="4"/>
      <c r="CNT112" s="4"/>
      <c r="CNU112" s="4"/>
      <c r="CNV112" s="4"/>
      <c r="CNW112" s="4"/>
      <c r="CNX112" s="4"/>
      <c r="CNY112" s="4"/>
      <c r="CNZ112" s="4"/>
      <c r="COA112" s="4"/>
      <c r="COB112" s="4"/>
      <c r="COC112" s="4"/>
      <c r="COD112" s="4"/>
      <c r="COE112" s="4"/>
      <c r="COF112" s="4"/>
      <c r="COG112" s="4"/>
      <c r="COH112" s="4"/>
      <c r="COI112" s="4"/>
      <c r="COJ112" s="4"/>
      <c r="COK112" s="4"/>
      <c r="COL112" s="4"/>
      <c r="COM112" s="4"/>
      <c r="CON112" s="4"/>
      <c r="COO112" s="4"/>
      <c r="COP112" s="4"/>
      <c r="COQ112" s="4"/>
      <c r="COR112" s="4"/>
      <c r="COS112" s="4"/>
      <c r="COT112" s="4"/>
      <c r="COU112" s="4"/>
      <c r="COV112" s="4"/>
      <c r="COW112" s="4"/>
      <c r="COX112" s="4"/>
      <c r="COY112" s="4"/>
      <c r="COZ112" s="4"/>
      <c r="CPA112" s="4"/>
      <c r="CPB112" s="4"/>
      <c r="CPC112" s="4"/>
      <c r="CPD112" s="4"/>
      <c r="CPE112" s="4"/>
      <c r="CPF112" s="4"/>
      <c r="CPG112" s="4"/>
      <c r="CPH112" s="4"/>
      <c r="CPI112" s="4"/>
      <c r="CPJ112" s="4"/>
      <c r="CPK112" s="4"/>
      <c r="CPL112" s="4"/>
      <c r="CPM112" s="4"/>
      <c r="CPN112" s="4"/>
      <c r="CPO112" s="4"/>
      <c r="CPP112" s="4"/>
      <c r="CPQ112" s="4"/>
      <c r="CPR112" s="4"/>
      <c r="CPS112" s="4"/>
      <c r="CPT112" s="4"/>
      <c r="CPU112" s="4"/>
      <c r="CPV112" s="4"/>
      <c r="CPW112" s="4"/>
      <c r="CPX112" s="4"/>
      <c r="CPY112" s="4"/>
      <c r="CPZ112" s="4"/>
      <c r="CQA112" s="4"/>
      <c r="CQB112" s="4"/>
      <c r="CQC112" s="4"/>
      <c r="CQD112" s="4"/>
      <c r="CQE112" s="4"/>
      <c r="CQF112" s="4"/>
      <c r="CQG112" s="4"/>
      <c r="CQH112" s="4"/>
      <c r="CQI112" s="4"/>
      <c r="CQJ112" s="4"/>
      <c r="CQK112" s="4"/>
      <c r="CQL112" s="4"/>
      <c r="CQM112" s="4"/>
      <c r="CQN112" s="4"/>
      <c r="CQO112" s="4"/>
      <c r="CQP112" s="4"/>
      <c r="CQQ112" s="4"/>
      <c r="CQR112" s="4"/>
      <c r="CQS112" s="4"/>
      <c r="CQT112" s="4"/>
      <c r="CQU112" s="4"/>
      <c r="CQV112" s="4"/>
      <c r="CQW112" s="4"/>
      <c r="CQX112" s="4"/>
      <c r="CQY112" s="4"/>
      <c r="CQZ112" s="4"/>
      <c r="CRA112" s="4"/>
      <c r="CRB112" s="4"/>
      <c r="CRC112" s="4"/>
      <c r="CRD112" s="4"/>
      <c r="CRE112" s="4"/>
      <c r="CRF112" s="4"/>
      <c r="CRG112" s="4"/>
      <c r="CRH112" s="4"/>
      <c r="CRI112" s="4"/>
      <c r="CRJ112" s="4"/>
      <c r="CRK112" s="4"/>
      <c r="CRL112" s="4"/>
      <c r="CRM112" s="4"/>
      <c r="CRN112" s="4"/>
      <c r="CRO112" s="4"/>
      <c r="CRP112" s="4"/>
      <c r="CRQ112" s="4"/>
      <c r="CRR112" s="4"/>
      <c r="CRS112" s="4"/>
      <c r="CRT112" s="4"/>
      <c r="CRU112" s="4"/>
      <c r="CRV112" s="4"/>
      <c r="CRW112" s="4"/>
      <c r="CRX112" s="4"/>
      <c r="CRY112" s="4"/>
      <c r="CRZ112" s="4"/>
      <c r="CSA112" s="4"/>
      <c r="CSB112" s="4"/>
      <c r="CSC112" s="4"/>
      <c r="CSD112" s="4"/>
      <c r="CSE112" s="4"/>
      <c r="CSF112" s="4"/>
      <c r="CSG112" s="4"/>
      <c r="CSH112" s="4"/>
      <c r="CSI112" s="4"/>
      <c r="CSJ112" s="4"/>
      <c r="CSK112" s="4"/>
      <c r="CSL112" s="4"/>
      <c r="CSM112" s="4"/>
      <c r="CSN112" s="4"/>
      <c r="CSO112" s="4"/>
      <c r="CSP112" s="4"/>
      <c r="CSQ112" s="4"/>
      <c r="CSR112" s="4"/>
      <c r="CSS112" s="4"/>
      <c r="CST112" s="4"/>
      <c r="CSU112" s="4"/>
      <c r="CSV112" s="4"/>
      <c r="CSW112" s="4"/>
      <c r="CSX112" s="4"/>
      <c r="CSY112" s="4"/>
      <c r="CSZ112" s="4"/>
      <c r="CTA112" s="4"/>
      <c r="CTB112" s="4"/>
      <c r="CTC112" s="4"/>
      <c r="CTD112" s="4"/>
      <c r="CTE112" s="4"/>
      <c r="CTF112" s="4"/>
      <c r="CTG112" s="4"/>
      <c r="CTH112" s="4"/>
      <c r="CTI112" s="4"/>
      <c r="CTJ112" s="4"/>
      <c r="CTK112" s="4"/>
      <c r="CTL112" s="4"/>
      <c r="CTM112" s="4"/>
      <c r="CTN112" s="4"/>
      <c r="CTO112" s="4"/>
      <c r="CTP112" s="4"/>
      <c r="CTQ112" s="4"/>
      <c r="CTR112" s="4"/>
      <c r="CTS112" s="4"/>
      <c r="CTT112" s="4"/>
      <c r="CTU112" s="4"/>
      <c r="CTV112" s="4"/>
      <c r="CTW112" s="4"/>
      <c r="CTX112" s="4"/>
      <c r="CTY112" s="4"/>
      <c r="CTZ112" s="4"/>
      <c r="CUA112" s="4"/>
      <c r="CUB112" s="4"/>
      <c r="CUC112" s="4"/>
      <c r="CUD112" s="4"/>
      <c r="CUE112" s="4"/>
      <c r="CUF112" s="4"/>
      <c r="CUG112" s="4"/>
      <c r="CUH112" s="4"/>
      <c r="CUI112" s="4"/>
      <c r="CUJ112" s="4"/>
      <c r="CUK112" s="4"/>
      <c r="CUL112" s="4"/>
      <c r="CUM112" s="4"/>
      <c r="CUN112" s="4"/>
      <c r="CUO112" s="4"/>
      <c r="CUP112" s="4"/>
      <c r="CUQ112" s="4"/>
      <c r="CUR112" s="4"/>
      <c r="CUS112" s="4"/>
      <c r="CUT112" s="4"/>
      <c r="CUU112" s="4"/>
      <c r="CUV112" s="4"/>
      <c r="CUW112" s="4"/>
      <c r="CUX112" s="4"/>
      <c r="CUY112" s="4"/>
      <c r="CUZ112" s="4"/>
      <c r="CVA112" s="4"/>
      <c r="CVB112" s="4"/>
      <c r="CVC112" s="4"/>
      <c r="CVD112" s="4"/>
      <c r="CVE112" s="4"/>
      <c r="CVF112" s="4"/>
      <c r="CVG112" s="4"/>
      <c r="CVH112" s="4"/>
      <c r="CVI112" s="4"/>
      <c r="CVJ112" s="4"/>
      <c r="CVK112" s="4"/>
      <c r="CVL112" s="4"/>
      <c r="CVM112" s="4"/>
      <c r="CVN112" s="4"/>
      <c r="CVO112" s="4"/>
      <c r="CVP112" s="4"/>
      <c r="CVQ112" s="4"/>
      <c r="CVR112" s="4"/>
      <c r="CVS112" s="4"/>
      <c r="CVT112" s="4"/>
      <c r="CVU112" s="4"/>
      <c r="CVV112" s="4"/>
      <c r="CVW112" s="4"/>
      <c r="CVX112" s="4"/>
      <c r="CVY112" s="4"/>
      <c r="CVZ112" s="4"/>
      <c r="CWA112" s="4"/>
      <c r="CWB112" s="4"/>
      <c r="CWC112" s="4"/>
      <c r="CWD112" s="4"/>
      <c r="CWE112" s="4"/>
      <c r="CWF112" s="4"/>
      <c r="CWG112" s="4"/>
      <c r="CWH112" s="4"/>
      <c r="CWI112" s="4"/>
      <c r="CWJ112" s="4"/>
      <c r="CWK112" s="4"/>
      <c r="CWL112" s="4"/>
      <c r="CWM112" s="4"/>
      <c r="CWN112" s="4"/>
      <c r="CWO112" s="4"/>
      <c r="CWP112" s="4"/>
      <c r="CWQ112" s="4"/>
      <c r="CWR112" s="4"/>
      <c r="CWS112" s="4"/>
      <c r="CWT112" s="4"/>
      <c r="CWU112" s="4"/>
      <c r="CWV112" s="4"/>
      <c r="CWW112" s="4"/>
      <c r="CWX112" s="4"/>
      <c r="CWY112" s="4"/>
      <c r="CWZ112" s="4"/>
      <c r="CXA112" s="4"/>
      <c r="CXB112" s="4"/>
      <c r="CXC112" s="4"/>
      <c r="CXD112" s="4"/>
      <c r="CXE112" s="4"/>
      <c r="CXF112" s="4"/>
      <c r="CXG112" s="4"/>
      <c r="CXH112" s="4"/>
      <c r="CXI112" s="4"/>
      <c r="CXJ112" s="4"/>
      <c r="CXK112" s="4"/>
      <c r="CXL112" s="4"/>
      <c r="CXM112" s="4"/>
      <c r="CXN112" s="4"/>
      <c r="CXO112" s="4"/>
      <c r="CXP112" s="4"/>
      <c r="CXQ112" s="4"/>
      <c r="CXR112" s="4"/>
      <c r="CXS112" s="4"/>
      <c r="CXT112" s="4"/>
      <c r="CXU112" s="4"/>
      <c r="CXV112" s="4"/>
      <c r="CXW112" s="4"/>
      <c r="CXX112" s="4"/>
      <c r="CXY112" s="4"/>
      <c r="CXZ112" s="4"/>
      <c r="CYA112" s="4"/>
      <c r="CYB112" s="4"/>
      <c r="CYC112" s="4"/>
      <c r="CYD112" s="4"/>
      <c r="CYE112" s="4"/>
      <c r="CYF112" s="4"/>
      <c r="CYG112" s="4"/>
      <c r="CYH112" s="4"/>
      <c r="CYI112" s="4"/>
      <c r="CYJ112" s="4"/>
      <c r="CYK112" s="4"/>
      <c r="CYL112" s="4"/>
      <c r="CYM112" s="4"/>
      <c r="CYN112" s="4"/>
      <c r="CYO112" s="4"/>
      <c r="CYP112" s="4"/>
      <c r="CYQ112" s="4"/>
      <c r="CYR112" s="4"/>
      <c r="CYS112" s="4"/>
      <c r="CYT112" s="4"/>
      <c r="CYU112" s="4"/>
      <c r="CYV112" s="4"/>
      <c r="CYW112" s="4"/>
      <c r="CYX112" s="4"/>
      <c r="CYY112" s="4"/>
      <c r="CYZ112" s="4"/>
      <c r="CZA112" s="4"/>
      <c r="CZB112" s="4"/>
      <c r="CZC112" s="4"/>
      <c r="CZD112" s="4"/>
      <c r="CZE112" s="4"/>
      <c r="CZF112" s="4"/>
      <c r="CZG112" s="4"/>
      <c r="CZH112" s="4"/>
      <c r="CZI112" s="4"/>
      <c r="CZJ112" s="4"/>
      <c r="CZK112" s="4"/>
      <c r="CZL112" s="4"/>
      <c r="CZM112" s="4"/>
      <c r="CZN112" s="4"/>
      <c r="CZO112" s="4"/>
      <c r="CZP112" s="4"/>
      <c r="CZQ112" s="4"/>
      <c r="CZR112" s="4"/>
      <c r="CZS112" s="4"/>
      <c r="CZT112" s="4"/>
      <c r="CZU112" s="4"/>
      <c r="CZV112" s="4"/>
      <c r="CZW112" s="4"/>
      <c r="CZX112" s="4"/>
      <c r="CZY112" s="4"/>
      <c r="CZZ112" s="4"/>
      <c r="DAA112" s="4"/>
      <c r="DAB112" s="4"/>
      <c r="DAC112" s="4"/>
      <c r="DAD112" s="4"/>
      <c r="DAE112" s="4"/>
      <c r="DAF112" s="4"/>
      <c r="DAG112" s="4"/>
      <c r="DAH112" s="4"/>
      <c r="DAI112" s="4"/>
      <c r="DAJ112" s="4"/>
      <c r="DAK112" s="4"/>
      <c r="DAL112" s="4"/>
      <c r="DAM112" s="4"/>
      <c r="DAN112" s="4"/>
      <c r="DAO112" s="4"/>
      <c r="DAP112" s="4"/>
      <c r="DAQ112" s="4"/>
      <c r="DAR112" s="4"/>
      <c r="DAS112" s="4"/>
      <c r="DAT112" s="4"/>
      <c r="DAU112" s="4"/>
      <c r="DAV112" s="4"/>
      <c r="DAW112" s="4"/>
      <c r="DAX112" s="4"/>
      <c r="DAY112" s="4"/>
      <c r="DAZ112" s="4"/>
      <c r="DBA112" s="4"/>
      <c r="DBB112" s="4"/>
      <c r="DBC112" s="4"/>
      <c r="DBD112" s="4"/>
      <c r="DBE112" s="4"/>
      <c r="DBF112" s="4"/>
      <c r="DBG112" s="4"/>
      <c r="DBH112" s="4"/>
      <c r="DBI112" s="4"/>
      <c r="DBJ112" s="4"/>
      <c r="DBK112" s="4"/>
      <c r="DBL112" s="4"/>
      <c r="DBM112" s="4"/>
      <c r="DBN112" s="4"/>
      <c r="DBO112" s="4"/>
      <c r="DBP112" s="4"/>
      <c r="DBQ112" s="4"/>
      <c r="DBR112" s="4"/>
      <c r="DBS112" s="4"/>
      <c r="DBT112" s="4"/>
      <c r="DBU112" s="4"/>
      <c r="DBV112" s="4"/>
      <c r="DBW112" s="4"/>
      <c r="DBX112" s="4"/>
      <c r="DBY112" s="4"/>
      <c r="DBZ112" s="4"/>
      <c r="DCA112" s="4"/>
      <c r="DCB112" s="4"/>
      <c r="DCC112" s="4"/>
      <c r="DCD112" s="4"/>
      <c r="DCE112" s="4"/>
      <c r="DCF112" s="4"/>
      <c r="DCG112" s="4"/>
      <c r="DCH112" s="4"/>
      <c r="DCI112" s="4"/>
      <c r="DCJ112" s="4"/>
      <c r="DCK112" s="4"/>
      <c r="DCL112" s="4"/>
      <c r="DCM112" s="4"/>
      <c r="DCN112" s="4"/>
      <c r="DCO112" s="4"/>
      <c r="DCP112" s="4"/>
      <c r="DCQ112" s="4"/>
      <c r="DCR112" s="4"/>
      <c r="DCS112" s="4"/>
      <c r="DCT112" s="4"/>
      <c r="DCU112" s="4"/>
      <c r="DCV112" s="4"/>
      <c r="DCW112" s="4"/>
      <c r="DCX112" s="4"/>
      <c r="DCY112" s="4"/>
      <c r="DCZ112" s="4"/>
      <c r="DDA112" s="4"/>
      <c r="DDB112" s="4"/>
      <c r="DDC112" s="4"/>
      <c r="DDD112" s="4"/>
      <c r="DDE112" s="4"/>
      <c r="DDF112" s="4"/>
      <c r="DDG112" s="4"/>
      <c r="DDH112" s="4"/>
      <c r="DDI112" s="4"/>
      <c r="DDJ112" s="4"/>
      <c r="DDK112" s="4"/>
      <c r="DDL112" s="4"/>
      <c r="DDM112" s="4"/>
      <c r="DDN112" s="4"/>
      <c r="DDO112" s="4"/>
      <c r="DDP112" s="4"/>
      <c r="DDQ112" s="4"/>
      <c r="DDR112" s="4"/>
      <c r="DDS112" s="4"/>
      <c r="DDT112" s="4"/>
      <c r="DDU112" s="4"/>
      <c r="DDV112" s="4"/>
      <c r="DDW112" s="4"/>
      <c r="DDX112" s="4"/>
      <c r="DDY112" s="4"/>
      <c r="DDZ112" s="4"/>
      <c r="DEA112" s="4"/>
      <c r="DEB112" s="4"/>
      <c r="DEC112" s="4"/>
      <c r="DED112" s="4"/>
      <c r="DEE112" s="4"/>
      <c r="DEF112" s="4"/>
      <c r="DEG112" s="4"/>
      <c r="DEH112" s="4"/>
      <c r="DEI112" s="4"/>
      <c r="DEJ112" s="4"/>
      <c r="DEK112" s="4"/>
      <c r="DEL112" s="4"/>
      <c r="DEM112" s="4"/>
      <c r="DEN112" s="4"/>
      <c r="DEO112" s="4"/>
      <c r="DEP112" s="4"/>
      <c r="DEQ112" s="4"/>
      <c r="DER112" s="4"/>
      <c r="DES112" s="4"/>
      <c r="DET112" s="4"/>
      <c r="DEU112" s="4"/>
      <c r="DEV112" s="4"/>
      <c r="DEW112" s="4"/>
      <c r="DEX112" s="4"/>
      <c r="DEY112" s="4"/>
      <c r="DEZ112" s="4"/>
      <c r="DFA112" s="4"/>
      <c r="DFB112" s="4"/>
      <c r="DFC112" s="4"/>
      <c r="DFD112" s="4"/>
      <c r="DFE112" s="4"/>
      <c r="DFF112" s="4"/>
      <c r="DFG112" s="4"/>
      <c r="DFH112" s="4"/>
      <c r="DFI112" s="4"/>
      <c r="DFJ112" s="4"/>
      <c r="DFK112" s="4"/>
      <c r="DFL112" s="4"/>
      <c r="DFM112" s="4"/>
      <c r="DFN112" s="4"/>
      <c r="DFO112" s="4"/>
      <c r="DFP112" s="4"/>
      <c r="DFQ112" s="4"/>
      <c r="DFR112" s="4"/>
      <c r="DFS112" s="4"/>
      <c r="DFT112" s="4"/>
      <c r="DFU112" s="4"/>
      <c r="DFV112" s="4"/>
      <c r="DFW112" s="4"/>
      <c r="DFX112" s="4"/>
      <c r="DFY112" s="4"/>
      <c r="DFZ112" s="4"/>
      <c r="DGA112" s="4"/>
      <c r="DGB112" s="4"/>
      <c r="DGC112" s="4"/>
      <c r="DGD112" s="4"/>
      <c r="DGE112" s="4"/>
      <c r="DGF112" s="4"/>
      <c r="DGG112" s="4"/>
      <c r="DGH112" s="4"/>
      <c r="DGI112" s="4"/>
      <c r="DGJ112" s="4"/>
      <c r="DGK112" s="4"/>
      <c r="DGL112" s="4"/>
      <c r="DGM112" s="4"/>
      <c r="DGN112" s="4"/>
      <c r="DGO112" s="4"/>
      <c r="DGP112" s="4"/>
      <c r="DGQ112" s="4"/>
      <c r="DGR112" s="4"/>
      <c r="DGS112" s="4"/>
      <c r="DGT112" s="4"/>
      <c r="DGU112" s="4"/>
      <c r="DGV112" s="4"/>
      <c r="DGW112" s="4"/>
      <c r="DGX112" s="4"/>
      <c r="DGY112" s="4"/>
      <c r="DGZ112" s="4"/>
      <c r="DHA112" s="4"/>
      <c r="DHB112" s="4"/>
      <c r="DHC112" s="4"/>
      <c r="DHD112" s="4"/>
      <c r="DHE112" s="4"/>
      <c r="DHF112" s="4"/>
      <c r="DHG112" s="4"/>
      <c r="DHH112" s="4"/>
      <c r="DHI112" s="4"/>
      <c r="DHJ112" s="4"/>
      <c r="DHK112" s="4"/>
      <c r="DHL112" s="4"/>
      <c r="DHM112" s="4"/>
      <c r="DHN112" s="4"/>
      <c r="DHO112" s="4"/>
      <c r="DHP112" s="4"/>
      <c r="DHQ112" s="4"/>
      <c r="DHR112" s="4"/>
      <c r="DHS112" s="4"/>
      <c r="DHT112" s="4"/>
      <c r="DHU112" s="4"/>
      <c r="DHV112" s="4"/>
      <c r="DHW112" s="4"/>
      <c r="DHX112" s="4"/>
      <c r="DHY112" s="4"/>
      <c r="DHZ112" s="4"/>
      <c r="DIA112" s="4"/>
      <c r="DIB112" s="4"/>
      <c r="DIC112" s="4"/>
      <c r="DID112" s="4"/>
      <c r="DIE112" s="4"/>
      <c r="DIF112" s="4"/>
      <c r="DIG112" s="4"/>
      <c r="DIH112" s="4"/>
      <c r="DII112" s="4"/>
      <c r="DIJ112" s="4"/>
      <c r="DIK112" s="4"/>
      <c r="DIL112" s="4"/>
      <c r="DIM112" s="4"/>
      <c r="DIN112" s="4"/>
      <c r="DIO112" s="4"/>
      <c r="DIP112" s="4"/>
      <c r="DIQ112" s="4"/>
      <c r="DIR112" s="4"/>
      <c r="DIS112" s="4"/>
      <c r="DIT112" s="4"/>
      <c r="DIU112" s="4"/>
      <c r="DIV112" s="4"/>
      <c r="DIW112" s="4"/>
      <c r="DIX112" s="4"/>
      <c r="DIY112" s="4"/>
      <c r="DIZ112" s="4"/>
      <c r="DJA112" s="4"/>
      <c r="DJB112" s="4"/>
      <c r="DJC112" s="4"/>
      <c r="DJD112" s="4"/>
      <c r="DJE112" s="4"/>
      <c r="DJF112" s="4"/>
      <c r="DJG112" s="4"/>
      <c r="DJH112" s="4"/>
      <c r="DJI112" s="4"/>
      <c r="DJJ112" s="4"/>
      <c r="DJK112" s="4"/>
      <c r="DJL112" s="4"/>
      <c r="DJM112" s="4"/>
      <c r="DJN112" s="4"/>
      <c r="DJO112" s="4"/>
      <c r="DJP112" s="4"/>
      <c r="DJQ112" s="4"/>
      <c r="DJR112" s="4"/>
      <c r="DJS112" s="4"/>
      <c r="DJT112" s="4"/>
      <c r="DJU112" s="4"/>
      <c r="DJV112" s="4"/>
      <c r="DJW112" s="4"/>
      <c r="DJX112" s="4"/>
      <c r="DJY112" s="4"/>
      <c r="DJZ112" s="4"/>
      <c r="DKA112" s="4"/>
      <c r="DKB112" s="4"/>
      <c r="DKC112" s="4"/>
      <c r="DKD112" s="4"/>
      <c r="DKE112" s="4"/>
      <c r="DKF112" s="4"/>
      <c r="DKG112" s="4"/>
      <c r="DKH112" s="4"/>
      <c r="DKI112" s="4"/>
      <c r="DKJ112" s="4"/>
      <c r="DKK112" s="4"/>
      <c r="DKL112" s="4"/>
      <c r="DKM112" s="4"/>
      <c r="DKN112" s="4"/>
      <c r="DKO112" s="4"/>
      <c r="DKP112" s="4"/>
      <c r="DKQ112" s="4"/>
      <c r="DKR112" s="4"/>
      <c r="DKS112" s="4"/>
      <c r="DKT112" s="4"/>
      <c r="DKU112" s="4"/>
      <c r="DKV112" s="4"/>
      <c r="DKW112" s="4"/>
      <c r="DKX112" s="4"/>
      <c r="DKY112" s="4"/>
      <c r="DKZ112" s="4"/>
      <c r="DLA112" s="4"/>
      <c r="DLB112" s="4"/>
      <c r="DLC112" s="4"/>
      <c r="DLD112" s="4"/>
      <c r="DLE112" s="4"/>
      <c r="DLF112" s="4"/>
      <c r="DLG112" s="4"/>
      <c r="DLH112" s="4"/>
      <c r="DLI112" s="4"/>
      <c r="DLJ112" s="4"/>
      <c r="DLK112" s="4"/>
      <c r="DLL112" s="4"/>
      <c r="DLM112" s="4"/>
      <c r="DLN112" s="4"/>
      <c r="DLO112" s="4"/>
      <c r="DLP112" s="4"/>
      <c r="DLQ112" s="4"/>
      <c r="DLR112" s="4"/>
      <c r="DLS112" s="4"/>
      <c r="DLT112" s="4"/>
      <c r="DLU112" s="4"/>
      <c r="DLV112" s="4"/>
      <c r="DLW112" s="4"/>
      <c r="DLX112" s="4"/>
      <c r="DLY112" s="4"/>
      <c r="DLZ112" s="4"/>
      <c r="DMA112" s="4"/>
      <c r="DMB112" s="4"/>
      <c r="DMC112" s="4"/>
      <c r="DMD112" s="4"/>
      <c r="DME112" s="4"/>
      <c r="DMF112" s="4"/>
      <c r="DMG112" s="4"/>
      <c r="DMH112" s="4"/>
      <c r="DMI112" s="4"/>
      <c r="DMJ112" s="4"/>
      <c r="DMK112" s="4"/>
      <c r="DML112" s="4"/>
      <c r="DMM112" s="4"/>
      <c r="DMN112" s="4"/>
      <c r="DMO112" s="4"/>
      <c r="DMP112" s="4"/>
      <c r="DMQ112" s="4"/>
      <c r="DMR112" s="4"/>
      <c r="DMS112" s="4"/>
      <c r="DMT112" s="4"/>
      <c r="DMU112" s="4"/>
      <c r="DMV112" s="4"/>
      <c r="DMW112" s="4"/>
      <c r="DMX112" s="4"/>
      <c r="DMY112" s="4"/>
      <c r="DMZ112" s="4"/>
      <c r="DNA112" s="4"/>
      <c r="DNB112" s="4"/>
      <c r="DNC112" s="4"/>
      <c r="DND112" s="4"/>
      <c r="DNE112" s="4"/>
      <c r="DNF112" s="4"/>
      <c r="DNG112" s="4"/>
      <c r="DNH112" s="4"/>
      <c r="DNI112" s="4"/>
      <c r="DNJ112" s="4"/>
      <c r="DNK112" s="4"/>
      <c r="DNL112" s="4"/>
      <c r="DNM112" s="4"/>
      <c r="DNN112" s="4"/>
      <c r="DNO112" s="4"/>
      <c r="DNP112" s="4"/>
      <c r="DNQ112" s="4"/>
      <c r="DNR112" s="4"/>
      <c r="DNS112" s="4"/>
      <c r="DNT112" s="4"/>
      <c r="DNU112" s="4"/>
      <c r="DNV112" s="4"/>
      <c r="DNW112" s="4"/>
      <c r="DNX112" s="4"/>
      <c r="DNY112" s="4"/>
      <c r="DNZ112" s="4"/>
      <c r="DOA112" s="4"/>
      <c r="DOB112" s="4"/>
      <c r="DOC112" s="4"/>
      <c r="DOD112" s="4"/>
      <c r="DOE112" s="4"/>
      <c r="DOF112" s="4"/>
      <c r="DOG112" s="4"/>
      <c r="DOH112" s="4"/>
      <c r="DOI112" s="4"/>
      <c r="DOJ112" s="4"/>
      <c r="DOK112" s="4"/>
      <c r="DOL112" s="4"/>
      <c r="DOM112" s="4"/>
      <c r="DON112" s="4"/>
      <c r="DOO112" s="4"/>
      <c r="DOP112" s="4"/>
      <c r="DOQ112" s="4"/>
      <c r="DOR112" s="4"/>
      <c r="DOS112" s="4"/>
      <c r="DOT112" s="4"/>
      <c r="DOU112" s="4"/>
      <c r="DOV112" s="4"/>
      <c r="DOW112" s="4"/>
      <c r="DOX112" s="4"/>
      <c r="DOY112" s="4"/>
      <c r="DOZ112" s="4"/>
      <c r="DPA112" s="4"/>
      <c r="DPB112" s="4"/>
      <c r="DPC112" s="4"/>
      <c r="DPD112" s="4"/>
      <c r="DPE112" s="4"/>
      <c r="DPF112" s="4"/>
      <c r="DPG112" s="4"/>
      <c r="DPH112" s="4"/>
      <c r="DPI112" s="4"/>
      <c r="DPJ112" s="4"/>
      <c r="DPK112" s="4"/>
      <c r="DPL112" s="4"/>
      <c r="DPM112" s="4"/>
      <c r="DPN112" s="4"/>
      <c r="DPO112" s="4"/>
      <c r="DPP112" s="4"/>
      <c r="DPQ112" s="4"/>
      <c r="DPR112" s="4"/>
      <c r="DPS112" s="4"/>
      <c r="DPT112" s="4"/>
      <c r="DPU112" s="4"/>
      <c r="DPV112" s="4"/>
      <c r="DPW112" s="4"/>
      <c r="DPX112" s="4"/>
      <c r="DPY112" s="4"/>
      <c r="DPZ112" s="4"/>
      <c r="DQA112" s="4"/>
      <c r="DQB112" s="4"/>
      <c r="DQC112" s="4"/>
      <c r="DQD112" s="4"/>
      <c r="DQE112" s="4"/>
      <c r="DQF112" s="4"/>
      <c r="DQG112" s="4"/>
      <c r="DQH112" s="4"/>
      <c r="DQI112" s="4"/>
      <c r="DQJ112" s="4"/>
      <c r="DQK112" s="4"/>
      <c r="DQL112" s="4"/>
      <c r="DQM112" s="4"/>
      <c r="DQN112" s="4"/>
      <c r="DQO112" s="4"/>
      <c r="DQP112" s="4"/>
      <c r="DQQ112" s="4"/>
      <c r="DQR112" s="4"/>
      <c r="DQS112" s="4"/>
      <c r="DQT112" s="4"/>
      <c r="DQU112" s="4"/>
      <c r="DQV112" s="4"/>
      <c r="DQW112" s="4"/>
      <c r="DQX112" s="4"/>
      <c r="DQY112" s="4"/>
      <c r="DQZ112" s="4"/>
      <c r="DRA112" s="4"/>
      <c r="DRB112" s="4"/>
      <c r="DRC112" s="4"/>
      <c r="DRD112" s="4"/>
      <c r="DRE112" s="4"/>
      <c r="DRF112" s="4"/>
      <c r="DRG112" s="4"/>
      <c r="DRH112" s="4"/>
      <c r="DRI112" s="4"/>
      <c r="DRJ112" s="4"/>
      <c r="DRK112" s="4"/>
      <c r="DRL112" s="4"/>
      <c r="DRM112" s="4"/>
      <c r="DRN112" s="4"/>
      <c r="DRO112" s="4"/>
      <c r="DRP112" s="4"/>
      <c r="DRQ112" s="4"/>
      <c r="DRR112" s="4"/>
      <c r="DRS112" s="4"/>
      <c r="DRT112" s="4"/>
      <c r="DRU112" s="4"/>
      <c r="DRV112" s="4"/>
      <c r="DRW112" s="4"/>
      <c r="DRX112" s="4"/>
      <c r="DRY112" s="4"/>
      <c r="DRZ112" s="4"/>
      <c r="DSA112" s="4"/>
      <c r="DSB112" s="4"/>
      <c r="DSC112" s="4"/>
      <c r="DSD112" s="4"/>
      <c r="DSE112" s="4"/>
      <c r="DSF112" s="4"/>
      <c r="DSG112" s="4"/>
      <c r="DSH112" s="4"/>
      <c r="DSI112" s="4"/>
      <c r="DSJ112" s="4"/>
      <c r="DSK112" s="4"/>
      <c r="DSL112" s="4"/>
      <c r="DSM112" s="4"/>
      <c r="DSN112" s="4"/>
      <c r="DSO112" s="4"/>
      <c r="DSP112" s="4"/>
      <c r="DSQ112" s="4"/>
      <c r="DSR112" s="4"/>
      <c r="DSS112" s="4"/>
      <c r="DST112" s="4"/>
      <c r="DSU112" s="4"/>
      <c r="DSV112" s="4"/>
      <c r="DSW112" s="4"/>
      <c r="DSX112" s="4"/>
      <c r="DSY112" s="4"/>
      <c r="DSZ112" s="4"/>
      <c r="DTA112" s="4"/>
      <c r="DTB112" s="4"/>
      <c r="DTC112" s="4"/>
      <c r="DTD112" s="4"/>
      <c r="DTE112" s="4"/>
      <c r="DTF112" s="4"/>
      <c r="DTG112" s="4"/>
      <c r="DTH112" s="4"/>
      <c r="DTI112" s="4"/>
      <c r="DTJ112" s="4"/>
      <c r="DTK112" s="4"/>
      <c r="DTL112" s="4"/>
      <c r="DTM112" s="4"/>
      <c r="DTN112" s="4"/>
      <c r="DTO112" s="4"/>
      <c r="DTP112" s="4"/>
      <c r="DTQ112" s="4"/>
      <c r="DTR112" s="4"/>
      <c r="DTS112" s="4"/>
      <c r="DTT112" s="4"/>
      <c r="DTU112" s="4"/>
      <c r="DTV112" s="4"/>
      <c r="DTW112" s="4"/>
      <c r="DTX112" s="4"/>
      <c r="DTY112" s="4"/>
      <c r="DTZ112" s="4"/>
      <c r="DUA112" s="4"/>
      <c r="DUB112" s="4"/>
      <c r="DUC112" s="4"/>
      <c r="DUD112" s="4"/>
      <c r="DUE112" s="4"/>
      <c r="DUF112" s="4"/>
      <c r="DUG112" s="4"/>
      <c r="DUH112" s="4"/>
      <c r="DUI112" s="4"/>
      <c r="DUJ112" s="4"/>
      <c r="DUK112" s="4"/>
      <c r="DUL112" s="4"/>
      <c r="DUM112" s="4"/>
      <c r="DUN112" s="4"/>
      <c r="DUO112" s="4"/>
      <c r="DUP112" s="4"/>
      <c r="DUQ112" s="4"/>
      <c r="DUR112" s="4"/>
      <c r="DUS112" s="4"/>
      <c r="DUT112" s="4"/>
      <c r="DUU112" s="4"/>
      <c r="DUV112" s="4"/>
      <c r="DUW112" s="4"/>
      <c r="DUX112" s="4"/>
      <c r="DUY112" s="4"/>
      <c r="DUZ112" s="4"/>
      <c r="DVA112" s="4"/>
      <c r="DVB112" s="4"/>
      <c r="DVC112" s="4"/>
      <c r="DVD112" s="4"/>
      <c r="DVE112" s="4"/>
      <c r="DVF112" s="4"/>
      <c r="DVG112" s="4"/>
      <c r="DVH112" s="4"/>
      <c r="DVI112" s="4"/>
      <c r="DVJ112" s="4"/>
      <c r="DVK112" s="4"/>
      <c r="DVL112" s="4"/>
      <c r="DVM112" s="4"/>
      <c r="DVN112" s="4"/>
      <c r="DVO112" s="4"/>
      <c r="DVP112" s="4"/>
      <c r="DVQ112" s="4"/>
      <c r="DVR112" s="4"/>
      <c r="DVS112" s="4"/>
      <c r="DVT112" s="4"/>
      <c r="DVU112" s="4"/>
      <c r="DVV112" s="4"/>
      <c r="DVW112" s="4"/>
      <c r="DVX112" s="4"/>
      <c r="DVY112" s="4"/>
      <c r="DVZ112" s="4"/>
      <c r="DWA112" s="4"/>
      <c r="DWB112" s="4"/>
      <c r="DWC112" s="4"/>
      <c r="DWD112" s="4"/>
      <c r="DWE112" s="4"/>
      <c r="DWF112" s="4"/>
      <c r="DWG112" s="4"/>
      <c r="DWH112" s="4"/>
      <c r="DWI112" s="4"/>
      <c r="DWJ112" s="4"/>
      <c r="DWK112" s="4"/>
      <c r="DWL112" s="4"/>
      <c r="DWM112" s="4"/>
      <c r="DWN112" s="4"/>
      <c r="DWO112" s="4"/>
      <c r="DWP112" s="4"/>
      <c r="DWQ112" s="4"/>
      <c r="DWR112" s="4"/>
      <c r="DWS112" s="4"/>
      <c r="DWT112" s="4"/>
      <c r="DWU112" s="4"/>
      <c r="DWV112" s="4"/>
      <c r="DWW112" s="4"/>
      <c r="DWX112" s="4"/>
      <c r="DWY112" s="4"/>
      <c r="DWZ112" s="4"/>
      <c r="DXA112" s="4"/>
      <c r="DXB112" s="4"/>
      <c r="DXC112" s="4"/>
      <c r="DXD112" s="4"/>
      <c r="DXE112" s="4"/>
      <c r="DXF112" s="4"/>
      <c r="DXG112" s="4"/>
      <c r="DXH112" s="4"/>
      <c r="DXI112" s="4"/>
      <c r="DXJ112" s="4"/>
      <c r="DXK112" s="4"/>
      <c r="DXL112" s="4"/>
      <c r="DXM112" s="4"/>
      <c r="DXN112" s="4"/>
      <c r="DXO112" s="4"/>
      <c r="DXP112" s="4"/>
      <c r="DXQ112" s="4"/>
      <c r="DXR112" s="4"/>
      <c r="DXS112" s="4"/>
      <c r="DXT112" s="4"/>
      <c r="DXU112" s="4"/>
      <c r="DXV112" s="4"/>
      <c r="DXW112" s="4"/>
      <c r="DXX112" s="4"/>
      <c r="DXY112" s="4"/>
      <c r="DXZ112" s="4"/>
      <c r="DYA112" s="4"/>
      <c r="DYB112" s="4"/>
      <c r="DYC112" s="4"/>
      <c r="DYD112" s="4"/>
      <c r="DYE112" s="4"/>
      <c r="DYF112" s="4"/>
      <c r="DYG112" s="4"/>
      <c r="DYH112" s="4"/>
      <c r="DYI112" s="4"/>
      <c r="DYJ112" s="4"/>
      <c r="DYK112" s="4"/>
      <c r="DYL112" s="4"/>
      <c r="DYM112" s="4"/>
      <c r="DYN112" s="4"/>
      <c r="DYO112" s="4"/>
      <c r="DYP112" s="4"/>
      <c r="DYQ112" s="4"/>
      <c r="DYR112" s="4"/>
      <c r="DYS112" s="4"/>
      <c r="DYT112" s="4"/>
      <c r="DYU112" s="4"/>
      <c r="DYV112" s="4"/>
      <c r="DYW112" s="4"/>
      <c r="DYX112" s="4"/>
      <c r="DYY112" s="4"/>
      <c r="DYZ112" s="4"/>
      <c r="DZA112" s="4"/>
      <c r="DZB112" s="4"/>
      <c r="DZC112" s="4"/>
      <c r="DZD112" s="4"/>
      <c r="DZE112" s="4"/>
      <c r="DZF112" s="4"/>
      <c r="DZG112" s="4"/>
      <c r="DZH112" s="4"/>
      <c r="DZI112" s="4"/>
      <c r="DZJ112" s="4"/>
      <c r="DZK112" s="4"/>
      <c r="DZL112" s="4"/>
      <c r="DZM112" s="4"/>
      <c r="DZN112" s="4"/>
      <c r="DZO112" s="4"/>
      <c r="DZP112" s="4"/>
      <c r="DZQ112" s="4"/>
      <c r="DZR112" s="4"/>
      <c r="DZS112" s="4"/>
      <c r="DZT112" s="4"/>
      <c r="DZU112" s="4"/>
      <c r="DZV112" s="4"/>
      <c r="DZW112" s="4"/>
      <c r="DZX112" s="4"/>
      <c r="DZY112" s="4"/>
      <c r="DZZ112" s="4"/>
      <c r="EAA112" s="4"/>
      <c r="EAB112" s="4"/>
      <c r="EAC112" s="4"/>
      <c r="EAD112" s="4"/>
      <c r="EAE112" s="4"/>
      <c r="EAF112" s="4"/>
      <c r="EAG112" s="4"/>
      <c r="EAH112" s="4"/>
      <c r="EAI112" s="4"/>
      <c r="EAJ112" s="4"/>
      <c r="EAK112" s="4"/>
      <c r="EAL112" s="4"/>
      <c r="EAM112" s="4"/>
      <c r="EAN112" s="4"/>
      <c r="EAO112" s="4"/>
      <c r="EAP112" s="4"/>
      <c r="EAQ112" s="4"/>
      <c r="EAR112" s="4"/>
      <c r="EAS112" s="4"/>
      <c r="EAT112" s="4"/>
      <c r="EAU112" s="4"/>
      <c r="EAV112" s="4"/>
      <c r="EAW112" s="4"/>
      <c r="EAX112" s="4"/>
      <c r="EAY112" s="4"/>
      <c r="EAZ112" s="4"/>
      <c r="EBA112" s="4"/>
      <c r="EBB112" s="4"/>
      <c r="EBC112" s="4"/>
      <c r="EBD112" s="4"/>
      <c r="EBE112" s="4"/>
      <c r="EBF112" s="4"/>
      <c r="EBG112" s="4"/>
      <c r="EBH112" s="4"/>
      <c r="EBI112" s="4"/>
      <c r="EBJ112" s="4"/>
      <c r="EBK112" s="4"/>
      <c r="EBL112" s="4"/>
      <c r="EBM112" s="4"/>
      <c r="EBN112" s="4"/>
      <c r="EBO112" s="4"/>
      <c r="EBP112" s="4"/>
      <c r="EBQ112" s="4"/>
      <c r="EBR112" s="4"/>
      <c r="EBS112" s="4"/>
      <c r="EBT112" s="4"/>
      <c r="EBU112" s="4"/>
      <c r="EBV112" s="4"/>
      <c r="EBW112" s="4"/>
      <c r="EBX112" s="4"/>
      <c r="EBY112" s="4"/>
      <c r="EBZ112" s="4"/>
      <c r="ECA112" s="4"/>
      <c r="ECB112" s="4"/>
      <c r="ECC112" s="4"/>
      <c r="ECD112" s="4"/>
      <c r="ECE112" s="4"/>
      <c r="ECF112" s="4"/>
      <c r="ECG112" s="4"/>
      <c r="ECH112" s="4"/>
      <c r="ECI112" s="4"/>
      <c r="ECJ112" s="4"/>
      <c r="ECK112" s="4"/>
      <c r="ECL112" s="4"/>
      <c r="ECM112" s="4"/>
      <c r="ECN112" s="4"/>
      <c r="ECO112" s="4"/>
      <c r="ECP112" s="4"/>
      <c r="ECQ112" s="4"/>
      <c r="ECR112" s="4"/>
      <c r="ECS112" s="4"/>
      <c r="ECT112" s="4"/>
      <c r="ECU112" s="4"/>
      <c r="ECV112" s="4"/>
      <c r="ECW112" s="4"/>
      <c r="ECX112" s="4"/>
      <c r="ECY112" s="4"/>
      <c r="ECZ112" s="4"/>
      <c r="EDA112" s="4"/>
      <c r="EDB112" s="4"/>
      <c r="EDC112" s="4"/>
      <c r="EDD112" s="4"/>
      <c r="EDE112" s="4"/>
      <c r="EDF112" s="4"/>
      <c r="EDG112" s="4"/>
      <c r="EDH112" s="4"/>
      <c r="EDI112" s="4"/>
      <c r="EDJ112" s="4"/>
      <c r="EDK112" s="4"/>
      <c r="EDL112" s="4"/>
      <c r="EDM112" s="4"/>
      <c r="EDN112" s="4"/>
      <c r="EDO112" s="4"/>
      <c r="EDP112" s="4"/>
      <c r="EDQ112" s="4"/>
      <c r="EDR112" s="4"/>
      <c r="EDS112" s="4"/>
      <c r="EDT112" s="4"/>
      <c r="EDU112" s="4"/>
      <c r="EDV112" s="4"/>
      <c r="EDW112" s="4"/>
      <c r="EDX112" s="4"/>
      <c r="EDY112" s="4"/>
      <c r="EDZ112" s="4"/>
      <c r="EEA112" s="4"/>
      <c r="EEB112" s="4"/>
      <c r="EEC112" s="4"/>
      <c r="EED112" s="4"/>
      <c r="EEE112" s="4"/>
      <c r="EEF112" s="4"/>
      <c r="EEG112" s="4"/>
      <c r="EEH112" s="4"/>
      <c r="EEI112" s="4"/>
      <c r="EEJ112" s="4"/>
      <c r="EEK112" s="4"/>
      <c r="EEL112" s="4"/>
      <c r="EEM112" s="4"/>
      <c r="EEN112" s="4"/>
      <c r="EEO112" s="4"/>
      <c r="EEP112" s="4"/>
      <c r="EEQ112" s="4"/>
      <c r="EER112" s="4"/>
      <c r="EES112" s="4"/>
      <c r="EET112" s="4"/>
      <c r="EEU112" s="4"/>
      <c r="EEV112" s="4"/>
      <c r="EEW112" s="4"/>
      <c r="EEX112" s="4"/>
      <c r="EEY112" s="4"/>
      <c r="EEZ112" s="4"/>
      <c r="EFA112" s="4"/>
      <c r="EFB112" s="4"/>
      <c r="EFC112" s="4"/>
      <c r="EFD112" s="4"/>
      <c r="EFE112" s="4"/>
      <c r="EFF112" s="4"/>
      <c r="EFG112" s="4"/>
      <c r="EFH112" s="4"/>
      <c r="EFI112" s="4"/>
      <c r="EFJ112" s="4"/>
      <c r="EFK112" s="4"/>
      <c r="EFL112" s="4"/>
      <c r="EFM112" s="4"/>
      <c r="EFN112" s="4"/>
      <c r="EFO112" s="4"/>
      <c r="EFP112" s="4"/>
      <c r="EFQ112" s="4"/>
      <c r="EFR112" s="4"/>
      <c r="EFS112" s="4"/>
      <c r="EFT112" s="4"/>
      <c r="EFU112" s="4"/>
      <c r="EFV112" s="4"/>
      <c r="EFW112" s="4"/>
      <c r="EFX112" s="4"/>
      <c r="EFY112" s="4"/>
      <c r="EFZ112" s="4"/>
      <c r="EGA112" s="4"/>
      <c r="EGB112" s="4"/>
      <c r="EGC112" s="4"/>
      <c r="EGD112" s="4"/>
      <c r="EGE112" s="4"/>
      <c r="EGF112" s="4"/>
      <c r="EGG112" s="4"/>
      <c r="EGH112" s="4"/>
      <c r="EGI112" s="4"/>
      <c r="EGJ112" s="4"/>
      <c r="EGK112" s="4"/>
      <c r="EGL112" s="4"/>
      <c r="EGM112" s="4"/>
      <c r="EGN112" s="4"/>
      <c r="EGO112" s="4"/>
      <c r="EGP112" s="4"/>
      <c r="EGQ112" s="4"/>
      <c r="EGR112" s="4"/>
      <c r="EGS112" s="4"/>
      <c r="EGT112" s="4"/>
      <c r="EGU112" s="4"/>
      <c r="EGV112" s="4"/>
      <c r="EGW112" s="4"/>
      <c r="EGX112" s="4"/>
      <c r="EGY112" s="4"/>
      <c r="EGZ112" s="4"/>
      <c r="EHA112" s="4"/>
      <c r="EHB112" s="4"/>
      <c r="EHC112" s="4"/>
      <c r="EHD112" s="4"/>
      <c r="EHE112" s="4"/>
      <c r="EHF112" s="4"/>
      <c r="EHG112" s="4"/>
      <c r="EHH112" s="4"/>
      <c r="EHI112" s="4"/>
      <c r="EHJ112" s="4"/>
      <c r="EHK112" s="4"/>
      <c r="EHL112" s="4"/>
      <c r="EHM112" s="4"/>
      <c r="EHN112" s="4"/>
      <c r="EHO112" s="4"/>
      <c r="EHP112" s="4"/>
      <c r="EHQ112" s="4"/>
      <c r="EHR112" s="4"/>
      <c r="EHS112" s="4"/>
      <c r="EHT112" s="4"/>
      <c r="EHU112" s="4"/>
      <c r="EHV112" s="4"/>
      <c r="EHW112" s="4"/>
      <c r="EHX112" s="4"/>
      <c r="EHY112" s="4"/>
      <c r="EHZ112" s="4"/>
      <c r="EIA112" s="4"/>
      <c r="EIB112" s="4"/>
      <c r="EIC112" s="4"/>
      <c r="EID112" s="4"/>
      <c r="EIE112" s="4"/>
      <c r="EIF112" s="4"/>
      <c r="EIG112" s="4"/>
      <c r="EIH112" s="4"/>
      <c r="EII112" s="4"/>
      <c r="EIJ112" s="4"/>
      <c r="EIK112" s="4"/>
      <c r="EIL112" s="4"/>
      <c r="EIM112" s="4"/>
      <c r="EIN112" s="4"/>
      <c r="EIO112" s="4"/>
      <c r="EIP112" s="4"/>
      <c r="EIQ112" s="4"/>
      <c r="EIR112" s="4"/>
      <c r="EIS112" s="4"/>
      <c r="EIT112" s="4"/>
      <c r="EIU112" s="4"/>
      <c r="EIV112" s="4"/>
      <c r="EIW112" s="4"/>
      <c r="EIX112" s="4"/>
      <c r="EIY112" s="4"/>
      <c r="EIZ112" s="4"/>
      <c r="EJA112" s="4"/>
      <c r="EJB112" s="4"/>
      <c r="EJC112" s="4"/>
      <c r="EJD112" s="4"/>
      <c r="EJE112" s="4"/>
      <c r="EJF112" s="4"/>
      <c r="EJG112" s="4"/>
      <c r="EJH112" s="4"/>
      <c r="EJI112" s="4"/>
      <c r="EJJ112" s="4"/>
      <c r="EJK112" s="4"/>
      <c r="EJL112" s="4"/>
      <c r="EJM112" s="4"/>
      <c r="EJN112" s="4"/>
      <c r="EJO112" s="4"/>
      <c r="EJP112" s="4"/>
      <c r="EJQ112" s="4"/>
      <c r="EJR112" s="4"/>
      <c r="EJS112" s="4"/>
      <c r="EJT112" s="4"/>
      <c r="EJU112" s="4"/>
      <c r="EJV112" s="4"/>
      <c r="EJW112" s="4"/>
      <c r="EJX112" s="4"/>
      <c r="EJY112" s="4"/>
      <c r="EJZ112" s="4"/>
      <c r="EKA112" s="4"/>
      <c r="EKB112" s="4"/>
      <c r="EKC112" s="4"/>
      <c r="EKD112" s="4"/>
      <c r="EKE112" s="4"/>
      <c r="EKF112" s="4"/>
      <c r="EKG112" s="4"/>
      <c r="EKH112" s="4"/>
      <c r="EKI112" s="4"/>
      <c r="EKJ112" s="4"/>
      <c r="EKK112" s="4"/>
      <c r="EKL112" s="4"/>
      <c r="EKM112" s="4"/>
      <c r="EKN112" s="4"/>
      <c r="EKO112" s="4"/>
      <c r="EKP112" s="4"/>
      <c r="EKQ112" s="4"/>
      <c r="EKR112" s="4"/>
      <c r="EKS112" s="4"/>
      <c r="EKT112" s="4"/>
      <c r="EKU112" s="4"/>
      <c r="EKV112" s="4"/>
      <c r="EKW112" s="4"/>
      <c r="EKX112" s="4"/>
      <c r="EKY112" s="4"/>
      <c r="EKZ112" s="4"/>
      <c r="ELA112" s="4"/>
      <c r="ELB112" s="4"/>
      <c r="ELC112" s="4"/>
      <c r="ELD112" s="4"/>
      <c r="ELE112" s="4"/>
      <c r="ELF112" s="4"/>
      <c r="ELG112" s="4"/>
      <c r="ELH112" s="4"/>
      <c r="ELI112" s="4"/>
      <c r="ELJ112" s="4"/>
      <c r="ELK112" s="4"/>
      <c r="ELL112" s="4"/>
      <c r="ELM112" s="4"/>
      <c r="ELN112" s="4"/>
      <c r="ELO112" s="4"/>
      <c r="ELP112" s="4"/>
      <c r="ELQ112" s="4"/>
      <c r="ELR112" s="4"/>
      <c r="ELS112" s="4"/>
      <c r="ELT112" s="4"/>
      <c r="ELU112" s="4"/>
      <c r="ELV112" s="4"/>
      <c r="ELW112" s="4"/>
      <c r="ELX112" s="4"/>
      <c r="ELY112" s="4"/>
      <c r="ELZ112" s="4"/>
      <c r="EMA112" s="4"/>
      <c r="EMB112" s="4"/>
      <c r="EMC112" s="4"/>
      <c r="EMD112" s="4"/>
      <c r="EME112" s="4"/>
      <c r="EMF112" s="4"/>
      <c r="EMG112" s="4"/>
      <c r="EMH112" s="4"/>
      <c r="EMI112" s="4"/>
      <c r="EMJ112" s="4"/>
      <c r="EMK112" s="4"/>
      <c r="EML112" s="4"/>
      <c r="EMM112" s="4"/>
      <c r="EMN112" s="4"/>
      <c r="EMO112" s="4"/>
      <c r="EMP112" s="4"/>
      <c r="EMQ112" s="4"/>
      <c r="EMR112" s="4"/>
      <c r="EMS112" s="4"/>
      <c r="EMT112" s="4"/>
      <c r="EMU112" s="4"/>
      <c r="EMV112" s="4"/>
      <c r="EMW112" s="4"/>
      <c r="EMX112" s="4"/>
      <c r="EMY112" s="4"/>
      <c r="EMZ112" s="4"/>
      <c r="ENA112" s="4"/>
      <c r="ENB112" s="4"/>
      <c r="ENC112" s="4"/>
      <c r="END112" s="4"/>
      <c r="ENE112" s="4"/>
      <c r="ENF112" s="4"/>
      <c r="ENG112" s="4"/>
      <c r="ENH112" s="4"/>
      <c r="ENI112" s="4"/>
      <c r="ENJ112" s="4"/>
      <c r="ENK112" s="4"/>
      <c r="ENL112" s="4"/>
      <c r="ENM112" s="4"/>
      <c r="ENN112" s="4"/>
      <c r="ENO112" s="4"/>
      <c r="ENP112" s="4"/>
      <c r="ENQ112" s="4"/>
      <c r="ENR112" s="4"/>
      <c r="ENS112" s="4"/>
      <c r="ENT112" s="4"/>
      <c r="ENU112" s="4"/>
      <c r="ENV112" s="4"/>
      <c r="ENW112" s="4"/>
      <c r="ENX112" s="4"/>
      <c r="ENY112" s="4"/>
      <c r="ENZ112" s="4"/>
      <c r="EOA112" s="4"/>
      <c r="EOB112" s="4"/>
      <c r="EOC112" s="4"/>
      <c r="EOD112" s="4"/>
      <c r="EOE112" s="4"/>
      <c r="EOF112" s="4"/>
      <c r="EOG112" s="4"/>
      <c r="EOH112" s="4"/>
      <c r="EOI112" s="4"/>
      <c r="EOJ112" s="4"/>
      <c r="EOK112" s="4"/>
      <c r="EOL112" s="4"/>
      <c r="EOM112" s="4"/>
      <c r="EON112" s="4"/>
      <c r="EOO112" s="4"/>
      <c r="EOP112" s="4"/>
      <c r="EOQ112" s="4"/>
      <c r="EOR112" s="4"/>
      <c r="EOS112" s="4"/>
      <c r="EOT112" s="4"/>
      <c r="EOU112" s="4"/>
      <c r="EOV112" s="4"/>
      <c r="EOW112" s="4"/>
      <c r="EOX112" s="4"/>
      <c r="EOY112" s="4"/>
      <c r="EOZ112" s="4"/>
      <c r="EPA112" s="4"/>
      <c r="EPB112" s="4"/>
      <c r="EPC112" s="4"/>
      <c r="EPD112" s="4"/>
      <c r="EPE112" s="4"/>
      <c r="EPF112" s="4"/>
      <c r="EPG112" s="4"/>
      <c r="EPH112" s="4"/>
      <c r="EPI112" s="4"/>
      <c r="EPJ112" s="4"/>
      <c r="EPK112" s="4"/>
      <c r="EPL112" s="4"/>
      <c r="EPM112" s="4"/>
      <c r="EPN112" s="4"/>
      <c r="EPO112" s="4"/>
      <c r="EPP112" s="4"/>
      <c r="EPQ112" s="4"/>
      <c r="EPR112" s="4"/>
      <c r="EPS112" s="4"/>
      <c r="EPT112" s="4"/>
      <c r="EPU112" s="4"/>
      <c r="EPV112" s="4"/>
      <c r="EPW112" s="4"/>
      <c r="EPX112" s="4"/>
      <c r="EPY112" s="4"/>
      <c r="EPZ112" s="4"/>
      <c r="EQA112" s="4"/>
      <c r="EQB112" s="4"/>
      <c r="EQC112" s="4"/>
      <c r="EQD112" s="4"/>
      <c r="EQE112" s="4"/>
      <c r="EQF112" s="4"/>
      <c r="EQG112" s="4"/>
      <c r="EQH112" s="4"/>
      <c r="EQI112" s="4"/>
      <c r="EQJ112" s="4"/>
      <c r="EQK112" s="4"/>
      <c r="EQL112" s="4"/>
      <c r="EQM112" s="4"/>
      <c r="EQN112" s="4"/>
      <c r="EQO112" s="4"/>
      <c r="EQP112" s="4"/>
      <c r="EQQ112" s="4"/>
      <c r="EQR112" s="4"/>
      <c r="EQS112" s="4"/>
      <c r="EQT112" s="4"/>
      <c r="EQU112" s="4"/>
      <c r="EQV112" s="4"/>
      <c r="EQW112" s="4"/>
      <c r="EQX112" s="4"/>
      <c r="EQY112" s="4"/>
      <c r="EQZ112" s="4"/>
      <c r="ERA112" s="4"/>
      <c r="ERB112" s="4"/>
      <c r="ERC112" s="4"/>
      <c r="ERD112" s="4"/>
      <c r="ERE112" s="4"/>
      <c r="ERF112" s="4"/>
      <c r="ERG112" s="4"/>
      <c r="ERH112" s="4"/>
      <c r="ERI112" s="4"/>
      <c r="ERJ112" s="4"/>
      <c r="ERK112" s="4"/>
      <c r="ERL112" s="4"/>
      <c r="ERM112" s="4"/>
      <c r="ERN112" s="4"/>
      <c r="ERO112" s="4"/>
      <c r="ERP112" s="4"/>
      <c r="ERQ112" s="4"/>
      <c r="ERR112" s="4"/>
      <c r="ERS112" s="4"/>
      <c r="ERT112" s="4"/>
      <c r="ERU112" s="4"/>
      <c r="ERV112" s="4"/>
      <c r="ERW112" s="4"/>
      <c r="ERX112" s="4"/>
      <c r="ERY112" s="4"/>
      <c r="ERZ112" s="4"/>
      <c r="ESA112" s="4"/>
      <c r="ESB112" s="4"/>
      <c r="ESC112" s="4"/>
      <c r="ESD112" s="4"/>
      <c r="ESE112" s="4"/>
      <c r="ESF112" s="4"/>
      <c r="ESG112" s="4"/>
      <c r="ESH112" s="4"/>
      <c r="ESI112" s="4"/>
      <c r="ESJ112" s="4"/>
      <c r="ESK112" s="4"/>
      <c r="ESL112" s="4"/>
      <c r="ESM112" s="4"/>
      <c r="ESN112" s="4"/>
      <c r="ESO112" s="4"/>
      <c r="ESP112" s="4"/>
      <c r="ESQ112" s="4"/>
      <c r="ESR112" s="4"/>
      <c r="ESS112" s="4"/>
      <c r="EST112" s="4"/>
      <c r="ESU112" s="4"/>
      <c r="ESV112" s="4"/>
      <c r="ESW112" s="4"/>
      <c r="ESX112" s="4"/>
      <c r="ESY112" s="4"/>
      <c r="ESZ112" s="4"/>
      <c r="ETA112" s="4"/>
      <c r="ETB112" s="4"/>
      <c r="ETC112" s="4"/>
      <c r="ETD112" s="4"/>
      <c r="ETE112" s="4"/>
      <c r="ETF112" s="4"/>
      <c r="ETG112" s="4"/>
      <c r="ETH112" s="4"/>
      <c r="ETI112" s="4"/>
      <c r="ETJ112" s="4"/>
      <c r="ETK112" s="4"/>
      <c r="ETL112" s="4"/>
      <c r="ETM112" s="4"/>
      <c r="ETN112" s="4"/>
      <c r="ETO112" s="4"/>
      <c r="ETP112" s="4"/>
      <c r="ETQ112" s="4"/>
      <c r="ETR112" s="4"/>
      <c r="ETS112" s="4"/>
      <c r="ETT112" s="4"/>
      <c r="ETU112" s="4"/>
      <c r="ETV112" s="4"/>
      <c r="ETW112" s="4"/>
      <c r="ETX112" s="4"/>
      <c r="ETY112" s="4"/>
      <c r="ETZ112" s="4"/>
      <c r="EUA112" s="4"/>
      <c r="EUB112" s="4"/>
      <c r="EUC112" s="4"/>
      <c r="EUD112" s="4"/>
      <c r="EUE112" s="4"/>
      <c r="EUF112" s="4"/>
      <c r="EUG112" s="4"/>
      <c r="EUH112" s="4"/>
      <c r="EUI112" s="4"/>
      <c r="EUJ112" s="4"/>
      <c r="EUK112" s="4"/>
      <c r="EUL112" s="4"/>
      <c r="EUM112" s="4"/>
      <c r="EUN112" s="4"/>
      <c r="EUO112" s="4"/>
      <c r="EUP112" s="4"/>
      <c r="EUQ112" s="4"/>
      <c r="EUR112" s="4"/>
      <c r="EUS112" s="4"/>
      <c r="EUT112" s="4"/>
      <c r="EUU112" s="4"/>
      <c r="EUV112" s="4"/>
      <c r="EUW112" s="4"/>
      <c r="EUX112" s="4"/>
      <c r="EUY112" s="4"/>
      <c r="EUZ112" s="4"/>
      <c r="EVA112" s="4"/>
      <c r="EVB112" s="4"/>
      <c r="EVC112" s="4"/>
      <c r="EVD112" s="4"/>
      <c r="EVE112" s="4"/>
      <c r="EVF112" s="4"/>
      <c r="EVG112" s="4"/>
      <c r="EVH112" s="4"/>
      <c r="EVI112" s="4"/>
      <c r="EVJ112" s="4"/>
      <c r="EVK112" s="4"/>
      <c r="EVL112" s="4"/>
      <c r="EVM112" s="4"/>
      <c r="EVN112" s="4"/>
      <c r="EVO112" s="4"/>
      <c r="EVP112" s="4"/>
      <c r="EVQ112" s="4"/>
      <c r="EVR112" s="4"/>
      <c r="EVS112" s="4"/>
      <c r="EVT112" s="4"/>
      <c r="EVU112" s="4"/>
      <c r="EVV112" s="4"/>
      <c r="EVW112" s="4"/>
      <c r="EVX112" s="4"/>
      <c r="EVY112" s="4"/>
      <c r="EVZ112" s="4"/>
      <c r="EWA112" s="4"/>
      <c r="EWB112" s="4"/>
      <c r="EWC112" s="4"/>
      <c r="EWD112" s="4"/>
      <c r="EWE112" s="4"/>
      <c r="EWF112" s="4"/>
      <c r="EWG112" s="4"/>
      <c r="EWH112" s="4"/>
      <c r="EWI112" s="4"/>
      <c r="EWJ112" s="4"/>
      <c r="EWK112" s="4"/>
      <c r="EWL112" s="4"/>
      <c r="EWM112" s="4"/>
      <c r="EWN112" s="4"/>
      <c r="EWO112" s="4"/>
      <c r="EWP112" s="4"/>
      <c r="EWQ112" s="4"/>
      <c r="EWR112" s="4"/>
      <c r="EWS112" s="4"/>
      <c r="EWT112" s="4"/>
      <c r="EWU112" s="4"/>
      <c r="EWV112" s="4"/>
      <c r="EWW112" s="4"/>
      <c r="EWX112" s="4"/>
      <c r="EWY112" s="4"/>
      <c r="EWZ112" s="4"/>
      <c r="EXA112" s="4"/>
      <c r="EXB112" s="4"/>
      <c r="EXC112" s="4"/>
      <c r="EXD112" s="4"/>
      <c r="EXE112" s="4"/>
      <c r="EXF112" s="4"/>
      <c r="EXG112" s="4"/>
      <c r="EXH112" s="4"/>
      <c r="EXI112" s="4"/>
      <c r="EXJ112" s="4"/>
      <c r="EXK112" s="4"/>
      <c r="EXL112" s="4"/>
      <c r="EXM112" s="4"/>
      <c r="EXN112" s="4"/>
      <c r="EXO112" s="4"/>
      <c r="EXP112" s="4"/>
      <c r="EXQ112" s="4"/>
      <c r="EXR112" s="4"/>
      <c r="EXS112" s="4"/>
      <c r="EXT112" s="4"/>
      <c r="EXU112" s="4"/>
      <c r="EXV112" s="4"/>
      <c r="EXW112" s="4"/>
      <c r="EXX112" s="4"/>
      <c r="EXY112" s="4"/>
      <c r="EXZ112" s="4"/>
      <c r="EYA112" s="4"/>
      <c r="EYB112" s="4"/>
      <c r="EYC112" s="4"/>
      <c r="EYD112" s="4"/>
      <c r="EYE112" s="4"/>
      <c r="EYF112" s="4"/>
      <c r="EYG112" s="4"/>
      <c r="EYH112" s="4"/>
      <c r="EYI112" s="4"/>
      <c r="EYJ112" s="4"/>
      <c r="EYK112" s="4"/>
      <c r="EYL112" s="4"/>
      <c r="EYM112" s="4"/>
      <c r="EYN112" s="4"/>
      <c r="EYO112" s="4"/>
      <c r="EYP112" s="4"/>
      <c r="EYQ112" s="4"/>
      <c r="EYR112" s="4"/>
      <c r="EYS112" s="4"/>
      <c r="EYT112" s="4"/>
      <c r="EYU112" s="4"/>
      <c r="EYV112" s="4"/>
      <c r="EYW112" s="4"/>
      <c r="EYX112" s="4"/>
      <c r="EYY112" s="4"/>
      <c r="EYZ112" s="4"/>
      <c r="EZA112" s="4"/>
      <c r="EZB112" s="4"/>
      <c r="EZC112" s="4"/>
      <c r="EZD112" s="4"/>
      <c r="EZE112" s="4"/>
      <c r="EZF112" s="4"/>
      <c r="EZG112" s="4"/>
      <c r="EZH112" s="4"/>
      <c r="EZI112" s="4"/>
      <c r="EZJ112" s="4"/>
      <c r="EZK112" s="4"/>
      <c r="EZL112" s="4"/>
      <c r="EZM112" s="4"/>
      <c r="EZN112" s="4"/>
      <c r="EZO112" s="4"/>
      <c r="EZP112" s="4"/>
      <c r="EZQ112" s="4"/>
      <c r="EZR112" s="4"/>
      <c r="EZS112" s="4"/>
      <c r="EZT112" s="4"/>
      <c r="EZU112" s="4"/>
      <c r="EZV112" s="4"/>
      <c r="EZW112" s="4"/>
      <c r="EZX112" s="4"/>
      <c r="EZY112" s="4"/>
      <c r="EZZ112" s="4"/>
      <c r="FAA112" s="4"/>
      <c r="FAB112" s="4"/>
      <c r="FAC112" s="4"/>
      <c r="FAD112" s="4"/>
      <c r="FAE112" s="4"/>
      <c r="FAF112" s="4"/>
      <c r="FAG112" s="4"/>
      <c r="FAH112" s="4"/>
      <c r="FAI112" s="4"/>
      <c r="FAJ112" s="4"/>
      <c r="FAK112" s="4"/>
      <c r="FAL112" s="4"/>
      <c r="FAM112" s="4"/>
      <c r="FAN112" s="4"/>
      <c r="FAO112" s="4"/>
      <c r="FAP112" s="4"/>
      <c r="FAQ112" s="4"/>
      <c r="FAR112" s="4"/>
      <c r="FAS112" s="4"/>
      <c r="FAT112" s="4"/>
      <c r="FAU112" s="4"/>
      <c r="FAV112" s="4"/>
      <c r="FAW112" s="4"/>
      <c r="FAX112" s="4"/>
      <c r="FAY112" s="4"/>
      <c r="FAZ112" s="4"/>
      <c r="FBA112" s="4"/>
      <c r="FBB112" s="4"/>
      <c r="FBC112" s="4"/>
      <c r="FBD112" s="4"/>
      <c r="FBE112" s="4"/>
      <c r="FBF112" s="4"/>
      <c r="FBG112" s="4"/>
      <c r="FBH112" s="4"/>
      <c r="FBI112" s="4"/>
      <c r="FBJ112" s="4"/>
      <c r="FBK112" s="4"/>
      <c r="FBL112" s="4"/>
      <c r="FBM112" s="4"/>
      <c r="FBN112" s="4"/>
      <c r="FBO112" s="4"/>
      <c r="FBP112" s="4"/>
      <c r="FBQ112" s="4"/>
      <c r="FBR112" s="4"/>
      <c r="FBS112" s="4"/>
      <c r="FBT112" s="4"/>
      <c r="FBU112" s="4"/>
      <c r="FBV112" s="4"/>
      <c r="FBW112" s="4"/>
      <c r="FBX112" s="4"/>
      <c r="FBY112" s="4"/>
      <c r="FBZ112" s="4"/>
      <c r="FCA112" s="4"/>
      <c r="FCB112" s="4"/>
      <c r="FCC112" s="4"/>
      <c r="FCD112" s="4"/>
      <c r="FCE112" s="4"/>
      <c r="FCF112" s="4"/>
      <c r="FCG112" s="4"/>
      <c r="FCH112" s="4"/>
      <c r="FCI112" s="4"/>
      <c r="FCJ112" s="4"/>
      <c r="FCK112" s="4"/>
      <c r="FCL112" s="4"/>
      <c r="FCM112" s="4"/>
      <c r="FCN112" s="4"/>
      <c r="FCO112" s="4"/>
      <c r="FCP112" s="4"/>
      <c r="FCQ112" s="4"/>
      <c r="FCR112" s="4"/>
      <c r="FCS112" s="4"/>
      <c r="FCT112" s="4"/>
      <c r="FCU112" s="4"/>
      <c r="FCV112" s="4"/>
      <c r="FCW112" s="4"/>
      <c r="FCX112" s="4"/>
      <c r="FCY112" s="4"/>
      <c r="FCZ112" s="4"/>
      <c r="FDA112" s="4"/>
      <c r="FDB112" s="4"/>
      <c r="FDC112" s="4"/>
      <c r="FDD112" s="4"/>
      <c r="FDE112" s="4"/>
      <c r="FDF112" s="4"/>
      <c r="FDG112" s="4"/>
      <c r="FDH112" s="4"/>
      <c r="FDI112" s="4"/>
      <c r="FDJ112" s="4"/>
      <c r="FDK112" s="4"/>
      <c r="FDL112" s="4"/>
      <c r="FDM112" s="4"/>
      <c r="FDN112" s="4"/>
      <c r="FDO112" s="4"/>
      <c r="FDP112" s="4"/>
      <c r="FDQ112" s="4"/>
      <c r="FDR112" s="4"/>
      <c r="FDS112" s="4"/>
      <c r="FDT112" s="4"/>
      <c r="FDU112" s="4"/>
      <c r="FDV112" s="4"/>
      <c r="FDW112" s="4"/>
      <c r="FDX112" s="4"/>
      <c r="FDY112" s="4"/>
      <c r="FDZ112" s="4"/>
      <c r="FEA112" s="4"/>
      <c r="FEB112" s="4"/>
      <c r="FEC112" s="4"/>
      <c r="FED112" s="4"/>
      <c r="FEE112" s="4"/>
      <c r="FEF112" s="4"/>
      <c r="FEG112" s="4"/>
      <c r="FEH112" s="4"/>
      <c r="FEI112" s="4"/>
      <c r="FEJ112" s="4"/>
      <c r="FEK112" s="4"/>
      <c r="FEL112" s="4"/>
      <c r="FEM112" s="4"/>
      <c r="FEN112" s="4"/>
      <c r="FEO112" s="4"/>
      <c r="FEP112" s="4"/>
      <c r="FEQ112" s="4"/>
      <c r="FER112" s="4"/>
      <c r="FES112" s="4"/>
      <c r="FET112" s="4"/>
      <c r="FEU112" s="4"/>
      <c r="FEV112" s="4"/>
      <c r="FEW112" s="4"/>
      <c r="FEX112" s="4"/>
      <c r="FEY112" s="4"/>
      <c r="FEZ112" s="4"/>
      <c r="FFA112" s="4"/>
      <c r="FFB112" s="4"/>
      <c r="FFC112" s="4"/>
      <c r="FFD112" s="4"/>
      <c r="FFE112" s="4"/>
      <c r="FFF112" s="4"/>
      <c r="FFG112" s="4"/>
      <c r="FFH112" s="4"/>
      <c r="FFI112" s="4"/>
      <c r="FFJ112" s="4"/>
      <c r="FFK112" s="4"/>
      <c r="FFL112" s="4"/>
      <c r="FFM112" s="4"/>
      <c r="FFN112" s="4"/>
      <c r="FFO112" s="4"/>
      <c r="FFP112" s="4"/>
      <c r="FFQ112" s="4"/>
      <c r="FFR112" s="4"/>
      <c r="FFS112" s="4"/>
      <c r="FFT112" s="4"/>
      <c r="FFU112" s="4"/>
      <c r="FFV112" s="4"/>
      <c r="FFW112" s="4"/>
      <c r="FFX112" s="4"/>
      <c r="FFY112" s="4"/>
      <c r="FFZ112" s="4"/>
      <c r="FGA112" s="4"/>
      <c r="FGB112" s="4"/>
      <c r="FGC112" s="4"/>
      <c r="FGD112" s="4"/>
      <c r="FGE112" s="4"/>
      <c r="FGF112" s="4"/>
      <c r="FGG112" s="4"/>
      <c r="FGH112" s="4"/>
      <c r="FGI112" s="4"/>
      <c r="FGJ112" s="4"/>
      <c r="FGK112" s="4"/>
      <c r="FGL112" s="4"/>
      <c r="FGM112" s="4"/>
      <c r="FGN112" s="4"/>
      <c r="FGO112" s="4"/>
      <c r="FGP112" s="4"/>
      <c r="FGQ112" s="4"/>
      <c r="FGR112" s="4"/>
      <c r="FGS112" s="4"/>
      <c r="FGT112" s="4"/>
      <c r="FGU112" s="4"/>
      <c r="FGV112" s="4"/>
      <c r="FGW112" s="4"/>
      <c r="FGX112" s="4"/>
      <c r="FGY112" s="4"/>
      <c r="FGZ112" s="4"/>
      <c r="FHA112" s="4"/>
      <c r="FHB112" s="4"/>
      <c r="FHC112" s="4"/>
      <c r="FHD112" s="4"/>
      <c r="FHE112" s="4"/>
      <c r="FHF112" s="4"/>
      <c r="FHG112" s="4"/>
      <c r="FHH112" s="4"/>
      <c r="FHI112" s="4"/>
      <c r="FHJ112" s="4"/>
      <c r="FHK112" s="4"/>
      <c r="FHL112" s="4"/>
      <c r="FHM112" s="4"/>
      <c r="FHN112" s="4"/>
      <c r="FHO112" s="4"/>
      <c r="FHP112" s="4"/>
      <c r="FHQ112" s="4"/>
      <c r="FHR112" s="4"/>
      <c r="FHS112" s="4"/>
      <c r="FHT112" s="4"/>
      <c r="FHU112" s="4"/>
      <c r="FHV112" s="4"/>
      <c r="FHW112" s="4"/>
      <c r="FHX112" s="4"/>
      <c r="FHY112" s="4"/>
      <c r="FHZ112" s="4"/>
      <c r="FIA112" s="4"/>
      <c r="FIB112" s="4"/>
      <c r="FIC112" s="4"/>
      <c r="FID112" s="4"/>
      <c r="FIE112" s="4"/>
      <c r="FIF112" s="4"/>
      <c r="FIG112" s="4"/>
      <c r="FIH112" s="4"/>
      <c r="FII112" s="4"/>
      <c r="FIJ112" s="4"/>
      <c r="FIK112" s="4"/>
      <c r="FIL112" s="4"/>
      <c r="FIM112" s="4"/>
      <c r="FIN112" s="4"/>
      <c r="FIO112" s="4"/>
      <c r="FIP112" s="4"/>
      <c r="FIQ112" s="4"/>
      <c r="FIR112" s="4"/>
      <c r="FIS112" s="4"/>
      <c r="FIT112" s="4"/>
      <c r="FIU112" s="4"/>
      <c r="FIV112" s="4"/>
      <c r="FIW112" s="4"/>
      <c r="FIX112" s="4"/>
      <c r="FIY112" s="4"/>
      <c r="FIZ112" s="4"/>
      <c r="FJA112" s="4"/>
      <c r="FJB112" s="4"/>
      <c r="FJC112" s="4"/>
      <c r="FJD112" s="4"/>
      <c r="FJE112" s="4"/>
      <c r="FJF112" s="4"/>
      <c r="FJG112" s="4"/>
      <c r="FJH112" s="4"/>
      <c r="FJI112" s="4"/>
      <c r="FJJ112" s="4"/>
      <c r="FJK112" s="4"/>
      <c r="FJL112" s="4"/>
      <c r="FJM112" s="4"/>
      <c r="FJN112" s="4"/>
      <c r="FJO112" s="4"/>
      <c r="FJP112" s="4"/>
      <c r="FJQ112" s="4"/>
      <c r="FJR112" s="4"/>
      <c r="FJS112" s="4"/>
      <c r="FJT112" s="4"/>
      <c r="FJU112" s="4"/>
      <c r="FJV112" s="4"/>
      <c r="FJW112" s="4"/>
      <c r="FJX112" s="4"/>
      <c r="FJY112" s="4"/>
      <c r="FJZ112" s="4"/>
      <c r="FKA112" s="4"/>
      <c r="FKB112" s="4"/>
      <c r="FKC112" s="4"/>
      <c r="FKD112" s="4"/>
      <c r="FKE112" s="4"/>
      <c r="FKF112" s="4"/>
      <c r="FKG112" s="4"/>
      <c r="FKH112" s="4"/>
      <c r="FKI112" s="4"/>
      <c r="FKJ112" s="4"/>
      <c r="FKK112" s="4"/>
      <c r="FKL112" s="4"/>
      <c r="FKM112" s="4"/>
      <c r="FKN112" s="4"/>
      <c r="FKO112" s="4"/>
      <c r="FKP112" s="4"/>
      <c r="FKQ112" s="4"/>
      <c r="FKR112" s="4"/>
      <c r="FKS112" s="4"/>
      <c r="FKT112" s="4"/>
      <c r="FKU112" s="4"/>
      <c r="FKV112" s="4"/>
      <c r="FKW112" s="4"/>
      <c r="FKX112" s="4"/>
      <c r="FKY112" s="4"/>
      <c r="FKZ112" s="4"/>
      <c r="FLA112" s="4"/>
      <c r="FLB112" s="4"/>
      <c r="FLC112" s="4"/>
      <c r="FLD112" s="4"/>
      <c r="FLE112" s="4"/>
      <c r="FLF112" s="4"/>
      <c r="FLG112" s="4"/>
      <c r="FLH112" s="4"/>
      <c r="FLI112" s="4"/>
      <c r="FLJ112" s="4"/>
      <c r="FLK112" s="4"/>
      <c r="FLL112" s="4"/>
      <c r="FLM112" s="4"/>
      <c r="FLN112" s="4"/>
      <c r="FLO112" s="4"/>
      <c r="FLP112" s="4"/>
      <c r="FLQ112" s="4"/>
      <c r="FLR112" s="4"/>
      <c r="FLS112" s="4"/>
      <c r="FLT112" s="4"/>
      <c r="FLU112" s="4"/>
      <c r="FLV112" s="4"/>
      <c r="FLW112" s="4"/>
      <c r="FLX112" s="4"/>
      <c r="FLY112" s="4"/>
      <c r="FLZ112" s="4"/>
      <c r="FMA112" s="4"/>
      <c r="FMB112" s="4"/>
      <c r="FMC112" s="4"/>
      <c r="FMD112" s="4"/>
      <c r="FME112" s="4"/>
      <c r="FMF112" s="4"/>
      <c r="FMG112" s="4"/>
      <c r="FMH112" s="4"/>
      <c r="FMI112" s="4"/>
      <c r="FMJ112" s="4"/>
      <c r="FMK112" s="4"/>
      <c r="FML112" s="4"/>
      <c r="FMM112" s="4"/>
      <c r="FMN112" s="4"/>
      <c r="FMO112" s="4"/>
      <c r="FMP112" s="4"/>
      <c r="FMQ112" s="4"/>
      <c r="FMR112" s="4"/>
      <c r="FMS112" s="4"/>
      <c r="FMT112" s="4"/>
      <c r="FMU112" s="4"/>
      <c r="FMV112" s="4"/>
      <c r="FMW112" s="4"/>
      <c r="FMX112" s="4"/>
      <c r="FMY112" s="4"/>
      <c r="FMZ112" s="4"/>
      <c r="FNA112" s="4"/>
      <c r="FNB112" s="4"/>
      <c r="FNC112" s="4"/>
      <c r="FND112" s="4"/>
      <c r="FNE112" s="4"/>
      <c r="FNF112" s="4"/>
      <c r="FNG112" s="4"/>
      <c r="FNH112" s="4"/>
      <c r="FNI112" s="4"/>
      <c r="FNJ112" s="4"/>
      <c r="FNK112" s="4"/>
      <c r="FNL112" s="4"/>
      <c r="FNM112" s="4"/>
      <c r="FNN112" s="4"/>
      <c r="FNO112" s="4"/>
      <c r="FNP112" s="4"/>
      <c r="FNQ112" s="4"/>
      <c r="FNR112" s="4"/>
      <c r="FNS112" s="4"/>
      <c r="FNT112" s="4"/>
      <c r="FNU112" s="4"/>
      <c r="FNV112" s="4"/>
      <c r="FNW112" s="4"/>
      <c r="FNX112" s="4"/>
      <c r="FNY112" s="4"/>
      <c r="FNZ112" s="4"/>
      <c r="FOA112" s="4"/>
      <c r="FOB112" s="4"/>
      <c r="FOC112" s="4"/>
      <c r="FOD112" s="4"/>
      <c r="FOE112" s="4"/>
      <c r="FOF112" s="4"/>
      <c r="FOG112" s="4"/>
      <c r="FOH112" s="4"/>
      <c r="FOI112" s="4"/>
      <c r="FOJ112" s="4"/>
      <c r="FOK112" s="4"/>
      <c r="FOL112" s="4"/>
      <c r="FOM112" s="4"/>
      <c r="FON112" s="4"/>
      <c r="FOO112" s="4"/>
      <c r="FOP112" s="4"/>
      <c r="FOQ112" s="4"/>
      <c r="FOR112" s="4"/>
      <c r="FOS112" s="4"/>
      <c r="FOT112" s="4"/>
      <c r="FOU112" s="4"/>
      <c r="FOV112" s="4"/>
      <c r="FOW112" s="4"/>
      <c r="FOX112" s="4"/>
      <c r="FOY112" s="4"/>
      <c r="FOZ112" s="4"/>
      <c r="FPA112" s="4"/>
      <c r="FPB112" s="4"/>
      <c r="FPC112" s="4"/>
      <c r="FPD112" s="4"/>
      <c r="FPE112" s="4"/>
      <c r="FPF112" s="4"/>
      <c r="FPG112" s="4"/>
      <c r="FPH112" s="4"/>
      <c r="FPI112" s="4"/>
      <c r="FPJ112" s="4"/>
      <c r="FPK112" s="4"/>
      <c r="FPL112" s="4"/>
      <c r="FPM112" s="4"/>
      <c r="FPN112" s="4"/>
      <c r="FPO112" s="4"/>
      <c r="FPP112" s="4"/>
      <c r="FPQ112" s="4"/>
      <c r="FPR112" s="4"/>
      <c r="FPS112" s="4"/>
      <c r="FPT112" s="4"/>
      <c r="FPU112" s="4"/>
      <c r="FPV112" s="4"/>
      <c r="FPW112" s="4"/>
      <c r="FPX112" s="4"/>
      <c r="FPY112" s="4"/>
      <c r="FPZ112" s="4"/>
      <c r="FQA112" s="4"/>
      <c r="FQB112" s="4"/>
      <c r="FQC112" s="4"/>
      <c r="FQD112" s="4"/>
      <c r="FQE112" s="4"/>
      <c r="FQF112" s="4"/>
      <c r="FQG112" s="4"/>
      <c r="FQH112" s="4"/>
      <c r="FQI112" s="4"/>
      <c r="FQJ112" s="4"/>
      <c r="FQK112" s="4"/>
      <c r="FQL112" s="4"/>
      <c r="FQM112" s="4"/>
      <c r="FQN112" s="4"/>
      <c r="FQO112" s="4"/>
      <c r="FQP112" s="4"/>
      <c r="FQQ112" s="4"/>
      <c r="FQR112" s="4"/>
      <c r="FQS112" s="4"/>
      <c r="FQT112" s="4"/>
      <c r="FQU112" s="4"/>
      <c r="FQV112" s="4"/>
      <c r="FQW112" s="4"/>
      <c r="FQX112" s="4"/>
      <c r="FQY112" s="4"/>
      <c r="FQZ112" s="4"/>
      <c r="FRA112" s="4"/>
      <c r="FRB112" s="4"/>
      <c r="FRC112" s="4"/>
      <c r="FRD112" s="4"/>
      <c r="FRE112" s="4"/>
      <c r="FRF112" s="4"/>
      <c r="FRG112" s="4"/>
      <c r="FRH112" s="4"/>
      <c r="FRI112" s="4"/>
      <c r="FRJ112" s="4"/>
      <c r="FRK112" s="4"/>
      <c r="FRL112" s="4"/>
      <c r="FRM112" s="4"/>
      <c r="FRN112" s="4"/>
      <c r="FRO112" s="4"/>
      <c r="FRP112" s="4"/>
      <c r="FRQ112" s="4"/>
      <c r="FRR112" s="4"/>
      <c r="FRS112" s="4"/>
      <c r="FRT112" s="4"/>
      <c r="FRU112" s="4"/>
      <c r="FRV112" s="4"/>
      <c r="FRW112" s="4"/>
      <c r="FRX112" s="4"/>
      <c r="FRY112" s="4"/>
      <c r="FRZ112" s="4"/>
      <c r="FSA112" s="4"/>
      <c r="FSB112" s="4"/>
      <c r="FSC112" s="4"/>
      <c r="FSD112" s="4"/>
      <c r="FSE112" s="4"/>
      <c r="FSF112" s="4"/>
      <c r="FSG112" s="4"/>
      <c r="FSH112" s="4"/>
      <c r="FSI112" s="4"/>
      <c r="FSJ112" s="4"/>
      <c r="FSK112" s="4"/>
      <c r="FSL112" s="4"/>
      <c r="FSM112" s="4"/>
      <c r="FSN112" s="4"/>
      <c r="FSO112" s="4"/>
      <c r="FSP112" s="4"/>
      <c r="FSQ112" s="4"/>
      <c r="FSR112" s="4"/>
      <c r="FSS112" s="4"/>
      <c r="FST112" s="4"/>
      <c r="FSU112" s="4"/>
      <c r="FSV112" s="4"/>
      <c r="FSW112" s="4"/>
      <c r="FSX112" s="4"/>
      <c r="FSY112" s="4"/>
      <c r="FSZ112" s="4"/>
      <c r="FTA112" s="4"/>
      <c r="FTB112" s="4"/>
      <c r="FTC112" s="4"/>
      <c r="FTD112" s="4"/>
      <c r="FTE112" s="4"/>
      <c r="FTF112" s="4"/>
      <c r="FTG112" s="4"/>
      <c r="FTH112" s="4"/>
      <c r="FTI112" s="4"/>
      <c r="FTJ112" s="4"/>
      <c r="FTK112" s="4"/>
      <c r="FTL112" s="4"/>
      <c r="FTM112" s="4"/>
      <c r="FTN112" s="4"/>
      <c r="FTO112" s="4"/>
      <c r="FTP112" s="4"/>
      <c r="FTQ112" s="4"/>
      <c r="FTR112" s="4"/>
      <c r="FTS112" s="4"/>
      <c r="FTT112" s="4"/>
      <c r="FTU112" s="4"/>
      <c r="FTV112" s="4"/>
      <c r="FTW112" s="4"/>
      <c r="FTX112" s="4"/>
      <c r="FTY112" s="4"/>
      <c r="FTZ112" s="4"/>
      <c r="FUA112" s="4"/>
      <c r="FUB112" s="4"/>
      <c r="FUC112" s="4"/>
      <c r="FUD112" s="4"/>
      <c r="FUE112" s="4"/>
      <c r="FUF112" s="4"/>
      <c r="FUG112" s="4"/>
      <c r="FUH112" s="4"/>
      <c r="FUI112" s="4"/>
      <c r="FUJ112" s="4"/>
      <c r="FUK112" s="4"/>
      <c r="FUL112" s="4"/>
      <c r="FUM112" s="4"/>
      <c r="FUN112" s="4"/>
      <c r="FUO112" s="4"/>
      <c r="FUP112" s="4"/>
      <c r="FUQ112" s="4"/>
      <c r="FUR112" s="4"/>
      <c r="FUS112" s="4"/>
      <c r="FUT112" s="4"/>
      <c r="FUU112" s="4"/>
      <c r="FUV112" s="4"/>
      <c r="FUW112" s="4"/>
      <c r="FUX112" s="4"/>
      <c r="FUY112" s="4"/>
      <c r="FUZ112" s="4"/>
      <c r="FVA112" s="4"/>
      <c r="FVB112" s="4"/>
      <c r="FVC112" s="4"/>
      <c r="FVD112" s="4"/>
      <c r="FVE112" s="4"/>
      <c r="FVF112" s="4"/>
      <c r="FVG112" s="4"/>
      <c r="FVH112" s="4"/>
      <c r="FVI112" s="4"/>
      <c r="FVJ112" s="4"/>
      <c r="FVK112" s="4"/>
      <c r="FVL112" s="4"/>
      <c r="FVM112" s="4"/>
      <c r="FVN112" s="4"/>
      <c r="FVO112" s="4"/>
      <c r="FVP112" s="4"/>
      <c r="FVQ112" s="4"/>
      <c r="FVR112" s="4"/>
      <c r="FVS112" s="4"/>
      <c r="FVT112" s="4"/>
      <c r="FVU112" s="4"/>
      <c r="FVV112" s="4"/>
      <c r="FVW112" s="4"/>
      <c r="FVX112" s="4"/>
      <c r="FVY112" s="4"/>
      <c r="FVZ112" s="4"/>
      <c r="FWA112" s="4"/>
      <c r="FWB112" s="4"/>
      <c r="FWC112" s="4"/>
      <c r="FWD112" s="4"/>
      <c r="FWE112" s="4"/>
      <c r="FWF112" s="4"/>
      <c r="FWG112" s="4"/>
      <c r="FWH112" s="4"/>
      <c r="FWI112" s="4"/>
      <c r="FWJ112" s="4"/>
      <c r="FWK112" s="4"/>
      <c r="FWL112" s="4"/>
      <c r="FWM112" s="4"/>
      <c r="FWN112" s="4"/>
      <c r="FWO112" s="4"/>
      <c r="FWP112" s="4"/>
      <c r="FWQ112" s="4"/>
      <c r="FWR112" s="4"/>
      <c r="FWS112" s="4"/>
      <c r="FWT112" s="4"/>
      <c r="FWU112" s="4"/>
      <c r="FWV112" s="4"/>
      <c r="FWW112" s="4"/>
      <c r="FWX112" s="4"/>
      <c r="FWY112" s="4"/>
      <c r="FWZ112" s="4"/>
      <c r="FXA112" s="4"/>
      <c r="FXB112" s="4"/>
      <c r="FXC112" s="4"/>
      <c r="FXD112" s="4"/>
      <c r="FXE112" s="4"/>
      <c r="FXF112" s="4"/>
      <c r="FXG112" s="4"/>
      <c r="FXH112" s="4"/>
      <c r="FXI112" s="4"/>
      <c r="FXJ112" s="4"/>
      <c r="FXK112" s="4"/>
      <c r="FXL112" s="4"/>
      <c r="FXM112" s="4"/>
      <c r="FXN112" s="4"/>
      <c r="FXO112" s="4"/>
      <c r="FXP112" s="4"/>
      <c r="FXQ112" s="4"/>
      <c r="FXR112" s="4"/>
      <c r="FXS112" s="4"/>
      <c r="FXT112" s="4"/>
      <c r="FXU112" s="4"/>
      <c r="FXV112" s="4"/>
      <c r="FXW112" s="4"/>
      <c r="FXX112" s="4"/>
      <c r="FXY112" s="4"/>
      <c r="FXZ112" s="4"/>
      <c r="FYA112" s="4"/>
      <c r="FYB112" s="4"/>
      <c r="FYC112" s="4"/>
      <c r="FYD112" s="4"/>
      <c r="FYE112" s="4"/>
      <c r="FYF112" s="4"/>
      <c r="FYG112" s="4"/>
      <c r="FYH112" s="4"/>
      <c r="FYI112" s="4"/>
      <c r="FYJ112" s="4"/>
      <c r="FYK112" s="4"/>
      <c r="FYL112" s="4"/>
      <c r="FYM112" s="4"/>
      <c r="FYN112" s="4"/>
      <c r="FYO112" s="4"/>
      <c r="FYP112" s="4"/>
      <c r="FYQ112" s="4"/>
      <c r="FYR112" s="4"/>
      <c r="FYS112" s="4"/>
      <c r="FYT112" s="4"/>
      <c r="FYU112" s="4"/>
      <c r="FYV112" s="4"/>
      <c r="FYW112" s="4"/>
      <c r="FYX112" s="4"/>
      <c r="FYY112" s="4"/>
      <c r="FYZ112" s="4"/>
      <c r="FZA112" s="4"/>
      <c r="FZB112" s="4"/>
      <c r="FZC112" s="4"/>
      <c r="FZD112" s="4"/>
      <c r="FZE112" s="4"/>
      <c r="FZF112" s="4"/>
      <c r="FZG112" s="4"/>
      <c r="FZH112" s="4"/>
      <c r="FZI112" s="4"/>
      <c r="FZJ112" s="4"/>
      <c r="FZK112" s="4"/>
      <c r="FZL112" s="4"/>
      <c r="FZM112" s="4"/>
      <c r="FZN112" s="4"/>
      <c r="FZO112" s="4"/>
      <c r="FZP112" s="4"/>
      <c r="FZQ112" s="4"/>
      <c r="FZR112" s="4"/>
      <c r="FZS112" s="4"/>
      <c r="FZT112" s="4"/>
      <c r="FZU112" s="4"/>
      <c r="FZV112" s="4"/>
      <c r="FZW112" s="4"/>
      <c r="FZX112" s="4"/>
      <c r="FZY112" s="4"/>
      <c r="FZZ112" s="4"/>
      <c r="GAA112" s="4"/>
      <c r="GAB112" s="4"/>
      <c r="GAC112" s="4"/>
      <c r="GAD112" s="4"/>
      <c r="GAE112" s="4"/>
      <c r="GAF112" s="4"/>
      <c r="GAG112" s="4"/>
      <c r="GAH112" s="4"/>
      <c r="GAI112" s="4"/>
      <c r="GAJ112" s="4"/>
      <c r="GAK112" s="4"/>
      <c r="GAL112" s="4"/>
      <c r="GAM112" s="4"/>
      <c r="GAN112" s="4"/>
      <c r="GAO112" s="4"/>
      <c r="GAP112" s="4"/>
      <c r="GAQ112" s="4"/>
      <c r="GAR112" s="4"/>
      <c r="GAS112" s="4"/>
      <c r="GAT112" s="4"/>
      <c r="GAU112" s="4"/>
      <c r="GAV112" s="4"/>
      <c r="GAW112" s="4"/>
      <c r="GAX112" s="4"/>
      <c r="GAY112" s="4"/>
      <c r="GAZ112" s="4"/>
      <c r="GBA112" s="4"/>
      <c r="GBB112" s="4"/>
      <c r="GBC112" s="4"/>
      <c r="GBD112" s="4"/>
      <c r="GBE112" s="4"/>
      <c r="GBF112" s="4"/>
      <c r="GBG112" s="4"/>
      <c r="GBH112" s="4"/>
      <c r="GBI112" s="4"/>
      <c r="GBJ112" s="4"/>
      <c r="GBK112" s="4"/>
      <c r="GBL112" s="4"/>
      <c r="GBM112" s="4"/>
      <c r="GBN112" s="4"/>
      <c r="GBO112" s="4"/>
      <c r="GBP112" s="4"/>
      <c r="GBQ112" s="4"/>
      <c r="GBR112" s="4"/>
      <c r="GBS112" s="4"/>
      <c r="GBT112" s="4"/>
      <c r="GBU112" s="4"/>
      <c r="GBV112" s="4"/>
      <c r="GBW112" s="4"/>
      <c r="GBX112" s="4"/>
      <c r="GBY112" s="4"/>
      <c r="GBZ112" s="4"/>
      <c r="GCA112" s="4"/>
      <c r="GCB112" s="4"/>
      <c r="GCC112" s="4"/>
      <c r="GCD112" s="4"/>
      <c r="GCE112" s="4"/>
      <c r="GCF112" s="4"/>
      <c r="GCG112" s="4"/>
      <c r="GCH112" s="4"/>
      <c r="GCI112" s="4"/>
      <c r="GCJ112" s="4"/>
      <c r="GCK112" s="4"/>
      <c r="GCL112" s="4"/>
      <c r="GCM112" s="4"/>
      <c r="GCN112" s="4"/>
      <c r="GCO112" s="4"/>
      <c r="GCP112" s="4"/>
      <c r="GCQ112" s="4"/>
      <c r="GCR112" s="4"/>
      <c r="GCS112" s="4"/>
      <c r="GCT112" s="4"/>
      <c r="GCU112" s="4"/>
      <c r="GCV112" s="4"/>
      <c r="GCW112" s="4"/>
      <c r="GCX112" s="4"/>
      <c r="GCY112" s="4"/>
      <c r="GCZ112" s="4"/>
      <c r="GDA112" s="4"/>
      <c r="GDB112" s="4"/>
      <c r="GDC112" s="4"/>
      <c r="GDD112" s="4"/>
      <c r="GDE112" s="4"/>
      <c r="GDF112" s="4"/>
      <c r="GDG112" s="4"/>
      <c r="GDH112" s="4"/>
      <c r="GDI112" s="4"/>
      <c r="GDJ112" s="4"/>
      <c r="GDK112" s="4"/>
      <c r="GDL112" s="4"/>
      <c r="GDM112" s="4"/>
      <c r="GDN112" s="4"/>
      <c r="GDO112" s="4"/>
      <c r="GDP112" s="4"/>
      <c r="GDQ112" s="4"/>
      <c r="GDR112" s="4"/>
      <c r="GDS112" s="4"/>
      <c r="GDT112" s="4"/>
      <c r="GDU112" s="4"/>
      <c r="GDV112" s="4"/>
      <c r="GDW112" s="4"/>
      <c r="GDX112" s="4"/>
      <c r="GDY112" s="4"/>
      <c r="GDZ112" s="4"/>
      <c r="GEA112" s="4"/>
      <c r="GEB112" s="4"/>
      <c r="GEC112" s="4"/>
      <c r="GED112" s="4"/>
      <c r="GEE112" s="4"/>
      <c r="GEF112" s="4"/>
      <c r="GEG112" s="4"/>
      <c r="GEH112" s="4"/>
      <c r="GEI112" s="4"/>
      <c r="GEJ112" s="4"/>
      <c r="GEK112" s="4"/>
      <c r="GEL112" s="4"/>
      <c r="GEM112" s="4"/>
      <c r="GEN112" s="4"/>
      <c r="GEO112" s="4"/>
      <c r="GEP112" s="4"/>
      <c r="GEQ112" s="4"/>
      <c r="GER112" s="4"/>
      <c r="GES112" s="4"/>
      <c r="GET112" s="4"/>
      <c r="GEU112" s="4"/>
      <c r="GEV112" s="4"/>
      <c r="GEW112" s="4"/>
      <c r="GEX112" s="4"/>
      <c r="GEY112" s="4"/>
      <c r="GEZ112" s="4"/>
      <c r="GFA112" s="4"/>
      <c r="GFB112" s="4"/>
      <c r="GFC112" s="4"/>
      <c r="GFD112" s="4"/>
      <c r="GFE112" s="4"/>
      <c r="GFF112" s="4"/>
      <c r="GFG112" s="4"/>
      <c r="GFH112" s="4"/>
      <c r="GFI112" s="4"/>
      <c r="GFJ112" s="4"/>
      <c r="GFK112" s="4"/>
      <c r="GFL112" s="4"/>
      <c r="GFM112" s="4"/>
      <c r="GFN112" s="4"/>
      <c r="GFO112" s="4"/>
      <c r="GFP112" s="4"/>
      <c r="GFQ112" s="4"/>
      <c r="GFR112" s="4"/>
      <c r="GFS112" s="4"/>
      <c r="GFT112" s="4"/>
      <c r="GFU112" s="4"/>
      <c r="GFV112" s="4"/>
      <c r="GFW112" s="4"/>
      <c r="GFX112" s="4"/>
      <c r="GFY112" s="4"/>
      <c r="GFZ112" s="4"/>
      <c r="GGA112" s="4"/>
      <c r="GGB112" s="4"/>
      <c r="GGC112" s="4"/>
      <c r="GGD112" s="4"/>
      <c r="GGE112" s="4"/>
      <c r="GGF112" s="4"/>
      <c r="GGG112" s="4"/>
      <c r="GGH112" s="4"/>
      <c r="GGI112" s="4"/>
      <c r="GGJ112" s="4"/>
      <c r="GGK112" s="4"/>
      <c r="GGL112" s="4"/>
      <c r="GGM112" s="4"/>
      <c r="GGN112" s="4"/>
      <c r="GGO112" s="4"/>
      <c r="GGP112" s="4"/>
      <c r="GGQ112" s="4"/>
      <c r="GGR112" s="4"/>
      <c r="GGS112" s="4"/>
      <c r="GGT112" s="4"/>
      <c r="GGU112" s="4"/>
      <c r="GGV112" s="4"/>
      <c r="GGW112" s="4"/>
      <c r="GGX112" s="4"/>
      <c r="GGY112" s="4"/>
      <c r="GGZ112" s="4"/>
      <c r="GHA112" s="4"/>
      <c r="GHB112" s="4"/>
      <c r="GHC112" s="4"/>
      <c r="GHD112" s="4"/>
      <c r="GHE112" s="4"/>
      <c r="GHF112" s="4"/>
      <c r="GHG112" s="4"/>
      <c r="GHH112" s="4"/>
      <c r="GHI112" s="4"/>
      <c r="GHJ112" s="4"/>
      <c r="GHK112" s="4"/>
      <c r="GHL112" s="4"/>
      <c r="GHM112" s="4"/>
      <c r="GHN112" s="4"/>
      <c r="GHO112" s="4"/>
      <c r="GHP112" s="4"/>
      <c r="GHQ112" s="4"/>
      <c r="GHR112" s="4"/>
      <c r="GHS112" s="4"/>
      <c r="GHT112" s="4"/>
      <c r="GHU112" s="4"/>
      <c r="GHV112" s="4"/>
      <c r="GHW112" s="4"/>
      <c r="GHX112" s="4"/>
      <c r="GHY112" s="4"/>
      <c r="GHZ112" s="4"/>
      <c r="GIA112" s="4"/>
      <c r="GIB112" s="4"/>
      <c r="GIC112" s="4"/>
      <c r="GID112" s="4"/>
      <c r="GIE112" s="4"/>
      <c r="GIF112" s="4"/>
      <c r="GIG112" s="4"/>
      <c r="GIH112" s="4"/>
      <c r="GII112" s="4"/>
      <c r="GIJ112" s="4"/>
      <c r="GIK112" s="4"/>
      <c r="GIL112" s="4"/>
      <c r="GIM112" s="4"/>
      <c r="GIN112" s="4"/>
      <c r="GIO112" s="4"/>
      <c r="GIP112" s="4"/>
      <c r="GIQ112" s="4"/>
      <c r="GIR112" s="4"/>
      <c r="GIS112" s="4"/>
      <c r="GIT112" s="4"/>
      <c r="GIU112" s="4"/>
      <c r="GIV112" s="4"/>
      <c r="GIW112" s="4"/>
      <c r="GIX112" s="4"/>
      <c r="GIY112" s="4"/>
      <c r="GIZ112" s="4"/>
      <c r="GJA112" s="4"/>
      <c r="GJB112" s="4"/>
      <c r="GJC112" s="4"/>
      <c r="GJD112" s="4"/>
      <c r="GJE112" s="4"/>
      <c r="GJF112" s="4"/>
      <c r="GJG112" s="4"/>
      <c r="GJH112" s="4"/>
      <c r="GJI112" s="4"/>
      <c r="GJJ112" s="4"/>
      <c r="GJK112" s="4"/>
      <c r="GJL112" s="4"/>
      <c r="GJM112" s="4"/>
      <c r="GJN112" s="4"/>
      <c r="GJO112" s="4"/>
      <c r="GJP112" s="4"/>
      <c r="GJQ112" s="4"/>
      <c r="GJR112" s="4"/>
      <c r="GJS112" s="4"/>
      <c r="GJT112" s="4"/>
      <c r="GJU112" s="4"/>
      <c r="GJV112" s="4"/>
      <c r="GJW112" s="4"/>
      <c r="GJX112" s="4"/>
      <c r="GJY112" s="4"/>
      <c r="GJZ112" s="4"/>
      <c r="GKA112" s="4"/>
      <c r="GKB112" s="4"/>
      <c r="GKC112" s="4"/>
      <c r="GKD112" s="4"/>
      <c r="GKE112" s="4"/>
      <c r="GKF112" s="4"/>
      <c r="GKG112" s="4"/>
      <c r="GKH112" s="4"/>
      <c r="GKI112" s="4"/>
      <c r="GKJ112" s="4"/>
      <c r="GKK112" s="4"/>
      <c r="GKL112" s="4"/>
      <c r="GKM112" s="4"/>
      <c r="GKN112" s="4"/>
      <c r="GKO112" s="4"/>
      <c r="GKP112" s="4"/>
      <c r="GKQ112" s="4"/>
      <c r="GKR112" s="4"/>
      <c r="GKS112" s="4"/>
      <c r="GKT112" s="4"/>
      <c r="GKU112" s="4"/>
      <c r="GKV112" s="4"/>
      <c r="GKW112" s="4"/>
      <c r="GKX112" s="4"/>
      <c r="GKY112" s="4"/>
      <c r="GKZ112" s="4"/>
      <c r="GLA112" s="4"/>
      <c r="GLB112" s="4"/>
      <c r="GLC112" s="4"/>
      <c r="GLD112" s="4"/>
      <c r="GLE112" s="4"/>
      <c r="GLF112" s="4"/>
      <c r="GLG112" s="4"/>
      <c r="GLH112" s="4"/>
      <c r="GLI112" s="4"/>
      <c r="GLJ112" s="4"/>
      <c r="GLK112" s="4"/>
      <c r="GLL112" s="4"/>
      <c r="GLM112" s="4"/>
      <c r="GLN112" s="4"/>
      <c r="GLO112" s="4"/>
      <c r="GLP112" s="4"/>
      <c r="GLQ112" s="4"/>
      <c r="GLR112" s="4"/>
      <c r="GLS112" s="4"/>
      <c r="GLT112" s="4"/>
      <c r="GLU112" s="4"/>
      <c r="GLV112" s="4"/>
      <c r="GLW112" s="4"/>
      <c r="GLX112" s="4"/>
      <c r="GLY112" s="4"/>
      <c r="GLZ112" s="4"/>
      <c r="GMA112" s="4"/>
      <c r="GMB112" s="4"/>
      <c r="GMC112" s="4"/>
      <c r="GMD112" s="4"/>
      <c r="GME112" s="4"/>
      <c r="GMF112" s="4"/>
      <c r="GMG112" s="4"/>
      <c r="GMH112" s="4"/>
      <c r="GMI112" s="4"/>
      <c r="GMJ112" s="4"/>
      <c r="GMK112" s="4"/>
      <c r="GML112" s="4"/>
      <c r="GMM112" s="4"/>
      <c r="GMN112" s="4"/>
      <c r="GMO112" s="4"/>
      <c r="GMP112" s="4"/>
      <c r="GMQ112" s="4"/>
      <c r="GMR112" s="4"/>
      <c r="GMS112" s="4"/>
      <c r="GMT112" s="4"/>
      <c r="GMU112" s="4"/>
      <c r="GMV112" s="4"/>
      <c r="GMW112" s="4"/>
      <c r="GMX112" s="4"/>
      <c r="GMY112" s="4"/>
      <c r="GMZ112" s="4"/>
      <c r="GNA112" s="4"/>
      <c r="GNB112" s="4"/>
      <c r="GNC112" s="4"/>
      <c r="GND112" s="4"/>
      <c r="GNE112" s="4"/>
      <c r="GNF112" s="4"/>
      <c r="GNG112" s="4"/>
      <c r="GNH112" s="4"/>
      <c r="GNI112" s="4"/>
      <c r="GNJ112" s="4"/>
      <c r="GNK112" s="4"/>
      <c r="GNL112" s="4"/>
      <c r="GNM112" s="4"/>
      <c r="GNN112" s="4"/>
      <c r="GNO112" s="4"/>
      <c r="GNP112" s="4"/>
      <c r="GNQ112" s="4"/>
      <c r="GNR112" s="4"/>
      <c r="GNS112" s="4"/>
      <c r="GNT112" s="4"/>
      <c r="GNU112" s="4"/>
      <c r="GNV112" s="4"/>
      <c r="GNW112" s="4"/>
      <c r="GNX112" s="4"/>
      <c r="GNY112" s="4"/>
      <c r="GNZ112" s="4"/>
      <c r="GOA112" s="4"/>
      <c r="GOB112" s="4"/>
      <c r="GOC112" s="4"/>
      <c r="GOD112" s="4"/>
      <c r="GOE112" s="4"/>
      <c r="GOF112" s="4"/>
      <c r="GOG112" s="4"/>
      <c r="GOH112" s="4"/>
      <c r="GOI112" s="4"/>
      <c r="GOJ112" s="4"/>
      <c r="GOK112" s="4"/>
      <c r="GOL112" s="4"/>
      <c r="GOM112" s="4"/>
      <c r="GON112" s="4"/>
      <c r="GOO112" s="4"/>
      <c r="GOP112" s="4"/>
      <c r="GOQ112" s="4"/>
      <c r="GOR112" s="4"/>
      <c r="GOS112" s="4"/>
      <c r="GOT112" s="4"/>
      <c r="GOU112" s="4"/>
      <c r="GOV112" s="4"/>
      <c r="GOW112" s="4"/>
      <c r="GOX112" s="4"/>
      <c r="GOY112" s="4"/>
      <c r="GOZ112" s="4"/>
      <c r="GPA112" s="4"/>
      <c r="GPB112" s="4"/>
      <c r="GPC112" s="4"/>
      <c r="GPD112" s="4"/>
      <c r="GPE112" s="4"/>
      <c r="GPF112" s="4"/>
      <c r="GPG112" s="4"/>
      <c r="GPH112" s="4"/>
      <c r="GPI112" s="4"/>
      <c r="GPJ112" s="4"/>
      <c r="GPK112" s="4"/>
      <c r="GPL112" s="4"/>
      <c r="GPM112" s="4"/>
      <c r="GPN112" s="4"/>
      <c r="GPO112" s="4"/>
      <c r="GPP112" s="4"/>
      <c r="GPQ112" s="4"/>
      <c r="GPR112" s="4"/>
      <c r="GPS112" s="4"/>
      <c r="GPT112" s="4"/>
      <c r="GPU112" s="4"/>
      <c r="GPV112" s="4"/>
      <c r="GPW112" s="4"/>
      <c r="GPX112" s="4"/>
      <c r="GPY112" s="4"/>
      <c r="GPZ112" s="4"/>
      <c r="GQA112" s="4"/>
      <c r="GQB112" s="4"/>
      <c r="GQC112" s="4"/>
      <c r="GQD112" s="4"/>
      <c r="GQE112" s="4"/>
      <c r="GQF112" s="4"/>
      <c r="GQG112" s="4"/>
      <c r="GQH112" s="4"/>
      <c r="GQI112" s="4"/>
      <c r="GQJ112" s="4"/>
      <c r="GQK112" s="4"/>
      <c r="GQL112" s="4"/>
      <c r="GQM112" s="4"/>
      <c r="GQN112" s="4"/>
      <c r="GQO112" s="4"/>
      <c r="GQP112" s="4"/>
      <c r="GQQ112" s="4"/>
      <c r="GQR112" s="4"/>
      <c r="GQS112" s="4"/>
      <c r="GQT112" s="4"/>
      <c r="GQU112" s="4"/>
      <c r="GQV112" s="4"/>
      <c r="GQW112" s="4"/>
      <c r="GQX112" s="4"/>
      <c r="GQY112" s="4"/>
      <c r="GQZ112" s="4"/>
      <c r="GRA112" s="4"/>
      <c r="GRB112" s="4"/>
      <c r="GRC112" s="4"/>
      <c r="GRD112" s="4"/>
      <c r="GRE112" s="4"/>
      <c r="GRF112" s="4"/>
      <c r="GRG112" s="4"/>
      <c r="GRH112" s="4"/>
      <c r="GRI112" s="4"/>
      <c r="GRJ112" s="4"/>
      <c r="GRK112" s="4"/>
      <c r="GRL112" s="4"/>
      <c r="GRM112" s="4"/>
      <c r="GRN112" s="4"/>
      <c r="GRO112" s="4"/>
      <c r="GRP112" s="4"/>
      <c r="GRQ112" s="4"/>
      <c r="GRR112" s="4"/>
      <c r="GRS112" s="4"/>
      <c r="GRT112" s="4"/>
      <c r="GRU112" s="4"/>
      <c r="GRV112" s="4"/>
      <c r="GRW112" s="4"/>
      <c r="GRX112" s="4"/>
      <c r="GRY112" s="4"/>
      <c r="GRZ112" s="4"/>
      <c r="GSA112" s="4"/>
      <c r="GSB112" s="4"/>
      <c r="GSC112" s="4"/>
      <c r="GSD112" s="4"/>
      <c r="GSE112" s="4"/>
      <c r="GSF112" s="4"/>
      <c r="GSG112" s="4"/>
      <c r="GSH112" s="4"/>
      <c r="GSI112" s="4"/>
      <c r="GSJ112" s="4"/>
      <c r="GSK112" s="4"/>
      <c r="GSL112" s="4"/>
      <c r="GSM112" s="4"/>
      <c r="GSN112" s="4"/>
      <c r="GSO112" s="4"/>
      <c r="GSP112" s="4"/>
      <c r="GSQ112" s="4"/>
      <c r="GSR112" s="4"/>
      <c r="GSS112" s="4"/>
      <c r="GST112" s="4"/>
      <c r="GSU112" s="4"/>
      <c r="GSV112" s="4"/>
      <c r="GSW112" s="4"/>
      <c r="GSX112" s="4"/>
      <c r="GSY112" s="4"/>
      <c r="GSZ112" s="4"/>
      <c r="GTA112" s="4"/>
      <c r="GTB112" s="4"/>
      <c r="GTC112" s="4"/>
      <c r="GTD112" s="4"/>
      <c r="GTE112" s="4"/>
      <c r="GTF112" s="4"/>
      <c r="GTG112" s="4"/>
      <c r="GTH112" s="4"/>
      <c r="GTI112" s="4"/>
      <c r="GTJ112" s="4"/>
      <c r="GTK112" s="4"/>
      <c r="GTL112" s="4"/>
      <c r="GTM112" s="4"/>
      <c r="GTN112" s="4"/>
      <c r="GTO112" s="4"/>
      <c r="GTP112" s="4"/>
      <c r="GTQ112" s="4"/>
      <c r="GTR112" s="4"/>
      <c r="GTS112" s="4"/>
      <c r="GTT112" s="4"/>
      <c r="GTU112" s="4"/>
      <c r="GTV112" s="4"/>
      <c r="GTW112" s="4"/>
      <c r="GTX112" s="4"/>
      <c r="GTY112" s="4"/>
      <c r="GTZ112" s="4"/>
      <c r="GUA112" s="4"/>
      <c r="GUB112" s="4"/>
      <c r="GUC112" s="4"/>
      <c r="GUD112" s="4"/>
      <c r="GUE112" s="4"/>
      <c r="GUF112" s="4"/>
      <c r="GUG112" s="4"/>
      <c r="GUH112" s="4"/>
      <c r="GUI112" s="4"/>
      <c r="GUJ112" s="4"/>
      <c r="GUK112" s="4"/>
      <c r="GUL112" s="4"/>
      <c r="GUM112" s="4"/>
      <c r="GUN112" s="4"/>
      <c r="GUO112" s="4"/>
      <c r="GUP112" s="4"/>
      <c r="GUQ112" s="4"/>
      <c r="GUR112" s="4"/>
      <c r="GUS112" s="4"/>
      <c r="GUT112" s="4"/>
      <c r="GUU112" s="4"/>
      <c r="GUV112" s="4"/>
      <c r="GUW112" s="4"/>
      <c r="GUX112" s="4"/>
      <c r="GUY112" s="4"/>
      <c r="GUZ112" s="4"/>
      <c r="GVA112" s="4"/>
      <c r="GVB112" s="4"/>
      <c r="GVC112" s="4"/>
      <c r="GVD112" s="4"/>
      <c r="GVE112" s="4"/>
      <c r="GVF112" s="4"/>
      <c r="GVG112" s="4"/>
      <c r="GVH112" s="4"/>
      <c r="GVI112" s="4"/>
      <c r="GVJ112" s="4"/>
      <c r="GVK112" s="4"/>
      <c r="GVL112" s="4"/>
      <c r="GVM112" s="4"/>
      <c r="GVN112" s="4"/>
      <c r="GVO112" s="4"/>
      <c r="GVP112" s="4"/>
      <c r="GVQ112" s="4"/>
      <c r="GVR112" s="4"/>
      <c r="GVS112" s="4"/>
      <c r="GVT112" s="4"/>
      <c r="GVU112" s="4"/>
      <c r="GVV112" s="4"/>
      <c r="GVW112" s="4"/>
      <c r="GVX112" s="4"/>
      <c r="GVY112" s="4"/>
      <c r="GVZ112" s="4"/>
      <c r="GWA112" s="4"/>
      <c r="GWB112" s="4"/>
      <c r="GWC112" s="4"/>
      <c r="GWD112" s="4"/>
      <c r="GWE112" s="4"/>
      <c r="GWF112" s="4"/>
      <c r="GWG112" s="4"/>
      <c r="GWH112" s="4"/>
      <c r="GWI112" s="4"/>
      <c r="GWJ112" s="4"/>
      <c r="GWK112" s="4"/>
      <c r="GWL112" s="4"/>
      <c r="GWM112" s="4"/>
      <c r="GWN112" s="4"/>
      <c r="GWO112" s="4"/>
      <c r="GWP112" s="4"/>
      <c r="GWQ112" s="4"/>
      <c r="GWR112" s="4"/>
      <c r="GWS112" s="4"/>
      <c r="GWT112" s="4"/>
      <c r="GWU112" s="4"/>
      <c r="GWV112" s="4"/>
      <c r="GWW112" s="4"/>
      <c r="GWX112" s="4"/>
      <c r="GWY112" s="4"/>
      <c r="GWZ112" s="4"/>
      <c r="GXA112" s="4"/>
      <c r="GXB112" s="4"/>
      <c r="GXC112" s="4"/>
      <c r="GXD112" s="4"/>
      <c r="GXE112" s="4"/>
      <c r="GXF112" s="4"/>
      <c r="GXG112" s="4"/>
      <c r="GXH112" s="4"/>
      <c r="GXI112" s="4"/>
      <c r="GXJ112" s="4"/>
      <c r="GXK112" s="4"/>
      <c r="GXL112" s="4"/>
      <c r="GXM112" s="4"/>
      <c r="GXN112" s="4"/>
      <c r="GXO112" s="4"/>
      <c r="GXP112" s="4"/>
      <c r="GXQ112" s="4"/>
      <c r="GXR112" s="4"/>
      <c r="GXS112" s="4"/>
      <c r="GXT112" s="4"/>
      <c r="GXU112" s="4"/>
      <c r="GXV112" s="4"/>
      <c r="GXW112" s="4"/>
      <c r="GXX112" s="4"/>
      <c r="GXY112" s="4"/>
      <c r="GXZ112" s="4"/>
      <c r="GYA112" s="4"/>
      <c r="GYB112" s="4"/>
      <c r="GYC112" s="4"/>
      <c r="GYD112" s="4"/>
      <c r="GYE112" s="4"/>
      <c r="GYF112" s="4"/>
      <c r="GYG112" s="4"/>
      <c r="GYH112" s="4"/>
      <c r="GYI112" s="4"/>
      <c r="GYJ112" s="4"/>
      <c r="GYK112" s="4"/>
      <c r="GYL112" s="4"/>
      <c r="GYM112" s="4"/>
      <c r="GYN112" s="4"/>
      <c r="GYO112" s="4"/>
      <c r="GYP112" s="4"/>
      <c r="GYQ112" s="4"/>
      <c r="GYR112" s="4"/>
      <c r="GYS112" s="4"/>
      <c r="GYT112" s="4"/>
      <c r="GYU112" s="4"/>
      <c r="GYV112" s="4"/>
      <c r="GYW112" s="4"/>
      <c r="GYX112" s="4"/>
      <c r="GYY112" s="4"/>
      <c r="GYZ112" s="4"/>
      <c r="GZA112" s="4"/>
      <c r="GZB112" s="4"/>
      <c r="GZC112" s="4"/>
      <c r="GZD112" s="4"/>
      <c r="GZE112" s="4"/>
      <c r="GZF112" s="4"/>
      <c r="GZG112" s="4"/>
      <c r="GZH112" s="4"/>
      <c r="GZI112" s="4"/>
      <c r="GZJ112" s="4"/>
      <c r="GZK112" s="4"/>
      <c r="GZL112" s="4"/>
      <c r="GZM112" s="4"/>
      <c r="GZN112" s="4"/>
      <c r="GZO112" s="4"/>
      <c r="GZP112" s="4"/>
      <c r="GZQ112" s="4"/>
      <c r="GZR112" s="4"/>
      <c r="GZS112" s="4"/>
      <c r="GZT112" s="4"/>
      <c r="GZU112" s="4"/>
      <c r="GZV112" s="4"/>
      <c r="GZW112" s="4"/>
      <c r="GZX112" s="4"/>
      <c r="GZY112" s="4"/>
      <c r="GZZ112" s="4"/>
      <c r="HAA112" s="4"/>
      <c r="HAB112" s="4"/>
      <c r="HAC112" s="4"/>
      <c r="HAD112" s="4"/>
      <c r="HAE112" s="4"/>
      <c r="HAF112" s="4"/>
      <c r="HAG112" s="4"/>
      <c r="HAH112" s="4"/>
      <c r="HAI112" s="4"/>
      <c r="HAJ112" s="4"/>
      <c r="HAK112" s="4"/>
      <c r="HAL112" s="4"/>
      <c r="HAM112" s="4"/>
      <c r="HAN112" s="4"/>
      <c r="HAO112" s="4"/>
      <c r="HAP112" s="4"/>
      <c r="HAQ112" s="4"/>
      <c r="HAR112" s="4"/>
      <c r="HAS112" s="4"/>
      <c r="HAT112" s="4"/>
      <c r="HAU112" s="4"/>
      <c r="HAV112" s="4"/>
      <c r="HAW112" s="4"/>
      <c r="HAX112" s="4"/>
      <c r="HAY112" s="4"/>
      <c r="HAZ112" s="4"/>
      <c r="HBA112" s="4"/>
      <c r="HBB112" s="4"/>
      <c r="HBC112" s="4"/>
      <c r="HBD112" s="4"/>
      <c r="HBE112" s="4"/>
      <c r="HBF112" s="4"/>
      <c r="HBG112" s="4"/>
      <c r="HBH112" s="4"/>
      <c r="HBI112" s="4"/>
      <c r="HBJ112" s="4"/>
      <c r="HBK112" s="4"/>
      <c r="HBL112" s="4"/>
      <c r="HBM112" s="4"/>
      <c r="HBN112" s="4"/>
      <c r="HBO112" s="4"/>
      <c r="HBP112" s="4"/>
      <c r="HBQ112" s="4"/>
      <c r="HBR112" s="4"/>
      <c r="HBS112" s="4"/>
      <c r="HBT112" s="4"/>
      <c r="HBU112" s="4"/>
      <c r="HBV112" s="4"/>
      <c r="HBW112" s="4"/>
      <c r="HBX112" s="4"/>
      <c r="HBY112" s="4"/>
      <c r="HBZ112" s="4"/>
      <c r="HCA112" s="4"/>
      <c r="HCB112" s="4"/>
      <c r="HCC112" s="4"/>
      <c r="HCD112" s="4"/>
      <c r="HCE112" s="4"/>
      <c r="HCF112" s="4"/>
      <c r="HCG112" s="4"/>
      <c r="HCH112" s="4"/>
      <c r="HCI112" s="4"/>
      <c r="HCJ112" s="4"/>
      <c r="HCK112" s="4"/>
      <c r="HCL112" s="4"/>
      <c r="HCM112" s="4"/>
      <c r="HCN112" s="4"/>
      <c r="HCO112" s="4"/>
      <c r="HCP112" s="4"/>
      <c r="HCQ112" s="4"/>
      <c r="HCR112" s="4"/>
      <c r="HCS112" s="4"/>
      <c r="HCT112" s="4"/>
      <c r="HCU112" s="4"/>
      <c r="HCV112" s="4"/>
      <c r="HCW112" s="4"/>
      <c r="HCX112" s="4"/>
      <c r="HCY112" s="4"/>
      <c r="HCZ112" s="4"/>
      <c r="HDA112" s="4"/>
      <c r="HDB112" s="4"/>
      <c r="HDC112" s="4"/>
      <c r="HDD112" s="4"/>
      <c r="HDE112" s="4"/>
      <c r="HDF112" s="4"/>
      <c r="HDG112" s="4"/>
      <c r="HDH112" s="4"/>
      <c r="HDI112" s="4"/>
      <c r="HDJ112" s="4"/>
      <c r="HDK112" s="4"/>
      <c r="HDL112" s="4"/>
      <c r="HDM112" s="4"/>
      <c r="HDN112" s="4"/>
      <c r="HDO112" s="4"/>
      <c r="HDP112" s="4"/>
      <c r="HDQ112" s="4"/>
      <c r="HDR112" s="4"/>
      <c r="HDS112" s="4"/>
      <c r="HDT112" s="4"/>
      <c r="HDU112" s="4"/>
      <c r="HDV112" s="4"/>
      <c r="HDW112" s="4"/>
      <c r="HDX112" s="4"/>
      <c r="HDY112" s="4"/>
      <c r="HDZ112" s="4"/>
      <c r="HEA112" s="4"/>
      <c r="HEB112" s="4"/>
      <c r="HEC112" s="4"/>
      <c r="HED112" s="4"/>
      <c r="HEE112" s="4"/>
      <c r="HEF112" s="4"/>
      <c r="HEG112" s="4"/>
      <c r="HEH112" s="4"/>
      <c r="HEI112" s="4"/>
      <c r="HEJ112" s="4"/>
      <c r="HEK112" s="4"/>
      <c r="HEL112" s="4"/>
      <c r="HEM112" s="4"/>
      <c r="HEN112" s="4"/>
      <c r="HEO112" s="4"/>
      <c r="HEP112" s="4"/>
      <c r="HEQ112" s="4"/>
      <c r="HER112" s="4"/>
      <c r="HES112" s="4"/>
      <c r="HET112" s="4"/>
      <c r="HEU112" s="4"/>
      <c r="HEV112" s="4"/>
      <c r="HEW112" s="4"/>
      <c r="HEX112" s="4"/>
      <c r="HEY112" s="4"/>
      <c r="HEZ112" s="4"/>
      <c r="HFA112" s="4"/>
      <c r="HFB112" s="4"/>
      <c r="HFC112" s="4"/>
      <c r="HFD112" s="4"/>
      <c r="HFE112" s="4"/>
      <c r="HFF112" s="4"/>
      <c r="HFG112" s="4"/>
      <c r="HFH112" s="4"/>
      <c r="HFI112" s="4"/>
      <c r="HFJ112" s="4"/>
      <c r="HFK112" s="4"/>
      <c r="HFL112" s="4"/>
      <c r="HFM112" s="4"/>
      <c r="HFN112" s="4"/>
      <c r="HFO112" s="4"/>
      <c r="HFP112" s="4"/>
      <c r="HFQ112" s="4"/>
      <c r="HFR112" s="4"/>
      <c r="HFS112" s="4"/>
      <c r="HFT112" s="4"/>
      <c r="HFU112" s="4"/>
      <c r="HFV112" s="4"/>
      <c r="HFW112" s="4"/>
      <c r="HFX112" s="4"/>
      <c r="HFY112" s="4"/>
      <c r="HFZ112" s="4"/>
      <c r="HGA112" s="4"/>
      <c r="HGB112" s="4"/>
      <c r="HGC112" s="4"/>
      <c r="HGD112" s="4"/>
      <c r="HGE112" s="4"/>
      <c r="HGF112" s="4"/>
      <c r="HGG112" s="4"/>
      <c r="HGH112" s="4"/>
      <c r="HGI112" s="4"/>
      <c r="HGJ112" s="4"/>
      <c r="HGK112" s="4"/>
      <c r="HGL112" s="4"/>
      <c r="HGM112" s="4"/>
      <c r="HGN112" s="4"/>
      <c r="HGO112" s="4"/>
      <c r="HGP112" s="4"/>
      <c r="HGQ112" s="4"/>
      <c r="HGR112" s="4"/>
      <c r="HGS112" s="4"/>
      <c r="HGT112" s="4"/>
      <c r="HGU112" s="4"/>
      <c r="HGV112" s="4"/>
      <c r="HGW112" s="4"/>
      <c r="HGX112" s="4"/>
      <c r="HGY112" s="4"/>
      <c r="HGZ112" s="4"/>
      <c r="HHA112" s="4"/>
      <c r="HHB112" s="4"/>
      <c r="HHC112" s="4"/>
      <c r="HHD112" s="4"/>
      <c r="HHE112" s="4"/>
      <c r="HHF112" s="4"/>
      <c r="HHG112" s="4"/>
      <c r="HHH112" s="4"/>
      <c r="HHI112" s="4"/>
      <c r="HHJ112" s="4"/>
      <c r="HHK112" s="4"/>
      <c r="HHL112" s="4"/>
      <c r="HHM112" s="4"/>
      <c r="HHN112" s="4"/>
      <c r="HHO112" s="4"/>
      <c r="HHP112" s="4"/>
      <c r="HHQ112" s="4"/>
      <c r="HHR112" s="4"/>
      <c r="HHS112" s="4"/>
      <c r="HHT112" s="4"/>
      <c r="HHU112" s="4"/>
      <c r="HHV112" s="4"/>
      <c r="HHW112" s="4"/>
      <c r="HHX112" s="4"/>
      <c r="HHY112" s="4"/>
      <c r="HHZ112" s="4"/>
      <c r="HIA112" s="4"/>
      <c r="HIB112" s="4"/>
      <c r="HIC112" s="4"/>
      <c r="HID112" s="4"/>
      <c r="HIE112" s="4"/>
      <c r="HIF112" s="4"/>
      <c r="HIG112" s="4"/>
      <c r="HIH112" s="4"/>
      <c r="HII112" s="4"/>
      <c r="HIJ112" s="4"/>
      <c r="HIK112" s="4"/>
      <c r="HIL112" s="4"/>
      <c r="HIM112" s="4"/>
      <c r="HIN112" s="4"/>
      <c r="HIO112" s="4"/>
      <c r="HIP112" s="4"/>
      <c r="HIQ112" s="4"/>
      <c r="HIR112" s="4"/>
      <c r="HIS112" s="4"/>
      <c r="HIT112" s="4"/>
      <c r="HIU112" s="4"/>
      <c r="HIV112" s="4"/>
      <c r="HIW112" s="4"/>
      <c r="HIX112" s="4"/>
      <c r="HIY112" s="4"/>
      <c r="HIZ112" s="4"/>
      <c r="HJA112" s="4"/>
      <c r="HJB112" s="4"/>
      <c r="HJC112" s="4"/>
      <c r="HJD112" s="4"/>
      <c r="HJE112" s="4"/>
      <c r="HJF112" s="4"/>
      <c r="HJG112" s="4"/>
      <c r="HJH112" s="4"/>
      <c r="HJI112" s="4"/>
      <c r="HJJ112" s="4"/>
      <c r="HJK112" s="4"/>
      <c r="HJL112" s="4"/>
      <c r="HJM112" s="4"/>
      <c r="HJN112" s="4"/>
      <c r="HJO112" s="4"/>
      <c r="HJP112" s="4"/>
      <c r="HJQ112" s="4"/>
      <c r="HJR112" s="4"/>
      <c r="HJS112" s="4"/>
      <c r="HJT112" s="4"/>
      <c r="HJU112" s="4"/>
      <c r="HJV112" s="4"/>
      <c r="HJW112" s="4"/>
      <c r="HJX112" s="4"/>
      <c r="HJY112" s="4"/>
      <c r="HJZ112" s="4"/>
      <c r="HKA112" s="4"/>
      <c r="HKB112" s="4"/>
      <c r="HKC112" s="4"/>
      <c r="HKD112" s="4"/>
      <c r="HKE112" s="4"/>
      <c r="HKF112" s="4"/>
      <c r="HKG112" s="4"/>
      <c r="HKH112" s="4"/>
      <c r="HKI112" s="4"/>
      <c r="HKJ112" s="4"/>
      <c r="HKK112" s="4"/>
      <c r="HKL112" s="4"/>
      <c r="HKM112" s="4"/>
      <c r="HKN112" s="4"/>
      <c r="HKO112" s="4"/>
      <c r="HKP112" s="4"/>
      <c r="HKQ112" s="4"/>
      <c r="HKR112" s="4"/>
      <c r="HKS112" s="4"/>
      <c r="HKT112" s="4"/>
      <c r="HKU112" s="4"/>
      <c r="HKV112" s="4"/>
      <c r="HKW112" s="4"/>
      <c r="HKX112" s="4"/>
      <c r="HKY112" s="4"/>
      <c r="HKZ112" s="4"/>
      <c r="HLA112" s="4"/>
      <c r="HLB112" s="4"/>
      <c r="HLC112" s="4"/>
      <c r="HLD112" s="4"/>
      <c r="HLE112" s="4"/>
      <c r="HLF112" s="4"/>
      <c r="HLG112" s="4"/>
      <c r="HLH112" s="4"/>
      <c r="HLI112" s="4"/>
      <c r="HLJ112" s="4"/>
      <c r="HLK112" s="4"/>
      <c r="HLL112" s="4"/>
      <c r="HLM112" s="4"/>
      <c r="HLN112" s="4"/>
      <c r="HLO112" s="4"/>
      <c r="HLP112" s="4"/>
      <c r="HLQ112" s="4"/>
      <c r="HLR112" s="4"/>
      <c r="HLS112" s="4"/>
      <c r="HLT112" s="4"/>
      <c r="HLU112" s="4"/>
      <c r="HLV112" s="4"/>
      <c r="HLW112" s="4"/>
      <c r="HLX112" s="4"/>
      <c r="HLY112" s="4"/>
      <c r="HLZ112" s="4"/>
      <c r="HMA112" s="4"/>
      <c r="HMB112" s="4"/>
      <c r="HMC112" s="4"/>
      <c r="HMD112" s="4"/>
      <c r="HME112" s="4"/>
      <c r="HMF112" s="4"/>
      <c r="HMG112" s="4"/>
      <c r="HMH112" s="4"/>
      <c r="HMI112" s="4"/>
      <c r="HMJ112" s="4"/>
      <c r="HMK112" s="4"/>
      <c r="HML112" s="4"/>
      <c r="HMM112" s="4"/>
      <c r="HMN112" s="4"/>
      <c r="HMO112" s="4"/>
      <c r="HMP112" s="4"/>
      <c r="HMQ112" s="4"/>
      <c r="HMR112" s="4"/>
      <c r="HMS112" s="4"/>
      <c r="HMT112" s="4"/>
      <c r="HMU112" s="4"/>
      <c r="HMV112" s="4"/>
      <c r="HMW112" s="4"/>
      <c r="HMX112" s="4"/>
      <c r="HMY112" s="4"/>
      <c r="HMZ112" s="4"/>
      <c r="HNA112" s="4"/>
      <c r="HNB112" s="4"/>
      <c r="HNC112" s="4"/>
      <c r="HND112" s="4"/>
      <c r="HNE112" s="4"/>
      <c r="HNF112" s="4"/>
      <c r="HNG112" s="4"/>
      <c r="HNH112" s="4"/>
      <c r="HNI112" s="4"/>
      <c r="HNJ112" s="4"/>
      <c r="HNK112" s="4"/>
      <c r="HNL112" s="4"/>
      <c r="HNM112" s="4"/>
      <c r="HNN112" s="4"/>
      <c r="HNO112" s="4"/>
      <c r="HNP112" s="4"/>
      <c r="HNQ112" s="4"/>
      <c r="HNR112" s="4"/>
      <c r="HNS112" s="4"/>
      <c r="HNT112" s="4"/>
      <c r="HNU112" s="4"/>
      <c r="HNV112" s="4"/>
      <c r="HNW112" s="4"/>
      <c r="HNX112" s="4"/>
      <c r="HNY112" s="4"/>
      <c r="HNZ112" s="4"/>
      <c r="HOA112" s="4"/>
      <c r="HOB112" s="4"/>
      <c r="HOC112" s="4"/>
      <c r="HOD112" s="4"/>
      <c r="HOE112" s="4"/>
      <c r="HOF112" s="4"/>
      <c r="HOG112" s="4"/>
      <c r="HOH112" s="4"/>
      <c r="HOI112" s="4"/>
      <c r="HOJ112" s="4"/>
      <c r="HOK112" s="4"/>
      <c r="HOL112" s="4"/>
      <c r="HOM112" s="4"/>
      <c r="HON112" s="4"/>
      <c r="HOO112" s="4"/>
      <c r="HOP112" s="4"/>
      <c r="HOQ112" s="4"/>
      <c r="HOR112" s="4"/>
      <c r="HOS112" s="4"/>
      <c r="HOT112" s="4"/>
      <c r="HOU112" s="4"/>
      <c r="HOV112" s="4"/>
      <c r="HOW112" s="4"/>
      <c r="HOX112" s="4"/>
      <c r="HOY112" s="4"/>
      <c r="HOZ112" s="4"/>
      <c r="HPA112" s="4"/>
      <c r="HPB112" s="4"/>
      <c r="HPC112" s="4"/>
      <c r="HPD112" s="4"/>
      <c r="HPE112" s="4"/>
      <c r="HPF112" s="4"/>
      <c r="HPG112" s="4"/>
      <c r="HPH112" s="4"/>
      <c r="HPI112" s="4"/>
      <c r="HPJ112" s="4"/>
      <c r="HPK112" s="4"/>
      <c r="HPL112" s="4"/>
      <c r="HPM112" s="4"/>
      <c r="HPN112" s="4"/>
      <c r="HPO112" s="4"/>
      <c r="HPP112" s="4"/>
      <c r="HPQ112" s="4"/>
      <c r="HPR112" s="4"/>
      <c r="HPS112" s="4"/>
      <c r="HPT112" s="4"/>
      <c r="HPU112" s="4"/>
      <c r="HPV112" s="4"/>
      <c r="HPW112" s="4"/>
      <c r="HPX112" s="4"/>
      <c r="HPY112" s="4"/>
      <c r="HPZ112" s="4"/>
      <c r="HQA112" s="4"/>
      <c r="HQB112" s="4"/>
      <c r="HQC112" s="4"/>
      <c r="HQD112" s="4"/>
      <c r="HQE112" s="4"/>
      <c r="HQF112" s="4"/>
      <c r="HQG112" s="4"/>
      <c r="HQH112" s="4"/>
      <c r="HQI112" s="4"/>
      <c r="HQJ112" s="4"/>
      <c r="HQK112" s="4"/>
      <c r="HQL112" s="4"/>
      <c r="HQM112" s="4"/>
      <c r="HQN112" s="4"/>
      <c r="HQO112" s="4"/>
      <c r="HQP112" s="4"/>
      <c r="HQQ112" s="4"/>
      <c r="HQR112" s="4"/>
      <c r="HQS112" s="4"/>
      <c r="HQT112" s="4"/>
      <c r="HQU112" s="4"/>
      <c r="HQV112" s="4"/>
      <c r="HQW112" s="4"/>
      <c r="HQX112" s="4"/>
      <c r="HQY112" s="4"/>
      <c r="HQZ112" s="4"/>
      <c r="HRA112" s="4"/>
      <c r="HRB112" s="4"/>
      <c r="HRC112" s="4"/>
      <c r="HRD112" s="4"/>
      <c r="HRE112" s="4"/>
      <c r="HRF112" s="4"/>
      <c r="HRG112" s="4"/>
      <c r="HRH112" s="4"/>
      <c r="HRI112" s="4"/>
      <c r="HRJ112" s="4"/>
      <c r="HRK112" s="4"/>
      <c r="HRL112" s="4"/>
      <c r="HRM112" s="4"/>
      <c r="HRN112" s="4"/>
      <c r="HRO112" s="4"/>
      <c r="HRP112" s="4"/>
      <c r="HRQ112" s="4"/>
      <c r="HRR112" s="4"/>
      <c r="HRS112" s="4"/>
      <c r="HRT112" s="4"/>
      <c r="HRU112" s="4"/>
      <c r="HRV112" s="4"/>
      <c r="HRW112" s="4"/>
      <c r="HRX112" s="4"/>
      <c r="HRY112" s="4"/>
      <c r="HRZ112" s="4"/>
      <c r="HSA112" s="4"/>
      <c r="HSB112" s="4"/>
      <c r="HSC112" s="4"/>
      <c r="HSD112" s="4"/>
      <c r="HSE112" s="4"/>
      <c r="HSF112" s="4"/>
      <c r="HSG112" s="4"/>
      <c r="HSH112" s="4"/>
      <c r="HSI112" s="4"/>
      <c r="HSJ112" s="4"/>
      <c r="HSK112" s="4"/>
      <c r="HSL112" s="4"/>
      <c r="HSM112" s="4"/>
      <c r="HSN112" s="4"/>
      <c r="HSO112" s="4"/>
      <c r="HSP112" s="4"/>
      <c r="HSQ112" s="4"/>
      <c r="HSR112" s="4"/>
      <c r="HSS112" s="4"/>
      <c r="HST112" s="4"/>
      <c r="HSU112" s="4"/>
      <c r="HSV112" s="4"/>
      <c r="HSW112" s="4"/>
      <c r="HSX112" s="4"/>
      <c r="HSY112" s="4"/>
      <c r="HSZ112" s="4"/>
      <c r="HTA112" s="4"/>
      <c r="HTB112" s="4"/>
      <c r="HTC112" s="4"/>
      <c r="HTD112" s="4"/>
      <c r="HTE112" s="4"/>
      <c r="HTF112" s="4"/>
      <c r="HTG112" s="4"/>
      <c r="HTH112" s="4"/>
      <c r="HTI112" s="4"/>
      <c r="HTJ112" s="4"/>
      <c r="HTK112" s="4"/>
      <c r="HTL112" s="4"/>
      <c r="HTM112" s="4"/>
      <c r="HTN112" s="4"/>
      <c r="HTO112" s="4"/>
      <c r="HTP112" s="4"/>
      <c r="HTQ112" s="4"/>
      <c r="HTR112" s="4"/>
      <c r="HTS112" s="4"/>
      <c r="HTT112" s="4"/>
      <c r="HTU112" s="4"/>
      <c r="HTV112" s="4"/>
      <c r="HTW112" s="4"/>
      <c r="HTX112" s="4"/>
      <c r="HTY112" s="4"/>
      <c r="HTZ112" s="4"/>
      <c r="HUA112" s="4"/>
      <c r="HUB112" s="4"/>
      <c r="HUC112" s="4"/>
      <c r="HUD112" s="4"/>
      <c r="HUE112" s="4"/>
      <c r="HUF112" s="4"/>
      <c r="HUG112" s="4"/>
      <c r="HUH112" s="4"/>
      <c r="HUI112" s="4"/>
      <c r="HUJ112" s="4"/>
      <c r="HUK112" s="4"/>
      <c r="HUL112" s="4"/>
      <c r="HUM112" s="4"/>
      <c r="HUN112" s="4"/>
      <c r="HUO112" s="4"/>
      <c r="HUP112" s="4"/>
      <c r="HUQ112" s="4"/>
      <c r="HUR112" s="4"/>
      <c r="HUS112" s="4"/>
      <c r="HUT112" s="4"/>
      <c r="HUU112" s="4"/>
      <c r="HUV112" s="4"/>
      <c r="HUW112" s="4"/>
      <c r="HUX112" s="4"/>
      <c r="HUY112" s="4"/>
      <c r="HUZ112" s="4"/>
      <c r="HVA112" s="4"/>
      <c r="HVB112" s="4"/>
      <c r="HVC112" s="4"/>
      <c r="HVD112" s="4"/>
      <c r="HVE112" s="4"/>
      <c r="HVF112" s="4"/>
      <c r="HVG112" s="4"/>
      <c r="HVH112" s="4"/>
      <c r="HVI112" s="4"/>
      <c r="HVJ112" s="4"/>
      <c r="HVK112" s="4"/>
      <c r="HVL112" s="4"/>
      <c r="HVM112" s="4"/>
      <c r="HVN112" s="4"/>
      <c r="HVO112" s="4"/>
      <c r="HVP112" s="4"/>
      <c r="HVQ112" s="4"/>
      <c r="HVR112" s="4"/>
      <c r="HVS112" s="4"/>
      <c r="HVT112" s="4"/>
      <c r="HVU112" s="4"/>
      <c r="HVV112" s="4"/>
      <c r="HVW112" s="4"/>
      <c r="HVX112" s="4"/>
      <c r="HVY112" s="4"/>
      <c r="HVZ112" s="4"/>
      <c r="HWA112" s="4"/>
      <c r="HWB112" s="4"/>
      <c r="HWC112" s="4"/>
      <c r="HWD112" s="4"/>
      <c r="HWE112" s="4"/>
      <c r="HWF112" s="4"/>
      <c r="HWG112" s="4"/>
      <c r="HWH112" s="4"/>
      <c r="HWI112" s="4"/>
      <c r="HWJ112" s="4"/>
      <c r="HWK112" s="4"/>
      <c r="HWL112" s="4"/>
      <c r="HWM112" s="4"/>
      <c r="HWN112" s="4"/>
      <c r="HWO112" s="4"/>
      <c r="HWP112" s="4"/>
      <c r="HWQ112" s="4"/>
      <c r="HWR112" s="4"/>
      <c r="HWS112" s="4"/>
      <c r="HWT112" s="4"/>
      <c r="HWU112" s="4"/>
      <c r="HWV112" s="4"/>
      <c r="HWW112" s="4"/>
      <c r="HWX112" s="4"/>
      <c r="HWY112" s="4"/>
      <c r="HWZ112" s="4"/>
      <c r="HXA112" s="4"/>
      <c r="HXB112" s="4"/>
      <c r="HXC112" s="4"/>
      <c r="HXD112" s="4"/>
      <c r="HXE112" s="4"/>
      <c r="HXF112" s="4"/>
      <c r="HXG112" s="4"/>
      <c r="HXH112" s="4"/>
      <c r="HXI112" s="4"/>
      <c r="HXJ112" s="4"/>
      <c r="HXK112" s="4"/>
      <c r="HXL112" s="4"/>
      <c r="HXM112" s="4"/>
      <c r="HXN112" s="4"/>
      <c r="HXO112" s="4"/>
      <c r="HXP112" s="4"/>
      <c r="HXQ112" s="4"/>
      <c r="HXR112" s="4"/>
      <c r="HXS112" s="4"/>
      <c r="HXT112" s="4"/>
      <c r="HXU112" s="4"/>
      <c r="HXV112" s="4"/>
      <c r="HXW112" s="4"/>
      <c r="HXX112" s="4"/>
      <c r="HXY112" s="4"/>
      <c r="HXZ112" s="4"/>
      <c r="HYA112" s="4"/>
      <c r="HYB112" s="4"/>
      <c r="HYC112" s="4"/>
      <c r="HYD112" s="4"/>
      <c r="HYE112" s="4"/>
      <c r="HYF112" s="4"/>
      <c r="HYG112" s="4"/>
      <c r="HYH112" s="4"/>
      <c r="HYI112" s="4"/>
      <c r="HYJ112" s="4"/>
      <c r="HYK112" s="4"/>
      <c r="HYL112" s="4"/>
      <c r="HYM112" s="4"/>
      <c r="HYN112" s="4"/>
      <c r="HYO112" s="4"/>
      <c r="HYP112" s="4"/>
      <c r="HYQ112" s="4"/>
      <c r="HYR112" s="4"/>
      <c r="HYS112" s="4"/>
      <c r="HYT112" s="4"/>
      <c r="HYU112" s="4"/>
      <c r="HYV112" s="4"/>
      <c r="HYW112" s="4"/>
      <c r="HYX112" s="4"/>
      <c r="HYY112" s="4"/>
      <c r="HYZ112" s="4"/>
      <c r="HZA112" s="4"/>
      <c r="HZB112" s="4"/>
      <c r="HZC112" s="4"/>
      <c r="HZD112" s="4"/>
      <c r="HZE112" s="4"/>
      <c r="HZF112" s="4"/>
      <c r="HZG112" s="4"/>
      <c r="HZH112" s="4"/>
      <c r="HZI112" s="4"/>
      <c r="HZJ112" s="4"/>
      <c r="HZK112" s="4"/>
      <c r="HZL112" s="4"/>
      <c r="HZM112" s="4"/>
      <c r="HZN112" s="4"/>
      <c r="HZO112" s="4"/>
      <c r="HZP112" s="4"/>
      <c r="HZQ112" s="4"/>
      <c r="HZR112" s="4"/>
      <c r="HZS112" s="4"/>
      <c r="HZT112" s="4"/>
      <c r="HZU112" s="4"/>
      <c r="HZV112" s="4"/>
      <c r="HZW112" s="4"/>
      <c r="HZX112" s="4"/>
      <c r="HZY112" s="4"/>
      <c r="HZZ112" s="4"/>
      <c r="IAA112" s="4"/>
      <c r="IAB112" s="4"/>
      <c r="IAC112" s="4"/>
      <c r="IAD112" s="4"/>
      <c r="IAE112" s="4"/>
      <c r="IAF112" s="4"/>
      <c r="IAG112" s="4"/>
      <c r="IAH112" s="4"/>
      <c r="IAI112" s="4"/>
      <c r="IAJ112" s="4"/>
      <c r="IAK112" s="4"/>
      <c r="IAL112" s="4"/>
      <c r="IAM112" s="4"/>
      <c r="IAN112" s="4"/>
      <c r="IAO112" s="4"/>
      <c r="IAP112" s="4"/>
      <c r="IAQ112" s="4"/>
      <c r="IAR112" s="4"/>
      <c r="IAS112" s="4"/>
      <c r="IAT112" s="4"/>
      <c r="IAU112" s="4"/>
      <c r="IAV112" s="4"/>
      <c r="IAW112" s="4"/>
      <c r="IAX112" s="4"/>
      <c r="IAY112" s="4"/>
      <c r="IAZ112" s="4"/>
      <c r="IBA112" s="4"/>
      <c r="IBB112" s="4"/>
      <c r="IBC112" s="4"/>
      <c r="IBD112" s="4"/>
      <c r="IBE112" s="4"/>
      <c r="IBF112" s="4"/>
      <c r="IBG112" s="4"/>
      <c r="IBH112" s="4"/>
      <c r="IBI112" s="4"/>
      <c r="IBJ112" s="4"/>
      <c r="IBK112" s="4"/>
      <c r="IBL112" s="4"/>
      <c r="IBM112" s="4"/>
      <c r="IBN112" s="4"/>
      <c r="IBO112" s="4"/>
      <c r="IBP112" s="4"/>
      <c r="IBQ112" s="4"/>
      <c r="IBR112" s="4"/>
      <c r="IBS112" s="4"/>
      <c r="IBT112" s="4"/>
      <c r="IBU112" s="4"/>
      <c r="IBV112" s="4"/>
      <c r="IBW112" s="4"/>
      <c r="IBX112" s="4"/>
      <c r="IBY112" s="4"/>
      <c r="IBZ112" s="4"/>
      <c r="ICA112" s="4"/>
      <c r="ICB112" s="4"/>
      <c r="ICC112" s="4"/>
      <c r="ICD112" s="4"/>
      <c r="ICE112" s="4"/>
      <c r="ICF112" s="4"/>
      <c r="ICG112" s="4"/>
      <c r="ICH112" s="4"/>
      <c r="ICI112" s="4"/>
      <c r="ICJ112" s="4"/>
      <c r="ICK112" s="4"/>
      <c r="ICL112" s="4"/>
      <c r="ICM112" s="4"/>
      <c r="ICN112" s="4"/>
      <c r="ICO112" s="4"/>
      <c r="ICP112" s="4"/>
      <c r="ICQ112" s="4"/>
      <c r="ICR112" s="4"/>
      <c r="ICS112" s="4"/>
      <c r="ICT112" s="4"/>
      <c r="ICU112" s="4"/>
      <c r="ICV112" s="4"/>
      <c r="ICW112" s="4"/>
      <c r="ICX112" s="4"/>
      <c r="ICY112" s="4"/>
      <c r="ICZ112" s="4"/>
      <c r="IDA112" s="4"/>
      <c r="IDB112" s="4"/>
      <c r="IDC112" s="4"/>
      <c r="IDD112" s="4"/>
      <c r="IDE112" s="4"/>
      <c r="IDF112" s="4"/>
      <c r="IDG112" s="4"/>
      <c r="IDH112" s="4"/>
      <c r="IDI112" s="4"/>
      <c r="IDJ112" s="4"/>
      <c r="IDK112" s="4"/>
      <c r="IDL112" s="4"/>
      <c r="IDM112" s="4"/>
      <c r="IDN112" s="4"/>
      <c r="IDO112" s="4"/>
      <c r="IDP112" s="4"/>
      <c r="IDQ112" s="4"/>
      <c r="IDR112" s="4"/>
      <c r="IDS112" s="4"/>
      <c r="IDT112" s="4"/>
      <c r="IDU112" s="4"/>
      <c r="IDV112" s="4"/>
      <c r="IDW112" s="4"/>
      <c r="IDX112" s="4"/>
      <c r="IDY112" s="4"/>
      <c r="IDZ112" s="4"/>
      <c r="IEA112" s="4"/>
      <c r="IEB112" s="4"/>
      <c r="IEC112" s="4"/>
      <c r="IED112" s="4"/>
      <c r="IEE112" s="4"/>
      <c r="IEF112" s="4"/>
      <c r="IEG112" s="4"/>
      <c r="IEH112" s="4"/>
      <c r="IEI112" s="4"/>
      <c r="IEJ112" s="4"/>
      <c r="IEK112" s="4"/>
      <c r="IEL112" s="4"/>
      <c r="IEM112" s="4"/>
      <c r="IEN112" s="4"/>
      <c r="IEO112" s="4"/>
      <c r="IEP112" s="4"/>
      <c r="IEQ112" s="4"/>
      <c r="IER112" s="4"/>
      <c r="IES112" s="4"/>
      <c r="IET112" s="4"/>
      <c r="IEU112" s="4"/>
      <c r="IEV112" s="4"/>
      <c r="IEW112" s="4"/>
      <c r="IEX112" s="4"/>
      <c r="IEY112" s="4"/>
      <c r="IEZ112" s="4"/>
      <c r="IFA112" s="4"/>
      <c r="IFB112" s="4"/>
      <c r="IFC112" s="4"/>
      <c r="IFD112" s="4"/>
      <c r="IFE112" s="4"/>
      <c r="IFF112" s="4"/>
      <c r="IFG112" s="4"/>
      <c r="IFH112" s="4"/>
      <c r="IFI112" s="4"/>
      <c r="IFJ112" s="4"/>
      <c r="IFK112" s="4"/>
      <c r="IFL112" s="4"/>
      <c r="IFM112" s="4"/>
      <c r="IFN112" s="4"/>
      <c r="IFO112" s="4"/>
      <c r="IFP112" s="4"/>
      <c r="IFQ112" s="4"/>
      <c r="IFR112" s="4"/>
      <c r="IFS112" s="4"/>
      <c r="IFT112" s="4"/>
      <c r="IFU112" s="4"/>
      <c r="IFV112" s="4"/>
      <c r="IFW112" s="4"/>
      <c r="IFX112" s="4"/>
      <c r="IFY112" s="4"/>
      <c r="IFZ112" s="4"/>
      <c r="IGA112" s="4"/>
      <c r="IGB112" s="4"/>
      <c r="IGC112" s="4"/>
      <c r="IGD112" s="4"/>
      <c r="IGE112" s="4"/>
      <c r="IGF112" s="4"/>
      <c r="IGG112" s="4"/>
      <c r="IGH112" s="4"/>
      <c r="IGI112" s="4"/>
      <c r="IGJ112" s="4"/>
      <c r="IGK112" s="4"/>
      <c r="IGL112" s="4"/>
      <c r="IGM112" s="4"/>
      <c r="IGN112" s="4"/>
      <c r="IGO112" s="4"/>
      <c r="IGP112" s="4"/>
      <c r="IGQ112" s="4"/>
      <c r="IGR112" s="4"/>
      <c r="IGS112" s="4"/>
      <c r="IGT112" s="4"/>
      <c r="IGU112" s="4"/>
      <c r="IGV112" s="4"/>
      <c r="IGW112" s="4"/>
      <c r="IGX112" s="4"/>
      <c r="IGY112" s="4"/>
      <c r="IGZ112" s="4"/>
      <c r="IHA112" s="4"/>
      <c r="IHB112" s="4"/>
      <c r="IHC112" s="4"/>
      <c r="IHD112" s="4"/>
      <c r="IHE112" s="4"/>
      <c r="IHF112" s="4"/>
      <c r="IHG112" s="4"/>
      <c r="IHH112" s="4"/>
      <c r="IHI112" s="4"/>
      <c r="IHJ112" s="4"/>
      <c r="IHK112" s="4"/>
      <c r="IHL112" s="4"/>
      <c r="IHM112" s="4"/>
      <c r="IHN112" s="4"/>
      <c r="IHO112" s="4"/>
      <c r="IHP112" s="4"/>
      <c r="IHQ112" s="4"/>
      <c r="IHR112" s="4"/>
      <c r="IHS112" s="4"/>
      <c r="IHT112" s="4"/>
      <c r="IHU112" s="4"/>
      <c r="IHV112" s="4"/>
      <c r="IHW112" s="4"/>
      <c r="IHX112" s="4"/>
      <c r="IHY112" s="4"/>
      <c r="IHZ112" s="4"/>
      <c r="IIA112" s="4"/>
      <c r="IIB112" s="4"/>
      <c r="IIC112" s="4"/>
      <c r="IID112" s="4"/>
      <c r="IIE112" s="4"/>
      <c r="IIF112" s="4"/>
      <c r="IIG112" s="4"/>
      <c r="IIH112" s="4"/>
      <c r="III112" s="4"/>
      <c r="IIJ112" s="4"/>
      <c r="IIK112" s="4"/>
      <c r="IIL112" s="4"/>
      <c r="IIM112" s="4"/>
      <c r="IIN112" s="4"/>
      <c r="IIO112" s="4"/>
      <c r="IIP112" s="4"/>
      <c r="IIQ112" s="4"/>
      <c r="IIR112" s="4"/>
      <c r="IIS112" s="4"/>
      <c r="IIT112" s="4"/>
      <c r="IIU112" s="4"/>
      <c r="IIV112" s="4"/>
      <c r="IIW112" s="4"/>
      <c r="IIX112" s="4"/>
      <c r="IIY112" s="4"/>
      <c r="IIZ112" s="4"/>
      <c r="IJA112" s="4"/>
      <c r="IJB112" s="4"/>
      <c r="IJC112" s="4"/>
      <c r="IJD112" s="4"/>
      <c r="IJE112" s="4"/>
      <c r="IJF112" s="4"/>
      <c r="IJG112" s="4"/>
      <c r="IJH112" s="4"/>
      <c r="IJI112" s="4"/>
      <c r="IJJ112" s="4"/>
      <c r="IJK112" s="4"/>
      <c r="IJL112" s="4"/>
      <c r="IJM112" s="4"/>
      <c r="IJN112" s="4"/>
      <c r="IJO112" s="4"/>
      <c r="IJP112" s="4"/>
      <c r="IJQ112" s="4"/>
      <c r="IJR112" s="4"/>
      <c r="IJS112" s="4"/>
      <c r="IJT112" s="4"/>
      <c r="IJU112" s="4"/>
      <c r="IJV112" s="4"/>
      <c r="IJW112" s="4"/>
      <c r="IJX112" s="4"/>
      <c r="IJY112" s="4"/>
      <c r="IJZ112" s="4"/>
      <c r="IKA112" s="4"/>
      <c r="IKB112" s="4"/>
      <c r="IKC112" s="4"/>
      <c r="IKD112" s="4"/>
      <c r="IKE112" s="4"/>
      <c r="IKF112" s="4"/>
      <c r="IKG112" s="4"/>
      <c r="IKH112" s="4"/>
      <c r="IKI112" s="4"/>
      <c r="IKJ112" s="4"/>
      <c r="IKK112" s="4"/>
      <c r="IKL112" s="4"/>
      <c r="IKM112" s="4"/>
      <c r="IKN112" s="4"/>
      <c r="IKO112" s="4"/>
      <c r="IKP112" s="4"/>
      <c r="IKQ112" s="4"/>
      <c r="IKR112" s="4"/>
      <c r="IKS112" s="4"/>
      <c r="IKT112" s="4"/>
      <c r="IKU112" s="4"/>
      <c r="IKV112" s="4"/>
      <c r="IKW112" s="4"/>
      <c r="IKX112" s="4"/>
      <c r="IKY112" s="4"/>
      <c r="IKZ112" s="4"/>
      <c r="ILA112" s="4"/>
      <c r="ILB112" s="4"/>
      <c r="ILC112" s="4"/>
      <c r="ILD112" s="4"/>
      <c r="ILE112" s="4"/>
      <c r="ILF112" s="4"/>
      <c r="ILG112" s="4"/>
      <c r="ILH112" s="4"/>
      <c r="ILI112" s="4"/>
      <c r="ILJ112" s="4"/>
      <c r="ILK112" s="4"/>
      <c r="ILL112" s="4"/>
      <c r="ILM112" s="4"/>
      <c r="ILN112" s="4"/>
      <c r="ILO112" s="4"/>
      <c r="ILP112" s="4"/>
      <c r="ILQ112" s="4"/>
      <c r="ILR112" s="4"/>
      <c r="ILS112" s="4"/>
      <c r="ILT112" s="4"/>
      <c r="ILU112" s="4"/>
      <c r="ILV112" s="4"/>
      <c r="ILW112" s="4"/>
      <c r="ILX112" s="4"/>
      <c r="ILY112" s="4"/>
      <c r="ILZ112" s="4"/>
      <c r="IMA112" s="4"/>
      <c r="IMB112" s="4"/>
      <c r="IMC112" s="4"/>
      <c r="IMD112" s="4"/>
      <c r="IME112" s="4"/>
      <c r="IMF112" s="4"/>
      <c r="IMG112" s="4"/>
      <c r="IMH112" s="4"/>
      <c r="IMI112" s="4"/>
      <c r="IMJ112" s="4"/>
      <c r="IMK112" s="4"/>
      <c r="IML112" s="4"/>
      <c r="IMM112" s="4"/>
      <c r="IMN112" s="4"/>
      <c r="IMO112" s="4"/>
      <c r="IMP112" s="4"/>
      <c r="IMQ112" s="4"/>
      <c r="IMR112" s="4"/>
      <c r="IMS112" s="4"/>
      <c r="IMT112" s="4"/>
      <c r="IMU112" s="4"/>
      <c r="IMV112" s="4"/>
      <c r="IMW112" s="4"/>
      <c r="IMX112" s="4"/>
      <c r="IMY112" s="4"/>
      <c r="IMZ112" s="4"/>
      <c r="INA112" s="4"/>
      <c r="INB112" s="4"/>
      <c r="INC112" s="4"/>
      <c r="IND112" s="4"/>
      <c r="INE112" s="4"/>
      <c r="INF112" s="4"/>
      <c r="ING112" s="4"/>
      <c r="INH112" s="4"/>
      <c r="INI112" s="4"/>
      <c r="INJ112" s="4"/>
      <c r="INK112" s="4"/>
      <c r="INL112" s="4"/>
      <c r="INM112" s="4"/>
      <c r="INN112" s="4"/>
      <c r="INO112" s="4"/>
      <c r="INP112" s="4"/>
      <c r="INQ112" s="4"/>
      <c r="INR112" s="4"/>
      <c r="INS112" s="4"/>
      <c r="INT112" s="4"/>
      <c r="INU112" s="4"/>
      <c r="INV112" s="4"/>
      <c r="INW112" s="4"/>
      <c r="INX112" s="4"/>
      <c r="INY112" s="4"/>
      <c r="INZ112" s="4"/>
      <c r="IOA112" s="4"/>
      <c r="IOB112" s="4"/>
      <c r="IOC112" s="4"/>
      <c r="IOD112" s="4"/>
      <c r="IOE112" s="4"/>
      <c r="IOF112" s="4"/>
      <c r="IOG112" s="4"/>
      <c r="IOH112" s="4"/>
      <c r="IOI112" s="4"/>
      <c r="IOJ112" s="4"/>
      <c r="IOK112" s="4"/>
      <c r="IOL112" s="4"/>
      <c r="IOM112" s="4"/>
      <c r="ION112" s="4"/>
      <c r="IOO112" s="4"/>
      <c r="IOP112" s="4"/>
      <c r="IOQ112" s="4"/>
      <c r="IOR112" s="4"/>
      <c r="IOS112" s="4"/>
      <c r="IOT112" s="4"/>
      <c r="IOU112" s="4"/>
      <c r="IOV112" s="4"/>
      <c r="IOW112" s="4"/>
      <c r="IOX112" s="4"/>
      <c r="IOY112" s="4"/>
      <c r="IOZ112" s="4"/>
      <c r="IPA112" s="4"/>
      <c r="IPB112" s="4"/>
      <c r="IPC112" s="4"/>
      <c r="IPD112" s="4"/>
      <c r="IPE112" s="4"/>
      <c r="IPF112" s="4"/>
      <c r="IPG112" s="4"/>
      <c r="IPH112" s="4"/>
      <c r="IPI112" s="4"/>
      <c r="IPJ112" s="4"/>
      <c r="IPK112" s="4"/>
      <c r="IPL112" s="4"/>
      <c r="IPM112" s="4"/>
      <c r="IPN112" s="4"/>
      <c r="IPO112" s="4"/>
      <c r="IPP112" s="4"/>
      <c r="IPQ112" s="4"/>
      <c r="IPR112" s="4"/>
      <c r="IPS112" s="4"/>
      <c r="IPT112" s="4"/>
      <c r="IPU112" s="4"/>
      <c r="IPV112" s="4"/>
      <c r="IPW112" s="4"/>
      <c r="IPX112" s="4"/>
      <c r="IPY112" s="4"/>
      <c r="IPZ112" s="4"/>
      <c r="IQA112" s="4"/>
      <c r="IQB112" s="4"/>
      <c r="IQC112" s="4"/>
      <c r="IQD112" s="4"/>
      <c r="IQE112" s="4"/>
      <c r="IQF112" s="4"/>
      <c r="IQG112" s="4"/>
      <c r="IQH112" s="4"/>
      <c r="IQI112" s="4"/>
      <c r="IQJ112" s="4"/>
      <c r="IQK112" s="4"/>
      <c r="IQL112" s="4"/>
      <c r="IQM112" s="4"/>
      <c r="IQN112" s="4"/>
      <c r="IQO112" s="4"/>
      <c r="IQP112" s="4"/>
      <c r="IQQ112" s="4"/>
      <c r="IQR112" s="4"/>
      <c r="IQS112" s="4"/>
      <c r="IQT112" s="4"/>
      <c r="IQU112" s="4"/>
      <c r="IQV112" s="4"/>
      <c r="IQW112" s="4"/>
      <c r="IQX112" s="4"/>
      <c r="IQY112" s="4"/>
      <c r="IQZ112" s="4"/>
      <c r="IRA112" s="4"/>
      <c r="IRB112" s="4"/>
      <c r="IRC112" s="4"/>
      <c r="IRD112" s="4"/>
      <c r="IRE112" s="4"/>
      <c r="IRF112" s="4"/>
      <c r="IRG112" s="4"/>
      <c r="IRH112" s="4"/>
      <c r="IRI112" s="4"/>
      <c r="IRJ112" s="4"/>
      <c r="IRK112" s="4"/>
      <c r="IRL112" s="4"/>
      <c r="IRM112" s="4"/>
      <c r="IRN112" s="4"/>
      <c r="IRO112" s="4"/>
      <c r="IRP112" s="4"/>
      <c r="IRQ112" s="4"/>
      <c r="IRR112" s="4"/>
      <c r="IRS112" s="4"/>
      <c r="IRT112" s="4"/>
      <c r="IRU112" s="4"/>
      <c r="IRV112" s="4"/>
      <c r="IRW112" s="4"/>
      <c r="IRX112" s="4"/>
      <c r="IRY112" s="4"/>
      <c r="IRZ112" s="4"/>
      <c r="ISA112" s="4"/>
      <c r="ISB112" s="4"/>
      <c r="ISC112" s="4"/>
      <c r="ISD112" s="4"/>
      <c r="ISE112" s="4"/>
      <c r="ISF112" s="4"/>
      <c r="ISG112" s="4"/>
      <c r="ISH112" s="4"/>
      <c r="ISI112" s="4"/>
      <c r="ISJ112" s="4"/>
      <c r="ISK112" s="4"/>
      <c r="ISL112" s="4"/>
      <c r="ISM112" s="4"/>
      <c r="ISN112" s="4"/>
      <c r="ISO112" s="4"/>
      <c r="ISP112" s="4"/>
      <c r="ISQ112" s="4"/>
      <c r="ISR112" s="4"/>
      <c r="ISS112" s="4"/>
      <c r="IST112" s="4"/>
      <c r="ISU112" s="4"/>
      <c r="ISV112" s="4"/>
      <c r="ISW112" s="4"/>
      <c r="ISX112" s="4"/>
      <c r="ISY112" s="4"/>
      <c r="ISZ112" s="4"/>
      <c r="ITA112" s="4"/>
      <c r="ITB112" s="4"/>
      <c r="ITC112" s="4"/>
      <c r="ITD112" s="4"/>
      <c r="ITE112" s="4"/>
      <c r="ITF112" s="4"/>
      <c r="ITG112" s="4"/>
      <c r="ITH112" s="4"/>
      <c r="ITI112" s="4"/>
      <c r="ITJ112" s="4"/>
      <c r="ITK112" s="4"/>
      <c r="ITL112" s="4"/>
      <c r="ITM112" s="4"/>
      <c r="ITN112" s="4"/>
      <c r="ITO112" s="4"/>
      <c r="ITP112" s="4"/>
      <c r="ITQ112" s="4"/>
      <c r="ITR112" s="4"/>
      <c r="ITS112" s="4"/>
      <c r="ITT112" s="4"/>
      <c r="ITU112" s="4"/>
      <c r="ITV112" s="4"/>
      <c r="ITW112" s="4"/>
      <c r="ITX112" s="4"/>
      <c r="ITY112" s="4"/>
      <c r="ITZ112" s="4"/>
      <c r="IUA112" s="4"/>
      <c r="IUB112" s="4"/>
      <c r="IUC112" s="4"/>
      <c r="IUD112" s="4"/>
      <c r="IUE112" s="4"/>
      <c r="IUF112" s="4"/>
      <c r="IUG112" s="4"/>
      <c r="IUH112" s="4"/>
      <c r="IUI112" s="4"/>
      <c r="IUJ112" s="4"/>
      <c r="IUK112" s="4"/>
      <c r="IUL112" s="4"/>
      <c r="IUM112" s="4"/>
      <c r="IUN112" s="4"/>
      <c r="IUO112" s="4"/>
      <c r="IUP112" s="4"/>
      <c r="IUQ112" s="4"/>
      <c r="IUR112" s="4"/>
      <c r="IUS112" s="4"/>
      <c r="IUT112" s="4"/>
      <c r="IUU112" s="4"/>
      <c r="IUV112" s="4"/>
      <c r="IUW112" s="4"/>
      <c r="IUX112" s="4"/>
      <c r="IUY112" s="4"/>
      <c r="IUZ112" s="4"/>
      <c r="IVA112" s="4"/>
      <c r="IVB112" s="4"/>
      <c r="IVC112" s="4"/>
      <c r="IVD112" s="4"/>
      <c r="IVE112" s="4"/>
      <c r="IVF112" s="4"/>
      <c r="IVG112" s="4"/>
      <c r="IVH112" s="4"/>
      <c r="IVI112" s="4"/>
      <c r="IVJ112" s="4"/>
      <c r="IVK112" s="4"/>
      <c r="IVL112" s="4"/>
      <c r="IVM112" s="4"/>
      <c r="IVN112" s="4"/>
      <c r="IVO112" s="4"/>
      <c r="IVP112" s="4"/>
      <c r="IVQ112" s="4"/>
      <c r="IVR112" s="4"/>
      <c r="IVS112" s="4"/>
      <c r="IVT112" s="4"/>
      <c r="IVU112" s="4"/>
      <c r="IVV112" s="4"/>
      <c r="IVW112" s="4"/>
      <c r="IVX112" s="4"/>
      <c r="IVY112" s="4"/>
      <c r="IVZ112" s="4"/>
      <c r="IWA112" s="4"/>
      <c r="IWB112" s="4"/>
      <c r="IWC112" s="4"/>
      <c r="IWD112" s="4"/>
      <c r="IWE112" s="4"/>
      <c r="IWF112" s="4"/>
      <c r="IWG112" s="4"/>
      <c r="IWH112" s="4"/>
      <c r="IWI112" s="4"/>
      <c r="IWJ112" s="4"/>
      <c r="IWK112" s="4"/>
      <c r="IWL112" s="4"/>
      <c r="IWM112" s="4"/>
      <c r="IWN112" s="4"/>
      <c r="IWO112" s="4"/>
      <c r="IWP112" s="4"/>
      <c r="IWQ112" s="4"/>
      <c r="IWR112" s="4"/>
      <c r="IWS112" s="4"/>
      <c r="IWT112" s="4"/>
      <c r="IWU112" s="4"/>
      <c r="IWV112" s="4"/>
      <c r="IWW112" s="4"/>
      <c r="IWX112" s="4"/>
      <c r="IWY112" s="4"/>
      <c r="IWZ112" s="4"/>
      <c r="IXA112" s="4"/>
      <c r="IXB112" s="4"/>
      <c r="IXC112" s="4"/>
      <c r="IXD112" s="4"/>
      <c r="IXE112" s="4"/>
      <c r="IXF112" s="4"/>
      <c r="IXG112" s="4"/>
      <c r="IXH112" s="4"/>
      <c r="IXI112" s="4"/>
      <c r="IXJ112" s="4"/>
      <c r="IXK112" s="4"/>
      <c r="IXL112" s="4"/>
      <c r="IXM112" s="4"/>
      <c r="IXN112" s="4"/>
      <c r="IXO112" s="4"/>
      <c r="IXP112" s="4"/>
      <c r="IXQ112" s="4"/>
      <c r="IXR112" s="4"/>
      <c r="IXS112" s="4"/>
      <c r="IXT112" s="4"/>
      <c r="IXU112" s="4"/>
      <c r="IXV112" s="4"/>
      <c r="IXW112" s="4"/>
      <c r="IXX112" s="4"/>
      <c r="IXY112" s="4"/>
      <c r="IXZ112" s="4"/>
      <c r="IYA112" s="4"/>
      <c r="IYB112" s="4"/>
      <c r="IYC112" s="4"/>
      <c r="IYD112" s="4"/>
      <c r="IYE112" s="4"/>
      <c r="IYF112" s="4"/>
      <c r="IYG112" s="4"/>
      <c r="IYH112" s="4"/>
      <c r="IYI112" s="4"/>
      <c r="IYJ112" s="4"/>
      <c r="IYK112" s="4"/>
      <c r="IYL112" s="4"/>
      <c r="IYM112" s="4"/>
      <c r="IYN112" s="4"/>
      <c r="IYO112" s="4"/>
      <c r="IYP112" s="4"/>
      <c r="IYQ112" s="4"/>
      <c r="IYR112" s="4"/>
      <c r="IYS112" s="4"/>
      <c r="IYT112" s="4"/>
      <c r="IYU112" s="4"/>
      <c r="IYV112" s="4"/>
      <c r="IYW112" s="4"/>
      <c r="IYX112" s="4"/>
      <c r="IYY112" s="4"/>
      <c r="IYZ112" s="4"/>
      <c r="IZA112" s="4"/>
      <c r="IZB112" s="4"/>
      <c r="IZC112" s="4"/>
      <c r="IZD112" s="4"/>
      <c r="IZE112" s="4"/>
      <c r="IZF112" s="4"/>
      <c r="IZG112" s="4"/>
      <c r="IZH112" s="4"/>
      <c r="IZI112" s="4"/>
      <c r="IZJ112" s="4"/>
      <c r="IZK112" s="4"/>
      <c r="IZL112" s="4"/>
      <c r="IZM112" s="4"/>
      <c r="IZN112" s="4"/>
      <c r="IZO112" s="4"/>
      <c r="IZP112" s="4"/>
      <c r="IZQ112" s="4"/>
      <c r="IZR112" s="4"/>
      <c r="IZS112" s="4"/>
      <c r="IZT112" s="4"/>
      <c r="IZU112" s="4"/>
      <c r="IZV112" s="4"/>
      <c r="IZW112" s="4"/>
      <c r="IZX112" s="4"/>
      <c r="IZY112" s="4"/>
      <c r="IZZ112" s="4"/>
      <c r="JAA112" s="4"/>
      <c r="JAB112" s="4"/>
      <c r="JAC112" s="4"/>
      <c r="JAD112" s="4"/>
      <c r="JAE112" s="4"/>
      <c r="JAF112" s="4"/>
      <c r="JAG112" s="4"/>
      <c r="JAH112" s="4"/>
      <c r="JAI112" s="4"/>
      <c r="JAJ112" s="4"/>
      <c r="JAK112" s="4"/>
      <c r="JAL112" s="4"/>
      <c r="JAM112" s="4"/>
      <c r="JAN112" s="4"/>
      <c r="JAO112" s="4"/>
      <c r="JAP112" s="4"/>
      <c r="JAQ112" s="4"/>
      <c r="JAR112" s="4"/>
      <c r="JAS112" s="4"/>
      <c r="JAT112" s="4"/>
      <c r="JAU112" s="4"/>
      <c r="JAV112" s="4"/>
      <c r="JAW112" s="4"/>
      <c r="JAX112" s="4"/>
      <c r="JAY112" s="4"/>
      <c r="JAZ112" s="4"/>
      <c r="JBA112" s="4"/>
      <c r="JBB112" s="4"/>
      <c r="JBC112" s="4"/>
      <c r="JBD112" s="4"/>
      <c r="JBE112" s="4"/>
      <c r="JBF112" s="4"/>
      <c r="JBG112" s="4"/>
      <c r="JBH112" s="4"/>
      <c r="JBI112" s="4"/>
      <c r="JBJ112" s="4"/>
      <c r="JBK112" s="4"/>
      <c r="JBL112" s="4"/>
      <c r="JBM112" s="4"/>
      <c r="JBN112" s="4"/>
      <c r="JBO112" s="4"/>
      <c r="JBP112" s="4"/>
      <c r="JBQ112" s="4"/>
      <c r="JBR112" s="4"/>
      <c r="JBS112" s="4"/>
      <c r="JBT112" s="4"/>
      <c r="JBU112" s="4"/>
      <c r="JBV112" s="4"/>
      <c r="JBW112" s="4"/>
      <c r="JBX112" s="4"/>
      <c r="JBY112" s="4"/>
      <c r="JBZ112" s="4"/>
      <c r="JCA112" s="4"/>
      <c r="JCB112" s="4"/>
      <c r="JCC112" s="4"/>
      <c r="JCD112" s="4"/>
      <c r="JCE112" s="4"/>
      <c r="JCF112" s="4"/>
      <c r="JCG112" s="4"/>
      <c r="JCH112" s="4"/>
      <c r="JCI112" s="4"/>
      <c r="JCJ112" s="4"/>
      <c r="JCK112" s="4"/>
      <c r="JCL112" s="4"/>
      <c r="JCM112" s="4"/>
      <c r="JCN112" s="4"/>
      <c r="JCO112" s="4"/>
      <c r="JCP112" s="4"/>
      <c r="JCQ112" s="4"/>
      <c r="JCR112" s="4"/>
      <c r="JCS112" s="4"/>
      <c r="JCT112" s="4"/>
      <c r="JCU112" s="4"/>
      <c r="JCV112" s="4"/>
      <c r="JCW112" s="4"/>
      <c r="JCX112" s="4"/>
      <c r="JCY112" s="4"/>
      <c r="JCZ112" s="4"/>
      <c r="JDA112" s="4"/>
      <c r="JDB112" s="4"/>
      <c r="JDC112" s="4"/>
      <c r="JDD112" s="4"/>
      <c r="JDE112" s="4"/>
      <c r="JDF112" s="4"/>
      <c r="JDG112" s="4"/>
      <c r="JDH112" s="4"/>
      <c r="JDI112" s="4"/>
      <c r="JDJ112" s="4"/>
      <c r="JDK112" s="4"/>
      <c r="JDL112" s="4"/>
      <c r="JDM112" s="4"/>
      <c r="JDN112" s="4"/>
      <c r="JDO112" s="4"/>
      <c r="JDP112" s="4"/>
      <c r="JDQ112" s="4"/>
      <c r="JDR112" s="4"/>
      <c r="JDS112" s="4"/>
      <c r="JDT112" s="4"/>
      <c r="JDU112" s="4"/>
      <c r="JDV112" s="4"/>
      <c r="JDW112" s="4"/>
      <c r="JDX112" s="4"/>
      <c r="JDY112" s="4"/>
      <c r="JDZ112" s="4"/>
      <c r="JEA112" s="4"/>
      <c r="JEB112" s="4"/>
      <c r="JEC112" s="4"/>
      <c r="JED112" s="4"/>
      <c r="JEE112" s="4"/>
      <c r="JEF112" s="4"/>
      <c r="JEG112" s="4"/>
      <c r="JEH112" s="4"/>
      <c r="JEI112" s="4"/>
      <c r="JEJ112" s="4"/>
      <c r="JEK112" s="4"/>
      <c r="JEL112" s="4"/>
      <c r="JEM112" s="4"/>
      <c r="JEN112" s="4"/>
      <c r="JEO112" s="4"/>
      <c r="JEP112" s="4"/>
      <c r="JEQ112" s="4"/>
      <c r="JER112" s="4"/>
      <c r="JES112" s="4"/>
      <c r="JET112" s="4"/>
      <c r="JEU112" s="4"/>
      <c r="JEV112" s="4"/>
      <c r="JEW112" s="4"/>
      <c r="JEX112" s="4"/>
      <c r="JEY112" s="4"/>
      <c r="JEZ112" s="4"/>
      <c r="JFA112" s="4"/>
      <c r="JFB112" s="4"/>
      <c r="JFC112" s="4"/>
      <c r="JFD112" s="4"/>
      <c r="JFE112" s="4"/>
      <c r="JFF112" s="4"/>
      <c r="JFG112" s="4"/>
      <c r="JFH112" s="4"/>
      <c r="JFI112" s="4"/>
      <c r="JFJ112" s="4"/>
      <c r="JFK112" s="4"/>
      <c r="JFL112" s="4"/>
      <c r="JFM112" s="4"/>
      <c r="JFN112" s="4"/>
      <c r="JFO112" s="4"/>
      <c r="JFP112" s="4"/>
      <c r="JFQ112" s="4"/>
      <c r="JFR112" s="4"/>
      <c r="JFS112" s="4"/>
      <c r="JFT112" s="4"/>
      <c r="JFU112" s="4"/>
      <c r="JFV112" s="4"/>
      <c r="JFW112" s="4"/>
      <c r="JFX112" s="4"/>
      <c r="JFY112" s="4"/>
      <c r="JFZ112" s="4"/>
      <c r="JGA112" s="4"/>
      <c r="JGB112" s="4"/>
      <c r="JGC112" s="4"/>
      <c r="JGD112" s="4"/>
      <c r="JGE112" s="4"/>
      <c r="JGF112" s="4"/>
      <c r="JGG112" s="4"/>
      <c r="JGH112" s="4"/>
      <c r="JGI112" s="4"/>
      <c r="JGJ112" s="4"/>
      <c r="JGK112" s="4"/>
      <c r="JGL112" s="4"/>
      <c r="JGM112" s="4"/>
      <c r="JGN112" s="4"/>
      <c r="JGO112" s="4"/>
      <c r="JGP112" s="4"/>
      <c r="JGQ112" s="4"/>
      <c r="JGR112" s="4"/>
      <c r="JGS112" s="4"/>
      <c r="JGT112" s="4"/>
      <c r="JGU112" s="4"/>
      <c r="JGV112" s="4"/>
      <c r="JGW112" s="4"/>
      <c r="JGX112" s="4"/>
      <c r="JGY112" s="4"/>
      <c r="JGZ112" s="4"/>
      <c r="JHA112" s="4"/>
      <c r="JHB112" s="4"/>
      <c r="JHC112" s="4"/>
      <c r="JHD112" s="4"/>
      <c r="JHE112" s="4"/>
      <c r="JHF112" s="4"/>
      <c r="JHG112" s="4"/>
      <c r="JHH112" s="4"/>
      <c r="JHI112" s="4"/>
      <c r="JHJ112" s="4"/>
      <c r="JHK112" s="4"/>
      <c r="JHL112" s="4"/>
      <c r="JHM112" s="4"/>
      <c r="JHN112" s="4"/>
      <c r="JHO112" s="4"/>
      <c r="JHP112" s="4"/>
      <c r="JHQ112" s="4"/>
      <c r="JHR112" s="4"/>
      <c r="JHS112" s="4"/>
      <c r="JHT112" s="4"/>
      <c r="JHU112" s="4"/>
      <c r="JHV112" s="4"/>
      <c r="JHW112" s="4"/>
      <c r="JHX112" s="4"/>
      <c r="JHY112" s="4"/>
      <c r="JHZ112" s="4"/>
      <c r="JIA112" s="4"/>
      <c r="JIB112" s="4"/>
      <c r="JIC112" s="4"/>
      <c r="JID112" s="4"/>
      <c r="JIE112" s="4"/>
      <c r="JIF112" s="4"/>
      <c r="JIG112" s="4"/>
      <c r="JIH112" s="4"/>
      <c r="JII112" s="4"/>
      <c r="JIJ112" s="4"/>
      <c r="JIK112" s="4"/>
      <c r="JIL112" s="4"/>
      <c r="JIM112" s="4"/>
      <c r="JIN112" s="4"/>
      <c r="JIO112" s="4"/>
      <c r="JIP112" s="4"/>
      <c r="JIQ112" s="4"/>
      <c r="JIR112" s="4"/>
      <c r="JIS112" s="4"/>
      <c r="JIT112" s="4"/>
      <c r="JIU112" s="4"/>
      <c r="JIV112" s="4"/>
      <c r="JIW112" s="4"/>
      <c r="JIX112" s="4"/>
      <c r="JIY112" s="4"/>
      <c r="JIZ112" s="4"/>
      <c r="JJA112" s="4"/>
      <c r="JJB112" s="4"/>
      <c r="JJC112" s="4"/>
      <c r="JJD112" s="4"/>
      <c r="JJE112" s="4"/>
      <c r="JJF112" s="4"/>
      <c r="JJG112" s="4"/>
      <c r="JJH112" s="4"/>
      <c r="JJI112" s="4"/>
      <c r="JJJ112" s="4"/>
      <c r="JJK112" s="4"/>
      <c r="JJL112" s="4"/>
      <c r="JJM112" s="4"/>
      <c r="JJN112" s="4"/>
      <c r="JJO112" s="4"/>
      <c r="JJP112" s="4"/>
      <c r="JJQ112" s="4"/>
      <c r="JJR112" s="4"/>
      <c r="JJS112" s="4"/>
      <c r="JJT112" s="4"/>
      <c r="JJU112" s="4"/>
      <c r="JJV112" s="4"/>
      <c r="JJW112" s="4"/>
      <c r="JJX112" s="4"/>
      <c r="JJY112" s="4"/>
      <c r="JJZ112" s="4"/>
      <c r="JKA112" s="4"/>
      <c r="JKB112" s="4"/>
      <c r="JKC112" s="4"/>
      <c r="JKD112" s="4"/>
      <c r="JKE112" s="4"/>
      <c r="JKF112" s="4"/>
      <c r="JKG112" s="4"/>
      <c r="JKH112" s="4"/>
      <c r="JKI112" s="4"/>
      <c r="JKJ112" s="4"/>
      <c r="JKK112" s="4"/>
      <c r="JKL112" s="4"/>
      <c r="JKM112" s="4"/>
      <c r="JKN112" s="4"/>
      <c r="JKO112" s="4"/>
      <c r="JKP112" s="4"/>
      <c r="JKQ112" s="4"/>
      <c r="JKR112" s="4"/>
      <c r="JKS112" s="4"/>
      <c r="JKT112" s="4"/>
      <c r="JKU112" s="4"/>
      <c r="JKV112" s="4"/>
      <c r="JKW112" s="4"/>
      <c r="JKX112" s="4"/>
      <c r="JKY112" s="4"/>
      <c r="JKZ112" s="4"/>
      <c r="JLA112" s="4"/>
      <c r="JLB112" s="4"/>
      <c r="JLC112" s="4"/>
      <c r="JLD112" s="4"/>
      <c r="JLE112" s="4"/>
      <c r="JLF112" s="4"/>
      <c r="JLG112" s="4"/>
      <c r="JLH112" s="4"/>
      <c r="JLI112" s="4"/>
      <c r="JLJ112" s="4"/>
      <c r="JLK112" s="4"/>
      <c r="JLL112" s="4"/>
      <c r="JLM112" s="4"/>
      <c r="JLN112" s="4"/>
      <c r="JLO112" s="4"/>
      <c r="JLP112" s="4"/>
      <c r="JLQ112" s="4"/>
      <c r="JLR112" s="4"/>
      <c r="JLS112" s="4"/>
      <c r="JLT112" s="4"/>
      <c r="JLU112" s="4"/>
      <c r="JLV112" s="4"/>
      <c r="JLW112" s="4"/>
      <c r="JLX112" s="4"/>
      <c r="JLY112" s="4"/>
      <c r="JLZ112" s="4"/>
      <c r="JMA112" s="4"/>
      <c r="JMB112" s="4"/>
      <c r="JMC112" s="4"/>
      <c r="JMD112" s="4"/>
      <c r="JME112" s="4"/>
      <c r="JMF112" s="4"/>
      <c r="JMG112" s="4"/>
      <c r="JMH112" s="4"/>
      <c r="JMI112" s="4"/>
      <c r="JMJ112" s="4"/>
      <c r="JMK112" s="4"/>
      <c r="JML112" s="4"/>
      <c r="JMM112" s="4"/>
      <c r="JMN112" s="4"/>
      <c r="JMO112" s="4"/>
      <c r="JMP112" s="4"/>
      <c r="JMQ112" s="4"/>
      <c r="JMR112" s="4"/>
      <c r="JMS112" s="4"/>
      <c r="JMT112" s="4"/>
      <c r="JMU112" s="4"/>
      <c r="JMV112" s="4"/>
      <c r="JMW112" s="4"/>
      <c r="JMX112" s="4"/>
      <c r="JMY112" s="4"/>
      <c r="JMZ112" s="4"/>
      <c r="JNA112" s="4"/>
      <c r="JNB112" s="4"/>
      <c r="JNC112" s="4"/>
      <c r="JND112" s="4"/>
      <c r="JNE112" s="4"/>
      <c r="JNF112" s="4"/>
      <c r="JNG112" s="4"/>
      <c r="JNH112" s="4"/>
      <c r="JNI112" s="4"/>
      <c r="JNJ112" s="4"/>
      <c r="JNK112" s="4"/>
      <c r="JNL112" s="4"/>
      <c r="JNM112" s="4"/>
      <c r="JNN112" s="4"/>
      <c r="JNO112" s="4"/>
      <c r="JNP112" s="4"/>
      <c r="JNQ112" s="4"/>
      <c r="JNR112" s="4"/>
      <c r="JNS112" s="4"/>
      <c r="JNT112" s="4"/>
      <c r="JNU112" s="4"/>
      <c r="JNV112" s="4"/>
      <c r="JNW112" s="4"/>
      <c r="JNX112" s="4"/>
      <c r="JNY112" s="4"/>
      <c r="JNZ112" s="4"/>
      <c r="JOA112" s="4"/>
      <c r="JOB112" s="4"/>
      <c r="JOC112" s="4"/>
      <c r="JOD112" s="4"/>
      <c r="JOE112" s="4"/>
      <c r="JOF112" s="4"/>
      <c r="JOG112" s="4"/>
      <c r="JOH112" s="4"/>
      <c r="JOI112" s="4"/>
      <c r="JOJ112" s="4"/>
      <c r="JOK112" s="4"/>
      <c r="JOL112" s="4"/>
      <c r="JOM112" s="4"/>
      <c r="JON112" s="4"/>
      <c r="JOO112" s="4"/>
      <c r="JOP112" s="4"/>
      <c r="JOQ112" s="4"/>
      <c r="JOR112" s="4"/>
      <c r="JOS112" s="4"/>
      <c r="JOT112" s="4"/>
      <c r="JOU112" s="4"/>
      <c r="JOV112" s="4"/>
      <c r="JOW112" s="4"/>
      <c r="JOX112" s="4"/>
      <c r="JOY112" s="4"/>
      <c r="JOZ112" s="4"/>
      <c r="JPA112" s="4"/>
      <c r="JPB112" s="4"/>
      <c r="JPC112" s="4"/>
      <c r="JPD112" s="4"/>
      <c r="JPE112" s="4"/>
      <c r="JPF112" s="4"/>
      <c r="JPG112" s="4"/>
      <c r="JPH112" s="4"/>
      <c r="JPI112" s="4"/>
      <c r="JPJ112" s="4"/>
      <c r="JPK112" s="4"/>
      <c r="JPL112" s="4"/>
      <c r="JPM112" s="4"/>
      <c r="JPN112" s="4"/>
      <c r="JPO112" s="4"/>
      <c r="JPP112" s="4"/>
      <c r="JPQ112" s="4"/>
      <c r="JPR112" s="4"/>
      <c r="JPS112" s="4"/>
      <c r="JPT112" s="4"/>
      <c r="JPU112" s="4"/>
      <c r="JPV112" s="4"/>
      <c r="JPW112" s="4"/>
      <c r="JPX112" s="4"/>
      <c r="JPY112" s="4"/>
      <c r="JPZ112" s="4"/>
      <c r="JQA112" s="4"/>
      <c r="JQB112" s="4"/>
      <c r="JQC112" s="4"/>
      <c r="JQD112" s="4"/>
      <c r="JQE112" s="4"/>
      <c r="JQF112" s="4"/>
      <c r="JQG112" s="4"/>
      <c r="JQH112" s="4"/>
      <c r="JQI112" s="4"/>
      <c r="JQJ112" s="4"/>
      <c r="JQK112" s="4"/>
      <c r="JQL112" s="4"/>
      <c r="JQM112" s="4"/>
      <c r="JQN112" s="4"/>
      <c r="JQO112" s="4"/>
      <c r="JQP112" s="4"/>
      <c r="JQQ112" s="4"/>
      <c r="JQR112" s="4"/>
      <c r="JQS112" s="4"/>
      <c r="JQT112" s="4"/>
      <c r="JQU112" s="4"/>
      <c r="JQV112" s="4"/>
      <c r="JQW112" s="4"/>
      <c r="JQX112" s="4"/>
      <c r="JQY112" s="4"/>
      <c r="JQZ112" s="4"/>
      <c r="JRA112" s="4"/>
      <c r="JRB112" s="4"/>
      <c r="JRC112" s="4"/>
      <c r="JRD112" s="4"/>
      <c r="JRE112" s="4"/>
      <c r="JRF112" s="4"/>
      <c r="JRG112" s="4"/>
      <c r="JRH112" s="4"/>
      <c r="JRI112" s="4"/>
      <c r="JRJ112" s="4"/>
      <c r="JRK112" s="4"/>
      <c r="JRL112" s="4"/>
      <c r="JRM112" s="4"/>
      <c r="JRN112" s="4"/>
      <c r="JRO112" s="4"/>
      <c r="JRP112" s="4"/>
      <c r="JRQ112" s="4"/>
      <c r="JRR112" s="4"/>
      <c r="JRS112" s="4"/>
      <c r="JRT112" s="4"/>
      <c r="JRU112" s="4"/>
      <c r="JRV112" s="4"/>
      <c r="JRW112" s="4"/>
      <c r="JRX112" s="4"/>
      <c r="JRY112" s="4"/>
      <c r="JRZ112" s="4"/>
      <c r="JSA112" s="4"/>
      <c r="JSB112" s="4"/>
      <c r="JSC112" s="4"/>
      <c r="JSD112" s="4"/>
      <c r="JSE112" s="4"/>
      <c r="JSF112" s="4"/>
      <c r="JSG112" s="4"/>
      <c r="JSH112" s="4"/>
      <c r="JSI112" s="4"/>
      <c r="JSJ112" s="4"/>
      <c r="JSK112" s="4"/>
      <c r="JSL112" s="4"/>
      <c r="JSM112" s="4"/>
      <c r="JSN112" s="4"/>
      <c r="JSO112" s="4"/>
      <c r="JSP112" s="4"/>
      <c r="JSQ112" s="4"/>
      <c r="JSR112" s="4"/>
      <c r="JSS112" s="4"/>
      <c r="JST112" s="4"/>
      <c r="JSU112" s="4"/>
      <c r="JSV112" s="4"/>
      <c r="JSW112" s="4"/>
      <c r="JSX112" s="4"/>
      <c r="JSY112" s="4"/>
      <c r="JSZ112" s="4"/>
      <c r="JTA112" s="4"/>
      <c r="JTB112" s="4"/>
      <c r="JTC112" s="4"/>
      <c r="JTD112" s="4"/>
      <c r="JTE112" s="4"/>
      <c r="JTF112" s="4"/>
      <c r="JTG112" s="4"/>
      <c r="JTH112" s="4"/>
      <c r="JTI112" s="4"/>
      <c r="JTJ112" s="4"/>
      <c r="JTK112" s="4"/>
      <c r="JTL112" s="4"/>
      <c r="JTM112" s="4"/>
      <c r="JTN112" s="4"/>
      <c r="JTO112" s="4"/>
      <c r="JTP112" s="4"/>
      <c r="JTQ112" s="4"/>
      <c r="JTR112" s="4"/>
      <c r="JTS112" s="4"/>
      <c r="JTT112" s="4"/>
      <c r="JTU112" s="4"/>
      <c r="JTV112" s="4"/>
      <c r="JTW112" s="4"/>
      <c r="JTX112" s="4"/>
      <c r="JTY112" s="4"/>
      <c r="JTZ112" s="4"/>
      <c r="JUA112" s="4"/>
      <c r="JUB112" s="4"/>
      <c r="JUC112" s="4"/>
      <c r="JUD112" s="4"/>
      <c r="JUE112" s="4"/>
      <c r="JUF112" s="4"/>
      <c r="JUG112" s="4"/>
      <c r="JUH112" s="4"/>
      <c r="JUI112" s="4"/>
      <c r="JUJ112" s="4"/>
      <c r="JUK112" s="4"/>
      <c r="JUL112" s="4"/>
      <c r="JUM112" s="4"/>
      <c r="JUN112" s="4"/>
      <c r="JUO112" s="4"/>
      <c r="JUP112" s="4"/>
      <c r="JUQ112" s="4"/>
      <c r="JUR112" s="4"/>
      <c r="JUS112" s="4"/>
      <c r="JUT112" s="4"/>
      <c r="JUU112" s="4"/>
      <c r="JUV112" s="4"/>
      <c r="JUW112" s="4"/>
      <c r="JUX112" s="4"/>
      <c r="JUY112" s="4"/>
      <c r="JUZ112" s="4"/>
      <c r="JVA112" s="4"/>
      <c r="JVB112" s="4"/>
      <c r="JVC112" s="4"/>
      <c r="JVD112" s="4"/>
      <c r="JVE112" s="4"/>
      <c r="JVF112" s="4"/>
      <c r="JVG112" s="4"/>
      <c r="JVH112" s="4"/>
      <c r="JVI112" s="4"/>
      <c r="JVJ112" s="4"/>
      <c r="JVK112" s="4"/>
      <c r="JVL112" s="4"/>
      <c r="JVM112" s="4"/>
      <c r="JVN112" s="4"/>
      <c r="JVO112" s="4"/>
      <c r="JVP112" s="4"/>
      <c r="JVQ112" s="4"/>
      <c r="JVR112" s="4"/>
      <c r="JVS112" s="4"/>
      <c r="JVT112" s="4"/>
      <c r="JVU112" s="4"/>
      <c r="JVV112" s="4"/>
      <c r="JVW112" s="4"/>
      <c r="JVX112" s="4"/>
      <c r="JVY112" s="4"/>
      <c r="JVZ112" s="4"/>
      <c r="JWA112" s="4"/>
      <c r="JWB112" s="4"/>
      <c r="JWC112" s="4"/>
      <c r="JWD112" s="4"/>
      <c r="JWE112" s="4"/>
      <c r="JWF112" s="4"/>
      <c r="JWG112" s="4"/>
      <c r="JWH112" s="4"/>
      <c r="JWI112" s="4"/>
      <c r="JWJ112" s="4"/>
      <c r="JWK112" s="4"/>
      <c r="JWL112" s="4"/>
      <c r="JWM112" s="4"/>
      <c r="JWN112" s="4"/>
      <c r="JWO112" s="4"/>
      <c r="JWP112" s="4"/>
      <c r="JWQ112" s="4"/>
      <c r="JWR112" s="4"/>
      <c r="JWS112" s="4"/>
      <c r="JWT112" s="4"/>
      <c r="JWU112" s="4"/>
      <c r="JWV112" s="4"/>
      <c r="JWW112" s="4"/>
      <c r="JWX112" s="4"/>
      <c r="JWY112" s="4"/>
      <c r="JWZ112" s="4"/>
      <c r="JXA112" s="4"/>
      <c r="JXB112" s="4"/>
      <c r="JXC112" s="4"/>
      <c r="JXD112" s="4"/>
      <c r="JXE112" s="4"/>
      <c r="JXF112" s="4"/>
      <c r="JXG112" s="4"/>
      <c r="JXH112" s="4"/>
      <c r="JXI112" s="4"/>
      <c r="JXJ112" s="4"/>
      <c r="JXK112" s="4"/>
      <c r="JXL112" s="4"/>
      <c r="JXM112" s="4"/>
      <c r="JXN112" s="4"/>
      <c r="JXO112" s="4"/>
      <c r="JXP112" s="4"/>
      <c r="JXQ112" s="4"/>
      <c r="JXR112" s="4"/>
      <c r="JXS112" s="4"/>
      <c r="JXT112" s="4"/>
      <c r="JXU112" s="4"/>
      <c r="JXV112" s="4"/>
      <c r="JXW112" s="4"/>
      <c r="JXX112" s="4"/>
      <c r="JXY112" s="4"/>
      <c r="JXZ112" s="4"/>
      <c r="JYA112" s="4"/>
      <c r="JYB112" s="4"/>
      <c r="JYC112" s="4"/>
      <c r="JYD112" s="4"/>
      <c r="JYE112" s="4"/>
      <c r="JYF112" s="4"/>
      <c r="JYG112" s="4"/>
      <c r="JYH112" s="4"/>
      <c r="JYI112" s="4"/>
      <c r="JYJ112" s="4"/>
      <c r="JYK112" s="4"/>
      <c r="JYL112" s="4"/>
      <c r="JYM112" s="4"/>
      <c r="JYN112" s="4"/>
      <c r="JYO112" s="4"/>
      <c r="JYP112" s="4"/>
      <c r="JYQ112" s="4"/>
      <c r="JYR112" s="4"/>
      <c r="JYS112" s="4"/>
      <c r="JYT112" s="4"/>
      <c r="JYU112" s="4"/>
      <c r="JYV112" s="4"/>
      <c r="JYW112" s="4"/>
      <c r="JYX112" s="4"/>
      <c r="JYY112" s="4"/>
      <c r="JYZ112" s="4"/>
      <c r="JZA112" s="4"/>
      <c r="JZB112" s="4"/>
      <c r="JZC112" s="4"/>
      <c r="JZD112" s="4"/>
      <c r="JZE112" s="4"/>
      <c r="JZF112" s="4"/>
      <c r="JZG112" s="4"/>
      <c r="JZH112" s="4"/>
      <c r="JZI112" s="4"/>
      <c r="JZJ112" s="4"/>
      <c r="JZK112" s="4"/>
      <c r="JZL112" s="4"/>
      <c r="JZM112" s="4"/>
      <c r="JZN112" s="4"/>
      <c r="JZO112" s="4"/>
      <c r="JZP112" s="4"/>
      <c r="JZQ112" s="4"/>
      <c r="JZR112" s="4"/>
      <c r="JZS112" s="4"/>
      <c r="JZT112" s="4"/>
      <c r="JZU112" s="4"/>
      <c r="JZV112" s="4"/>
      <c r="JZW112" s="4"/>
      <c r="JZX112" s="4"/>
      <c r="JZY112" s="4"/>
      <c r="JZZ112" s="4"/>
      <c r="KAA112" s="4"/>
      <c r="KAB112" s="4"/>
      <c r="KAC112" s="4"/>
      <c r="KAD112" s="4"/>
      <c r="KAE112" s="4"/>
      <c r="KAF112" s="4"/>
      <c r="KAG112" s="4"/>
      <c r="KAH112" s="4"/>
      <c r="KAI112" s="4"/>
      <c r="KAJ112" s="4"/>
      <c r="KAK112" s="4"/>
      <c r="KAL112" s="4"/>
      <c r="KAM112" s="4"/>
      <c r="KAN112" s="4"/>
      <c r="KAO112" s="4"/>
      <c r="KAP112" s="4"/>
      <c r="KAQ112" s="4"/>
      <c r="KAR112" s="4"/>
      <c r="KAS112" s="4"/>
      <c r="KAT112" s="4"/>
      <c r="KAU112" s="4"/>
      <c r="KAV112" s="4"/>
      <c r="KAW112" s="4"/>
      <c r="KAX112" s="4"/>
      <c r="KAY112" s="4"/>
      <c r="KAZ112" s="4"/>
      <c r="KBA112" s="4"/>
      <c r="KBB112" s="4"/>
      <c r="KBC112" s="4"/>
      <c r="KBD112" s="4"/>
      <c r="KBE112" s="4"/>
      <c r="KBF112" s="4"/>
      <c r="KBG112" s="4"/>
      <c r="KBH112" s="4"/>
      <c r="KBI112" s="4"/>
      <c r="KBJ112" s="4"/>
      <c r="KBK112" s="4"/>
      <c r="KBL112" s="4"/>
      <c r="KBM112" s="4"/>
      <c r="KBN112" s="4"/>
      <c r="KBO112" s="4"/>
      <c r="KBP112" s="4"/>
      <c r="KBQ112" s="4"/>
      <c r="KBR112" s="4"/>
      <c r="KBS112" s="4"/>
      <c r="KBT112" s="4"/>
      <c r="KBU112" s="4"/>
      <c r="KBV112" s="4"/>
      <c r="KBW112" s="4"/>
      <c r="KBX112" s="4"/>
      <c r="KBY112" s="4"/>
      <c r="KBZ112" s="4"/>
      <c r="KCA112" s="4"/>
      <c r="KCB112" s="4"/>
      <c r="KCC112" s="4"/>
      <c r="KCD112" s="4"/>
      <c r="KCE112" s="4"/>
      <c r="KCF112" s="4"/>
      <c r="KCG112" s="4"/>
      <c r="KCH112" s="4"/>
      <c r="KCI112" s="4"/>
      <c r="KCJ112" s="4"/>
      <c r="KCK112" s="4"/>
      <c r="KCL112" s="4"/>
      <c r="KCM112" s="4"/>
      <c r="KCN112" s="4"/>
      <c r="KCO112" s="4"/>
      <c r="KCP112" s="4"/>
      <c r="KCQ112" s="4"/>
      <c r="KCR112" s="4"/>
      <c r="KCS112" s="4"/>
      <c r="KCT112" s="4"/>
      <c r="KCU112" s="4"/>
      <c r="KCV112" s="4"/>
      <c r="KCW112" s="4"/>
      <c r="KCX112" s="4"/>
      <c r="KCY112" s="4"/>
      <c r="KCZ112" s="4"/>
      <c r="KDA112" s="4"/>
      <c r="KDB112" s="4"/>
      <c r="KDC112" s="4"/>
      <c r="KDD112" s="4"/>
      <c r="KDE112" s="4"/>
      <c r="KDF112" s="4"/>
      <c r="KDG112" s="4"/>
      <c r="KDH112" s="4"/>
      <c r="KDI112" s="4"/>
      <c r="KDJ112" s="4"/>
      <c r="KDK112" s="4"/>
      <c r="KDL112" s="4"/>
      <c r="KDM112" s="4"/>
      <c r="KDN112" s="4"/>
      <c r="KDO112" s="4"/>
      <c r="KDP112" s="4"/>
      <c r="KDQ112" s="4"/>
      <c r="KDR112" s="4"/>
      <c r="KDS112" s="4"/>
      <c r="KDT112" s="4"/>
      <c r="KDU112" s="4"/>
      <c r="KDV112" s="4"/>
      <c r="KDW112" s="4"/>
      <c r="KDX112" s="4"/>
      <c r="KDY112" s="4"/>
      <c r="KDZ112" s="4"/>
      <c r="KEA112" s="4"/>
      <c r="KEB112" s="4"/>
      <c r="KEC112" s="4"/>
      <c r="KED112" s="4"/>
      <c r="KEE112" s="4"/>
      <c r="KEF112" s="4"/>
      <c r="KEG112" s="4"/>
      <c r="KEH112" s="4"/>
      <c r="KEI112" s="4"/>
      <c r="KEJ112" s="4"/>
      <c r="KEK112" s="4"/>
      <c r="KEL112" s="4"/>
      <c r="KEM112" s="4"/>
      <c r="KEN112" s="4"/>
      <c r="KEO112" s="4"/>
      <c r="KEP112" s="4"/>
      <c r="KEQ112" s="4"/>
      <c r="KER112" s="4"/>
      <c r="KES112" s="4"/>
      <c r="KET112" s="4"/>
      <c r="KEU112" s="4"/>
      <c r="KEV112" s="4"/>
      <c r="KEW112" s="4"/>
      <c r="KEX112" s="4"/>
      <c r="KEY112" s="4"/>
      <c r="KEZ112" s="4"/>
      <c r="KFA112" s="4"/>
      <c r="KFB112" s="4"/>
      <c r="KFC112" s="4"/>
      <c r="KFD112" s="4"/>
      <c r="KFE112" s="4"/>
      <c r="KFF112" s="4"/>
      <c r="KFG112" s="4"/>
      <c r="KFH112" s="4"/>
      <c r="KFI112" s="4"/>
      <c r="KFJ112" s="4"/>
      <c r="KFK112" s="4"/>
      <c r="KFL112" s="4"/>
      <c r="KFM112" s="4"/>
      <c r="KFN112" s="4"/>
      <c r="KFO112" s="4"/>
      <c r="KFP112" s="4"/>
      <c r="KFQ112" s="4"/>
      <c r="KFR112" s="4"/>
      <c r="KFS112" s="4"/>
      <c r="KFT112" s="4"/>
      <c r="KFU112" s="4"/>
      <c r="KFV112" s="4"/>
      <c r="KFW112" s="4"/>
      <c r="KFX112" s="4"/>
      <c r="KFY112" s="4"/>
      <c r="KFZ112" s="4"/>
      <c r="KGA112" s="4"/>
      <c r="KGB112" s="4"/>
      <c r="KGC112" s="4"/>
      <c r="KGD112" s="4"/>
      <c r="KGE112" s="4"/>
      <c r="KGF112" s="4"/>
      <c r="KGG112" s="4"/>
      <c r="KGH112" s="4"/>
      <c r="KGI112" s="4"/>
      <c r="KGJ112" s="4"/>
      <c r="KGK112" s="4"/>
      <c r="KGL112" s="4"/>
      <c r="KGM112" s="4"/>
      <c r="KGN112" s="4"/>
      <c r="KGO112" s="4"/>
      <c r="KGP112" s="4"/>
      <c r="KGQ112" s="4"/>
      <c r="KGR112" s="4"/>
      <c r="KGS112" s="4"/>
      <c r="KGT112" s="4"/>
      <c r="KGU112" s="4"/>
      <c r="KGV112" s="4"/>
      <c r="KGW112" s="4"/>
      <c r="KGX112" s="4"/>
      <c r="KGY112" s="4"/>
      <c r="KGZ112" s="4"/>
      <c r="KHA112" s="4"/>
      <c r="KHB112" s="4"/>
      <c r="KHC112" s="4"/>
      <c r="KHD112" s="4"/>
      <c r="KHE112" s="4"/>
      <c r="KHF112" s="4"/>
      <c r="KHG112" s="4"/>
      <c r="KHH112" s="4"/>
      <c r="KHI112" s="4"/>
      <c r="KHJ112" s="4"/>
      <c r="KHK112" s="4"/>
      <c r="KHL112" s="4"/>
      <c r="KHM112" s="4"/>
      <c r="KHN112" s="4"/>
      <c r="KHO112" s="4"/>
      <c r="KHP112" s="4"/>
      <c r="KHQ112" s="4"/>
      <c r="KHR112" s="4"/>
      <c r="KHS112" s="4"/>
      <c r="KHT112" s="4"/>
      <c r="KHU112" s="4"/>
      <c r="KHV112" s="4"/>
      <c r="KHW112" s="4"/>
      <c r="KHX112" s="4"/>
      <c r="KHY112" s="4"/>
      <c r="KHZ112" s="4"/>
      <c r="KIA112" s="4"/>
      <c r="KIB112" s="4"/>
      <c r="KIC112" s="4"/>
      <c r="KID112" s="4"/>
      <c r="KIE112" s="4"/>
      <c r="KIF112" s="4"/>
      <c r="KIG112" s="4"/>
      <c r="KIH112" s="4"/>
      <c r="KII112" s="4"/>
      <c r="KIJ112" s="4"/>
      <c r="KIK112" s="4"/>
      <c r="KIL112" s="4"/>
      <c r="KIM112" s="4"/>
      <c r="KIN112" s="4"/>
      <c r="KIO112" s="4"/>
      <c r="KIP112" s="4"/>
      <c r="KIQ112" s="4"/>
      <c r="KIR112" s="4"/>
      <c r="KIS112" s="4"/>
      <c r="KIT112" s="4"/>
      <c r="KIU112" s="4"/>
      <c r="KIV112" s="4"/>
      <c r="KIW112" s="4"/>
      <c r="KIX112" s="4"/>
      <c r="KIY112" s="4"/>
      <c r="KIZ112" s="4"/>
      <c r="KJA112" s="4"/>
      <c r="KJB112" s="4"/>
      <c r="KJC112" s="4"/>
      <c r="KJD112" s="4"/>
      <c r="KJE112" s="4"/>
      <c r="KJF112" s="4"/>
      <c r="KJG112" s="4"/>
      <c r="KJH112" s="4"/>
      <c r="KJI112" s="4"/>
      <c r="KJJ112" s="4"/>
      <c r="KJK112" s="4"/>
      <c r="KJL112" s="4"/>
      <c r="KJM112" s="4"/>
      <c r="KJN112" s="4"/>
      <c r="KJO112" s="4"/>
      <c r="KJP112" s="4"/>
      <c r="KJQ112" s="4"/>
      <c r="KJR112" s="4"/>
      <c r="KJS112" s="4"/>
      <c r="KJT112" s="4"/>
      <c r="KJU112" s="4"/>
      <c r="KJV112" s="4"/>
      <c r="KJW112" s="4"/>
      <c r="KJX112" s="4"/>
      <c r="KJY112" s="4"/>
      <c r="KJZ112" s="4"/>
      <c r="KKA112" s="4"/>
      <c r="KKB112" s="4"/>
      <c r="KKC112" s="4"/>
      <c r="KKD112" s="4"/>
      <c r="KKE112" s="4"/>
      <c r="KKF112" s="4"/>
      <c r="KKG112" s="4"/>
      <c r="KKH112" s="4"/>
      <c r="KKI112" s="4"/>
      <c r="KKJ112" s="4"/>
      <c r="KKK112" s="4"/>
      <c r="KKL112" s="4"/>
      <c r="KKM112" s="4"/>
      <c r="KKN112" s="4"/>
      <c r="KKO112" s="4"/>
      <c r="KKP112" s="4"/>
      <c r="KKQ112" s="4"/>
      <c r="KKR112" s="4"/>
      <c r="KKS112" s="4"/>
      <c r="KKT112" s="4"/>
      <c r="KKU112" s="4"/>
      <c r="KKV112" s="4"/>
      <c r="KKW112" s="4"/>
      <c r="KKX112" s="4"/>
      <c r="KKY112" s="4"/>
      <c r="KKZ112" s="4"/>
      <c r="KLA112" s="4"/>
      <c r="KLB112" s="4"/>
      <c r="KLC112" s="4"/>
      <c r="KLD112" s="4"/>
      <c r="KLE112" s="4"/>
      <c r="KLF112" s="4"/>
      <c r="KLG112" s="4"/>
      <c r="KLH112" s="4"/>
      <c r="KLI112" s="4"/>
      <c r="KLJ112" s="4"/>
      <c r="KLK112" s="4"/>
      <c r="KLL112" s="4"/>
      <c r="KLM112" s="4"/>
      <c r="KLN112" s="4"/>
      <c r="KLO112" s="4"/>
      <c r="KLP112" s="4"/>
      <c r="KLQ112" s="4"/>
      <c r="KLR112" s="4"/>
      <c r="KLS112" s="4"/>
      <c r="KLT112" s="4"/>
      <c r="KLU112" s="4"/>
      <c r="KLV112" s="4"/>
      <c r="KLW112" s="4"/>
      <c r="KLX112" s="4"/>
      <c r="KLY112" s="4"/>
      <c r="KLZ112" s="4"/>
      <c r="KMA112" s="4"/>
      <c r="KMB112" s="4"/>
      <c r="KMC112" s="4"/>
      <c r="KMD112" s="4"/>
      <c r="KME112" s="4"/>
      <c r="KMF112" s="4"/>
      <c r="KMG112" s="4"/>
      <c r="KMH112" s="4"/>
      <c r="KMI112" s="4"/>
      <c r="KMJ112" s="4"/>
      <c r="KMK112" s="4"/>
      <c r="KML112" s="4"/>
      <c r="KMM112" s="4"/>
      <c r="KMN112" s="4"/>
      <c r="KMO112" s="4"/>
      <c r="KMP112" s="4"/>
      <c r="KMQ112" s="4"/>
      <c r="KMR112" s="4"/>
      <c r="KMS112" s="4"/>
      <c r="KMT112" s="4"/>
      <c r="KMU112" s="4"/>
      <c r="KMV112" s="4"/>
      <c r="KMW112" s="4"/>
      <c r="KMX112" s="4"/>
      <c r="KMY112" s="4"/>
      <c r="KMZ112" s="4"/>
      <c r="KNA112" s="4"/>
      <c r="KNB112" s="4"/>
      <c r="KNC112" s="4"/>
      <c r="KND112" s="4"/>
      <c r="KNE112" s="4"/>
      <c r="KNF112" s="4"/>
      <c r="KNG112" s="4"/>
      <c r="KNH112" s="4"/>
      <c r="KNI112" s="4"/>
      <c r="KNJ112" s="4"/>
      <c r="KNK112" s="4"/>
      <c r="KNL112" s="4"/>
      <c r="KNM112" s="4"/>
      <c r="KNN112" s="4"/>
      <c r="KNO112" s="4"/>
      <c r="KNP112" s="4"/>
      <c r="KNQ112" s="4"/>
      <c r="KNR112" s="4"/>
      <c r="KNS112" s="4"/>
      <c r="KNT112" s="4"/>
      <c r="KNU112" s="4"/>
      <c r="KNV112" s="4"/>
      <c r="KNW112" s="4"/>
      <c r="KNX112" s="4"/>
      <c r="KNY112" s="4"/>
      <c r="KNZ112" s="4"/>
      <c r="KOA112" s="4"/>
      <c r="KOB112" s="4"/>
      <c r="KOC112" s="4"/>
      <c r="KOD112" s="4"/>
      <c r="KOE112" s="4"/>
      <c r="KOF112" s="4"/>
      <c r="KOG112" s="4"/>
      <c r="KOH112" s="4"/>
      <c r="KOI112" s="4"/>
      <c r="KOJ112" s="4"/>
      <c r="KOK112" s="4"/>
      <c r="KOL112" s="4"/>
      <c r="KOM112" s="4"/>
      <c r="KON112" s="4"/>
      <c r="KOO112" s="4"/>
      <c r="KOP112" s="4"/>
      <c r="KOQ112" s="4"/>
      <c r="KOR112" s="4"/>
      <c r="KOS112" s="4"/>
      <c r="KOT112" s="4"/>
      <c r="KOU112" s="4"/>
      <c r="KOV112" s="4"/>
      <c r="KOW112" s="4"/>
      <c r="KOX112" s="4"/>
      <c r="KOY112" s="4"/>
      <c r="KOZ112" s="4"/>
      <c r="KPA112" s="4"/>
      <c r="KPB112" s="4"/>
      <c r="KPC112" s="4"/>
      <c r="KPD112" s="4"/>
      <c r="KPE112" s="4"/>
      <c r="KPF112" s="4"/>
      <c r="KPG112" s="4"/>
      <c r="KPH112" s="4"/>
      <c r="KPI112" s="4"/>
      <c r="KPJ112" s="4"/>
      <c r="KPK112" s="4"/>
      <c r="KPL112" s="4"/>
      <c r="KPM112" s="4"/>
      <c r="KPN112" s="4"/>
      <c r="KPO112" s="4"/>
      <c r="KPP112" s="4"/>
      <c r="KPQ112" s="4"/>
      <c r="KPR112" s="4"/>
      <c r="KPS112" s="4"/>
      <c r="KPT112" s="4"/>
      <c r="KPU112" s="4"/>
      <c r="KPV112" s="4"/>
      <c r="KPW112" s="4"/>
      <c r="KPX112" s="4"/>
      <c r="KPY112" s="4"/>
      <c r="KPZ112" s="4"/>
      <c r="KQA112" s="4"/>
      <c r="KQB112" s="4"/>
      <c r="KQC112" s="4"/>
      <c r="KQD112" s="4"/>
      <c r="KQE112" s="4"/>
      <c r="KQF112" s="4"/>
      <c r="KQG112" s="4"/>
      <c r="KQH112" s="4"/>
      <c r="KQI112" s="4"/>
      <c r="KQJ112" s="4"/>
      <c r="KQK112" s="4"/>
      <c r="KQL112" s="4"/>
      <c r="KQM112" s="4"/>
      <c r="KQN112" s="4"/>
      <c r="KQO112" s="4"/>
      <c r="KQP112" s="4"/>
      <c r="KQQ112" s="4"/>
      <c r="KQR112" s="4"/>
      <c r="KQS112" s="4"/>
      <c r="KQT112" s="4"/>
      <c r="KQU112" s="4"/>
      <c r="KQV112" s="4"/>
      <c r="KQW112" s="4"/>
      <c r="KQX112" s="4"/>
      <c r="KQY112" s="4"/>
      <c r="KQZ112" s="4"/>
      <c r="KRA112" s="4"/>
      <c r="KRB112" s="4"/>
      <c r="KRC112" s="4"/>
      <c r="KRD112" s="4"/>
      <c r="KRE112" s="4"/>
      <c r="KRF112" s="4"/>
      <c r="KRG112" s="4"/>
      <c r="KRH112" s="4"/>
      <c r="KRI112" s="4"/>
      <c r="KRJ112" s="4"/>
      <c r="KRK112" s="4"/>
      <c r="KRL112" s="4"/>
      <c r="KRM112" s="4"/>
      <c r="KRN112" s="4"/>
      <c r="KRO112" s="4"/>
      <c r="KRP112" s="4"/>
      <c r="KRQ112" s="4"/>
      <c r="KRR112" s="4"/>
      <c r="KRS112" s="4"/>
      <c r="KRT112" s="4"/>
      <c r="KRU112" s="4"/>
      <c r="KRV112" s="4"/>
      <c r="KRW112" s="4"/>
      <c r="KRX112" s="4"/>
      <c r="KRY112" s="4"/>
      <c r="KRZ112" s="4"/>
      <c r="KSA112" s="4"/>
      <c r="KSB112" s="4"/>
      <c r="KSC112" s="4"/>
      <c r="KSD112" s="4"/>
      <c r="KSE112" s="4"/>
      <c r="KSF112" s="4"/>
      <c r="KSG112" s="4"/>
      <c r="KSH112" s="4"/>
      <c r="KSI112" s="4"/>
      <c r="KSJ112" s="4"/>
      <c r="KSK112" s="4"/>
      <c r="KSL112" s="4"/>
      <c r="KSM112" s="4"/>
      <c r="KSN112" s="4"/>
      <c r="KSO112" s="4"/>
      <c r="KSP112" s="4"/>
      <c r="KSQ112" s="4"/>
      <c r="KSR112" s="4"/>
      <c r="KSS112" s="4"/>
      <c r="KST112" s="4"/>
      <c r="KSU112" s="4"/>
      <c r="KSV112" s="4"/>
      <c r="KSW112" s="4"/>
      <c r="KSX112" s="4"/>
      <c r="KSY112" s="4"/>
      <c r="KSZ112" s="4"/>
      <c r="KTA112" s="4"/>
      <c r="KTB112" s="4"/>
      <c r="KTC112" s="4"/>
      <c r="KTD112" s="4"/>
      <c r="KTE112" s="4"/>
      <c r="KTF112" s="4"/>
      <c r="KTG112" s="4"/>
      <c r="KTH112" s="4"/>
      <c r="KTI112" s="4"/>
      <c r="KTJ112" s="4"/>
      <c r="KTK112" s="4"/>
      <c r="KTL112" s="4"/>
      <c r="KTM112" s="4"/>
      <c r="KTN112" s="4"/>
      <c r="KTO112" s="4"/>
      <c r="KTP112" s="4"/>
      <c r="KTQ112" s="4"/>
      <c r="KTR112" s="4"/>
      <c r="KTS112" s="4"/>
      <c r="KTT112" s="4"/>
      <c r="KTU112" s="4"/>
      <c r="KTV112" s="4"/>
      <c r="KTW112" s="4"/>
      <c r="KTX112" s="4"/>
      <c r="KTY112" s="4"/>
      <c r="KTZ112" s="4"/>
      <c r="KUA112" s="4"/>
      <c r="KUB112" s="4"/>
      <c r="KUC112" s="4"/>
      <c r="KUD112" s="4"/>
      <c r="KUE112" s="4"/>
      <c r="KUF112" s="4"/>
      <c r="KUG112" s="4"/>
      <c r="KUH112" s="4"/>
      <c r="KUI112" s="4"/>
      <c r="KUJ112" s="4"/>
      <c r="KUK112" s="4"/>
      <c r="KUL112" s="4"/>
      <c r="KUM112" s="4"/>
      <c r="KUN112" s="4"/>
      <c r="KUO112" s="4"/>
      <c r="KUP112" s="4"/>
      <c r="KUQ112" s="4"/>
      <c r="KUR112" s="4"/>
      <c r="KUS112" s="4"/>
      <c r="KUT112" s="4"/>
      <c r="KUU112" s="4"/>
      <c r="KUV112" s="4"/>
      <c r="KUW112" s="4"/>
      <c r="KUX112" s="4"/>
      <c r="KUY112" s="4"/>
      <c r="KUZ112" s="4"/>
      <c r="KVA112" s="4"/>
      <c r="KVB112" s="4"/>
      <c r="KVC112" s="4"/>
      <c r="KVD112" s="4"/>
      <c r="KVE112" s="4"/>
      <c r="KVF112" s="4"/>
      <c r="KVG112" s="4"/>
      <c r="KVH112" s="4"/>
      <c r="KVI112" s="4"/>
      <c r="KVJ112" s="4"/>
      <c r="KVK112" s="4"/>
      <c r="KVL112" s="4"/>
      <c r="KVM112" s="4"/>
      <c r="KVN112" s="4"/>
      <c r="KVO112" s="4"/>
      <c r="KVP112" s="4"/>
      <c r="KVQ112" s="4"/>
      <c r="KVR112" s="4"/>
      <c r="KVS112" s="4"/>
      <c r="KVT112" s="4"/>
      <c r="KVU112" s="4"/>
      <c r="KVV112" s="4"/>
      <c r="KVW112" s="4"/>
      <c r="KVX112" s="4"/>
      <c r="KVY112" s="4"/>
      <c r="KVZ112" s="4"/>
      <c r="KWA112" s="4"/>
      <c r="KWB112" s="4"/>
      <c r="KWC112" s="4"/>
      <c r="KWD112" s="4"/>
      <c r="KWE112" s="4"/>
      <c r="KWF112" s="4"/>
      <c r="KWG112" s="4"/>
      <c r="KWH112" s="4"/>
      <c r="KWI112" s="4"/>
      <c r="KWJ112" s="4"/>
      <c r="KWK112" s="4"/>
      <c r="KWL112" s="4"/>
      <c r="KWM112" s="4"/>
      <c r="KWN112" s="4"/>
      <c r="KWO112" s="4"/>
      <c r="KWP112" s="4"/>
      <c r="KWQ112" s="4"/>
      <c r="KWR112" s="4"/>
      <c r="KWS112" s="4"/>
      <c r="KWT112" s="4"/>
      <c r="KWU112" s="4"/>
      <c r="KWV112" s="4"/>
      <c r="KWW112" s="4"/>
      <c r="KWX112" s="4"/>
      <c r="KWY112" s="4"/>
      <c r="KWZ112" s="4"/>
      <c r="KXA112" s="4"/>
      <c r="KXB112" s="4"/>
      <c r="KXC112" s="4"/>
      <c r="KXD112" s="4"/>
      <c r="KXE112" s="4"/>
      <c r="KXF112" s="4"/>
      <c r="KXG112" s="4"/>
      <c r="KXH112" s="4"/>
      <c r="KXI112" s="4"/>
      <c r="KXJ112" s="4"/>
      <c r="KXK112" s="4"/>
      <c r="KXL112" s="4"/>
      <c r="KXM112" s="4"/>
      <c r="KXN112" s="4"/>
      <c r="KXO112" s="4"/>
      <c r="KXP112" s="4"/>
      <c r="KXQ112" s="4"/>
      <c r="KXR112" s="4"/>
      <c r="KXS112" s="4"/>
      <c r="KXT112" s="4"/>
      <c r="KXU112" s="4"/>
      <c r="KXV112" s="4"/>
      <c r="KXW112" s="4"/>
      <c r="KXX112" s="4"/>
      <c r="KXY112" s="4"/>
      <c r="KXZ112" s="4"/>
      <c r="KYA112" s="4"/>
      <c r="KYB112" s="4"/>
      <c r="KYC112" s="4"/>
      <c r="KYD112" s="4"/>
      <c r="KYE112" s="4"/>
      <c r="KYF112" s="4"/>
      <c r="KYG112" s="4"/>
      <c r="KYH112" s="4"/>
      <c r="KYI112" s="4"/>
      <c r="KYJ112" s="4"/>
      <c r="KYK112" s="4"/>
      <c r="KYL112" s="4"/>
      <c r="KYM112" s="4"/>
      <c r="KYN112" s="4"/>
      <c r="KYO112" s="4"/>
      <c r="KYP112" s="4"/>
      <c r="KYQ112" s="4"/>
      <c r="KYR112" s="4"/>
      <c r="KYS112" s="4"/>
      <c r="KYT112" s="4"/>
      <c r="KYU112" s="4"/>
      <c r="KYV112" s="4"/>
      <c r="KYW112" s="4"/>
      <c r="KYX112" s="4"/>
      <c r="KYY112" s="4"/>
      <c r="KYZ112" s="4"/>
      <c r="KZA112" s="4"/>
      <c r="KZB112" s="4"/>
      <c r="KZC112" s="4"/>
      <c r="KZD112" s="4"/>
      <c r="KZE112" s="4"/>
      <c r="KZF112" s="4"/>
      <c r="KZG112" s="4"/>
      <c r="KZH112" s="4"/>
      <c r="KZI112" s="4"/>
      <c r="KZJ112" s="4"/>
      <c r="KZK112" s="4"/>
      <c r="KZL112" s="4"/>
      <c r="KZM112" s="4"/>
      <c r="KZN112" s="4"/>
      <c r="KZO112" s="4"/>
      <c r="KZP112" s="4"/>
      <c r="KZQ112" s="4"/>
      <c r="KZR112" s="4"/>
      <c r="KZS112" s="4"/>
      <c r="KZT112" s="4"/>
      <c r="KZU112" s="4"/>
      <c r="KZV112" s="4"/>
      <c r="KZW112" s="4"/>
      <c r="KZX112" s="4"/>
      <c r="KZY112" s="4"/>
      <c r="KZZ112" s="4"/>
      <c r="LAA112" s="4"/>
      <c r="LAB112" s="4"/>
      <c r="LAC112" s="4"/>
      <c r="LAD112" s="4"/>
      <c r="LAE112" s="4"/>
      <c r="LAF112" s="4"/>
      <c r="LAG112" s="4"/>
      <c r="LAH112" s="4"/>
      <c r="LAI112" s="4"/>
      <c r="LAJ112" s="4"/>
      <c r="LAK112" s="4"/>
      <c r="LAL112" s="4"/>
      <c r="LAM112" s="4"/>
      <c r="LAN112" s="4"/>
      <c r="LAO112" s="4"/>
      <c r="LAP112" s="4"/>
      <c r="LAQ112" s="4"/>
      <c r="LAR112" s="4"/>
      <c r="LAS112" s="4"/>
      <c r="LAT112" s="4"/>
      <c r="LAU112" s="4"/>
      <c r="LAV112" s="4"/>
      <c r="LAW112" s="4"/>
      <c r="LAX112" s="4"/>
      <c r="LAY112" s="4"/>
      <c r="LAZ112" s="4"/>
      <c r="LBA112" s="4"/>
      <c r="LBB112" s="4"/>
      <c r="LBC112" s="4"/>
      <c r="LBD112" s="4"/>
      <c r="LBE112" s="4"/>
      <c r="LBF112" s="4"/>
      <c r="LBG112" s="4"/>
      <c r="LBH112" s="4"/>
      <c r="LBI112" s="4"/>
      <c r="LBJ112" s="4"/>
      <c r="LBK112" s="4"/>
      <c r="LBL112" s="4"/>
      <c r="LBM112" s="4"/>
      <c r="LBN112" s="4"/>
      <c r="LBO112" s="4"/>
      <c r="LBP112" s="4"/>
      <c r="LBQ112" s="4"/>
      <c r="LBR112" s="4"/>
      <c r="LBS112" s="4"/>
      <c r="LBT112" s="4"/>
      <c r="LBU112" s="4"/>
      <c r="LBV112" s="4"/>
      <c r="LBW112" s="4"/>
      <c r="LBX112" s="4"/>
      <c r="LBY112" s="4"/>
      <c r="LBZ112" s="4"/>
      <c r="LCA112" s="4"/>
      <c r="LCB112" s="4"/>
      <c r="LCC112" s="4"/>
      <c r="LCD112" s="4"/>
      <c r="LCE112" s="4"/>
      <c r="LCF112" s="4"/>
      <c r="LCG112" s="4"/>
      <c r="LCH112" s="4"/>
      <c r="LCI112" s="4"/>
      <c r="LCJ112" s="4"/>
      <c r="LCK112" s="4"/>
      <c r="LCL112" s="4"/>
      <c r="LCM112" s="4"/>
      <c r="LCN112" s="4"/>
      <c r="LCO112" s="4"/>
      <c r="LCP112" s="4"/>
      <c r="LCQ112" s="4"/>
      <c r="LCR112" s="4"/>
      <c r="LCS112" s="4"/>
      <c r="LCT112" s="4"/>
      <c r="LCU112" s="4"/>
      <c r="LCV112" s="4"/>
      <c r="LCW112" s="4"/>
      <c r="LCX112" s="4"/>
      <c r="LCY112" s="4"/>
      <c r="LCZ112" s="4"/>
      <c r="LDA112" s="4"/>
      <c r="LDB112" s="4"/>
      <c r="LDC112" s="4"/>
      <c r="LDD112" s="4"/>
      <c r="LDE112" s="4"/>
      <c r="LDF112" s="4"/>
      <c r="LDG112" s="4"/>
      <c r="LDH112" s="4"/>
      <c r="LDI112" s="4"/>
      <c r="LDJ112" s="4"/>
      <c r="LDK112" s="4"/>
      <c r="LDL112" s="4"/>
      <c r="LDM112" s="4"/>
      <c r="LDN112" s="4"/>
      <c r="LDO112" s="4"/>
      <c r="LDP112" s="4"/>
      <c r="LDQ112" s="4"/>
      <c r="LDR112" s="4"/>
      <c r="LDS112" s="4"/>
      <c r="LDT112" s="4"/>
      <c r="LDU112" s="4"/>
      <c r="LDV112" s="4"/>
      <c r="LDW112" s="4"/>
      <c r="LDX112" s="4"/>
      <c r="LDY112" s="4"/>
      <c r="LDZ112" s="4"/>
      <c r="LEA112" s="4"/>
      <c r="LEB112" s="4"/>
      <c r="LEC112" s="4"/>
      <c r="LED112" s="4"/>
      <c r="LEE112" s="4"/>
      <c r="LEF112" s="4"/>
      <c r="LEG112" s="4"/>
      <c r="LEH112" s="4"/>
      <c r="LEI112" s="4"/>
      <c r="LEJ112" s="4"/>
      <c r="LEK112" s="4"/>
      <c r="LEL112" s="4"/>
      <c r="LEM112" s="4"/>
      <c r="LEN112" s="4"/>
      <c r="LEO112" s="4"/>
      <c r="LEP112" s="4"/>
      <c r="LEQ112" s="4"/>
      <c r="LER112" s="4"/>
      <c r="LES112" s="4"/>
      <c r="LET112" s="4"/>
      <c r="LEU112" s="4"/>
      <c r="LEV112" s="4"/>
      <c r="LEW112" s="4"/>
      <c r="LEX112" s="4"/>
      <c r="LEY112" s="4"/>
      <c r="LEZ112" s="4"/>
      <c r="LFA112" s="4"/>
      <c r="LFB112" s="4"/>
      <c r="LFC112" s="4"/>
      <c r="LFD112" s="4"/>
      <c r="LFE112" s="4"/>
      <c r="LFF112" s="4"/>
      <c r="LFG112" s="4"/>
      <c r="LFH112" s="4"/>
      <c r="LFI112" s="4"/>
      <c r="LFJ112" s="4"/>
      <c r="LFK112" s="4"/>
      <c r="LFL112" s="4"/>
      <c r="LFM112" s="4"/>
      <c r="LFN112" s="4"/>
      <c r="LFO112" s="4"/>
      <c r="LFP112" s="4"/>
      <c r="LFQ112" s="4"/>
      <c r="LFR112" s="4"/>
      <c r="LFS112" s="4"/>
      <c r="LFT112" s="4"/>
      <c r="LFU112" s="4"/>
      <c r="LFV112" s="4"/>
      <c r="LFW112" s="4"/>
      <c r="LFX112" s="4"/>
      <c r="LFY112" s="4"/>
      <c r="LFZ112" s="4"/>
      <c r="LGA112" s="4"/>
      <c r="LGB112" s="4"/>
      <c r="LGC112" s="4"/>
      <c r="LGD112" s="4"/>
      <c r="LGE112" s="4"/>
      <c r="LGF112" s="4"/>
      <c r="LGG112" s="4"/>
      <c r="LGH112" s="4"/>
      <c r="LGI112" s="4"/>
      <c r="LGJ112" s="4"/>
      <c r="LGK112" s="4"/>
      <c r="LGL112" s="4"/>
      <c r="LGM112" s="4"/>
      <c r="LGN112" s="4"/>
      <c r="LGO112" s="4"/>
      <c r="LGP112" s="4"/>
      <c r="LGQ112" s="4"/>
      <c r="LGR112" s="4"/>
      <c r="LGS112" s="4"/>
      <c r="LGT112" s="4"/>
      <c r="LGU112" s="4"/>
      <c r="LGV112" s="4"/>
      <c r="LGW112" s="4"/>
      <c r="LGX112" s="4"/>
      <c r="LGY112" s="4"/>
      <c r="LGZ112" s="4"/>
      <c r="LHA112" s="4"/>
      <c r="LHB112" s="4"/>
      <c r="LHC112" s="4"/>
      <c r="LHD112" s="4"/>
      <c r="LHE112" s="4"/>
      <c r="LHF112" s="4"/>
      <c r="LHG112" s="4"/>
      <c r="LHH112" s="4"/>
      <c r="LHI112" s="4"/>
      <c r="LHJ112" s="4"/>
      <c r="LHK112" s="4"/>
      <c r="LHL112" s="4"/>
      <c r="LHM112" s="4"/>
      <c r="LHN112" s="4"/>
      <c r="LHO112" s="4"/>
      <c r="LHP112" s="4"/>
      <c r="LHQ112" s="4"/>
      <c r="LHR112" s="4"/>
      <c r="LHS112" s="4"/>
      <c r="LHT112" s="4"/>
      <c r="LHU112" s="4"/>
      <c r="LHV112" s="4"/>
      <c r="LHW112" s="4"/>
      <c r="LHX112" s="4"/>
      <c r="LHY112" s="4"/>
      <c r="LHZ112" s="4"/>
      <c r="LIA112" s="4"/>
      <c r="LIB112" s="4"/>
      <c r="LIC112" s="4"/>
      <c r="LID112" s="4"/>
      <c r="LIE112" s="4"/>
      <c r="LIF112" s="4"/>
      <c r="LIG112" s="4"/>
      <c r="LIH112" s="4"/>
      <c r="LII112" s="4"/>
      <c r="LIJ112" s="4"/>
      <c r="LIK112" s="4"/>
      <c r="LIL112" s="4"/>
      <c r="LIM112" s="4"/>
      <c r="LIN112" s="4"/>
      <c r="LIO112" s="4"/>
      <c r="LIP112" s="4"/>
      <c r="LIQ112" s="4"/>
      <c r="LIR112" s="4"/>
      <c r="LIS112" s="4"/>
      <c r="LIT112" s="4"/>
      <c r="LIU112" s="4"/>
      <c r="LIV112" s="4"/>
      <c r="LIW112" s="4"/>
      <c r="LIX112" s="4"/>
      <c r="LIY112" s="4"/>
      <c r="LIZ112" s="4"/>
      <c r="LJA112" s="4"/>
      <c r="LJB112" s="4"/>
      <c r="LJC112" s="4"/>
      <c r="LJD112" s="4"/>
      <c r="LJE112" s="4"/>
      <c r="LJF112" s="4"/>
      <c r="LJG112" s="4"/>
      <c r="LJH112" s="4"/>
      <c r="LJI112" s="4"/>
      <c r="LJJ112" s="4"/>
      <c r="LJK112" s="4"/>
      <c r="LJL112" s="4"/>
      <c r="LJM112" s="4"/>
      <c r="LJN112" s="4"/>
      <c r="LJO112" s="4"/>
      <c r="LJP112" s="4"/>
      <c r="LJQ112" s="4"/>
      <c r="LJR112" s="4"/>
      <c r="LJS112" s="4"/>
      <c r="LJT112" s="4"/>
      <c r="LJU112" s="4"/>
      <c r="LJV112" s="4"/>
      <c r="LJW112" s="4"/>
      <c r="LJX112" s="4"/>
      <c r="LJY112" s="4"/>
      <c r="LJZ112" s="4"/>
      <c r="LKA112" s="4"/>
      <c r="LKB112" s="4"/>
      <c r="LKC112" s="4"/>
      <c r="LKD112" s="4"/>
      <c r="LKE112" s="4"/>
      <c r="LKF112" s="4"/>
      <c r="LKG112" s="4"/>
      <c r="LKH112" s="4"/>
      <c r="LKI112" s="4"/>
      <c r="LKJ112" s="4"/>
      <c r="LKK112" s="4"/>
      <c r="LKL112" s="4"/>
      <c r="LKM112" s="4"/>
      <c r="LKN112" s="4"/>
      <c r="LKO112" s="4"/>
      <c r="LKP112" s="4"/>
      <c r="LKQ112" s="4"/>
      <c r="LKR112" s="4"/>
      <c r="LKS112" s="4"/>
      <c r="LKT112" s="4"/>
      <c r="LKU112" s="4"/>
      <c r="LKV112" s="4"/>
      <c r="LKW112" s="4"/>
      <c r="LKX112" s="4"/>
      <c r="LKY112" s="4"/>
      <c r="LKZ112" s="4"/>
      <c r="LLA112" s="4"/>
      <c r="LLB112" s="4"/>
      <c r="LLC112" s="4"/>
      <c r="LLD112" s="4"/>
      <c r="LLE112" s="4"/>
      <c r="LLF112" s="4"/>
      <c r="LLG112" s="4"/>
      <c r="LLH112" s="4"/>
      <c r="LLI112" s="4"/>
      <c r="LLJ112" s="4"/>
      <c r="LLK112" s="4"/>
      <c r="LLL112" s="4"/>
      <c r="LLM112" s="4"/>
      <c r="LLN112" s="4"/>
      <c r="LLO112" s="4"/>
      <c r="LLP112" s="4"/>
      <c r="LLQ112" s="4"/>
      <c r="LLR112" s="4"/>
      <c r="LLS112" s="4"/>
      <c r="LLT112" s="4"/>
      <c r="LLU112" s="4"/>
      <c r="LLV112" s="4"/>
      <c r="LLW112" s="4"/>
      <c r="LLX112" s="4"/>
      <c r="LLY112" s="4"/>
      <c r="LLZ112" s="4"/>
      <c r="LMA112" s="4"/>
      <c r="LMB112" s="4"/>
      <c r="LMC112" s="4"/>
      <c r="LMD112" s="4"/>
      <c r="LME112" s="4"/>
      <c r="LMF112" s="4"/>
      <c r="LMG112" s="4"/>
      <c r="LMH112" s="4"/>
      <c r="LMI112" s="4"/>
      <c r="LMJ112" s="4"/>
      <c r="LMK112" s="4"/>
      <c r="LML112" s="4"/>
      <c r="LMM112" s="4"/>
      <c r="LMN112" s="4"/>
      <c r="LMO112" s="4"/>
      <c r="LMP112" s="4"/>
      <c r="LMQ112" s="4"/>
      <c r="LMR112" s="4"/>
      <c r="LMS112" s="4"/>
      <c r="LMT112" s="4"/>
      <c r="LMU112" s="4"/>
      <c r="LMV112" s="4"/>
      <c r="LMW112" s="4"/>
      <c r="LMX112" s="4"/>
      <c r="LMY112" s="4"/>
      <c r="LMZ112" s="4"/>
      <c r="LNA112" s="4"/>
      <c r="LNB112" s="4"/>
      <c r="LNC112" s="4"/>
      <c r="LND112" s="4"/>
      <c r="LNE112" s="4"/>
      <c r="LNF112" s="4"/>
      <c r="LNG112" s="4"/>
      <c r="LNH112" s="4"/>
      <c r="LNI112" s="4"/>
      <c r="LNJ112" s="4"/>
      <c r="LNK112" s="4"/>
      <c r="LNL112" s="4"/>
      <c r="LNM112" s="4"/>
      <c r="LNN112" s="4"/>
      <c r="LNO112" s="4"/>
      <c r="LNP112" s="4"/>
      <c r="LNQ112" s="4"/>
      <c r="LNR112" s="4"/>
      <c r="LNS112" s="4"/>
      <c r="LNT112" s="4"/>
      <c r="LNU112" s="4"/>
      <c r="LNV112" s="4"/>
      <c r="LNW112" s="4"/>
      <c r="LNX112" s="4"/>
      <c r="LNY112" s="4"/>
      <c r="LNZ112" s="4"/>
      <c r="LOA112" s="4"/>
      <c r="LOB112" s="4"/>
      <c r="LOC112" s="4"/>
      <c r="LOD112" s="4"/>
      <c r="LOE112" s="4"/>
      <c r="LOF112" s="4"/>
      <c r="LOG112" s="4"/>
      <c r="LOH112" s="4"/>
      <c r="LOI112" s="4"/>
      <c r="LOJ112" s="4"/>
      <c r="LOK112" s="4"/>
      <c r="LOL112" s="4"/>
      <c r="LOM112" s="4"/>
      <c r="LON112" s="4"/>
      <c r="LOO112" s="4"/>
      <c r="LOP112" s="4"/>
      <c r="LOQ112" s="4"/>
      <c r="LOR112" s="4"/>
      <c r="LOS112" s="4"/>
      <c r="LOT112" s="4"/>
      <c r="LOU112" s="4"/>
      <c r="LOV112" s="4"/>
      <c r="LOW112" s="4"/>
      <c r="LOX112" s="4"/>
      <c r="LOY112" s="4"/>
      <c r="LOZ112" s="4"/>
      <c r="LPA112" s="4"/>
      <c r="LPB112" s="4"/>
      <c r="LPC112" s="4"/>
      <c r="LPD112" s="4"/>
      <c r="LPE112" s="4"/>
      <c r="LPF112" s="4"/>
      <c r="LPG112" s="4"/>
      <c r="LPH112" s="4"/>
      <c r="LPI112" s="4"/>
      <c r="LPJ112" s="4"/>
      <c r="LPK112" s="4"/>
      <c r="LPL112" s="4"/>
      <c r="LPM112" s="4"/>
      <c r="LPN112" s="4"/>
      <c r="LPO112" s="4"/>
      <c r="LPP112" s="4"/>
      <c r="LPQ112" s="4"/>
      <c r="LPR112" s="4"/>
      <c r="LPS112" s="4"/>
      <c r="LPT112" s="4"/>
      <c r="LPU112" s="4"/>
      <c r="LPV112" s="4"/>
      <c r="LPW112" s="4"/>
      <c r="LPX112" s="4"/>
      <c r="LPY112" s="4"/>
      <c r="LPZ112" s="4"/>
      <c r="LQA112" s="4"/>
      <c r="LQB112" s="4"/>
      <c r="LQC112" s="4"/>
      <c r="LQD112" s="4"/>
      <c r="LQE112" s="4"/>
      <c r="LQF112" s="4"/>
      <c r="LQG112" s="4"/>
      <c r="LQH112" s="4"/>
      <c r="LQI112" s="4"/>
      <c r="LQJ112" s="4"/>
      <c r="LQK112" s="4"/>
      <c r="LQL112" s="4"/>
      <c r="LQM112" s="4"/>
      <c r="LQN112" s="4"/>
      <c r="LQO112" s="4"/>
      <c r="LQP112" s="4"/>
      <c r="LQQ112" s="4"/>
      <c r="LQR112" s="4"/>
      <c r="LQS112" s="4"/>
      <c r="LQT112" s="4"/>
      <c r="LQU112" s="4"/>
      <c r="LQV112" s="4"/>
      <c r="LQW112" s="4"/>
      <c r="LQX112" s="4"/>
      <c r="LQY112" s="4"/>
      <c r="LQZ112" s="4"/>
      <c r="LRA112" s="4"/>
      <c r="LRB112" s="4"/>
      <c r="LRC112" s="4"/>
      <c r="LRD112" s="4"/>
      <c r="LRE112" s="4"/>
      <c r="LRF112" s="4"/>
      <c r="LRG112" s="4"/>
      <c r="LRH112" s="4"/>
      <c r="LRI112" s="4"/>
      <c r="LRJ112" s="4"/>
      <c r="LRK112" s="4"/>
      <c r="LRL112" s="4"/>
      <c r="LRM112" s="4"/>
      <c r="LRN112" s="4"/>
      <c r="LRO112" s="4"/>
      <c r="LRP112" s="4"/>
      <c r="LRQ112" s="4"/>
      <c r="LRR112" s="4"/>
      <c r="LRS112" s="4"/>
      <c r="LRT112" s="4"/>
      <c r="LRU112" s="4"/>
      <c r="LRV112" s="4"/>
      <c r="LRW112" s="4"/>
      <c r="LRX112" s="4"/>
      <c r="LRY112" s="4"/>
      <c r="LRZ112" s="4"/>
      <c r="LSA112" s="4"/>
      <c r="LSB112" s="4"/>
      <c r="LSC112" s="4"/>
      <c r="LSD112" s="4"/>
      <c r="LSE112" s="4"/>
      <c r="LSF112" s="4"/>
      <c r="LSG112" s="4"/>
      <c r="LSH112" s="4"/>
      <c r="LSI112" s="4"/>
      <c r="LSJ112" s="4"/>
      <c r="LSK112" s="4"/>
      <c r="LSL112" s="4"/>
      <c r="LSM112" s="4"/>
      <c r="LSN112" s="4"/>
      <c r="LSO112" s="4"/>
      <c r="LSP112" s="4"/>
      <c r="LSQ112" s="4"/>
      <c r="LSR112" s="4"/>
      <c r="LSS112" s="4"/>
      <c r="LST112" s="4"/>
      <c r="LSU112" s="4"/>
      <c r="LSV112" s="4"/>
      <c r="LSW112" s="4"/>
      <c r="LSX112" s="4"/>
      <c r="LSY112" s="4"/>
      <c r="LSZ112" s="4"/>
      <c r="LTA112" s="4"/>
      <c r="LTB112" s="4"/>
      <c r="LTC112" s="4"/>
      <c r="LTD112" s="4"/>
      <c r="LTE112" s="4"/>
      <c r="LTF112" s="4"/>
      <c r="LTG112" s="4"/>
      <c r="LTH112" s="4"/>
      <c r="LTI112" s="4"/>
      <c r="LTJ112" s="4"/>
      <c r="LTK112" s="4"/>
      <c r="LTL112" s="4"/>
      <c r="LTM112" s="4"/>
      <c r="LTN112" s="4"/>
      <c r="LTO112" s="4"/>
      <c r="LTP112" s="4"/>
      <c r="LTQ112" s="4"/>
      <c r="LTR112" s="4"/>
      <c r="LTS112" s="4"/>
      <c r="LTT112" s="4"/>
      <c r="LTU112" s="4"/>
      <c r="LTV112" s="4"/>
      <c r="LTW112" s="4"/>
      <c r="LTX112" s="4"/>
      <c r="LTY112" s="4"/>
      <c r="LTZ112" s="4"/>
      <c r="LUA112" s="4"/>
      <c r="LUB112" s="4"/>
      <c r="LUC112" s="4"/>
      <c r="LUD112" s="4"/>
      <c r="LUE112" s="4"/>
      <c r="LUF112" s="4"/>
      <c r="LUG112" s="4"/>
      <c r="LUH112" s="4"/>
      <c r="LUI112" s="4"/>
      <c r="LUJ112" s="4"/>
      <c r="LUK112" s="4"/>
      <c r="LUL112" s="4"/>
      <c r="LUM112" s="4"/>
      <c r="LUN112" s="4"/>
      <c r="LUO112" s="4"/>
      <c r="LUP112" s="4"/>
      <c r="LUQ112" s="4"/>
      <c r="LUR112" s="4"/>
      <c r="LUS112" s="4"/>
      <c r="LUT112" s="4"/>
      <c r="LUU112" s="4"/>
      <c r="LUV112" s="4"/>
      <c r="LUW112" s="4"/>
      <c r="LUX112" s="4"/>
      <c r="LUY112" s="4"/>
      <c r="LUZ112" s="4"/>
      <c r="LVA112" s="4"/>
      <c r="LVB112" s="4"/>
      <c r="LVC112" s="4"/>
      <c r="LVD112" s="4"/>
      <c r="LVE112" s="4"/>
      <c r="LVF112" s="4"/>
      <c r="LVG112" s="4"/>
      <c r="LVH112" s="4"/>
      <c r="LVI112" s="4"/>
      <c r="LVJ112" s="4"/>
      <c r="LVK112" s="4"/>
      <c r="LVL112" s="4"/>
      <c r="LVM112" s="4"/>
      <c r="LVN112" s="4"/>
      <c r="LVO112" s="4"/>
      <c r="LVP112" s="4"/>
      <c r="LVQ112" s="4"/>
      <c r="LVR112" s="4"/>
      <c r="LVS112" s="4"/>
      <c r="LVT112" s="4"/>
      <c r="LVU112" s="4"/>
      <c r="LVV112" s="4"/>
      <c r="LVW112" s="4"/>
      <c r="LVX112" s="4"/>
      <c r="LVY112" s="4"/>
      <c r="LVZ112" s="4"/>
      <c r="LWA112" s="4"/>
      <c r="LWB112" s="4"/>
      <c r="LWC112" s="4"/>
      <c r="LWD112" s="4"/>
      <c r="LWE112" s="4"/>
      <c r="LWF112" s="4"/>
      <c r="LWG112" s="4"/>
      <c r="LWH112" s="4"/>
      <c r="LWI112" s="4"/>
      <c r="LWJ112" s="4"/>
      <c r="LWK112" s="4"/>
      <c r="LWL112" s="4"/>
      <c r="LWM112" s="4"/>
      <c r="LWN112" s="4"/>
      <c r="LWO112" s="4"/>
      <c r="LWP112" s="4"/>
      <c r="LWQ112" s="4"/>
      <c r="LWR112" s="4"/>
      <c r="LWS112" s="4"/>
      <c r="LWT112" s="4"/>
      <c r="LWU112" s="4"/>
      <c r="LWV112" s="4"/>
      <c r="LWW112" s="4"/>
      <c r="LWX112" s="4"/>
      <c r="LWY112" s="4"/>
      <c r="LWZ112" s="4"/>
      <c r="LXA112" s="4"/>
      <c r="LXB112" s="4"/>
      <c r="LXC112" s="4"/>
      <c r="LXD112" s="4"/>
      <c r="LXE112" s="4"/>
      <c r="LXF112" s="4"/>
      <c r="LXG112" s="4"/>
      <c r="LXH112" s="4"/>
      <c r="LXI112" s="4"/>
      <c r="LXJ112" s="4"/>
      <c r="LXK112" s="4"/>
      <c r="LXL112" s="4"/>
      <c r="LXM112" s="4"/>
      <c r="LXN112" s="4"/>
      <c r="LXO112" s="4"/>
      <c r="LXP112" s="4"/>
      <c r="LXQ112" s="4"/>
      <c r="LXR112" s="4"/>
      <c r="LXS112" s="4"/>
      <c r="LXT112" s="4"/>
      <c r="LXU112" s="4"/>
      <c r="LXV112" s="4"/>
      <c r="LXW112" s="4"/>
      <c r="LXX112" s="4"/>
      <c r="LXY112" s="4"/>
      <c r="LXZ112" s="4"/>
      <c r="LYA112" s="4"/>
      <c r="LYB112" s="4"/>
      <c r="LYC112" s="4"/>
      <c r="LYD112" s="4"/>
      <c r="LYE112" s="4"/>
      <c r="LYF112" s="4"/>
      <c r="LYG112" s="4"/>
      <c r="LYH112" s="4"/>
      <c r="LYI112" s="4"/>
      <c r="LYJ112" s="4"/>
      <c r="LYK112" s="4"/>
      <c r="LYL112" s="4"/>
      <c r="LYM112" s="4"/>
      <c r="LYN112" s="4"/>
      <c r="LYO112" s="4"/>
      <c r="LYP112" s="4"/>
      <c r="LYQ112" s="4"/>
      <c r="LYR112" s="4"/>
      <c r="LYS112" s="4"/>
      <c r="LYT112" s="4"/>
      <c r="LYU112" s="4"/>
      <c r="LYV112" s="4"/>
      <c r="LYW112" s="4"/>
      <c r="LYX112" s="4"/>
      <c r="LYY112" s="4"/>
      <c r="LYZ112" s="4"/>
      <c r="LZA112" s="4"/>
      <c r="LZB112" s="4"/>
      <c r="LZC112" s="4"/>
      <c r="LZD112" s="4"/>
      <c r="LZE112" s="4"/>
      <c r="LZF112" s="4"/>
      <c r="LZG112" s="4"/>
      <c r="LZH112" s="4"/>
      <c r="LZI112" s="4"/>
      <c r="LZJ112" s="4"/>
      <c r="LZK112" s="4"/>
      <c r="LZL112" s="4"/>
      <c r="LZM112" s="4"/>
      <c r="LZN112" s="4"/>
      <c r="LZO112" s="4"/>
      <c r="LZP112" s="4"/>
      <c r="LZQ112" s="4"/>
      <c r="LZR112" s="4"/>
      <c r="LZS112" s="4"/>
      <c r="LZT112" s="4"/>
      <c r="LZU112" s="4"/>
      <c r="LZV112" s="4"/>
      <c r="LZW112" s="4"/>
      <c r="LZX112" s="4"/>
      <c r="LZY112" s="4"/>
      <c r="LZZ112" s="4"/>
      <c r="MAA112" s="4"/>
      <c r="MAB112" s="4"/>
      <c r="MAC112" s="4"/>
      <c r="MAD112" s="4"/>
      <c r="MAE112" s="4"/>
      <c r="MAF112" s="4"/>
      <c r="MAG112" s="4"/>
      <c r="MAH112" s="4"/>
      <c r="MAI112" s="4"/>
      <c r="MAJ112" s="4"/>
      <c r="MAK112" s="4"/>
      <c r="MAL112" s="4"/>
      <c r="MAM112" s="4"/>
      <c r="MAN112" s="4"/>
      <c r="MAO112" s="4"/>
      <c r="MAP112" s="4"/>
      <c r="MAQ112" s="4"/>
      <c r="MAR112" s="4"/>
      <c r="MAS112" s="4"/>
      <c r="MAT112" s="4"/>
      <c r="MAU112" s="4"/>
      <c r="MAV112" s="4"/>
      <c r="MAW112" s="4"/>
      <c r="MAX112" s="4"/>
      <c r="MAY112" s="4"/>
      <c r="MAZ112" s="4"/>
      <c r="MBA112" s="4"/>
      <c r="MBB112" s="4"/>
      <c r="MBC112" s="4"/>
      <c r="MBD112" s="4"/>
      <c r="MBE112" s="4"/>
      <c r="MBF112" s="4"/>
      <c r="MBG112" s="4"/>
      <c r="MBH112" s="4"/>
      <c r="MBI112" s="4"/>
      <c r="MBJ112" s="4"/>
      <c r="MBK112" s="4"/>
      <c r="MBL112" s="4"/>
      <c r="MBM112" s="4"/>
      <c r="MBN112" s="4"/>
      <c r="MBO112" s="4"/>
      <c r="MBP112" s="4"/>
      <c r="MBQ112" s="4"/>
      <c r="MBR112" s="4"/>
      <c r="MBS112" s="4"/>
      <c r="MBT112" s="4"/>
      <c r="MBU112" s="4"/>
      <c r="MBV112" s="4"/>
      <c r="MBW112" s="4"/>
      <c r="MBX112" s="4"/>
      <c r="MBY112" s="4"/>
      <c r="MBZ112" s="4"/>
      <c r="MCA112" s="4"/>
      <c r="MCB112" s="4"/>
      <c r="MCC112" s="4"/>
      <c r="MCD112" s="4"/>
      <c r="MCE112" s="4"/>
      <c r="MCF112" s="4"/>
      <c r="MCG112" s="4"/>
      <c r="MCH112" s="4"/>
      <c r="MCI112" s="4"/>
      <c r="MCJ112" s="4"/>
      <c r="MCK112" s="4"/>
      <c r="MCL112" s="4"/>
      <c r="MCM112" s="4"/>
      <c r="MCN112" s="4"/>
      <c r="MCO112" s="4"/>
      <c r="MCP112" s="4"/>
      <c r="MCQ112" s="4"/>
      <c r="MCR112" s="4"/>
      <c r="MCS112" s="4"/>
      <c r="MCT112" s="4"/>
      <c r="MCU112" s="4"/>
      <c r="MCV112" s="4"/>
      <c r="MCW112" s="4"/>
      <c r="MCX112" s="4"/>
      <c r="MCY112" s="4"/>
      <c r="MCZ112" s="4"/>
      <c r="MDA112" s="4"/>
      <c r="MDB112" s="4"/>
      <c r="MDC112" s="4"/>
      <c r="MDD112" s="4"/>
      <c r="MDE112" s="4"/>
      <c r="MDF112" s="4"/>
      <c r="MDG112" s="4"/>
      <c r="MDH112" s="4"/>
      <c r="MDI112" s="4"/>
      <c r="MDJ112" s="4"/>
      <c r="MDK112" s="4"/>
      <c r="MDL112" s="4"/>
      <c r="MDM112" s="4"/>
      <c r="MDN112" s="4"/>
      <c r="MDO112" s="4"/>
      <c r="MDP112" s="4"/>
      <c r="MDQ112" s="4"/>
      <c r="MDR112" s="4"/>
      <c r="MDS112" s="4"/>
      <c r="MDT112" s="4"/>
      <c r="MDU112" s="4"/>
      <c r="MDV112" s="4"/>
      <c r="MDW112" s="4"/>
      <c r="MDX112" s="4"/>
      <c r="MDY112" s="4"/>
      <c r="MDZ112" s="4"/>
      <c r="MEA112" s="4"/>
      <c r="MEB112" s="4"/>
      <c r="MEC112" s="4"/>
      <c r="MED112" s="4"/>
      <c r="MEE112" s="4"/>
      <c r="MEF112" s="4"/>
      <c r="MEG112" s="4"/>
      <c r="MEH112" s="4"/>
      <c r="MEI112" s="4"/>
      <c r="MEJ112" s="4"/>
      <c r="MEK112" s="4"/>
      <c r="MEL112" s="4"/>
      <c r="MEM112" s="4"/>
      <c r="MEN112" s="4"/>
      <c r="MEO112" s="4"/>
      <c r="MEP112" s="4"/>
      <c r="MEQ112" s="4"/>
      <c r="MER112" s="4"/>
      <c r="MES112" s="4"/>
      <c r="MET112" s="4"/>
      <c r="MEU112" s="4"/>
      <c r="MEV112" s="4"/>
      <c r="MEW112" s="4"/>
      <c r="MEX112" s="4"/>
      <c r="MEY112" s="4"/>
      <c r="MEZ112" s="4"/>
      <c r="MFA112" s="4"/>
      <c r="MFB112" s="4"/>
      <c r="MFC112" s="4"/>
      <c r="MFD112" s="4"/>
      <c r="MFE112" s="4"/>
      <c r="MFF112" s="4"/>
      <c r="MFG112" s="4"/>
      <c r="MFH112" s="4"/>
      <c r="MFI112" s="4"/>
      <c r="MFJ112" s="4"/>
      <c r="MFK112" s="4"/>
      <c r="MFL112" s="4"/>
      <c r="MFM112" s="4"/>
      <c r="MFN112" s="4"/>
      <c r="MFO112" s="4"/>
      <c r="MFP112" s="4"/>
      <c r="MFQ112" s="4"/>
      <c r="MFR112" s="4"/>
      <c r="MFS112" s="4"/>
      <c r="MFT112" s="4"/>
      <c r="MFU112" s="4"/>
      <c r="MFV112" s="4"/>
      <c r="MFW112" s="4"/>
      <c r="MFX112" s="4"/>
      <c r="MFY112" s="4"/>
      <c r="MFZ112" s="4"/>
      <c r="MGA112" s="4"/>
      <c r="MGB112" s="4"/>
      <c r="MGC112" s="4"/>
      <c r="MGD112" s="4"/>
      <c r="MGE112" s="4"/>
      <c r="MGF112" s="4"/>
      <c r="MGG112" s="4"/>
      <c r="MGH112" s="4"/>
      <c r="MGI112" s="4"/>
      <c r="MGJ112" s="4"/>
      <c r="MGK112" s="4"/>
      <c r="MGL112" s="4"/>
      <c r="MGM112" s="4"/>
      <c r="MGN112" s="4"/>
      <c r="MGO112" s="4"/>
      <c r="MGP112" s="4"/>
      <c r="MGQ112" s="4"/>
      <c r="MGR112" s="4"/>
      <c r="MGS112" s="4"/>
      <c r="MGT112" s="4"/>
      <c r="MGU112" s="4"/>
      <c r="MGV112" s="4"/>
      <c r="MGW112" s="4"/>
      <c r="MGX112" s="4"/>
      <c r="MGY112" s="4"/>
      <c r="MGZ112" s="4"/>
      <c r="MHA112" s="4"/>
      <c r="MHB112" s="4"/>
      <c r="MHC112" s="4"/>
      <c r="MHD112" s="4"/>
      <c r="MHE112" s="4"/>
      <c r="MHF112" s="4"/>
      <c r="MHG112" s="4"/>
      <c r="MHH112" s="4"/>
      <c r="MHI112" s="4"/>
      <c r="MHJ112" s="4"/>
      <c r="MHK112" s="4"/>
      <c r="MHL112" s="4"/>
      <c r="MHM112" s="4"/>
      <c r="MHN112" s="4"/>
      <c r="MHO112" s="4"/>
      <c r="MHP112" s="4"/>
      <c r="MHQ112" s="4"/>
      <c r="MHR112" s="4"/>
      <c r="MHS112" s="4"/>
      <c r="MHT112" s="4"/>
      <c r="MHU112" s="4"/>
      <c r="MHV112" s="4"/>
      <c r="MHW112" s="4"/>
      <c r="MHX112" s="4"/>
      <c r="MHY112" s="4"/>
      <c r="MHZ112" s="4"/>
      <c r="MIA112" s="4"/>
      <c r="MIB112" s="4"/>
      <c r="MIC112" s="4"/>
      <c r="MID112" s="4"/>
      <c r="MIE112" s="4"/>
      <c r="MIF112" s="4"/>
      <c r="MIG112" s="4"/>
      <c r="MIH112" s="4"/>
      <c r="MII112" s="4"/>
      <c r="MIJ112" s="4"/>
      <c r="MIK112" s="4"/>
      <c r="MIL112" s="4"/>
      <c r="MIM112" s="4"/>
      <c r="MIN112" s="4"/>
      <c r="MIO112" s="4"/>
      <c r="MIP112" s="4"/>
      <c r="MIQ112" s="4"/>
      <c r="MIR112" s="4"/>
      <c r="MIS112" s="4"/>
      <c r="MIT112" s="4"/>
      <c r="MIU112" s="4"/>
      <c r="MIV112" s="4"/>
      <c r="MIW112" s="4"/>
      <c r="MIX112" s="4"/>
      <c r="MIY112" s="4"/>
      <c r="MIZ112" s="4"/>
      <c r="MJA112" s="4"/>
      <c r="MJB112" s="4"/>
      <c r="MJC112" s="4"/>
      <c r="MJD112" s="4"/>
      <c r="MJE112" s="4"/>
      <c r="MJF112" s="4"/>
      <c r="MJG112" s="4"/>
      <c r="MJH112" s="4"/>
      <c r="MJI112" s="4"/>
      <c r="MJJ112" s="4"/>
      <c r="MJK112" s="4"/>
      <c r="MJL112" s="4"/>
      <c r="MJM112" s="4"/>
      <c r="MJN112" s="4"/>
      <c r="MJO112" s="4"/>
      <c r="MJP112" s="4"/>
      <c r="MJQ112" s="4"/>
      <c r="MJR112" s="4"/>
      <c r="MJS112" s="4"/>
      <c r="MJT112" s="4"/>
      <c r="MJU112" s="4"/>
      <c r="MJV112" s="4"/>
      <c r="MJW112" s="4"/>
      <c r="MJX112" s="4"/>
      <c r="MJY112" s="4"/>
      <c r="MJZ112" s="4"/>
      <c r="MKA112" s="4"/>
      <c r="MKB112" s="4"/>
      <c r="MKC112" s="4"/>
      <c r="MKD112" s="4"/>
      <c r="MKE112" s="4"/>
      <c r="MKF112" s="4"/>
      <c r="MKG112" s="4"/>
      <c r="MKH112" s="4"/>
      <c r="MKI112" s="4"/>
      <c r="MKJ112" s="4"/>
      <c r="MKK112" s="4"/>
      <c r="MKL112" s="4"/>
      <c r="MKM112" s="4"/>
      <c r="MKN112" s="4"/>
      <c r="MKO112" s="4"/>
      <c r="MKP112" s="4"/>
      <c r="MKQ112" s="4"/>
      <c r="MKR112" s="4"/>
      <c r="MKS112" s="4"/>
      <c r="MKT112" s="4"/>
      <c r="MKU112" s="4"/>
      <c r="MKV112" s="4"/>
      <c r="MKW112" s="4"/>
      <c r="MKX112" s="4"/>
      <c r="MKY112" s="4"/>
      <c r="MKZ112" s="4"/>
      <c r="MLA112" s="4"/>
      <c r="MLB112" s="4"/>
      <c r="MLC112" s="4"/>
      <c r="MLD112" s="4"/>
      <c r="MLE112" s="4"/>
      <c r="MLF112" s="4"/>
      <c r="MLG112" s="4"/>
      <c r="MLH112" s="4"/>
      <c r="MLI112" s="4"/>
      <c r="MLJ112" s="4"/>
      <c r="MLK112" s="4"/>
      <c r="MLL112" s="4"/>
      <c r="MLM112" s="4"/>
      <c r="MLN112" s="4"/>
      <c r="MLO112" s="4"/>
      <c r="MLP112" s="4"/>
      <c r="MLQ112" s="4"/>
      <c r="MLR112" s="4"/>
      <c r="MLS112" s="4"/>
      <c r="MLT112" s="4"/>
      <c r="MLU112" s="4"/>
      <c r="MLV112" s="4"/>
      <c r="MLW112" s="4"/>
      <c r="MLX112" s="4"/>
      <c r="MLY112" s="4"/>
      <c r="MLZ112" s="4"/>
      <c r="MMA112" s="4"/>
      <c r="MMB112" s="4"/>
      <c r="MMC112" s="4"/>
      <c r="MMD112" s="4"/>
      <c r="MME112" s="4"/>
      <c r="MMF112" s="4"/>
      <c r="MMG112" s="4"/>
      <c r="MMH112" s="4"/>
      <c r="MMI112" s="4"/>
      <c r="MMJ112" s="4"/>
      <c r="MMK112" s="4"/>
      <c r="MML112" s="4"/>
      <c r="MMM112" s="4"/>
      <c r="MMN112" s="4"/>
      <c r="MMO112" s="4"/>
      <c r="MMP112" s="4"/>
      <c r="MMQ112" s="4"/>
      <c r="MMR112" s="4"/>
      <c r="MMS112" s="4"/>
      <c r="MMT112" s="4"/>
      <c r="MMU112" s="4"/>
      <c r="MMV112" s="4"/>
      <c r="MMW112" s="4"/>
      <c r="MMX112" s="4"/>
      <c r="MMY112" s="4"/>
      <c r="MMZ112" s="4"/>
      <c r="MNA112" s="4"/>
      <c r="MNB112" s="4"/>
      <c r="MNC112" s="4"/>
      <c r="MND112" s="4"/>
      <c r="MNE112" s="4"/>
      <c r="MNF112" s="4"/>
      <c r="MNG112" s="4"/>
      <c r="MNH112" s="4"/>
      <c r="MNI112" s="4"/>
      <c r="MNJ112" s="4"/>
      <c r="MNK112" s="4"/>
      <c r="MNL112" s="4"/>
      <c r="MNM112" s="4"/>
      <c r="MNN112" s="4"/>
      <c r="MNO112" s="4"/>
      <c r="MNP112" s="4"/>
      <c r="MNQ112" s="4"/>
      <c r="MNR112" s="4"/>
      <c r="MNS112" s="4"/>
      <c r="MNT112" s="4"/>
      <c r="MNU112" s="4"/>
      <c r="MNV112" s="4"/>
      <c r="MNW112" s="4"/>
      <c r="MNX112" s="4"/>
      <c r="MNY112" s="4"/>
      <c r="MNZ112" s="4"/>
      <c r="MOA112" s="4"/>
      <c r="MOB112" s="4"/>
      <c r="MOC112" s="4"/>
      <c r="MOD112" s="4"/>
      <c r="MOE112" s="4"/>
      <c r="MOF112" s="4"/>
      <c r="MOG112" s="4"/>
      <c r="MOH112" s="4"/>
      <c r="MOI112" s="4"/>
      <c r="MOJ112" s="4"/>
      <c r="MOK112" s="4"/>
      <c r="MOL112" s="4"/>
      <c r="MOM112" s="4"/>
      <c r="MON112" s="4"/>
      <c r="MOO112" s="4"/>
      <c r="MOP112" s="4"/>
      <c r="MOQ112" s="4"/>
      <c r="MOR112" s="4"/>
      <c r="MOS112" s="4"/>
      <c r="MOT112" s="4"/>
      <c r="MOU112" s="4"/>
      <c r="MOV112" s="4"/>
      <c r="MOW112" s="4"/>
      <c r="MOX112" s="4"/>
      <c r="MOY112" s="4"/>
      <c r="MOZ112" s="4"/>
      <c r="MPA112" s="4"/>
      <c r="MPB112" s="4"/>
      <c r="MPC112" s="4"/>
      <c r="MPD112" s="4"/>
      <c r="MPE112" s="4"/>
      <c r="MPF112" s="4"/>
      <c r="MPG112" s="4"/>
      <c r="MPH112" s="4"/>
      <c r="MPI112" s="4"/>
      <c r="MPJ112" s="4"/>
      <c r="MPK112" s="4"/>
      <c r="MPL112" s="4"/>
      <c r="MPM112" s="4"/>
      <c r="MPN112" s="4"/>
      <c r="MPO112" s="4"/>
      <c r="MPP112" s="4"/>
      <c r="MPQ112" s="4"/>
      <c r="MPR112" s="4"/>
      <c r="MPS112" s="4"/>
      <c r="MPT112" s="4"/>
      <c r="MPU112" s="4"/>
      <c r="MPV112" s="4"/>
      <c r="MPW112" s="4"/>
      <c r="MPX112" s="4"/>
      <c r="MPY112" s="4"/>
      <c r="MPZ112" s="4"/>
      <c r="MQA112" s="4"/>
      <c r="MQB112" s="4"/>
      <c r="MQC112" s="4"/>
      <c r="MQD112" s="4"/>
      <c r="MQE112" s="4"/>
      <c r="MQF112" s="4"/>
      <c r="MQG112" s="4"/>
      <c r="MQH112" s="4"/>
      <c r="MQI112" s="4"/>
      <c r="MQJ112" s="4"/>
      <c r="MQK112" s="4"/>
      <c r="MQL112" s="4"/>
      <c r="MQM112" s="4"/>
      <c r="MQN112" s="4"/>
      <c r="MQO112" s="4"/>
      <c r="MQP112" s="4"/>
      <c r="MQQ112" s="4"/>
      <c r="MQR112" s="4"/>
      <c r="MQS112" s="4"/>
      <c r="MQT112" s="4"/>
      <c r="MQU112" s="4"/>
      <c r="MQV112" s="4"/>
      <c r="MQW112" s="4"/>
      <c r="MQX112" s="4"/>
      <c r="MQY112" s="4"/>
      <c r="MQZ112" s="4"/>
      <c r="MRA112" s="4"/>
      <c r="MRB112" s="4"/>
      <c r="MRC112" s="4"/>
      <c r="MRD112" s="4"/>
      <c r="MRE112" s="4"/>
      <c r="MRF112" s="4"/>
      <c r="MRG112" s="4"/>
      <c r="MRH112" s="4"/>
      <c r="MRI112" s="4"/>
      <c r="MRJ112" s="4"/>
      <c r="MRK112" s="4"/>
      <c r="MRL112" s="4"/>
      <c r="MRM112" s="4"/>
      <c r="MRN112" s="4"/>
      <c r="MRO112" s="4"/>
      <c r="MRP112" s="4"/>
      <c r="MRQ112" s="4"/>
      <c r="MRR112" s="4"/>
      <c r="MRS112" s="4"/>
      <c r="MRT112" s="4"/>
      <c r="MRU112" s="4"/>
      <c r="MRV112" s="4"/>
      <c r="MRW112" s="4"/>
      <c r="MRX112" s="4"/>
      <c r="MRY112" s="4"/>
      <c r="MRZ112" s="4"/>
      <c r="MSA112" s="4"/>
      <c r="MSB112" s="4"/>
      <c r="MSC112" s="4"/>
      <c r="MSD112" s="4"/>
      <c r="MSE112" s="4"/>
      <c r="MSF112" s="4"/>
      <c r="MSG112" s="4"/>
      <c r="MSH112" s="4"/>
      <c r="MSI112" s="4"/>
      <c r="MSJ112" s="4"/>
      <c r="MSK112" s="4"/>
      <c r="MSL112" s="4"/>
      <c r="MSM112" s="4"/>
      <c r="MSN112" s="4"/>
      <c r="MSO112" s="4"/>
      <c r="MSP112" s="4"/>
      <c r="MSQ112" s="4"/>
      <c r="MSR112" s="4"/>
      <c r="MSS112" s="4"/>
      <c r="MST112" s="4"/>
      <c r="MSU112" s="4"/>
      <c r="MSV112" s="4"/>
      <c r="MSW112" s="4"/>
      <c r="MSX112" s="4"/>
      <c r="MSY112" s="4"/>
      <c r="MSZ112" s="4"/>
      <c r="MTA112" s="4"/>
      <c r="MTB112" s="4"/>
      <c r="MTC112" s="4"/>
      <c r="MTD112" s="4"/>
      <c r="MTE112" s="4"/>
      <c r="MTF112" s="4"/>
      <c r="MTG112" s="4"/>
      <c r="MTH112" s="4"/>
      <c r="MTI112" s="4"/>
      <c r="MTJ112" s="4"/>
      <c r="MTK112" s="4"/>
      <c r="MTL112" s="4"/>
      <c r="MTM112" s="4"/>
      <c r="MTN112" s="4"/>
      <c r="MTO112" s="4"/>
      <c r="MTP112" s="4"/>
      <c r="MTQ112" s="4"/>
      <c r="MTR112" s="4"/>
      <c r="MTS112" s="4"/>
      <c r="MTT112" s="4"/>
      <c r="MTU112" s="4"/>
      <c r="MTV112" s="4"/>
      <c r="MTW112" s="4"/>
      <c r="MTX112" s="4"/>
      <c r="MTY112" s="4"/>
      <c r="MTZ112" s="4"/>
      <c r="MUA112" s="4"/>
      <c r="MUB112" s="4"/>
      <c r="MUC112" s="4"/>
      <c r="MUD112" s="4"/>
      <c r="MUE112" s="4"/>
      <c r="MUF112" s="4"/>
      <c r="MUG112" s="4"/>
      <c r="MUH112" s="4"/>
      <c r="MUI112" s="4"/>
      <c r="MUJ112" s="4"/>
      <c r="MUK112" s="4"/>
      <c r="MUL112" s="4"/>
      <c r="MUM112" s="4"/>
      <c r="MUN112" s="4"/>
      <c r="MUO112" s="4"/>
      <c r="MUP112" s="4"/>
      <c r="MUQ112" s="4"/>
      <c r="MUR112" s="4"/>
      <c r="MUS112" s="4"/>
      <c r="MUT112" s="4"/>
      <c r="MUU112" s="4"/>
      <c r="MUV112" s="4"/>
      <c r="MUW112" s="4"/>
      <c r="MUX112" s="4"/>
      <c r="MUY112" s="4"/>
      <c r="MUZ112" s="4"/>
      <c r="MVA112" s="4"/>
      <c r="MVB112" s="4"/>
      <c r="MVC112" s="4"/>
      <c r="MVD112" s="4"/>
      <c r="MVE112" s="4"/>
      <c r="MVF112" s="4"/>
      <c r="MVG112" s="4"/>
      <c r="MVH112" s="4"/>
      <c r="MVI112" s="4"/>
      <c r="MVJ112" s="4"/>
      <c r="MVK112" s="4"/>
      <c r="MVL112" s="4"/>
      <c r="MVM112" s="4"/>
      <c r="MVN112" s="4"/>
      <c r="MVO112" s="4"/>
      <c r="MVP112" s="4"/>
      <c r="MVQ112" s="4"/>
      <c r="MVR112" s="4"/>
      <c r="MVS112" s="4"/>
      <c r="MVT112" s="4"/>
      <c r="MVU112" s="4"/>
      <c r="MVV112" s="4"/>
      <c r="MVW112" s="4"/>
      <c r="MVX112" s="4"/>
      <c r="MVY112" s="4"/>
      <c r="MVZ112" s="4"/>
      <c r="MWA112" s="4"/>
      <c r="MWB112" s="4"/>
      <c r="MWC112" s="4"/>
      <c r="MWD112" s="4"/>
      <c r="MWE112" s="4"/>
      <c r="MWF112" s="4"/>
      <c r="MWG112" s="4"/>
      <c r="MWH112" s="4"/>
      <c r="MWI112" s="4"/>
      <c r="MWJ112" s="4"/>
      <c r="MWK112" s="4"/>
      <c r="MWL112" s="4"/>
      <c r="MWM112" s="4"/>
      <c r="MWN112" s="4"/>
      <c r="MWO112" s="4"/>
      <c r="MWP112" s="4"/>
      <c r="MWQ112" s="4"/>
      <c r="MWR112" s="4"/>
      <c r="MWS112" s="4"/>
      <c r="MWT112" s="4"/>
      <c r="MWU112" s="4"/>
      <c r="MWV112" s="4"/>
      <c r="MWW112" s="4"/>
      <c r="MWX112" s="4"/>
      <c r="MWY112" s="4"/>
      <c r="MWZ112" s="4"/>
      <c r="MXA112" s="4"/>
      <c r="MXB112" s="4"/>
      <c r="MXC112" s="4"/>
      <c r="MXD112" s="4"/>
      <c r="MXE112" s="4"/>
      <c r="MXF112" s="4"/>
      <c r="MXG112" s="4"/>
      <c r="MXH112" s="4"/>
      <c r="MXI112" s="4"/>
      <c r="MXJ112" s="4"/>
      <c r="MXK112" s="4"/>
      <c r="MXL112" s="4"/>
      <c r="MXM112" s="4"/>
      <c r="MXN112" s="4"/>
      <c r="MXO112" s="4"/>
      <c r="MXP112" s="4"/>
      <c r="MXQ112" s="4"/>
      <c r="MXR112" s="4"/>
      <c r="MXS112" s="4"/>
      <c r="MXT112" s="4"/>
      <c r="MXU112" s="4"/>
      <c r="MXV112" s="4"/>
      <c r="MXW112" s="4"/>
      <c r="MXX112" s="4"/>
      <c r="MXY112" s="4"/>
      <c r="MXZ112" s="4"/>
      <c r="MYA112" s="4"/>
      <c r="MYB112" s="4"/>
      <c r="MYC112" s="4"/>
      <c r="MYD112" s="4"/>
      <c r="MYE112" s="4"/>
      <c r="MYF112" s="4"/>
      <c r="MYG112" s="4"/>
      <c r="MYH112" s="4"/>
      <c r="MYI112" s="4"/>
      <c r="MYJ112" s="4"/>
      <c r="MYK112" s="4"/>
      <c r="MYL112" s="4"/>
      <c r="MYM112" s="4"/>
      <c r="MYN112" s="4"/>
      <c r="MYO112" s="4"/>
      <c r="MYP112" s="4"/>
      <c r="MYQ112" s="4"/>
      <c r="MYR112" s="4"/>
      <c r="MYS112" s="4"/>
      <c r="MYT112" s="4"/>
      <c r="MYU112" s="4"/>
      <c r="MYV112" s="4"/>
      <c r="MYW112" s="4"/>
      <c r="MYX112" s="4"/>
      <c r="MYY112" s="4"/>
      <c r="MYZ112" s="4"/>
      <c r="MZA112" s="4"/>
      <c r="MZB112" s="4"/>
      <c r="MZC112" s="4"/>
      <c r="MZD112" s="4"/>
      <c r="MZE112" s="4"/>
      <c r="MZF112" s="4"/>
      <c r="MZG112" s="4"/>
      <c r="MZH112" s="4"/>
      <c r="MZI112" s="4"/>
      <c r="MZJ112" s="4"/>
      <c r="MZK112" s="4"/>
      <c r="MZL112" s="4"/>
      <c r="MZM112" s="4"/>
      <c r="MZN112" s="4"/>
      <c r="MZO112" s="4"/>
      <c r="MZP112" s="4"/>
      <c r="MZQ112" s="4"/>
      <c r="MZR112" s="4"/>
      <c r="MZS112" s="4"/>
      <c r="MZT112" s="4"/>
      <c r="MZU112" s="4"/>
      <c r="MZV112" s="4"/>
      <c r="MZW112" s="4"/>
      <c r="MZX112" s="4"/>
      <c r="MZY112" s="4"/>
      <c r="MZZ112" s="4"/>
      <c r="NAA112" s="4"/>
      <c r="NAB112" s="4"/>
      <c r="NAC112" s="4"/>
      <c r="NAD112" s="4"/>
      <c r="NAE112" s="4"/>
      <c r="NAF112" s="4"/>
      <c r="NAG112" s="4"/>
      <c r="NAH112" s="4"/>
      <c r="NAI112" s="4"/>
      <c r="NAJ112" s="4"/>
      <c r="NAK112" s="4"/>
      <c r="NAL112" s="4"/>
      <c r="NAM112" s="4"/>
      <c r="NAN112" s="4"/>
      <c r="NAO112" s="4"/>
      <c r="NAP112" s="4"/>
      <c r="NAQ112" s="4"/>
      <c r="NAR112" s="4"/>
      <c r="NAS112" s="4"/>
      <c r="NAT112" s="4"/>
      <c r="NAU112" s="4"/>
      <c r="NAV112" s="4"/>
      <c r="NAW112" s="4"/>
      <c r="NAX112" s="4"/>
      <c r="NAY112" s="4"/>
      <c r="NAZ112" s="4"/>
      <c r="NBA112" s="4"/>
      <c r="NBB112" s="4"/>
      <c r="NBC112" s="4"/>
      <c r="NBD112" s="4"/>
      <c r="NBE112" s="4"/>
      <c r="NBF112" s="4"/>
      <c r="NBG112" s="4"/>
      <c r="NBH112" s="4"/>
      <c r="NBI112" s="4"/>
      <c r="NBJ112" s="4"/>
      <c r="NBK112" s="4"/>
      <c r="NBL112" s="4"/>
      <c r="NBM112" s="4"/>
      <c r="NBN112" s="4"/>
      <c r="NBO112" s="4"/>
      <c r="NBP112" s="4"/>
      <c r="NBQ112" s="4"/>
      <c r="NBR112" s="4"/>
      <c r="NBS112" s="4"/>
      <c r="NBT112" s="4"/>
      <c r="NBU112" s="4"/>
      <c r="NBV112" s="4"/>
      <c r="NBW112" s="4"/>
      <c r="NBX112" s="4"/>
      <c r="NBY112" s="4"/>
      <c r="NBZ112" s="4"/>
      <c r="NCA112" s="4"/>
      <c r="NCB112" s="4"/>
      <c r="NCC112" s="4"/>
      <c r="NCD112" s="4"/>
      <c r="NCE112" s="4"/>
      <c r="NCF112" s="4"/>
      <c r="NCG112" s="4"/>
      <c r="NCH112" s="4"/>
      <c r="NCI112" s="4"/>
      <c r="NCJ112" s="4"/>
      <c r="NCK112" s="4"/>
      <c r="NCL112" s="4"/>
      <c r="NCM112" s="4"/>
      <c r="NCN112" s="4"/>
      <c r="NCO112" s="4"/>
      <c r="NCP112" s="4"/>
      <c r="NCQ112" s="4"/>
      <c r="NCR112" s="4"/>
      <c r="NCS112" s="4"/>
      <c r="NCT112" s="4"/>
      <c r="NCU112" s="4"/>
      <c r="NCV112" s="4"/>
      <c r="NCW112" s="4"/>
      <c r="NCX112" s="4"/>
      <c r="NCY112" s="4"/>
      <c r="NCZ112" s="4"/>
      <c r="NDA112" s="4"/>
      <c r="NDB112" s="4"/>
      <c r="NDC112" s="4"/>
      <c r="NDD112" s="4"/>
      <c r="NDE112" s="4"/>
      <c r="NDF112" s="4"/>
      <c r="NDG112" s="4"/>
      <c r="NDH112" s="4"/>
      <c r="NDI112" s="4"/>
      <c r="NDJ112" s="4"/>
      <c r="NDK112" s="4"/>
      <c r="NDL112" s="4"/>
      <c r="NDM112" s="4"/>
      <c r="NDN112" s="4"/>
      <c r="NDO112" s="4"/>
      <c r="NDP112" s="4"/>
      <c r="NDQ112" s="4"/>
      <c r="NDR112" s="4"/>
      <c r="NDS112" s="4"/>
      <c r="NDT112" s="4"/>
      <c r="NDU112" s="4"/>
      <c r="NDV112" s="4"/>
      <c r="NDW112" s="4"/>
      <c r="NDX112" s="4"/>
      <c r="NDY112" s="4"/>
      <c r="NDZ112" s="4"/>
      <c r="NEA112" s="4"/>
      <c r="NEB112" s="4"/>
      <c r="NEC112" s="4"/>
      <c r="NED112" s="4"/>
      <c r="NEE112" s="4"/>
      <c r="NEF112" s="4"/>
      <c r="NEG112" s="4"/>
      <c r="NEH112" s="4"/>
      <c r="NEI112" s="4"/>
      <c r="NEJ112" s="4"/>
      <c r="NEK112" s="4"/>
      <c r="NEL112" s="4"/>
      <c r="NEM112" s="4"/>
      <c r="NEN112" s="4"/>
      <c r="NEO112" s="4"/>
      <c r="NEP112" s="4"/>
      <c r="NEQ112" s="4"/>
      <c r="NER112" s="4"/>
      <c r="NES112" s="4"/>
      <c r="NET112" s="4"/>
      <c r="NEU112" s="4"/>
      <c r="NEV112" s="4"/>
      <c r="NEW112" s="4"/>
      <c r="NEX112" s="4"/>
      <c r="NEY112" s="4"/>
      <c r="NEZ112" s="4"/>
      <c r="NFA112" s="4"/>
      <c r="NFB112" s="4"/>
      <c r="NFC112" s="4"/>
      <c r="NFD112" s="4"/>
      <c r="NFE112" s="4"/>
      <c r="NFF112" s="4"/>
      <c r="NFG112" s="4"/>
      <c r="NFH112" s="4"/>
      <c r="NFI112" s="4"/>
      <c r="NFJ112" s="4"/>
      <c r="NFK112" s="4"/>
      <c r="NFL112" s="4"/>
      <c r="NFM112" s="4"/>
      <c r="NFN112" s="4"/>
      <c r="NFO112" s="4"/>
      <c r="NFP112" s="4"/>
      <c r="NFQ112" s="4"/>
      <c r="NFR112" s="4"/>
      <c r="NFS112" s="4"/>
      <c r="NFT112" s="4"/>
      <c r="NFU112" s="4"/>
      <c r="NFV112" s="4"/>
      <c r="NFW112" s="4"/>
      <c r="NFX112" s="4"/>
      <c r="NFY112" s="4"/>
      <c r="NFZ112" s="4"/>
      <c r="NGA112" s="4"/>
      <c r="NGB112" s="4"/>
      <c r="NGC112" s="4"/>
      <c r="NGD112" s="4"/>
      <c r="NGE112" s="4"/>
      <c r="NGF112" s="4"/>
      <c r="NGG112" s="4"/>
      <c r="NGH112" s="4"/>
      <c r="NGI112" s="4"/>
      <c r="NGJ112" s="4"/>
      <c r="NGK112" s="4"/>
      <c r="NGL112" s="4"/>
      <c r="NGM112" s="4"/>
      <c r="NGN112" s="4"/>
      <c r="NGO112" s="4"/>
      <c r="NGP112" s="4"/>
      <c r="NGQ112" s="4"/>
      <c r="NGR112" s="4"/>
      <c r="NGS112" s="4"/>
      <c r="NGT112" s="4"/>
      <c r="NGU112" s="4"/>
      <c r="NGV112" s="4"/>
      <c r="NGW112" s="4"/>
      <c r="NGX112" s="4"/>
      <c r="NGY112" s="4"/>
      <c r="NGZ112" s="4"/>
      <c r="NHA112" s="4"/>
      <c r="NHB112" s="4"/>
      <c r="NHC112" s="4"/>
      <c r="NHD112" s="4"/>
      <c r="NHE112" s="4"/>
      <c r="NHF112" s="4"/>
      <c r="NHG112" s="4"/>
      <c r="NHH112" s="4"/>
      <c r="NHI112" s="4"/>
      <c r="NHJ112" s="4"/>
      <c r="NHK112" s="4"/>
      <c r="NHL112" s="4"/>
      <c r="NHM112" s="4"/>
      <c r="NHN112" s="4"/>
      <c r="NHO112" s="4"/>
      <c r="NHP112" s="4"/>
      <c r="NHQ112" s="4"/>
      <c r="NHR112" s="4"/>
      <c r="NHS112" s="4"/>
      <c r="NHT112" s="4"/>
      <c r="NHU112" s="4"/>
      <c r="NHV112" s="4"/>
      <c r="NHW112" s="4"/>
      <c r="NHX112" s="4"/>
      <c r="NHY112" s="4"/>
      <c r="NHZ112" s="4"/>
      <c r="NIA112" s="4"/>
      <c r="NIB112" s="4"/>
      <c r="NIC112" s="4"/>
      <c r="NID112" s="4"/>
      <c r="NIE112" s="4"/>
      <c r="NIF112" s="4"/>
      <c r="NIG112" s="4"/>
      <c r="NIH112" s="4"/>
      <c r="NII112" s="4"/>
      <c r="NIJ112" s="4"/>
      <c r="NIK112" s="4"/>
      <c r="NIL112" s="4"/>
      <c r="NIM112" s="4"/>
      <c r="NIN112" s="4"/>
      <c r="NIO112" s="4"/>
      <c r="NIP112" s="4"/>
      <c r="NIQ112" s="4"/>
      <c r="NIR112" s="4"/>
      <c r="NIS112" s="4"/>
      <c r="NIT112" s="4"/>
      <c r="NIU112" s="4"/>
      <c r="NIV112" s="4"/>
      <c r="NIW112" s="4"/>
      <c r="NIX112" s="4"/>
      <c r="NIY112" s="4"/>
      <c r="NIZ112" s="4"/>
      <c r="NJA112" s="4"/>
      <c r="NJB112" s="4"/>
      <c r="NJC112" s="4"/>
      <c r="NJD112" s="4"/>
      <c r="NJE112" s="4"/>
      <c r="NJF112" s="4"/>
      <c r="NJG112" s="4"/>
      <c r="NJH112" s="4"/>
      <c r="NJI112" s="4"/>
      <c r="NJJ112" s="4"/>
      <c r="NJK112" s="4"/>
      <c r="NJL112" s="4"/>
      <c r="NJM112" s="4"/>
      <c r="NJN112" s="4"/>
      <c r="NJO112" s="4"/>
      <c r="NJP112" s="4"/>
      <c r="NJQ112" s="4"/>
      <c r="NJR112" s="4"/>
      <c r="NJS112" s="4"/>
      <c r="NJT112" s="4"/>
      <c r="NJU112" s="4"/>
      <c r="NJV112" s="4"/>
      <c r="NJW112" s="4"/>
      <c r="NJX112" s="4"/>
      <c r="NJY112" s="4"/>
      <c r="NJZ112" s="4"/>
      <c r="NKA112" s="4"/>
      <c r="NKB112" s="4"/>
      <c r="NKC112" s="4"/>
      <c r="NKD112" s="4"/>
      <c r="NKE112" s="4"/>
      <c r="NKF112" s="4"/>
      <c r="NKG112" s="4"/>
      <c r="NKH112" s="4"/>
      <c r="NKI112" s="4"/>
      <c r="NKJ112" s="4"/>
      <c r="NKK112" s="4"/>
      <c r="NKL112" s="4"/>
      <c r="NKM112" s="4"/>
      <c r="NKN112" s="4"/>
      <c r="NKO112" s="4"/>
      <c r="NKP112" s="4"/>
      <c r="NKQ112" s="4"/>
      <c r="NKR112" s="4"/>
      <c r="NKS112" s="4"/>
      <c r="NKT112" s="4"/>
      <c r="NKU112" s="4"/>
      <c r="NKV112" s="4"/>
      <c r="NKW112" s="4"/>
      <c r="NKX112" s="4"/>
      <c r="NKY112" s="4"/>
      <c r="NKZ112" s="4"/>
      <c r="NLA112" s="4"/>
      <c r="NLB112" s="4"/>
      <c r="NLC112" s="4"/>
      <c r="NLD112" s="4"/>
      <c r="NLE112" s="4"/>
      <c r="NLF112" s="4"/>
      <c r="NLG112" s="4"/>
      <c r="NLH112" s="4"/>
      <c r="NLI112" s="4"/>
      <c r="NLJ112" s="4"/>
      <c r="NLK112" s="4"/>
      <c r="NLL112" s="4"/>
      <c r="NLM112" s="4"/>
      <c r="NLN112" s="4"/>
      <c r="NLO112" s="4"/>
      <c r="NLP112" s="4"/>
      <c r="NLQ112" s="4"/>
      <c r="NLR112" s="4"/>
      <c r="NLS112" s="4"/>
      <c r="NLT112" s="4"/>
      <c r="NLU112" s="4"/>
      <c r="NLV112" s="4"/>
      <c r="NLW112" s="4"/>
      <c r="NLX112" s="4"/>
      <c r="NLY112" s="4"/>
      <c r="NLZ112" s="4"/>
      <c r="NMA112" s="4"/>
      <c r="NMB112" s="4"/>
      <c r="NMC112" s="4"/>
      <c r="NMD112" s="4"/>
      <c r="NME112" s="4"/>
      <c r="NMF112" s="4"/>
      <c r="NMG112" s="4"/>
      <c r="NMH112" s="4"/>
      <c r="NMI112" s="4"/>
      <c r="NMJ112" s="4"/>
      <c r="NMK112" s="4"/>
      <c r="NML112" s="4"/>
      <c r="NMM112" s="4"/>
      <c r="NMN112" s="4"/>
      <c r="NMO112" s="4"/>
      <c r="NMP112" s="4"/>
      <c r="NMQ112" s="4"/>
      <c r="NMR112" s="4"/>
      <c r="NMS112" s="4"/>
      <c r="NMT112" s="4"/>
      <c r="NMU112" s="4"/>
      <c r="NMV112" s="4"/>
      <c r="NMW112" s="4"/>
      <c r="NMX112" s="4"/>
      <c r="NMY112" s="4"/>
      <c r="NMZ112" s="4"/>
      <c r="NNA112" s="4"/>
      <c r="NNB112" s="4"/>
      <c r="NNC112" s="4"/>
      <c r="NND112" s="4"/>
      <c r="NNE112" s="4"/>
      <c r="NNF112" s="4"/>
      <c r="NNG112" s="4"/>
      <c r="NNH112" s="4"/>
      <c r="NNI112" s="4"/>
      <c r="NNJ112" s="4"/>
      <c r="NNK112" s="4"/>
      <c r="NNL112" s="4"/>
      <c r="NNM112" s="4"/>
      <c r="NNN112" s="4"/>
      <c r="NNO112" s="4"/>
      <c r="NNP112" s="4"/>
      <c r="NNQ112" s="4"/>
      <c r="NNR112" s="4"/>
      <c r="NNS112" s="4"/>
      <c r="NNT112" s="4"/>
      <c r="NNU112" s="4"/>
      <c r="NNV112" s="4"/>
      <c r="NNW112" s="4"/>
      <c r="NNX112" s="4"/>
      <c r="NNY112" s="4"/>
      <c r="NNZ112" s="4"/>
      <c r="NOA112" s="4"/>
      <c r="NOB112" s="4"/>
      <c r="NOC112" s="4"/>
      <c r="NOD112" s="4"/>
      <c r="NOE112" s="4"/>
      <c r="NOF112" s="4"/>
      <c r="NOG112" s="4"/>
      <c r="NOH112" s="4"/>
      <c r="NOI112" s="4"/>
      <c r="NOJ112" s="4"/>
      <c r="NOK112" s="4"/>
      <c r="NOL112" s="4"/>
      <c r="NOM112" s="4"/>
      <c r="NON112" s="4"/>
      <c r="NOO112" s="4"/>
      <c r="NOP112" s="4"/>
      <c r="NOQ112" s="4"/>
      <c r="NOR112" s="4"/>
      <c r="NOS112" s="4"/>
      <c r="NOT112" s="4"/>
      <c r="NOU112" s="4"/>
      <c r="NOV112" s="4"/>
      <c r="NOW112" s="4"/>
      <c r="NOX112" s="4"/>
      <c r="NOY112" s="4"/>
      <c r="NOZ112" s="4"/>
      <c r="NPA112" s="4"/>
      <c r="NPB112" s="4"/>
      <c r="NPC112" s="4"/>
      <c r="NPD112" s="4"/>
      <c r="NPE112" s="4"/>
      <c r="NPF112" s="4"/>
      <c r="NPG112" s="4"/>
      <c r="NPH112" s="4"/>
      <c r="NPI112" s="4"/>
      <c r="NPJ112" s="4"/>
      <c r="NPK112" s="4"/>
      <c r="NPL112" s="4"/>
      <c r="NPM112" s="4"/>
      <c r="NPN112" s="4"/>
      <c r="NPO112" s="4"/>
      <c r="NPP112" s="4"/>
      <c r="NPQ112" s="4"/>
      <c r="NPR112" s="4"/>
      <c r="NPS112" s="4"/>
      <c r="NPT112" s="4"/>
      <c r="NPU112" s="4"/>
      <c r="NPV112" s="4"/>
      <c r="NPW112" s="4"/>
      <c r="NPX112" s="4"/>
      <c r="NPY112" s="4"/>
      <c r="NPZ112" s="4"/>
      <c r="NQA112" s="4"/>
      <c r="NQB112" s="4"/>
      <c r="NQC112" s="4"/>
      <c r="NQD112" s="4"/>
      <c r="NQE112" s="4"/>
      <c r="NQF112" s="4"/>
      <c r="NQG112" s="4"/>
      <c r="NQH112" s="4"/>
      <c r="NQI112" s="4"/>
      <c r="NQJ112" s="4"/>
      <c r="NQK112" s="4"/>
      <c r="NQL112" s="4"/>
      <c r="NQM112" s="4"/>
      <c r="NQN112" s="4"/>
      <c r="NQO112" s="4"/>
      <c r="NQP112" s="4"/>
      <c r="NQQ112" s="4"/>
      <c r="NQR112" s="4"/>
      <c r="NQS112" s="4"/>
      <c r="NQT112" s="4"/>
      <c r="NQU112" s="4"/>
      <c r="NQV112" s="4"/>
      <c r="NQW112" s="4"/>
      <c r="NQX112" s="4"/>
      <c r="NQY112" s="4"/>
      <c r="NQZ112" s="4"/>
      <c r="NRA112" s="4"/>
      <c r="NRB112" s="4"/>
      <c r="NRC112" s="4"/>
      <c r="NRD112" s="4"/>
      <c r="NRE112" s="4"/>
      <c r="NRF112" s="4"/>
      <c r="NRG112" s="4"/>
      <c r="NRH112" s="4"/>
      <c r="NRI112" s="4"/>
      <c r="NRJ112" s="4"/>
      <c r="NRK112" s="4"/>
      <c r="NRL112" s="4"/>
      <c r="NRM112" s="4"/>
      <c r="NRN112" s="4"/>
      <c r="NRO112" s="4"/>
      <c r="NRP112" s="4"/>
      <c r="NRQ112" s="4"/>
      <c r="NRR112" s="4"/>
      <c r="NRS112" s="4"/>
      <c r="NRT112" s="4"/>
      <c r="NRU112" s="4"/>
      <c r="NRV112" s="4"/>
      <c r="NRW112" s="4"/>
      <c r="NRX112" s="4"/>
      <c r="NRY112" s="4"/>
      <c r="NRZ112" s="4"/>
      <c r="NSA112" s="4"/>
      <c r="NSB112" s="4"/>
      <c r="NSC112" s="4"/>
      <c r="NSD112" s="4"/>
      <c r="NSE112" s="4"/>
      <c r="NSF112" s="4"/>
      <c r="NSG112" s="4"/>
      <c r="NSH112" s="4"/>
      <c r="NSI112" s="4"/>
      <c r="NSJ112" s="4"/>
      <c r="NSK112" s="4"/>
      <c r="NSL112" s="4"/>
      <c r="NSM112" s="4"/>
      <c r="NSN112" s="4"/>
      <c r="NSO112" s="4"/>
      <c r="NSP112" s="4"/>
      <c r="NSQ112" s="4"/>
      <c r="NSR112" s="4"/>
      <c r="NSS112" s="4"/>
      <c r="NST112" s="4"/>
      <c r="NSU112" s="4"/>
      <c r="NSV112" s="4"/>
      <c r="NSW112" s="4"/>
      <c r="NSX112" s="4"/>
      <c r="NSY112" s="4"/>
      <c r="NSZ112" s="4"/>
      <c r="NTA112" s="4"/>
      <c r="NTB112" s="4"/>
      <c r="NTC112" s="4"/>
      <c r="NTD112" s="4"/>
      <c r="NTE112" s="4"/>
      <c r="NTF112" s="4"/>
      <c r="NTG112" s="4"/>
      <c r="NTH112" s="4"/>
      <c r="NTI112" s="4"/>
      <c r="NTJ112" s="4"/>
      <c r="NTK112" s="4"/>
      <c r="NTL112" s="4"/>
      <c r="NTM112" s="4"/>
      <c r="NTN112" s="4"/>
      <c r="NTO112" s="4"/>
      <c r="NTP112" s="4"/>
      <c r="NTQ112" s="4"/>
      <c r="NTR112" s="4"/>
      <c r="NTS112" s="4"/>
      <c r="NTT112" s="4"/>
      <c r="NTU112" s="4"/>
      <c r="NTV112" s="4"/>
      <c r="NTW112" s="4"/>
      <c r="NTX112" s="4"/>
      <c r="NTY112" s="4"/>
      <c r="NTZ112" s="4"/>
      <c r="NUA112" s="4"/>
      <c r="NUB112" s="4"/>
      <c r="NUC112" s="4"/>
      <c r="NUD112" s="4"/>
      <c r="NUE112" s="4"/>
      <c r="NUF112" s="4"/>
      <c r="NUG112" s="4"/>
      <c r="NUH112" s="4"/>
      <c r="NUI112" s="4"/>
      <c r="NUJ112" s="4"/>
      <c r="NUK112" s="4"/>
      <c r="NUL112" s="4"/>
      <c r="NUM112" s="4"/>
      <c r="NUN112" s="4"/>
      <c r="NUO112" s="4"/>
      <c r="NUP112" s="4"/>
      <c r="NUQ112" s="4"/>
      <c r="NUR112" s="4"/>
      <c r="NUS112" s="4"/>
      <c r="NUT112" s="4"/>
      <c r="NUU112" s="4"/>
      <c r="NUV112" s="4"/>
      <c r="NUW112" s="4"/>
      <c r="NUX112" s="4"/>
      <c r="NUY112" s="4"/>
      <c r="NUZ112" s="4"/>
      <c r="NVA112" s="4"/>
      <c r="NVB112" s="4"/>
      <c r="NVC112" s="4"/>
      <c r="NVD112" s="4"/>
      <c r="NVE112" s="4"/>
      <c r="NVF112" s="4"/>
      <c r="NVG112" s="4"/>
      <c r="NVH112" s="4"/>
      <c r="NVI112" s="4"/>
      <c r="NVJ112" s="4"/>
      <c r="NVK112" s="4"/>
      <c r="NVL112" s="4"/>
      <c r="NVM112" s="4"/>
      <c r="NVN112" s="4"/>
      <c r="NVO112" s="4"/>
      <c r="NVP112" s="4"/>
      <c r="NVQ112" s="4"/>
      <c r="NVR112" s="4"/>
      <c r="NVS112" s="4"/>
      <c r="NVT112" s="4"/>
      <c r="NVU112" s="4"/>
      <c r="NVV112" s="4"/>
      <c r="NVW112" s="4"/>
      <c r="NVX112" s="4"/>
      <c r="NVY112" s="4"/>
      <c r="NVZ112" s="4"/>
      <c r="NWA112" s="4"/>
      <c r="NWB112" s="4"/>
      <c r="NWC112" s="4"/>
      <c r="NWD112" s="4"/>
      <c r="NWE112" s="4"/>
      <c r="NWF112" s="4"/>
      <c r="NWG112" s="4"/>
      <c r="NWH112" s="4"/>
      <c r="NWI112" s="4"/>
      <c r="NWJ112" s="4"/>
      <c r="NWK112" s="4"/>
      <c r="NWL112" s="4"/>
      <c r="NWM112" s="4"/>
      <c r="NWN112" s="4"/>
      <c r="NWO112" s="4"/>
      <c r="NWP112" s="4"/>
      <c r="NWQ112" s="4"/>
      <c r="NWR112" s="4"/>
      <c r="NWS112" s="4"/>
      <c r="NWT112" s="4"/>
      <c r="NWU112" s="4"/>
      <c r="NWV112" s="4"/>
      <c r="NWW112" s="4"/>
      <c r="NWX112" s="4"/>
      <c r="NWY112" s="4"/>
      <c r="NWZ112" s="4"/>
      <c r="NXA112" s="4"/>
      <c r="NXB112" s="4"/>
      <c r="NXC112" s="4"/>
      <c r="NXD112" s="4"/>
      <c r="NXE112" s="4"/>
      <c r="NXF112" s="4"/>
      <c r="NXG112" s="4"/>
      <c r="NXH112" s="4"/>
      <c r="NXI112" s="4"/>
      <c r="NXJ112" s="4"/>
      <c r="NXK112" s="4"/>
      <c r="NXL112" s="4"/>
      <c r="NXM112" s="4"/>
      <c r="NXN112" s="4"/>
      <c r="NXO112" s="4"/>
      <c r="NXP112" s="4"/>
      <c r="NXQ112" s="4"/>
      <c r="NXR112" s="4"/>
      <c r="NXS112" s="4"/>
      <c r="NXT112" s="4"/>
      <c r="NXU112" s="4"/>
      <c r="NXV112" s="4"/>
      <c r="NXW112" s="4"/>
      <c r="NXX112" s="4"/>
      <c r="NXY112" s="4"/>
      <c r="NXZ112" s="4"/>
      <c r="NYA112" s="4"/>
      <c r="NYB112" s="4"/>
      <c r="NYC112" s="4"/>
      <c r="NYD112" s="4"/>
      <c r="NYE112" s="4"/>
      <c r="NYF112" s="4"/>
      <c r="NYG112" s="4"/>
      <c r="NYH112" s="4"/>
      <c r="NYI112" s="4"/>
      <c r="NYJ112" s="4"/>
      <c r="NYK112" s="4"/>
      <c r="NYL112" s="4"/>
      <c r="NYM112" s="4"/>
      <c r="NYN112" s="4"/>
      <c r="NYO112" s="4"/>
      <c r="NYP112" s="4"/>
      <c r="NYQ112" s="4"/>
      <c r="NYR112" s="4"/>
      <c r="NYS112" s="4"/>
      <c r="NYT112" s="4"/>
      <c r="NYU112" s="4"/>
      <c r="NYV112" s="4"/>
      <c r="NYW112" s="4"/>
      <c r="NYX112" s="4"/>
      <c r="NYY112" s="4"/>
      <c r="NYZ112" s="4"/>
      <c r="NZA112" s="4"/>
      <c r="NZB112" s="4"/>
      <c r="NZC112" s="4"/>
      <c r="NZD112" s="4"/>
      <c r="NZE112" s="4"/>
      <c r="NZF112" s="4"/>
      <c r="NZG112" s="4"/>
      <c r="NZH112" s="4"/>
      <c r="NZI112" s="4"/>
      <c r="NZJ112" s="4"/>
      <c r="NZK112" s="4"/>
      <c r="NZL112" s="4"/>
      <c r="NZM112" s="4"/>
      <c r="NZN112" s="4"/>
      <c r="NZO112" s="4"/>
      <c r="NZP112" s="4"/>
      <c r="NZQ112" s="4"/>
      <c r="NZR112" s="4"/>
      <c r="NZS112" s="4"/>
      <c r="NZT112" s="4"/>
      <c r="NZU112" s="4"/>
      <c r="NZV112" s="4"/>
      <c r="NZW112" s="4"/>
      <c r="NZX112" s="4"/>
      <c r="NZY112" s="4"/>
      <c r="NZZ112" s="4"/>
      <c r="OAA112" s="4"/>
      <c r="OAB112" s="4"/>
      <c r="OAC112" s="4"/>
      <c r="OAD112" s="4"/>
      <c r="OAE112" s="4"/>
      <c r="OAF112" s="4"/>
      <c r="OAG112" s="4"/>
      <c r="OAH112" s="4"/>
      <c r="OAI112" s="4"/>
      <c r="OAJ112" s="4"/>
      <c r="OAK112" s="4"/>
      <c r="OAL112" s="4"/>
      <c r="OAM112" s="4"/>
      <c r="OAN112" s="4"/>
      <c r="OAO112" s="4"/>
      <c r="OAP112" s="4"/>
      <c r="OAQ112" s="4"/>
      <c r="OAR112" s="4"/>
      <c r="OAS112" s="4"/>
      <c r="OAT112" s="4"/>
      <c r="OAU112" s="4"/>
      <c r="OAV112" s="4"/>
      <c r="OAW112" s="4"/>
      <c r="OAX112" s="4"/>
      <c r="OAY112" s="4"/>
      <c r="OAZ112" s="4"/>
      <c r="OBA112" s="4"/>
      <c r="OBB112" s="4"/>
      <c r="OBC112" s="4"/>
      <c r="OBD112" s="4"/>
      <c r="OBE112" s="4"/>
      <c r="OBF112" s="4"/>
      <c r="OBG112" s="4"/>
      <c r="OBH112" s="4"/>
      <c r="OBI112" s="4"/>
      <c r="OBJ112" s="4"/>
      <c r="OBK112" s="4"/>
      <c r="OBL112" s="4"/>
      <c r="OBM112" s="4"/>
      <c r="OBN112" s="4"/>
      <c r="OBO112" s="4"/>
      <c r="OBP112" s="4"/>
      <c r="OBQ112" s="4"/>
      <c r="OBR112" s="4"/>
      <c r="OBS112" s="4"/>
      <c r="OBT112" s="4"/>
      <c r="OBU112" s="4"/>
      <c r="OBV112" s="4"/>
      <c r="OBW112" s="4"/>
      <c r="OBX112" s="4"/>
      <c r="OBY112" s="4"/>
      <c r="OBZ112" s="4"/>
      <c r="OCA112" s="4"/>
      <c r="OCB112" s="4"/>
      <c r="OCC112" s="4"/>
      <c r="OCD112" s="4"/>
      <c r="OCE112" s="4"/>
      <c r="OCF112" s="4"/>
      <c r="OCG112" s="4"/>
      <c r="OCH112" s="4"/>
      <c r="OCI112" s="4"/>
      <c r="OCJ112" s="4"/>
      <c r="OCK112" s="4"/>
      <c r="OCL112" s="4"/>
      <c r="OCM112" s="4"/>
      <c r="OCN112" s="4"/>
      <c r="OCO112" s="4"/>
      <c r="OCP112" s="4"/>
      <c r="OCQ112" s="4"/>
      <c r="OCR112" s="4"/>
      <c r="OCS112" s="4"/>
      <c r="OCT112" s="4"/>
      <c r="OCU112" s="4"/>
      <c r="OCV112" s="4"/>
      <c r="OCW112" s="4"/>
      <c r="OCX112" s="4"/>
      <c r="OCY112" s="4"/>
      <c r="OCZ112" s="4"/>
      <c r="ODA112" s="4"/>
      <c r="ODB112" s="4"/>
      <c r="ODC112" s="4"/>
      <c r="ODD112" s="4"/>
      <c r="ODE112" s="4"/>
      <c r="ODF112" s="4"/>
      <c r="ODG112" s="4"/>
      <c r="ODH112" s="4"/>
      <c r="ODI112" s="4"/>
      <c r="ODJ112" s="4"/>
      <c r="ODK112" s="4"/>
      <c r="ODL112" s="4"/>
      <c r="ODM112" s="4"/>
      <c r="ODN112" s="4"/>
      <c r="ODO112" s="4"/>
      <c r="ODP112" s="4"/>
      <c r="ODQ112" s="4"/>
      <c r="ODR112" s="4"/>
      <c r="ODS112" s="4"/>
      <c r="ODT112" s="4"/>
      <c r="ODU112" s="4"/>
      <c r="ODV112" s="4"/>
      <c r="ODW112" s="4"/>
      <c r="ODX112" s="4"/>
      <c r="ODY112" s="4"/>
      <c r="ODZ112" s="4"/>
      <c r="OEA112" s="4"/>
      <c r="OEB112" s="4"/>
      <c r="OEC112" s="4"/>
      <c r="OED112" s="4"/>
      <c r="OEE112" s="4"/>
      <c r="OEF112" s="4"/>
      <c r="OEG112" s="4"/>
      <c r="OEH112" s="4"/>
      <c r="OEI112" s="4"/>
      <c r="OEJ112" s="4"/>
      <c r="OEK112" s="4"/>
      <c r="OEL112" s="4"/>
      <c r="OEM112" s="4"/>
      <c r="OEN112" s="4"/>
      <c r="OEO112" s="4"/>
      <c r="OEP112" s="4"/>
      <c r="OEQ112" s="4"/>
      <c r="OER112" s="4"/>
      <c r="OES112" s="4"/>
      <c r="OET112" s="4"/>
      <c r="OEU112" s="4"/>
      <c r="OEV112" s="4"/>
      <c r="OEW112" s="4"/>
      <c r="OEX112" s="4"/>
      <c r="OEY112" s="4"/>
      <c r="OEZ112" s="4"/>
      <c r="OFA112" s="4"/>
      <c r="OFB112" s="4"/>
      <c r="OFC112" s="4"/>
      <c r="OFD112" s="4"/>
      <c r="OFE112" s="4"/>
      <c r="OFF112" s="4"/>
      <c r="OFG112" s="4"/>
      <c r="OFH112" s="4"/>
      <c r="OFI112" s="4"/>
      <c r="OFJ112" s="4"/>
      <c r="OFK112" s="4"/>
      <c r="OFL112" s="4"/>
      <c r="OFM112" s="4"/>
      <c r="OFN112" s="4"/>
      <c r="OFO112" s="4"/>
      <c r="OFP112" s="4"/>
      <c r="OFQ112" s="4"/>
      <c r="OFR112" s="4"/>
      <c r="OFS112" s="4"/>
      <c r="OFT112" s="4"/>
      <c r="OFU112" s="4"/>
      <c r="OFV112" s="4"/>
      <c r="OFW112" s="4"/>
      <c r="OFX112" s="4"/>
      <c r="OFY112" s="4"/>
      <c r="OFZ112" s="4"/>
      <c r="OGA112" s="4"/>
      <c r="OGB112" s="4"/>
      <c r="OGC112" s="4"/>
      <c r="OGD112" s="4"/>
      <c r="OGE112" s="4"/>
      <c r="OGF112" s="4"/>
      <c r="OGG112" s="4"/>
      <c r="OGH112" s="4"/>
      <c r="OGI112" s="4"/>
      <c r="OGJ112" s="4"/>
      <c r="OGK112" s="4"/>
      <c r="OGL112" s="4"/>
      <c r="OGM112" s="4"/>
      <c r="OGN112" s="4"/>
      <c r="OGO112" s="4"/>
      <c r="OGP112" s="4"/>
      <c r="OGQ112" s="4"/>
      <c r="OGR112" s="4"/>
      <c r="OGS112" s="4"/>
      <c r="OGT112" s="4"/>
      <c r="OGU112" s="4"/>
      <c r="OGV112" s="4"/>
      <c r="OGW112" s="4"/>
      <c r="OGX112" s="4"/>
      <c r="OGY112" s="4"/>
      <c r="OGZ112" s="4"/>
      <c r="OHA112" s="4"/>
      <c r="OHB112" s="4"/>
      <c r="OHC112" s="4"/>
      <c r="OHD112" s="4"/>
      <c r="OHE112" s="4"/>
      <c r="OHF112" s="4"/>
      <c r="OHG112" s="4"/>
      <c r="OHH112" s="4"/>
      <c r="OHI112" s="4"/>
      <c r="OHJ112" s="4"/>
      <c r="OHK112" s="4"/>
      <c r="OHL112" s="4"/>
      <c r="OHM112" s="4"/>
      <c r="OHN112" s="4"/>
      <c r="OHO112" s="4"/>
      <c r="OHP112" s="4"/>
      <c r="OHQ112" s="4"/>
      <c r="OHR112" s="4"/>
      <c r="OHS112" s="4"/>
      <c r="OHT112" s="4"/>
      <c r="OHU112" s="4"/>
      <c r="OHV112" s="4"/>
      <c r="OHW112" s="4"/>
      <c r="OHX112" s="4"/>
      <c r="OHY112" s="4"/>
      <c r="OHZ112" s="4"/>
      <c r="OIA112" s="4"/>
      <c r="OIB112" s="4"/>
      <c r="OIC112" s="4"/>
      <c r="OID112" s="4"/>
      <c r="OIE112" s="4"/>
      <c r="OIF112" s="4"/>
      <c r="OIG112" s="4"/>
      <c r="OIH112" s="4"/>
      <c r="OII112" s="4"/>
      <c r="OIJ112" s="4"/>
      <c r="OIK112" s="4"/>
      <c r="OIL112" s="4"/>
      <c r="OIM112" s="4"/>
      <c r="OIN112" s="4"/>
      <c r="OIO112" s="4"/>
      <c r="OIP112" s="4"/>
      <c r="OIQ112" s="4"/>
      <c r="OIR112" s="4"/>
      <c r="OIS112" s="4"/>
      <c r="OIT112" s="4"/>
      <c r="OIU112" s="4"/>
      <c r="OIV112" s="4"/>
      <c r="OIW112" s="4"/>
      <c r="OIX112" s="4"/>
      <c r="OIY112" s="4"/>
      <c r="OIZ112" s="4"/>
      <c r="OJA112" s="4"/>
      <c r="OJB112" s="4"/>
      <c r="OJC112" s="4"/>
      <c r="OJD112" s="4"/>
      <c r="OJE112" s="4"/>
      <c r="OJF112" s="4"/>
      <c r="OJG112" s="4"/>
      <c r="OJH112" s="4"/>
      <c r="OJI112" s="4"/>
      <c r="OJJ112" s="4"/>
      <c r="OJK112" s="4"/>
      <c r="OJL112" s="4"/>
      <c r="OJM112" s="4"/>
      <c r="OJN112" s="4"/>
      <c r="OJO112" s="4"/>
      <c r="OJP112" s="4"/>
      <c r="OJQ112" s="4"/>
      <c r="OJR112" s="4"/>
      <c r="OJS112" s="4"/>
      <c r="OJT112" s="4"/>
      <c r="OJU112" s="4"/>
      <c r="OJV112" s="4"/>
      <c r="OJW112" s="4"/>
      <c r="OJX112" s="4"/>
      <c r="OJY112" s="4"/>
      <c r="OJZ112" s="4"/>
      <c r="OKA112" s="4"/>
      <c r="OKB112" s="4"/>
      <c r="OKC112" s="4"/>
      <c r="OKD112" s="4"/>
      <c r="OKE112" s="4"/>
      <c r="OKF112" s="4"/>
      <c r="OKG112" s="4"/>
      <c r="OKH112" s="4"/>
      <c r="OKI112" s="4"/>
      <c r="OKJ112" s="4"/>
      <c r="OKK112" s="4"/>
      <c r="OKL112" s="4"/>
      <c r="OKM112" s="4"/>
      <c r="OKN112" s="4"/>
      <c r="OKO112" s="4"/>
      <c r="OKP112" s="4"/>
      <c r="OKQ112" s="4"/>
      <c r="OKR112" s="4"/>
      <c r="OKS112" s="4"/>
      <c r="OKT112" s="4"/>
      <c r="OKU112" s="4"/>
      <c r="OKV112" s="4"/>
      <c r="OKW112" s="4"/>
      <c r="OKX112" s="4"/>
      <c r="OKY112" s="4"/>
      <c r="OKZ112" s="4"/>
      <c r="OLA112" s="4"/>
      <c r="OLB112" s="4"/>
      <c r="OLC112" s="4"/>
      <c r="OLD112" s="4"/>
      <c r="OLE112" s="4"/>
      <c r="OLF112" s="4"/>
      <c r="OLG112" s="4"/>
      <c r="OLH112" s="4"/>
      <c r="OLI112" s="4"/>
      <c r="OLJ112" s="4"/>
      <c r="OLK112" s="4"/>
      <c r="OLL112" s="4"/>
      <c r="OLM112" s="4"/>
      <c r="OLN112" s="4"/>
      <c r="OLO112" s="4"/>
      <c r="OLP112" s="4"/>
      <c r="OLQ112" s="4"/>
      <c r="OLR112" s="4"/>
      <c r="OLS112" s="4"/>
      <c r="OLT112" s="4"/>
      <c r="OLU112" s="4"/>
      <c r="OLV112" s="4"/>
      <c r="OLW112" s="4"/>
      <c r="OLX112" s="4"/>
      <c r="OLY112" s="4"/>
      <c r="OLZ112" s="4"/>
      <c r="OMA112" s="4"/>
      <c r="OMB112" s="4"/>
      <c r="OMC112" s="4"/>
      <c r="OMD112" s="4"/>
      <c r="OME112" s="4"/>
      <c r="OMF112" s="4"/>
      <c r="OMG112" s="4"/>
      <c r="OMH112" s="4"/>
      <c r="OMI112" s="4"/>
      <c r="OMJ112" s="4"/>
      <c r="OMK112" s="4"/>
      <c r="OML112" s="4"/>
      <c r="OMM112" s="4"/>
      <c r="OMN112" s="4"/>
      <c r="OMO112" s="4"/>
      <c r="OMP112" s="4"/>
      <c r="OMQ112" s="4"/>
      <c r="OMR112" s="4"/>
      <c r="OMS112" s="4"/>
      <c r="OMT112" s="4"/>
      <c r="OMU112" s="4"/>
      <c r="OMV112" s="4"/>
      <c r="OMW112" s="4"/>
      <c r="OMX112" s="4"/>
      <c r="OMY112" s="4"/>
      <c r="OMZ112" s="4"/>
      <c r="ONA112" s="4"/>
      <c r="ONB112" s="4"/>
      <c r="ONC112" s="4"/>
      <c r="OND112" s="4"/>
      <c r="ONE112" s="4"/>
      <c r="ONF112" s="4"/>
      <c r="ONG112" s="4"/>
      <c r="ONH112" s="4"/>
      <c r="ONI112" s="4"/>
      <c r="ONJ112" s="4"/>
      <c r="ONK112" s="4"/>
      <c r="ONL112" s="4"/>
      <c r="ONM112" s="4"/>
      <c r="ONN112" s="4"/>
      <c r="ONO112" s="4"/>
      <c r="ONP112" s="4"/>
      <c r="ONQ112" s="4"/>
      <c r="ONR112" s="4"/>
      <c r="ONS112" s="4"/>
      <c r="ONT112" s="4"/>
      <c r="ONU112" s="4"/>
      <c r="ONV112" s="4"/>
      <c r="ONW112" s="4"/>
      <c r="ONX112" s="4"/>
      <c r="ONY112" s="4"/>
      <c r="ONZ112" s="4"/>
      <c r="OOA112" s="4"/>
      <c r="OOB112" s="4"/>
      <c r="OOC112" s="4"/>
      <c r="OOD112" s="4"/>
      <c r="OOE112" s="4"/>
      <c r="OOF112" s="4"/>
      <c r="OOG112" s="4"/>
      <c r="OOH112" s="4"/>
      <c r="OOI112" s="4"/>
      <c r="OOJ112" s="4"/>
      <c r="OOK112" s="4"/>
      <c r="OOL112" s="4"/>
      <c r="OOM112" s="4"/>
      <c r="OON112" s="4"/>
      <c r="OOO112" s="4"/>
      <c r="OOP112" s="4"/>
      <c r="OOQ112" s="4"/>
      <c r="OOR112" s="4"/>
      <c r="OOS112" s="4"/>
      <c r="OOT112" s="4"/>
      <c r="OOU112" s="4"/>
      <c r="OOV112" s="4"/>
      <c r="OOW112" s="4"/>
      <c r="OOX112" s="4"/>
      <c r="OOY112" s="4"/>
      <c r="OOZ112" s="4"/>
      <c r="OPA112" s="4"/>
      <c r="OPB112" s="4"/>
      <c r="OPC112" s="4"/>
      <c r="OPD112" s="4"/>
      <c r="OPE112" s="4"/>
      <c r="OPF112" s="4"/>
      <c r="OPG112" s="4"/>
      <c r="OPH112" s="4"/>
      <c r="OPI112" s="4"/>
      <c r="OPJ112" s="4"/>
      <c r="OPK112" s="4"/>
      <c r="OPL112" s="4"/>
      <c r="OPM112" s="4"/>
      <c r="OPN112" s="4"/>
      <c r="OPO112" s="4"/>
      <c r="OPP112" s="4"/>
      <c r="OPQ112" s="4"/>
      <c r="OPR112" s="4"/>
      <c r="OPS112" s="4"/>
      <c r="OPT112" s="4"/>
      <c r="OPU112" s="4"/>
      <c r="OPV112" s="4"/>
      <c r="OPW112" s="4"/>
      <c r="OPX112" s="4"/>
      <c r="OPY112" s="4"/>
      <c r="OPZ112" s="4"/>
      <c r="OQA112" s="4"/>
      <c r="OQB112" s="4"/>
      <c r="OQC112" s="4"/>
      <c r="OQD112" s="4"/>
      <c r="OQE112" s="4"/>
      <c r="OQF112" s="4"/>
      <c r="OQG112" s="4"/>
      <c r="OQH112" s="4"/>
      <c r="OQI112" s="4"/>
      <c r="OQJ112" s="4"/>
      <c r="OQK112" s="4"/>
      <c r="OQL112" s="4"/>
      <c r="OQM112" s="4"/>
      <c r="OQN112" s="4"/>
      <c r="OQO112" s="4"/>
      <c r="OQP112" s="4"/>
      <c r="OQQ112" s="4"/>
      <c r="OQR112" s="4"/>
      <c r="OQS112" s="4"/>
      <c r="OQT112" s="4"/>
      <c r="OQU112" s="4"/>
      <c r="OQV112" s="4"/>
      <c r="OQW112" s="4"/>
      <c r="OQX112" s="4"/>
      <c r="OQY112" s="4"/>
      <c r="OQZ112" s="4"/>
      <c r="ORA112" s="4"/>
      <c r="ORB112" s="4"/>
      <c r="ORC112" s="4"/>
      <c r="ORD112" s="4"/>
      <c r="ORE112" s="4"/>
      <c r="ORF112" s="4"/>
      <c r="ORG112" s="4"/>
      <c r="ORH112" s="4"/>
      <c r="ORI112" s="4"/>
      <c r="ORJ112" s="4"/>
      <c r="ORK112" s="4"/>
      <c r="ORL112" s="4"/>
      <c r="ORM112" s="4"/>
      <c r="ORN112" s="4"/>
      <c r="ORO112" s="4"/>
      <c r="ORP112" s="4"/>
      <c r="ORQ112" s="4"/>
      <c r="ORR112" s="4"/>
      <c r="ORS112" s="4"/>
      <c r="ORT112" s="4"/>
      <c r="ORU112" s="4"/>
      <c r="ORV112" s="4"/>
      <c r="ORW112" s="4"/>
      <c r="ORX112" s="4"/>
      <c r="ORY112" s="4"/>
      <c r="ORZ112" s="4"/>
      <c r="OSA112" s="4"/>
      <c r="OSB112" s="4"/>
      <c r="OSC112" s="4"/>
      <c r="OSD112" s="4"/>
      <c r="OSE112" s="4"/>
      <c r="OSF112" s="4"/>
      <c r="OSG112" s="4"/>
      <c r="OSH112" s="4"/>
      <c r="OSI112" s="4"/>
      <c r="OSJ112" s="4"/>
      <c r="OSK112" s="4"/>
      <c r="OSL112" s="4"/>
      <c r="OSM112" s="4"/>
      <c r="OSN112" s="4"/>
      <c r="OSO112" s="4"/>
      <c r="OSP112" s="4"/>
      <c r="OSQ112" s="4"/>
      <c r="OSR112" s="4"/>
      <c r="OSS112" s="4"/>
      <c r="OST112" s="4"/>
      <c r="OSU112" s="4"/>
      <c r="OSV112" s="4"/>
      <c r="OSW112" s="4"/>
      <c r="OSX112" s="4"/>
      <c r="OSY112" s="4"/>
      <c r="OSZ112" s="4"/>
      <c r="OTA112" s="4"/>
      <c r="OTB112" s="4"/>
      <c r="OTC112" s="4"/>
      <c r="OTD112" s="4"/>
      <c r="OTE112" s="4"/>
      <c r="OTF112" s="4"/>
      <c r="OTG112" s="4"/>
      <c r="OTH112" s="4"/>
      <c r="OTI112" s="4"/>
      <c r="OTJ112" s="4"/>
      <c r="OTK112" s="4"/>
      <c r="OTL112" s="4"/>
      <c r="OTM112" s="4"/>
      <c r="OTN112" s="4"/>
      <c r="OTO112" s="4"/>
      <c r="OTP112" s="4"/>
      <c r="OTQ112" s="4"/>
      <c r="OTR112" s="4"/>
      <c r="OTS112" s="4"/>
      <c r="OTT112" s="4"/>
      <c r="OTU112" s="4"/>
      <c r="OTV112" s="4"/>
      <c r="OTW112" s="4"/>
      <c r="OTX112" s="4"/>
      <c r="OTY112" s="4"/>
      <c r="OTZ112" s="4"/>
      <c r="OUA112" s="4"/>
      <c r="OUB112" s="4"/>
      <c r="OUC112" s="4"/>
      <c r="OUD112" s="4"/>
      <c r="OUE112" s="4"/>
      <c r="OUF112" s="4"/>
      <c r="OUG112" s="4"/>
      <c r="OUH112" s="4"/>
      <c r="OUI112" s="4"/>
      <c r="OUJ112" s="4"/>
      <c r="OUK112" s="4"/>
      <c r="OUL112" s="4"/>
      <c r="OUM112" s="4"/>
      <c r="OUN112" s="4"/>
      <c r="OUO112" s="4"/>
      <c r="OUP112" s="4"/>
      <c r="OUQ112" s="4"/>
      <c r="OUR112" s="4"/>
      <c r="OUS112" s="4"/>
      <c r="OUT112" s="4"/>
      <c r="OUU112" s="4"/>
      <c r="OUV112" s="4"/>
      <c r="OUW112" s="4"/>
      <c r="OUX112" s="4"/>
      <c r="OUY112" s="4"/>
      <c r="OUZ112" s="4"/>
      <c r="OVA112" s="4"/>
      <c r="OVB112" s="4"/>
      <c r="OVC112" s="4"/>
      <c r="OVD112" s="4"/>
      <c r="OVE112" s="4"/>
      <c r="OVF112" s="4"/>
      <c r="OVG112" s="4"/>
      <c r="OVH112" s="4"/>
      <c r="OVI112" s="4"/>
      <c r="OVJ112" s="4"/>
      <c r="OVK112" s="4"/>
      <c r="OVL112" s="4"/>
      <c r="OVM112" s="4"/>
      <c r="OVN112" s="4"/>
      <c r="OVO112" s="4"/>
      <c r="OVP112" s="4"/>
      <c r="OVQ112" s="4"/>
      <c r="OVR112" s="4"/>
      <c r="OVS112" s="4"/>
      <c r="OVT112" s="4"/>
      <c r="OVU112" s="4"/>
      <c r="OVV112" s="4"/>
      <c r="OVW112" s="4"/>
      <c r="OVX112" s="4"/>
      <c r="OVY112" s="4"/>
      <c r="OVZ112" s="4"/>
      <c r="OWA112" s="4"/>
      <c r="OWB112" s="4"/>
      <c r="OWC112" s="4"/>
      <c r="OWD112" s="4"/>
      <c r="OWE112" s="4"/>
      <c r="OWF112" s="4"/>
      <c r="OWG112" s="4"/>
      <c r="OWH112" s="4"/>
      <c r="OWI112" s="4"/>
      <c r="OWJ112" s="4"/>
      <c r="OWK112" s="4"/>
      <c r="OWL112" s="4"/>
      <c r="OWM112" s="4"/>
      <c r="OWN112" s="4"/>
      <c r="OWO112" s="4"/>
      <c r="OWP112" s="4"/>
      <c r="OWQ112" s="4"/>
      <c r="OWR112" s="4"/>
      <c r="OWS112" s="4"/>
      <c r="OWT112" s="4"/>
      <c r="OWU112" s="4"/>
      <c r="OWV112" s="4"/>
      <c r="OWW112" s="4"/>
      <c r="OWX112" s="4"/>
      <c r="OWY112" s="4"/>
      <c r="OWZ112" s="4"/>
      <c r="OXA112" s="4"/>
      <c r="OXB112" s="4"/>
      <c r="OXC112" s="4"/>
      <c r="OXD112" s="4"/>
      <c r="OXE112" s="4"/>
      <c r="OXF112" s="4"/>
      <c r="OXG112" s="4"/>
      <c r="OXH112" s="4"/>
      <c r="OXI112" s="4"/>
      <c r="OXJ112" s="4"/>
      <c r="OXK112" s="4"/>
      <c r="OXL112" s="4"/>
      <c r="OXM112" s="4"/>
      <c r="OXN112" s="4"/>
      <c r="OXO112" s="4"/>
      <c r="OXP112" s="4"/>
      <c r="OXQ112" s="4"/>
      <c r="OXR112" s="4"/>
      <c r="OXS112" s="4"/>
      <c r="OXT112" s="4"/>
      <c r="OXU112" s="4"/>
      <c r="OXV112" s="4"/>
      <c r="OXW112" s="4"/>
      <c r="OXX112" s="4"/>
      <c r="OXY112" s="4"/>
      <c r="OXZ112" s="4"/>
      <c r="OYA112" s="4"/>
      <c r="OYB112" s="4"/>
      <c r="OYC112" s="4"/>
      <c r="OYD112" s="4"/>
      <c r="OYE112" s="4"/>
      <c r="OYF112" s="4"/>
      <c r="OYG112" s="4"/>
      <c r="OYH112" s="4"/>
      <c r="OYI112" s="4"/>
      <c r="OYJ112" s="4"/>
      <c r="OYK112" s="4"/>
      <c r="OYL112" s="4"/>
      <c r="OYM112" s="4"/>
      <c r="OYN112" s="4"/>
      <c r="OYO112" s="4"/>
      <c r="OYP112" s="4"/>
      <c r="OYQ112" s="4"/>
      <c r="OYR112" s="4"/>
      <c r="OYS112" s="4"/>
      <c r="OYT112" s="4"/>
      <c r="OYU112" s="4"/>
      <c r="OYV112" s="4"/>
      <c r="OYW112" s="4"/>
      <c r="OYX112" s="4"/>
      <c r="OYY112" s="4"/>
      <c r="OYZ112" s="4"/>
      <c r="OZA112" s="4"/>
      <c r="OZB112" s="4"/>
      <c r="OZC112" s="4"/>
      <c r="OZD112" s="4"/>
      <c r="OZE112" s="4"/>
      <c r="OZF112" s="4"/>
      <c r="OZG112" s="4"/>
      <c r="OZH112" s="4"/>
      <c r="OZI112" s="4"/>
      <c r="OZJ112" s="4"/>
      <c r="OZK112" s="4"/>
      <c r="OZL112" s="4"/>
      <c r="OZM112" s="4"/>
      <c r="OZN112" s="4"/>
      <c r="OZO112" s="4"/>
      <c r="OZP112" s="4"/>
      <c r="OZQ112" s="4"/>
      <c r="OZR112" s="4"/>
      <c r="OZS112" s="4"/>
      <c r="OZT112" s="4"/>
      <c r="OZU112" s="4"/>
      <c r="OZV112" s="4"/>
      <c r="OZW112" s="4"/>
      <c r="OZX112" s="4"/>
      <c r="OZY112" s="4"/>
      <c r="OZZ112" s="4"/>
      <c r="PAA112" s="4"/>
      <c r="PAB112" s="4"/>
      <c r="PAC112" s="4"/>
      <c r="PAD112" s="4"/>
      <c r="PAE112" s="4"/>
      <c r="PAF112" s="4"/>
      <c r="PAG112" s="4"/>
      <c r="PAH112" s="4"/>
      <c r="PAI112" s="4"/>
      <c r="PAJ112" s="4"/>
      <c r="PAK112" s="4"/>
      <c r="PAL112" s="4"/>
      <c r="PAM112" s="4"/>
      <c r="PAN112" s="4"/>
      <c r="PAO112" s="4"/>
      <c r="PAP112" s="4"/>
      <c r="PAQ112" s="4"/>
      <c r="PAR112" s="4"/>
      <c r="PAS112" s="4"/>
      <c r="PAT112" s="4"/>
      <c r="PAU112" s="4"/>
      <c r="PAV112" s="4"/>
      <c r="PAW112" s="4"/>
      <c r="PAX112" s="4"/>
      <c r="PAY112" s="4"/>
      <c r="PAZ112" s="4"/>
      <c r="PBA112" s="4"/>
      <c r="PBB112" s="4"/>
      <c r="PBC112" s="4"/>
      <c r="PBD112" s="4"/>
      <c r="PBE112" s="4"/>
      <c r="PBF112" s="4"/>
      <c r="PBG112" s="4"/>
      <c r="PBH112" s="4"/>
      <c r="PBI112" s="4"/>
      <c r="PBJ112" s="4"/>
      <c r="PBK112" s="4"/>
      <c r="PBL112" s="4"/>
      <c r="PBM112" s="4"/>
      <c r="PBN112" s="4"/>
      <c r="PBO112" s="4"/>
      <c r="PBP112" s="4"/>
      <c r="PBQ112" s="4"/>
      <c r="PBR112" s="4"/>
      <c r="PBS112" s="4"/>
      <c r="PBT112" s="4"/>
      <c r="PBU112" s="4"/>
      <c r="PBV112" s="4"/>
      <c r="PBW112" s="4"/>
      <c r="PBX112" s="4"/>
      <c r="PBY112" s="4"/>
      <c r="PBZ112" s="4"/>
      <c r="PCA112" s="4"/>
      <c r="PCB112" s="4"/>
      <c r="PCC112" s="4"/>
      <c r="PCD112" s="4"/>
      <c r="PCE112" s="4"/>
      <c r="PCF112" s="4"/>
      <c r="PCG112" s="4"/>
      <c r="PCH112" s="4"/>
      <c r="PCI112" s="4"/>
      <c r="PCJ112" s="4"/>
      <c r="PCK112" s="4"/>
      <c r="PCL112" s="4"/>
      <c r="PCM112" s="4"/>
      <c r="PCN112" s="4"/>
      <c r="PCO112" s="4"/>
      <c r="PCP112" s="4"/>
      <c r="PCQ112" s="4"/>
      <c r="PCR112" s="4"/>
      <c r="PCS112" s="4"/>
      <c r="PCT112" s="4"/>
      <c r="PCU112" s="4"/>
      <c r="PCV112" s="4"/>
      <c r="PCW112" s="4"/>
      <c r="PCX112" s="4"/>
      <c r="PCY112" s="4"/>
      <c r="PCZ112" s="4"/>
      <c r="PDA112" s="4"/>
      <c r="PDB112" s="4"/>
      <c r="PDC112" s="4"/>
      <c r="PDD112" s="4"/>
      <c r="PDE112" s="4"/>
      <c r="PDF112" s="4"/>
      <c r="PDG112" s="4"/>
      <c r="PDH112" s="4"/>
      <c r="PDI112" s="4"/>
      <c r="PDJ112" s="4"/>
      <c r="PDK112" s="4"/>
      <c r="PDL112" s="4"/>
      <c r="PDM112" s="4"/>
      <c r="PDN112" s="4"/>
      <c r="PDO112" s="4"/>
      <c r="PDP112" s="4"/>
      <c r="PDQ112" s="4"/>
      <c r="PDR112" s="4"/>
      <c r="PDS112" s="4"/>
      <c r="PDT112" s="4"/>
      <c r="PDU112" s="4"/>
      <c r="PDV112" s="4"/>
      <c r="PDW112" s="4"/>
      <c r="PDX112" s="4"/>
      <c r="PDY112" s="4"/>
      <c r="PDZ112" s="4"/>
      <c r="PEA112" s="4"/>
      <c r="PEB112" s="4"/>
      <c r="PEC112" s="4"/>
      <c r="PED112" s="4"/>
      <c r="PEE112" s="4"/>
      <c r="PEF112" s="4"/>
      <c r="PEG112" s="4"/>
      <c r="PEH112" s="4"/>
      <c r="PEI112" s="4"/>
      <c r="PEJ112" s="4"/>
      <c r="PEK112" s="4"/>
      <c r="PEL112" s="4"/>
      <c r="PEM112" s="4"/>
      <c r="PEN112" s="4"/>
      <c r="PEO112" s="4"/>
      <c r="PEP112" s="4"/>
      <c r="PEQ112" s="4"/>
      <c r="PER112" s="4"/>
      <c r="PES112" s="4"/>
      <c r="PET112" s="4"/>
      <c r="PEU112" s="4"/>
      <c r="PEV112" s="4"/>
      <c r="PEW112" s="4"/>
      <c r="PEX112" s="4"/>
      <c r="PEY112" s="4"/>
      <c r="PEZ112" s="4"/>
      <c r="PFA112" s="4"/>
      <c r="PFB112" s="4"/>
      <c r="PFC112" s="4"/>
      <c r="PFD112" s="4"/>
      <c r="PFE112" s="4"/>
      <c r="PFF112" s="4"/>
      <c r="PFG112" s="4"/>
      <c r="PFH112" s="4"/>
      <c r="PFI112" s="4"/>
      <c r="PFJ112" s="4"/>
      <c r="PFK112" s="4"/>
      <c r="PFL112" s="4"/>
      <c r="PFM112" s="4"/>
      <c r="PFN112" s="4"/>
      <c r="PFO112" s="4"/>
      <c r="PFP112" s="4"/>
      <c r="PFQ112" s="4"/>
      <c r="PFR112" s="4"/>
      <c r="PFS112" s="4"/>
      <c r="PFT112" s="4"/>
      <c r="PFU112" s="4"/>
      <c r="PFV112" s="4"/>
      <c r="PFW112" s="4"/>
      <c r="PFX112" s="4"/>
      <c r="PFY112" s="4"/>
      <c r="PFZ112" s="4"/>
      <c r="PGA112" s="4"/>
      <c r="PGB112" s="4"/>
      <c r="PGC112" s="4"/>
      <c r="PGD112" s="4"/>
      <c r="PGE112" s="4"/>
      <c r="PGF112" s="4"/>
      <c r="PGG112" s="4"/>
      <c r="PGH112" s="4"/>
      <c r="PGI112" s="4"/>
      <c r="PGJ112" s="4"/>
      <c r="PGK112" s="4"/>
      <c r="PGL112" s="4"/>
      <c r="PGM112" s="4"/>
      <c r="PGN112" s="4"/>
      <c r="PGO112" s="4"/>
      <c r="PGP112" s="4"/>
      <c r="PGQ112" s="4"/>
      <c r="PGR112" s="4"/>
      <c r="PGS112" s="4"/>
      <c r="PGT112" s="4"/>
      <c r="PGU112" s="4"/>
      <c r="PGV112" s="4"/>
      <c r="PGW112" s="4"/>
      <c r="PGX112" s="4"/>
      <c r="PGY112" s="4"/>
      <c r="PGZ112" s="4"/>
      <c r="PHA112" s="4"/>
      <c r="PHB112" s="4"/>
      <c r="PHC112" s="4"/>
      <c r="PHD112" s="4"/>
      <c r="PHE112" s="4"/>
      <c r="PHF112" s="4"/>
      <c r="PHG112" s="4"/>
      <c r="PHH112" s="4"/>
      <c r="PHI112" s="4"/>
      <c r="PHJ112" s="4"/>
      <c r="PHK112" s="4"/>
      <c r="PHL112" s="4"/>
      <c r="PHM112" s="4"/>
      <c r="PHN112" s="4"/>
      <c r="PHO112" s="4"/>
      <c r="PHP112" s="4"/>
      <c r="PHQ112" s="4"/>
      <c r="PHR112" s="4"/>
      <c r="PHS112" s="4"/>
      <c r="PHT112" s="4"/>
      <c r="PHU112" s="4"/>
      <c r="PHV112" s="4"/>
      <c r="PHW112" s="4"/>
      <c r="PHX112" s="4"/>
      <c r="PHY112" s="4"/>
      <c r="PHZ112" s="4"/>
      <c r="PIA112" s="4"/>
      <c r="PIB112" s="4"/>
      <c r="PIC112" s="4"/>
      <c r="PID112" s="4"/>
      <c r="PIE112" s="4"/>
      <c r="PIF112" s="4"/>
      <c r="PIG112" s="4"/>
      <c r="PIH112" s="4"/>
      <c r="PII112" s="4"/>
      <c r="PIJ112" s="4"/>
      <c r="PIK112" s="4"/>
      <c r="PIL112" s="4"/>
      <c r="PIM112" s="4"/>
      <c r="PIN112" s="4"/>
      <c r="PIO112" s="4"/>
      <c r="PIP112" s="4"/>
      <c r="PIQ112" s="4"/>
      <c r="PIR112" s="4"/>
      <c r="PIS112" s="4"/>
      <c r="PIT112" s="4"/>
      <c r="PIU112" s="4"/>
      <c r="PIV112" s="4"/>
      <c r="PIW112" s="4"/>
      <c r="PIX112" s="4"/>
      <c r="PIY112" s="4"/>
      <c r="PIZ112" s="4"/>
      <c r="PJA112" s="4"/>
      <c r="PJB112" s="4"/>
      <c r="PJC112" s="4"/>
      <c r="PJD112" s="4"/>
      <c r="PJE112" s="4"/>
      <c r="PJF112" s="4"/>
      <c r="PJG112" s="4"/>
      <c r="PJH112" s="4"/>
      <c r="PJI112" s="4"/>
      <c r="PJJ112" s="4"/>
      <c r="PJK112" s="4"/>
      <c r="PJL112" s="4"/>
      <c r="PJM112" s="4"/>
      <c r="PJN112" s="4"/>
      <c r="PJO112" s="4"/>
      <c r="PJP112" s="4"/>
      <c r="PJQ112" s="4"/>
      <c r="PJR112" s="4"/>
      <c r="PJS112" s="4"/>
      <c r="PJT112" s="4"/>
      <c r="PJU112" s="4"/>
      <c r="PJV112" s="4"/>
      <c r="PJW112" s="4"/>
      <c r="PJX112" s="4"/>
      <c r="PJY112" s="4"/>
      <c r="PJZ112" s="4"/>
      <c r="PKA112" s="4"/>
      <c r="PKB112" s="4"/>
      <c r="PKC112" s="4"/>
      <c r="PKD112" s="4"/>
      <c r="PKE112" s="4"/>
      <c r="PKF112" s="4"/>
      <c r="PKG112" s="4"/>
      <c r="PKH112" s="4"/>
      <c r="PKI112" s="4"/>
      <c r="PKJ112" s="4"/>
      <c r="PKK112" s="4"/>
      <c r="PKL112" s="4"/>
      <c r="PKM112" s="4"/>
      <c r="PKN112" s="4"/>
      <c r="PKO112" s="4"/>
      <c r="PKP112" s="4"/>
      <c r="PKQ112" s="4"/>
      <c r="PKR112" s="4"/>
      <c r="PKS112" s="4"/>
      <c r="PKT112" s="4"/>
      <c r="PKU112" s="4"/>
      <c r="PKV112" s="4"/>
      <c r="PKW112" s="4"/>
      <c r="PKX112" s="4"/>
      <c r="PKY112" s="4"/>
      <c r="PKZ112" s="4"/>
      <c r="PLA112" s="4"/>
      <c r="PLB112" s="4"/>
      <c r="PLC112" s="4"/>
      <c r="PLD112" s="4"/>
      <c r="PLE112" s="4"/>
      <c r="PLF112" s="4"/>
      <c r="PLG112" s="4"/>
      <c r="PLH112" s="4"/>
      <c r="PLI112" s="4"/>
      <c r="PLJ112" s="4"/>
      <c r="PLK112" s="4"/>
      <c r="PLL112" s="4"/>
      <c r="PLM112" s="4"/>
      <c r="PLN112" s="4"/>
      <c r="PLO112" s="4"/>
      <c r="PLP112" s="4"/>
      <c r="PLQ112" s="4"/>
      <c r="PLR112" s="4"/>
      <c r="PLS112" s="4"/>
      <c r="PLT112" s="4"/>
      <c r="PLU112" s="4"/>
      <c r="PLV112" s="4"/>
      <c r="PLW112" s="4"/>
      <c r="PLX112" s="4"/>
      <c r="PLY112" s="4"/>
      <c r="PLZ112" s="4"/>
      <c r="PMA112" s="4"/>
      <c r="PMB112" s="4"/>
      <c r="PMC112" s="4"/>
      <c r="PMD112" s="4"/>
      <c r="PME112" s="4"/>
      <c r="PMF112" s="4"/>
      <c r="PMG112" s="4"/>
      <c r="PMH112" s="4"/>
      <c r="PMI112" s="4"/>
      <c r="PMJ112" s="4"/>
      <c r="PMK112" s="4"/>
      <c r="PML112" s="4"/>
      <c r="PMM112" s="4"/>
      <c r="PMN112" s="4"/>
      <c r="PMO112" s="4"/>
      <c r="PMP112" s="4"/>
      <c r="PMQ112" s="4"/>
      <c r="PMR112" s="4"/>
      <c r="PMS112" s="4"/>
      <c r="PMT112" s="4"/>
      <c r="PMU112" s="4"/>
      <c r="PMV112" s="4"/>
      <c r="PMW112" s="4"/>
      <c r="PMX112" s="4"/>
      <c r="PMY112" s="4"/>
      <c r="PMZ112" s="4"/>
      <c r="PNA112" s="4"/>
      <c r="PNB112" s="4"/>
      <c r="PNC112" s="4"/>
      <c r="PND112" s="4"/>
      <c r="PNE112" s="4"/>
      <c r="PNF112" s="4"/>
      <c r="PNG112" s="4"/>
      <c r="PNH112" s="4"/>
      <c r="PNI112" s="4"/>
      <c r="PNJ112" s="4"/>
      <c r="PNK112" s="4"/>
      <c r="PNL112" s="4"/>
      <c r="PNM112" s="4"/>
      <c r="PNN112" s="4"/>
      <c r="PNO112" s="4"/>
      <c r="PNP112" s="4"/>
      <c r="PNQ112" s="4"/>
      <c r="PNR112" s="4"/>
      <c r="PNS112" s="4"/>
      <c r="PNT112" s="4"/>
      <c r="PNU112" s="4"/>
      <c r="PNV112" s="4"/>
      <c r="PNW112" s="4"/>
      <c r="PNX112" s="4"/>
      <c r="PNY112" s="4"/>
      <c r="PNZ112" s="4"/>
      <c r="POA112" s="4"/>
      <c r="POB112" s="4"/>
      <c r="POC112" s="4"/>
      <c r="POD112" s="4"/>
      <c r="POE112" s="4"/>
      <c r="POF112" s="4"/>
      <c r="POG112" s="4"/>
      <c r="POH112" s="4"/>
      <c r="POI112" s="4"/>
      <c r="POJ112" s="4"/>
      <c r="POK112" s="4"/>
      <c r="POL112" s="4"/>
      <c r="POM112" s="4"/>
      <c r="PON112" s="4"/>
      <c r="POO112" s="4"/>
      <c r="POP112" s="4"/>
      <c r="POQ112" s="4"/>
      <c r="POR112" s="4"/>
      <c r="POS112" s="4"/>
      <c r="POT112" s="4"/>
      <c r="POU112" s="4"/>
      <c r="POV112" s="4"/>
      <c r="POW112" s="4"/>
      <c r="POX112" s="4"/>
      <c r="POY112" s="4"/>
      <c r="POZ112" s="4"/>
      <c r="PPA112" s="4"/>
      <c r="PPB112" s="4"/>
      <c r="PPC112" s="4"/>
      <c r="PPD112" s="4"/>
      <c r="PPE112" s="4"/>
      <c r="PPF112" s="4"/>
      <c r="PPG112" s="4"/>
      <c r="PPH112" s="4"/>
      <c r="PPI112" s="4"/>
      <c r="PPJ112" s="4"/>
      <c r="PPK112" s="4"/>
      <c r="PPL112" s="4"/>
      <c r="PPM112" s="4"/>
      <c r="PPN112" s="4"/>
      <c r="PPO112" s="4"/>
      <c r="PPP112" s="4"/>
      <c r="PPQ112" s="4"/>
      <c r="PPR112" s="4"/>
      <c r="PPS112" s="4"/>
      <c r="PPT112" s="4"/>
      <c r="PPU112" s="4"/>
      <c r="PPV112" s="4"/>
      <c r="PPW112" s="4"/>
      <c r="PPX112" s="4"/>
      <c r="PPY112" s="4"/>
      <c r="PPZ112" s="4"/>
      <c r="PQA112" s="4"/>
      <c r="PQB112" s="4"/>
      <c r="PQC112" s="4"/>
      <c r="PQD112" s="4"/>
      <c r="PQE112" s="4"/>
      <c r="PQF112" s="4"/>
      <c r="PQG112" s="4"/>
      <c r="PQH112" s="4"/>
      <c r="PQI112" s="4"/>
      <c r="PQJ112" s="4"/>
      <c r="PQK112" s="4"/>
      <c r="PQL112" s="4"/>
      <c r="PQM112" s="4"/>
      <c r="PQN112" s="4"/>
      <c r="PQO112" s="4"/>
      <c r="PQP112" s="4"/>
      <c r="PQQ112" s="4"/>
      <c r="PQR112" s="4"/>
      <c r="PQS112" s="4"/>
      <c r="PQT112" s="4"/>
      <c r="PQU112" s="4"/>
      <c r="PQV112" s="4"/>
      <c r="PQW112" s="4"/>
      <c r="PQX112" s="4"/>
      <c r="PQY112" s="4"/>
      <c r="PQZ112" s="4"/>
      <c r="PRA112" s="4"/>
      <c r="PRB112" s="4"/>
      <c r="PRC112" s="4"/>
      <c r="PRD112" s="4"/>
      <c r="PRE112" s="4"/>
      <c r="PRF112" s="4"/>
      <c r="PRG112" s="4"/>
      <c r="PRH112" s="4"/>
      <c r="PRI112" s="4"/>
      <c r="PRJ112" s="4"/>
      <c r="PRK112" s="4"/>
      <c r="PRL112" s="4"/>
      <c r="PRM112" s="4"/>
      <c r="PRN112" s="4"/>
      <c r="PRO112" s="4"/>
      <c r="PRP112" s="4"/>
      <c r="PRQ112" s="4"/>
      <c r="PRR112" s="4"/>
      <c r="PRS112" s="4"/>
      <c r="PRT112" s="4"/>
      <c r="PRU112" s="4"/>
      <c r="PRV112" s="4"/>
      <c r="PRW112" s="4"/>
      <c r="PRX112" s="4"/>
      <c r="PRY112" s="4"/>
      <c r="PRZ112" s="4"/>
      <c r="PSA112" s="4"/>
      <c r="PSB112" s="4"/>
      <c r="PSC112" s="4"/>
      <c r="PSD112" s="4"/>
      <c r="PSE112" s="4"/>
      <c r="PSF112" s="4"/>
      <c r="PSG112" s="4"/>
      <c r="PSH112" s="4"/>
      <c r="PSI112" s="4"/>
      <c r="PSJ112" s="4"/>
      <c r="PSK112" s="4"/>
      <c r="PSL112" s="4"/>
      <c r="PSM112" s="4"/>
      <c r="PSN112" s="4"/>
      <c r="PSO112" s="4"/>
      <c r="PSP112" s="4"/>
      <c r="PSQ112" s="4"/>
      <c r="PSR112" s="4"/>
      <c r="PSS112" s="4"/>
      <c r="PST112" s="4"/>
      <c r="PSU112" s="4"/>
      <c r="PSV112" s="4"/>
      <c r="PSW112" s="4"/>
      <c r="PSX112" s="4"/>
      <c r="PSY112" s="4"/>
      <c r="PSZ112" s="4"/>
      <c r="PTA112" s="4"/>
      <c r="PTB112" s="4"/>
      <c r="PTC112" s="4"/>
      <c r="PTD112" s="4"/>
      <c r="PTE112" s="4"/>
      <c r="PTF112" s="4"/>
      <c r="PTG112" s="4"/>
      <c r="PTH112" s="4"/>
      <c r="PTI112" s="4"/>
      <c r="PTJ112" s="4"/>
      <c r="PTK112" s="4"/>
      <c r="PTL112" s="4"/>
      <c r="PTM112" s="4"/>
      <c r="PTN112" s="4"/>
      <c r="PTO112" s="4"/>
      <c r="PTP112" s="4"/>
      <c r="PTQ112" s="4"/>
      <c r="PTR112" s="4"/>
      <c r="PTS112" s="4"/>
      <c r="PTT112" s="4"/>
      <c r="PTU112" s="4"/>
      <c r="PTV112" s="4"/>
      <c r="PTW112" s="4"/>
      <c r="PTX112" s="4"/>
      <c r="PTY112" s="4"/>
      <c r="PTZ112" s="4"/>
      <c r="PUA112" s="4"/>
      <c r="PUB112" s="4"/>
      <c r="PUC112" s="4"/>
      <c r="PUD112" s="4"/>
      <c r="PUE112" s="4"/>
      <c r="PUF112" s="4"/>
      <c r="PUG112" s="4"/>
      <c r="PUH112" s="4"/>
      <c r="PUI112" s="4"/>
      <c r="PUJ112" s="4"/>
      <c r="PUK112" s="4"/>
      <c r="PUL112" s="4"/>
      <c r="PUM112" s="4"/>
      <c r="PUN112" s="4"/>
      <c r="PUO112" s="4"/>
      <c r="PUP112" s="4"/>
      <c r="PUQ112" s="4"/>
      <c r="PUR112" s="4"/>
      <c r="PUS112" s="4"/>
      <c r="PUT112" s="4"/>
      <c r="PUU112" s="4"/>
      <c r="PUV112" s="4"/>
      <c r="PUW112" s="4"/>
      <c r="PUX112" s="4"/>
      <c r="PUY112" s="4"/>
      <c r="PUZ112" s="4"/>
      <c r="PVA112" s="4"/>
      <c r="PVB112" s="4"/>
      <c r="PVC112" s="4"/>
      <c r="PVD112" s="4"/>
      <c r="PVE112" s="4"/>
      <c r="PVF112" s="4"/>
      <c r="PVG112" s="4"/>
      <c r="PVH112" s="4"/>
      <c r="PVI112" s="4"/>
      <c r="PVJ112" s="4"/>
      <c r="PVK112" s="4"/>
      <c r="PVL112" s="4"/>
      <c r="PVM112" s="4"/>
      <c r="PVN112" s="4"/>
      <c r="PVO112" s="4"/>
      <c r="PVP112" s="4"/>
      <c r="PVQ112" s="4"/>
      <c r="PVR112" s="4"/>
      <c r="PVS112" s="4"/>
      <c r="PVT112" s="4"/>
      <c r="PVU112" s="4"/>
      <c r="PVV112" s="4"/>
      <c r="PVW112" s="4"/>
      <c r="PVX112" s="4"/>
      <c r="PVY112" s="4"/>
      <c r="PVZ112" s="4"/>
      <c r="PWA112" s="4"/>
      <c r="PWB112" s="4"/>
      <c r="PWC112" s="4"/>
      <c r="PWD112" s="4"/>
      <c r="PWE112" s="4"/>
      <c r="PWF112" s="4"/>
      <c r="PWG112" s="4"/>
      <c r="PWH112" s="4"/>
      <c r="PWI112" s="4"/>
      <c r="PWJ112" s="4"/>
      <c r="PWK112" s="4"/>
      <c r="PWL112" s="4"/>
      <c r="PWM112" s="4"/>
      <c r="PWN112" s="4"/>
      <c r="PWO112" s="4"/>
      <c r="PWP112" s="4"/>
      <c r="PWQ112" s="4"/>
      <c r="PWR112" s="4"/>
      <c r="PWS112" s="4"/>
      <c r="PWT112" s="4"/>
      <c r="PWU112" s="4"/>
      <c r="PWV112" s="4"/>
      <c r="PWW112" s="4"/>
      <c r="PWX112" s="4"/>
      <c r="PWY112" s="4"/>
      <c r="PWZ112" s="4"/>
      <c r="PXA112" s="4"/>
      <c r="PXB112" s="4"/>
      <c r="PXC112" s="4"/>
      <c r="PXD112" s="4"/>
      <c r="PXE112" s="4"/>
      <c r="PXF112" s="4"/>
      <c r="PXG112" s="4"/>
      <c r="PXH112" s="4"/>
      <c r="PXI112" s="4"/>
      <c r="PXJ112" s="4"/>
      <c r="PXK112" s="4"/>
      <c r="PXL112" s="4"/>
      <c r="PXM112" s="4"/>
      <c r="PXN112" s="4"/>
      <c r="PXO112" s="4"/>
      <c r="PXP112" s="4"/>
      <c r="PXQ112" s="4"/>
      <c r="PXR112" s="4"/>
      <c r="PXS112" s="4"/>
      <c r="PXT112" s="4"/>
      <c r="PXU112" s="4"/>
      <c r="PXV112" s="4"/>
      <c r="PXW112" s="4"/>
      <c r="PXX112" s="4"/>
      <c r="PXY112" s="4"/>
      <c r="PXZ112" s="4"/>
      <c r="PYA112" s="4"/>
      <c r="PYB112" s="4"/>
      <c r="PYC112" s="4"/>
      <c r="PYD112" s="4"/>
      <c r="PYE112" s="4"/>
      <c r="PYF112" s="4"/>
      <c r="PYG112" s="4"/>
      <c r="PYH112" s="4"/>
      <c r="PYI112" s="4"/>
      <c r="PYJ112" s="4"/>
      <c r="PYK112" s="4"/>
      <c r="PYL112" s="4"/>
      <c r="PYM112" s="4"/>
      <c r="PYN112" s="4"/>
      <c r="PYO112" s="4"/>
      <c r="PYP112" s="4"/>
      <c r="PYQ112" s="4"/>
      <c r="PYR112" s="4"/>
      <c r="PYS112" s="4"/>
      <c r="PYT112" s="4"/>
      <c r="PYU112" s="4"/>
      <c r="PYV112" s="4"/>
      <c r="PYW112" s="4"/>
      <c r="PYX112" s="4"/>
      <c r="PYY112" s="4"/>
      <c r="PYZ112" s="4"/>
      <c r="PZA112" s="4"/>
      <c r="PZB112" s="4"/>
      <c r="PZC112" s="4"/>
      <c r="PZD112" s="4"/>
      <c r="PZE112" s="4"/>
      <c r="PZF112" s="4"/>
      <c r="PZG112" s="4"/>
      <c r="PZH112" s="4"/>
      <c r="PZI112" s="4"/>
      <c r="PZJ112" s="4"/>
      <c r="PZK112" s="4"/>
      <c r="PZL112" s="4"/>
      <c r="PZM112" s="4"/>
      <c r="PZN112" s="4"/>
      <c r="PZO112" s="4"/>
      <c r="PZP112" s="4"/>
      <c r="PZQ112" s="4"/>
      <c r="PZR112" s="4"/>
      <c r="PZS112" s="4"/>
      <c r="PZT112" s="4"/>
      <c r="PZU112" s="4"/>
      <c r="PZV112" s="4"/>
      <c r="PZW112" s="4"/>
      <c r="PZX112" s="4"/>
      <c r="PZY112" s="4"/>
      <c r="PZZ112" s="4"/>
      <c r="QAA112" s="4"/>
      <c r="QAB112" s="4"/>
      <c r="QAC112" s="4"/>
      <c r="QAD112" s="4"/>
      <c r="QAE112" s="4"/>
      <c r="QAF112" s="4"/>
      <c r="QAG112" s="4"/>
      <c r="QAH112" s="4"/>
      <c r="QAI112" s="4"/>
      <c r="QAJ112" s="4"/>
      <c r="QAK112" s="4"/>
      <c r="QAL112" s="4"/>
      <c r="QAM112" s="4"/>
      <c r="QAN112" s="4"/>
      <c r="QAO112" s="4"/>
      <c r="QAP112" s="4"/>
      <c r="QAQ112" s="4"/>
      <c r="QAR112" s="4"/>
      <c r="QAS112" s="4"/>
      <c r="QAT112" s="4"/>
      <c r="QAU112" s="4"/>
      <c r="QAV112" s="4"/>
      <c r="QAW112" s="4"/>
      <c r="QAX112" s="4"/>
      <c r="QAY112" s="4"/>
      <c r="QAZ112" s="4"/>
      <c r="QBA112" s="4"/>
      <c r="QBB112" s="4"/>
      <c r="QBC112" s="4"/>
      <c r="QBD112" s="4"/>
      <c r="QBE112" s="4"/>
      <c r="QBF112" s="4"/>
      <c r="QBG112" s="4"/>
      <c r="QBH112" s="4"/>
      <c r="QBI112" s="4"/>
      <c r="QBJ112" s="4"/>
      <c r="QBK112" s="4"/>
      <c r="QBL112" s="4"/>
      <c r="QBM112" s="4"/>
      <c r="QBN112" s="4"/>
      <c r="QBO112" s="4"/>
      <c r="QBP112" s="4"/>
      <c r="QBQ112" s="4"/>
      <c r="QBR112" s="4"/>
      <c r="QBS112" s="4"/>
      <c r="QBT112" s="4"/>
      <c r="QBU112" s="4"/>
      <c r="QBV112" s="4"/>
      <c r="QBW112" s="4"/>
      <c r="QBX112" s="4"/>
      <c r="QBY112" s="4"/>
      <c r="QBZ112" s="4"/>
      <c r="QCA112" s="4"/>
      <c r="QCB112" s="4"/>
      <c r="QCC112" s="4"/>
      <c r="QCD112" s="4"/>
      <c r="QCE112" s="4"/>
      <c r="QCF112" s="4"/>
      <c r="QCG112" s="4"/>
      <c r="QCH112" s="4"/>
      <c r="QCI112" s="4"/>
      <c r="QCJ112" s="4"/>
      <c r="QCK112" s="4"/>
      <c r="QCL112" s="4"/>
      <c r="QCM112" s="4"/>
      <c r="QCN112" s="4"/>
      <c r="QCO112" s="4"/>
      <c r="QCP112" s="4"/>
      <c r="QCQ112" s="4"/>
      <c r="QCR112" s="4"/>
      <c r="QCS112" s="4"/>
      <c r="QCT112" s="4"/>
      <c r="QCU112" s="4"/>
      <c r="QCV112" s="4"/>
      <c r="QCW112" s="4"/>
      <c r="QCX112" s="4"/>
      <c r="QCY112" s="4"/>
      <c r="QCZ112" s="4"/>
      <c r="QDA112" s="4"/>
      <c r="QDB112" s="4"/>
      <c r="QDC112" s="4"/>
      <c r="QDD112" s="4"/>
      <c r="QDE112" s="4"/>
      <c r="QDF112" s="4"/>
      <c r="QDG112" s="4"/>
      <c r="QDH112" s="4"/>
      <c r="QDI112" s="4"/>
      <c r="QDJ112" s="4"/>
      <c r="QDK112" s="4"/>
      <c r="QDL112" s="4"/>
      <c r="QDM112" s="4"/>
      <c r="QDN112" s="4"/>
      <c r="QDO112" s="4"/>
      <c r="QDP112" s="4"/>
      <c r="QDQ112" s="4"/>
      <c r="QDR112" s="4"/>
      <c r="QDS112" s="4"/>
      <c r="QDT112" s="4"/>
      <c r="QDU112" s="4"/>
      <c r="QDV112" s="4"/>
      <c r="QDW112" s="4"/>
      <c r="QDX112" s="4"/>
      <c r="QDY112" s="4"/>
      <c r="QDZ112" s="4"/>
      <c r="QEA112" s="4"/>
      <c r="QEB112" s="4"/>
      <c r="QEC112" s="4"/>
      <c r="QED112" s="4"/>
      <c r="QEE112" s="4"/>
      <c r="QEF112" s="4"/>
      <c r="QEG112" s="4"/>
      <c r="QEH112" s="4"/>
      <c r="QEI112" s="4"/>
      <c r="QEJ112" s="4"/>
      <c r="QEK112" s="4"/>
      <c r="QEL112" s="4"/>
      <c r="QEM112" s="4"/>
      <c r="QEN112" s="4"/>
      <c r="QEO112" s="4"/>
      <c r="QEP112" s="4"/>
      <c r="QEQ112" s="4"/>
      <c r="QER112" s="4"/>
      <c r="QES112" s="4"/>
      <c r="QET112" s="4"/>
      <c r="QEU112" s="4"/>
      <c r="QEV112" s="4"/>
      <c r="QEW112" s="4"/>
      <c r="QEX112" s="4"/>
      <c r="QEY112" s="4"/>
      <c r="QEZ112" s="4"/>
      <c r="QFA112" s="4"/>
      <c r="QFB112" s="4"/>
      <c r="QFC112" s="4"/>
      <c r="QFD112" s="4"/>
      <c r="QFE112" s="4"/>
      <c r="QFF112" s="4"/>
      <c r="QFG112" s="4"/>
      <c r="QFH112" s="4"/>
      <c r="QFI112" s="4"/>
      <c r="QFJ112" s="4"/>
      <c r="QFK112" s="4"/>
      <c r="QFL112" s="4"/>
      <c r="QFM112" s="4"/>
      <c r="QFN112" s="4"/>
      <c r="QFO112" s="4"/>
      <c r="QFP112" s="4"/>
      <c r="QFQ112" s="4"/>
      <c r="QFR112" s="4"/>
      <c r="QFS112" s="4"/>
      <c r="QFT112" s="4"/>
      <c r="QFU112" s="4"/>
      <c r="QFV112" s="4"/>
      <c r="QFW112" s="4"/>
      <c r="QFX112" s="4"/>
      <c r="QFY112" s="4"/>
      <c r="QFZ112" s="4"/>
      <c r="QGA112" s="4"/>
      <c r="QGB112" s="4"/>
      <c r="QGC112" s="4"/>
      <c r="QGD112" s="4"/>
      <c r="QGE112" s="4"/>
      <c r="QGF112" s="4"/>
      <c r="QGG112" s="4"/>
      <c r="QGH112" s="4"/>
      <c r="QGI112" s="4"/>
      <c r="QGJ112" s="4"/>
      <c r="QGK112" s="4"/>
      <c r="QGL112" s="4"/>
      <c r="QGM112" s="4"/>
      <c r="QGN112" s="4"/>
      <c r="QGO112" s="4"/>
      <c r="QGP112" s="4"/>
      <c r="QGQ112" s="4"/>
      <c r="QGR112" s="4"/>
      <c r="QGS112" s="4"/>
      <c r="QGT112" s="4"/>
      <c r="QGU112" s="4"/>
      <c r="QGV112" s="4"/>
      <c r="QGW112" s="4"/>
      <c r="QGX112" s="4"/>
      <c r="QGY112" s="4"/>
      <c r="QGZ112" s="4"/>
      <c r="QHA112" s="4"/>
      <c r="QHB112" s="4"/>
      <c r="QHC112" s="4"/>
      <c r="QHD112" s="4"/>
      <c r="QHE112" s="4"/>
      <c r="QHF112" s="4"/>
      <c r="QHG112" s="4"/>
      <c r="QHH112" s="4"/>
      <c r="QHI112" s="4"/>
      <c r="QHJ112" s="4"/>
      <c r="QHK112" s="4"/>
      <c r="QHL112" s="4"/>
      <c r="QHM112" s="4"/>
      <c r="QHN112" s="4"/>
      <c r="QHO112" s="4"/>
      <c r="QHP112" s="4"/>
      <c r="QHQ112" s="4"/>
      <c r="QHR112" s="4"/>
      <c r="QHS112" s="4"/>
      <c r="QHT112" s="4"/>
      <c r="QHU112" s="4"/>
      <c r="QHV112" s="4"/>
      <c r="QHW112" s="4"/>
      <c r="QHX112" s="4"/>
      <c r="QHY112" s="4"/>
      <c r="QHZ112" s="4"/>
      <c r="QIA112" s="4"/>
      <c r="QIB112" s="4"/>
      <c r="QIC112" s="4"/>
      <c r="QID112" s="4"/>
      <c r="QIE112" s="4"/>
      <c r="QIF112" s="4"/>
      <c r="QIG112" s="4"/>
      <c r="QIH112" s="4"/>
      <c r="QII112" s="4"/>
      <c r="QIJ112" s="4"/>
      <c r="QIK112" s="4"/>
      <c r="QIL112" s="4"/>
      <c r="QIM112" s="4"/>
      <c r="QIN112" s="4"/>
      <c r="QIO112" s="4"/>
      <c r="QIP112" s="4"/>
      <c r="QIQ112" s="4"/>
      <c r="QIR112" s="4"/>
      <c r="QIS112" s="4"/>
      <c r="QIT112" s="4"/>
      <c r="QIU112" s="4"/>
      <c r="QIV112" s="4"/>
      <c r="QIW112" s="4"/>
      <c r="QIX112" s="4"/>
      <c r="QIY112" s="4"/>
      <c r="QIZ112" s="4"/>
      <c r="QJA112" s="4"/>
      <c r="QJB112" s="4"/>
      <c r="QJC112" s="4"/>
      <c r="QJD112" s="4"/>
      <c r="QJE112" s="4"/>
      <c r="QJF112" s="4"/>
      <c r="QJG112" s="4"/>
      <c r="QJH112" s="4"/>
      <c r="QJI112" s="4"/>
      <c r="QJJ112" s="4"/>
      <c r="QJK112" s="4"/>
      <c r="QJL112" s="4"/>
      <c r="QJM112" s="4"/>
      <c r="QJN112" s="4"/>
      <c r="QJO112" s="4"/>
      <c r="QJP112" s="4"/>
      <c r="QJQ112" s="4"/>
      <c r="QJR112" s="4"/>
      <c r="QJS112" s="4"/>
      <c r="QJT112" s="4"/>
      <c r="QJU112" s="4"/>
      <c r="QJV112" s="4"/>
      <c r="QJW112" s="4"/>
      <c r="QJX112" s="4"/>
      <c r="QJY112" s="4"/>
      <c r="QJZ112" s="4"/>
      <c r="QKA112" s="4"/>
      <c r="QKB112" s="4"/>
      <c r="QKC112" s="4"/>
      <c r="QKD112" s="4"/>
      <c r="QKE112" s="4"/>
      <c r="QKF112" s="4"/>
      <c r="QKG112" s="4"/>
      <c r="QKH112" s="4"/>
      <c r="QKI112" s="4"/>
      <c r="QKJ112" s="4"/>
      <c r="QKK112" s="4"/>
      <c r="QKL112" s="4"/>
      <c r="QKM112" s="4"/>
      <c r="QKN112" s="4"/>
      <c r="QKO112" s="4"/>
      <c r="QKP112" s="4"/>
      <c r="QKQ112" s="4"/>
      <c r="QKR112" s="4"/>
      <c r="QKS112" s="4"/>
      <c r="QKT112" s="4"/>
      <c r="QKU112" s="4"/>
      <c r="QKV112" s="4"/>
      <c r="QKW112" s="4"/>
      <c r="QKX112" s="4"/>
      <c r="QKY112" s="4"/>
      <c r="QKZ112" s="4"/>
      <c r="QLA112" s="4"/>
      <c r="QLB112" s="4"/>
      <c r="QLC112" s="4"/>
      <c r="QLD112" s="4"/>
      <c r="QLE112" s="4"/>
      <c r="QLF112" s="4"/>
      <c r="QLG112" s="4"/>
      <c r="QLH112" s="4"/>
      <c r="QLI112" s="4"/>
      <c r="QLJ112" s="4"/>
      <c r="QLK112" s="4"/>
      <c r="QLL112" s="4"/>
      <c r="QLM112" s="4"/>
      <c r="QLN112" s="4"/>
      <c r="QLO112" s="4"/>
      <c r="QLP112" s="4"/>
      <c r="QLQ112" s="4"/>
      <c r="QLR112" s="4"/>
      <c r="QLS112" s="4"/>
      <c r="QLT112" s="4"/>
      <c r="QLU112" s="4"/>
      <c r="QLV112" s="4"/>
      <c r="QLW112" s="4"/>
      <c r="QLX112" s="4"/>
      <c r="QLY112" s="4"/>
      <c r="QLZ112" s="4"/>
      <c r="QMA112" s="4"/>
      <c r="QMB112" s="4"/>
      <c r="QMC112" s="4"/>
      <c r="QMD112" s="4"/>
      <c r="QME112" s="4"/>
      <c r="QMF112" s="4"/>
      <c r="QMG112" s="4"/>
      <c r="QMH112" s="4"/>
      <c r="QMI112" s="4"/>
      <c r="QMJ112" s="4"/>
      <c r="QMK112" s="4"/>
      <c r="QML112" s="4"/>
      <c r="QMM112" s="4"/>
      <c r="QMN112" s="4"/>
      <c r="QMO112" s="4"/>
      <c r="QMP112" s="4"/>
      <c r="QMQ112" s="4"/>
      <c r="QMR112" s="4"/>
      <c r="QMS112" s="4"/>
      <c r="QMT112" s="4"/>
      <c r="QMU112" s="4"/>
      <c r="QMV112" s="4"/>
      <c r="QMW112" s="4"/>
      <c r="QMX112" s="4"/>
      <c r="QMY112" s="4"/>
      <c r="QMZ112" s="4"/>
      <c r="QNA112" s="4"/>
      <c r="QNB112" s="4"/>
      <c r="QNC112" s="4"/>
      <c r="QND112" s="4"/>
      <c r="QNE112" s="4"/>
      <c r="QNF112" s="4"/>
      <c r="QNG112" s="4"/>
      <c r="QNH112" s="4"/>
      <c r="QNI112" s="4"/>
      <c r="QNJ112" s="4"/>
      <c r="QNK112" s="4"/>
      <c r="QNL112" s="4"/>
      <c r="QNM112" s="4"/>
      <c r="QNN112" s="4"/>
      <c r="QNO112" s="4"/>
      <c r="QNP112" s="4"/>
      <c r="QNQ112" s="4"/>
      <c r="QNR112" s="4"/>
      <c r="QNS112" s="4"/>
      <c r="QNT112" s="4"/>
      <c r="QNU112" s="4"/>
      <c r="QNV112" s="4"/>
      <c r="QNW112" s="4"/>
      <c r="QNX112" s="4"/>
      <c r="QNY112" s="4"/>
      <c r="QNZ112" s="4"/>
      <c r="QOA112" s="4"/>
      <c r="QOB112" s="4"/>
      <c r="QOC112" s="4"/>
      <c r="QOD112" s="4"/>
      <c r="QOE112" s="4"/>
      <c r="QOF112" s="4"/>
      <c r="QOG112" s="4"/>
      <c r="QOH112" s="4"/>
      <c r="QOI112" s="4"/>
      <c r="QOJ112" s="4"/>
      <c r="QOK112" s="4"/>
      <c r="QOL112" s="4"/>
      <c r="QOM112" s="4"/>
      <c r="QON112" s="4"/>
      <c r="QOO112" s="4"/>
      <c r="QOP112" s="4"/>
      <c r="QOQ112" s="4"/>
      <c r="QOR112" s="4"/>
      <c r="QOS112" s="4"/>
      <c r="QOT112" s="4"/>
      <c r="QOU112" s="4"/>
      <c r="QOV112" s="4"/>
      <c r="QOW112" s="4"/>
      <c r="QOX112" s="4"/>
      <c r="QOY112" s="4"/>
      <c r="QOZ112" s="4"/>
      <c r="QPA112" s="4"/>
      <c r="QPB112" s="4"/>
      <c r="QPC112" s="4"/>
      <c r="QPD112" s="4"/>
      <c r="QPE112" s="4"/>
      <c r="QPF112" s="4"/>
      <c r="QPG112" s="4"/>
      <c r="QPH112" s="4"/>
      <c r="QPI112" s="4"/>
      <c r="QPJ112" s="4"/>
      <c r="QPK112" s="4"/>
      <c r="QPL112" s="4"/>
      <c r="QPM112" s="4"/>
      <c r="QPN112" s="4"/>
      <c r="QPO112" s="4"/>
      <c r="QPP112" s="4"/>
      <c r="QPQ112" s="4"/>
      <c r="QPR112" s="4"/>
      <c r="QPS112" s="4"/>
      <c r="QPT112" s="4"/>
      <c r="QPU112" s="4"/>
      <c r="QPV112" s="4"/>
      <c r="QPW112" s="4"/>
      <c r="QPX112" s="4"/>
      <c r="QPY112" s="4"/>
      <c r="QPZ112" s="4"/>
      <c r="QQA112" s="4"/>
      <c r="QQB112" s="4"/>
      <c r="QQC112" s="4"/>
      <c r="QQD112" s="4"/>
      <c r="QQE112" s="4"/>
      <c r="QQF112" s="4"/>
      <c r="QQG112" s="4"/>
      <c r="QQH112" s="4"/>
      <c r="QQI112" s="4"/>
      <c r="QQJ112" s="4"/>
      <c r="QQK112" s="4"/>
      <c r="QQL112" s="4"/>
      <c r="QQM112" s="4"/>
      <c r="QQN112" s="4"/>
      <c r="QQO112" s="4"/>
      <c r="QQP112" s="4"/>
      <c r="QQQ112" s="4"/>
      <c r="QQR112" s="4"/>
      <c r="QQS112" s="4"/>
      <c r="QQT112" s="4"/>
      <c r="QQU112" s="4"/>
      <c r="QQV112" s="4"/>
      <c r="QQW112" s="4"/>
      <c r="QQX112" s="4"/>
      <c r="QQY112" s="4"/>
      <c r="QQZ112" s="4"/>
      <c r="QRA112" s="4"/>
      <c r="QRB112" s="4"/>
      <c r="QRC112" s="4"/>
      <c r="QRD112" s="4"/>
      <c r="QRE112" s="4"/>
      <c r="QRF112" s="4"/>
      <c r="QRG112" s="4"/>
      <c r="QRH112" s="4"/>
      <c r="QRI112" s="4"/>
      <c r="QRJ112" s="4"/>
      <c r="QRK112" s="4"/>
      <c r="QRL112" s="4"/>
      <c r="QRM112" s="4"/>
      <c r="QRN112" s="4"/>
      <c r="QRO112" s="4"/>
      <c r="QRP112" s="4"/>
      <c r="QRQ112" s="4"/>
      <c r="QRR112" s="4"/>
      <c r="QRS112" s="4"/>
      <c r="QRT112" s="4"/>
      <c r="QRU112" s="4"/>
      <c r="QRV112" s="4"/>
      <c r="QRW112" s="4"/>
      <c r="QRX112" s="4"/>
      <c r="QRY112" s="4"/>
      <c r="QRZ112" s="4"/>
      <c r="QSA112" s="4"/>
      <c r="QSB112" s="4"/>
      <c r="QSC112" s="4"/>
      <c r="QSD112" s="4"/>
      <c r="QSE112" s="4"/>
      <c r="QSF112" s="4"/>
      <c r="QSG112" s="4"/>
      <c r="QSH112" s="4"/>
      <c r="QSI112" s="4"/>
      <c r="QSJ112" s="4"/>
      <c r="QSK112" s="4"/>
      <c r="QSL112" s="4"/>
      <c r="QSM112" s="4"/>
      <c r="QSN112" s="4"/>
      <c r="QSO112" s="4"/>
      <c r="QSP112" s="4"/>
      <c r="QSQ112" s="4"/>
      <c r="QSR112" s="4"/>
      <c r="QSS112" s="4"/>
      <c r="QST112" s="4"/>
      <c r="QSU112" s="4"/>
      <c r="QSV112" s="4"/>
      <c r="QSW112" s="4"/>
      <c r="QSX112" s="4"/>
      <c r="QSY112" s="4"/>
      <c r="QSZ112" s="4"/>
      <c r="QTA112" s="4"/>
      <c r="QTB112" s="4"/>
      <c r="QTC112" s="4"/>
      <c r="QTD112" s="4"/>
      <c r="QTE112" s="4"/>
      <c r="QTF112" s="4"/>
      <c r="QTG112" s="4"/>
      <c r="QTH112" s="4"/>
      <c r="QTI112" s="4"/>
      <c r="QTJ112" s="4"/>
      <c r="QTK112" s="4"/>
      <c r="QTL112" s="4"/>
      <c r="QTM112" s="4"/>
      <c r="QTN112" s="4"/>
      <c r="QTO112" s="4"/>
      <c r="QTP112" s="4"/>
      <c r="QTQ112" s="4"/>
      <c r="QTR112" s="4"/>
      <c r="QTS112" s="4"/>
      <c r="QTT112" s="4"/>
      <c r="QTU112" s="4"/>
      <c r="QTV112" s="4"/>
      <c r="QTW112" s="4"/>
      <c r="QTX112" s="4"/>
      <c r="QTY112" s="4"/>
      <c r="QTZ112" s="4"/>
      <c r="QUA112" s="4"/>
      <c r="QUB112" s="4"/>
      <c r="QUC112" s="4"/>
      <c r="QUD112" s="4"/>
      <c r="QUE112" s="4"/>
      <c r="QUF112" s="4"/>
      <c r="QUG112" s="4"/>
      <c r="QUH112" s="4"/>
      <c r="QUI112" s="4"/>
      <c r="QUJ112" s="4"/>
      <c r="QUK112" s="4"/>
      <c r="QUL112" s="4"/>
      <c r="QUM112" s="4"/>
      <c r="QUN112" s="4"/>
      <c r="QUO112" s="4"/>
      <c r="QUP112" s="4"/>
      <c r="QUQ112" s="4"/>
      <c r="QUR112" s="4"/>
      <c r="QUS112" s="4"/>
      <c r="QUT112" s="4"/>
      <c r="QUU112" s="4"/>
      <c r="QUV112" s="4"/>
      <c r="QUW112" s="4"/>
      <c r="QUX112" s="4"/>
      <c r="QUY112" s="4"/>
      <c r="QUZ112" s="4"/>
      <c r="QVA112" s="4"/>
      <c r="QVB112" s="4"/>
      <c r="QVC112" s="4"/>
      <c r="QVD112" s="4"/>
      <c r="QVE112" s="4"/>
      <c r="QVF112" s="4"/>
      <c r="QVG112" s="4"/>
      <c r="QVH112" s="4"/>
      <c r="QVI112" s="4"/>
      <c r="QVJ112" s="4"/>
      <c r="QVK112" s="4"/>
      <c r="QVL112" s="4"/>
      <c r="QVM112" s="4"/>
      <c r="QVN112" s="4"/>
      <c r="QVO112" s="4"/>
      <c r="QVP112" s="4"/>
      <c r="QVQ112" s="4"/>
      <c r="QVR112" s="4"/>
      <c r="QVS112" s="4"/>
      <c r="QVT112" s="4"/>
      <c r="QVU112" s="4"/>
      <c r="QVV112" s="4"/>
      <c r="QVW112" s="4"/>
      <c r="QVX112" s="4"/>
      <c r="QVY112" s="4"/>
      <c r="QVZ112" s="4"/>
      <c r="QWA112" s="4"/>
      <c r="QWB112" s="4"/>
      <c r="QWC112" s="4"/>
      <c r="QWD112" s="4"/>
      <c r="QWE112" s="4"/>
      <c r="QWF112" s="4"/>
      <c r="QWG112" s="4"/>
      <c r="QWH112" s="4"/>
      <c r="QWI112" s="4"/>
      <c r="QWJ112" s="4"/>
      <c r="QWK112" s="4"/>
      <c r="QWL112" s="4"/>
      <c r="QWM112" s="4"/>
      <c r="QWN112" s="4"/>
      <c r="QWO112" s="4"/>
      <c r="QWP112" s="4"/>
      <c r="QWQ112" s="4"/>
      <c r="QWR112" s="4"/>
      <c r="QWS112" s="4"/>
      <c r="QWT112" s="4"/>
      <c r="QWU112" s="4"/>
      <c r="QWV112" s="4"/>
      <c r="QWW112" s="4"/>
      <c r="QWX112" s="4"/>
      <c r="QWY112" s="4"/>
      <c r="QWZ112" s="4"/>
      <c r="QXA112" s="4"/>
      <c r="QXB112" s="4"/>
      <c r="QXC112" s="4"/>
      <c r="QXD112" s="4"/>
      <c r="QXE112" s="4"/>
      <c r="QXF112" s="4"/>
      <c r="QXG112" s="4"/>
      <c r="QXH112" s="4"/>
      <c r="QXI112" s="4"/>
      <c r="QXJ112" s="4"/>
      <c r="QXK112" s="4"/>
      <c r="QXL112" s="4"/>
      <c r="QXM112" s="4"/>
      <c r="QXN112" s="4"/>
      <c r="QXO112" s="4"/>
      <c r="QXP112" s="4"/>
      <c r="QXQ112" s="4"/>
      <c r="QXR112" s="4"/>
      <c r="QXS112" s="4"/>
      <c r="QXT112" s="4"/>
      <c r="QXU112" s="4"/>
      <c r="QXV112" s="4"/>
      <c r="QXW112" s="4"/>
      <c r="QXX112" s="4"/>
      <c r="QXY112" s="4"/>
      <c r="QXZ112" s="4"/>
      <c r="QYA112" s="4"/>
      <c r="QYB112" s="4"/>
      <c r="QYC112" s="4"/>
      <c r="QYD112" s="4"/>
      <c r="QYE112" s="4"/>
      <c r="QYF112" s="4"/>
      <c r="QYG112" s="4"/>
      <c r="QYH112" s="4"/>
      <c r="QYI112" s="4"/>
      <c r="QYJ112" s="4"/>
      <c r="QYK112" s="4"/>
      <c r="QYL112" s="4"/>
      <c r="QYM112" s="4"/>
      <c r="QYN112" s="4"/>
      <c r="QYO112" s="4"/>
      <c r="QYP112" s="4"/>
      <c r="QYQ112" s="4"/>
      <c r="QYR112" s="4"/>
      <c r="QYS112" s="4"/>
      <c r="QYT112" s="4"/>
      <c r="QYU112" s="4"/>
      <c r="QYV112" s="4"/>
      <c r="QYW112" s="4"/>
      <c r="QYX112" s="4"/>
      <c r="QYY112" s="4"/>
      <c r="QYZ112" s="4"/>
      <c r="QZA112" s="4"/>
      <c r="QZB112" s="4"/>
      <c r="QZC112" s="4"/>
      <c r="QZD112" s="4"/>
      <c r="QZE112" s="4"/>
      <c r="QZF112" s="4"/>
      <c r="QZG112" s="4"/>
      <c r="QZH112" s="4"/>
      <c r="QZI112" s="4"/>
      <c r="QZJ112" s="4"/>
      <c r="QZK112" s="4"/>
      <c r="QZL112" s="4"/>
      <c r="QZM112" s="4"/>
      <c r="QZN112" s="4"/>
      <c r="QZO112" s="4"/>
      <c r="QZP112" s="4"/>
      <c r="QZQ112" s="4"/>
      <c r="QZR112" s="4"/>
      <c r="QZS112" s="4"/>
      <c r="QZT112" s="4"/>
      <c r="QZU112" s="4"/>
      <c r="QZV112" s="4"/>
      <c r="QZW112" s="4"/>
      <c r="QZX112" s="4"/>
      <c r="QZY112" s="4"/>
      <c r="QZZ112" s="4"/>
      <c r="RAA112" s="4"/>
      <c r="RAB112" s="4"/>
      <c r="RAC112" s="4"/>
      <c r="RAD112" s="4"/>
      <c r="RAE112" s="4"/>
      <c r="RAF112" s="4"/>
      <c r="RAG112" s="4"/>
      <c r="RAH112" s="4"/>
      <c r="RAI112" s="4"/>
      <c r="RAJ112" s="4"/>
      <c r="RAK112" s="4"/>
      <c r="RAL112" s="4"/>
      <c r="RAM112" s="4"/>
      <c r="RAN112" s="4"/>
      <c r="RAO112" s="4"/>
      <c r="RAP112" s="4"/>
      <c r="RAQ112" s="4"/>
      <c r="RAR112" s="4"/>
      <c r="RAS112" s="4"/>
      <c r="RAT112" s="4"/>
      <c r="RAU112" s="4"/>
      <c r="RAV112" s="4"/>
      <c r="RAW112" s="4"/>
      <c r="RAX112" s="4"/>
      <c r="RAY112" s="4"/>
      <c r="RAZ112" s="4"/>
      <c r="RBA112" s="4"/>
      <c r="RBB112" s="4"/>
      <c r="RBC112" s="4"/>
      <c r="RBD112" s="4"/>
      <c r="RBE112" s="4"/>
      <c r="RBF112" s="4"/>
      <c r="RBG112" s="4"/>
      <c r="RBH112" s="4"/>
      <c r="RBI112" s="4"/>
      <c r="RBJ112" s="4"/>
      <c r="RBK112" s="4"/>
      <c r="RBL112" s="4"/>
      <c r="RBM112" s="4"/>
      <c r="RBN112" s="4"/>
      <c r="RBO112" s="4"/>
      <c r="RBP112" s="4"/>
      <c r="RBQ112" s="4"/>
      <c r="RBR112" s="4"/>
      <c r="RBS112" s="4"/>
      <c r="RBT112" s="4"/>
      <c r="RBU112" s="4"/>
      <c r="RBV112" s="4"/>
      <c r="RBW112" s="4"/>
      <c r="RBX112" s="4"/>
      <c r="RBY112" s="4"/>
      <c r="RBZ112" s="4"/>
      <c r="RCA112" s="4"/>
      <c r="RCB112" s="4"/>
      <c r="RCC112" s="4"/>
      <c r="RCD112" s="4"/>
      <c r="RCE112" s="4"/>
      <c r="RCF112" s="4"/>
      <c r="RCG112" s="4"/>
      <c r="RCH112" s="4"/>
      <c r="RCI112" s="4"/>
      <c r="RCJ112" s="4"/>
      <c r="RCK112" s="4"/>
      <c r="RCL112" s="4"/>
      <c r="RCM112" s="4"/>
      <c r="RCN112" s="4"/>
      <c r="RCO112" s="4"/>
      <c r="RCP112" s="4"/>
      <c r="RCQ112" s="4"/>
      <c r="RCR112" s="4"/>
      <c r="RCS112" s="4"/>
      <c r="RCT112" s="4"/>
      <c r="RCU112" s="4"/>
      <c r="RCV112" s="4"/>
      <c r="RCW112" s="4"/>
      <c r="RCX112" s="4"/>
      <c r="RCY112" s="4"/>
      <c r="RCZ112" s="4"/>
      <c r="RDA112" s="4"/>
      <c r="RDB112" s="4"/>
      <c r="RDC112" s="4"/>
      <c r="RDD112" s="4"/>
      <c r="RDE112" s="4"/>
      <c r="RDF112" s="4"/>
      <c r="RDG112" s="4"/>
      <c r="RDH112" s="4"/>
      <c r="RDI112" s="4"/>
      <c r="RDJ112" s="4"/>
      <c r="RDK112" s="4"/>
      <c r="RDL112" s="4"/>
      <c r="RDM112" s="4"/>
      <c r="RDN112" s="4"/>
      <c r="RDO112" s="4"/>
      <c r="RDP112" s="4"/>
      <c r="RDQ112" s="4"/>
      <c r="RDR112" s="4"/>
      <c r="RDS112" s="4"/>
      <c r="RDT112" s="4"/>
      <c r="RDU112" s="4"/>
      <c r="RDV112" s="4"/>
      <c r="RDW112" s="4"/>
      <c r="RDX112" s="4"/>
      <c r="RDY112" s="4"/>
      <c r="RDZ112" s="4"/>
      <c r="REA112" s="4"/>
      <c r="REB112" s="4"/>
      <c r="REC112" s="4"/>
      <c r="RED112" s="4"/>
      <c r="REE112" s="4"/>
      <c r="REF112" s="4"/>
      <c r="REG112" s="4"/>
      <c r="REH112" s="4"/>
      <c r="REI112" s="4"/>
      <c r="REJ112" s="4"/>
      <c r="REK112" s="4"/>
      <c r="REL112" s="4"/>
      <c r="REM112" s="4"/>
      <c r="REN112" s="4"/>
      <c r="REO112" s="4"/>
      <c r="REP112" s="4"/>
      <c r="REQ112" s="4"/>
      <c r="RER112" s="4"/>
      <c r="RES112" s="4"/>
      <c r="RET112" s="4"/>
      <c r="REU112" s="4"/>
      <c r="REV112" s="4"/>
      <c r="REW112" s="4"/>
      <c r="REX112" s="4"/>
      <c r="REY112" s="4"/>
      <c r="REZ112" s="4"/>
      <c r="RFA112" s="4"/>
      <c r="RFB112" s="4"/>
      <c r="RFC112" s="4"/>
      <c r="RFD112" s="4"/>
      <c r="RFE112" s="4"/>
      <c r="RFF112" s="4"/>
      <c r="RFG112" s="4"/>
      <c r="RFH112" s="4"/>
      <c r="RFI112" s="4"/>
      <c r="RFJ112" s="4"/>
      <c r="RFK112" s="4"/>
      <c r="RFL112" s="4"/>
      <c r="RFM112" s="4"/>
      <c r="RFN112" s="4"/>
      <c r="RFO112" s="4"/>
      <c r="RFP112" s="4"/>
      <c r="RFQ112" s="4"/>
      <c r="RFR112" s="4"/>
      <c r="RFS112" s="4"/>
      <c r="RFT112" s="4"/>
      <c r="RFU112" s="4"/>
      <c r="RFV112" s="4"/>
      <c r="RFW112" s="4"/>
      <c r="RFX112" s="4"/>
      <c r="RFY112" s="4"/>
      <c r="RFZ112" s="4"/>
      <c r="RGA112" s="4"/>
      <c r="RGB112" s="4"/>
      <c r="RGC112" s="4"/>
      <c r="RGD112" s="4"/>
      <c r="RGE112" s="4"/>
      <c r="RGF112" s="4"/>
      <c r="RGG112" s="4"/>
      <c r="RGH112" s="4"/>
      <c r="RGI112" s="4"/>
      <c r="RGJ112" s="4"/>
      <c r="RGK112" s="4"/>
      <c r="RGL112" s="4"/>
      <c r="RGM112" s="4"/>
      <c r="RGN112" s="4"/>
      <c r="RGO112" s="4"/>
      <c r="RGP112" s="4"/>
      <c r="RGQ112" s="4"/>
      <c r="RGR112" s="4"/>
      <c r="RGS112" s="4"/>
      <c r="RGT112" s="4"/>
      <c r="RGU112" s="4"/>
      <c r="RGV112" s="4"/>
      <c r="RGW112" s="4"/>
      <c r="RGX112" s="4"/>
      <c r="RGY112" s="4"/>
      <c r="RGZ112" s="4"/>
      <c r="RHA112" s="4"/>
      <c r="RHB112" s="4"/>
      <c r="RHC112" s="4"/>
      <c r="RHD112" s="4"/>
      <c r="RHE112" s="4"/>
      <c r="RHF112" s="4"/>
      <c r="RHG112" s="4"/>
      <c r="RHH112" s="4"/>
      <c r="RHI112" s="4"/>
      <c r="RHJ112" s="4"/>
      <c r="RHK112" s="4"/>
      <c r="RHL112" s="4"/>
      <c r="RHM112" s="4"/>
      <c r="RHN112" s="4"/>
      <c r="RHO112" s="4"/>
      <c r="RHP112" s="4"/>
      <c r="RHQ112" s="4"/>
      <c r="RHR112" s="4"/>
      <c r="RHS112" s="4"/>
      <c r="RHT112" s="4"/>
      <c r="RHU112" s="4"/>
      <c r="RHV112" s="4"/>
      <c r="RHW112" s="4"/>
      <c r="RHX112" s="4"/>
      <c r="RHY112" s="4"/>
      <c r="RHZ112" s="4"/>
      <c r="RIA112" s="4"/>
      <c r="RIB112" s="4"/>
      <c r="RIC112" s="4"/>
      <c r="RID112" s="4"/>
      <c r="RIE112" s="4"/>
      <c r="RIF112" s="4"/>
      <c r="RIG112" s="4"/>
      <c r="RIH112" s="4"/>
      <c r="RII112" s="4"/>
      <c r="RIJ112" s="4"/>
      <c r="RIK112" s="4"/>
      <c r="RIL112" s="4"/>
      <c r="RIM112" s="4"/>
      <c r="RIN112" s="4"/>
      <c r="RIO112" s="4"/>
      <c r="RIP112" s="4"/>
      <c r="RIQ112" s="4"/>
      <c r="RIR112" s="4"/>
      <c r="RIS112" s="4"/>
      <c r="RIT112" s="4"/>
      <c r="RIU112" s="4"/>
      <c r="RIV112" s="4"/>
      <c r="RIW112" s="4"/>
      <c r="RIX112" s="4"/>
      <c r="RIY112" s="4"/>
      <c r="RIZ112" s="4"/>
      <c r="RJA112" s="4"/>
      <c r="RJB112" s="4"/>
      <c r="RJC112" s="4"/>
      <c r="RJD112" s="4"/>
      <c r="RJE112" s="4"/>
      <c r="RJF112" s="4"/>
      <c r="RJG112" s="4"/>
      <c r="RJH112" s="4"/>
      <c r="RJI112" s="4"/>
      <c r="RJJ112" s="4"/>
      <c r="RJK112" s="4"/>
      <c r="RJL112" s="4"/>
      <c r="RJM112" s="4"/>
      <c r="RJN112" s="4"/>
      <c r="RJO112" s="4"/>
      <c r="RJP112" s="4"/>
      <c r="RJQ112" s="4"/>
      <c r="RJR112" s="4"/>
      <c r="RJS112" s="4"/>
      <c r="RJT112" s="4"/>
      <c r="RJU112" s="4"/>
      <c r="RJV112" s="4"/>
      <c r="RJW112" s="4"/>
      <c r="RJX112" s="4"/>
      <c r="RJY112" s="4"/>
      <c r="RJZ112" s="4"/>
      <c r="RKA112" s="4"/>
      <c r="RKB112" s="4"/>
      <c r="RKC112" s="4"/>
      <c r="RKD112" s="4"/>
      <c r="RKE112" s="4"/>
      <c r="RKF112" s="4"/>
      <c r="RKG112" s="4"/>
      <c r="RKH112" s="4"/>
      <c r="RKI112" s="4"/>
      <c r="RKJ112" s="4"/>
      <c r="RKK112" s="4"/>
      <c r="RKL112" s="4"/>
      <c r="RKM112" s="4"/>
      <c r="RKN112" s="4"/>
      <c r="RKO112" s="4"/>
      <c r="RKP112" s="4"/>
      <c r="RKQ112" s="4"/>
      <c r="RKR112" s="4"/>
      <c r="RKS112" s="4"/>
      <c r="RKT112" s="4"/>
      <c r="RKU112" s="4"/>
      <c r="RKV112" s="4"/>
      <c r="RKW112" s="4"/>
      <c r="RKX112" s="4"/>
      <c r="RKY112" s="4"/>
      <c r="RKZ112" s="4"/>
      <c r="RLA112" s="4"/>
      <c r="RLB112" s="4"/>
      <c r="RLC112" s="4"/>
      <c r="RLD112" s="4"/>
      <c r="RLE112" s="4"/>
      <c r="RLF112" s="4"/>
      <c r="RLG112" s="4"/>
      <c r="RLH112" s="4"/>
      <c r="RLI112" s="4"/>
      <c r="RLJ112" s="4"/>
      <c r="RLK112" s="4"/>
      <c r="RLL112" s="4"/>
      <c r="RLM112" s="4"/>
      <c r="RLN112" s="4"/>
      <c r="RLO112" s="4"/>
      <c r="RLP112" s="4"/>
      <c r="RLQ112" s="4"/>
      <c r="RLR112" s="4"/>
      <c r="RLS112" s="4"/>
      <c r="RLT112" s="4"/>
      <c r="RLU112" s="4"/>
      <c r="RLV112" s="4"/>
      <c r="RLW112" s="4"/>
      <c r="RLX112" s="4"/>
      <c r="RLY112" s="4"/>
      <c r="RLZ112" s="4"/>
      <c r="RMA112" s="4"/>
      <c r="RMB112" s="4"/>
      <c r="RMC112" s="4"/>
      <c r="RMD112" s="4"/>
      <c r="RME112" s="4"/>
      <c r="RMF112" s="4"/>
      <c r="RMG112" s="4"/>
      <c r="RMH112" s="4"/>
      <c r="RMI112" s="4"/>
      <c r="RMJ112" s="4"/>
      <c r="RMK112" s="4"/>
      <c r="RML112" s="4"/>
      <c r="RMM112" s="4"/>
      <c r="RMN112" s="4"/>
      <c r="RMO112" s="4"/>
      <c r="RMP112" s="4"/>
      <c r="RMQ112" s="4"/>
      <c r="RMR112" s="4"/>
      <c r="RMS112" s="4"/>
      <c r="RMT112" s="4"/>
      <c r="RMU112" s="4"/>
      <c r="RMV112" s="4"/>
      <c r="RMW112" s="4"/>
      <c r="RMX112" s="4"/>
      <c r="RMY112" s="4"/>
      <c r="RMZ112" s="4"/>
      <c r="RNA112" s="4"/>
      <c r="RNB112" s="4"/>
      <c r="RNC112" s="4"/>
      <c r="RND112" s="4"/>
      <c r="RNE112" s="4"/>
      <c r="RNF112" s="4"/>
      <c r="RNG112" s="4"/>
      <c r="RNH112" s="4"/>
      <c r="RNI112" s="4"/>
      <c r="RNJ112" s="4"/>
      <c r="RNK112" s="4"/>
      <c r="RNL112" s="4"/>
      <c r="RNM112" s="4"/>
      <c r="RNN112" s="4"/>
      <c r="RNO112" s="4"/>
      <c r="RNP112" s="4"/>
      <c r="RNQ112" s="4"/>
      <c r="RNR112" s="4"/>
      <c r="RNS112" s="4"/>
      <c r="RNT112" s="4"/>
      <c r="RNU112" s="4"/>
      <c r="RNV112" s="4"/>
      <c r="RNW112" s="4"/>
      <c r="RNX112" s="4"/>
      <c r="RNY112" s="4"/>
      <c r="RNZ112" s="4"/>
      <c r="ROA112" s="4"/>
      <c r="ROB112" s="4"/>
      <c r="ROC112" s="4"/>
      <c r="ROD112" s="4"/>
      <c r="ROE112" s="4"/>
      <c r="ROF112" s="4"/>
      <c r="ROG112" s="4"/>
      <c r="ROH112" s="4"/>
      <c r="ROI112" s="4"/>
      <c r="ROJ112" s="4"/>
      <c r="ROK112" s="4"/>
      <c r="ROL112" s="4"/>
      <c r="ROM112" s="4"/>
      <c r="RON112" s="4"/>
      <c r="ROO112" s="4"/>
      <c r="ROP112" s="4"/>
      <c r="ROQ112" s="4"/>
      <c r="ROR112" s="4"/>
      <c r="ROS112" s="4"/>
      <c r="ROT112" s="4"/>
      <c r="ROU112" s="4"/>
      <c r="ROV112" s="4"/>
      <c r="ROW112" s="4"/>
      <c r="ROX112" s="4"/>
      <c r="ROY112" s="4"/>
      <c r="ROZ112" s="4"/>
      <c r="RPA112" s="4"/>
      <c r="RPB112" s="4"/>
      <c r="RPC112" s="4"/>
      <c r="RPD112" s="4"/>
      <c r="RPE112" s="4"/>
      <c r="RPF112" s="4"/>
      <c r="RPG112" s="4"/>
      <c r="RPH112" s="4"/>
      <c r="RPI112" s="4"/>
      <c r="RPJ112" s="4"/>
      <c r="RPK112" s="4"/>
      <c r="RPL112" s="4"/>
      <c r="RPM112" s="4"/>
      <c r="RPN112" s="4"/>
      <c r="RPO112" s="4"/>
      <c r="RPP112" s="4"/>
      <c r="RPQ112" s="4"/>
      <c r="RPR112" s="4"/>
      <c r="RPS112" s="4"/>
      <c r="RPT112" s="4"/>
      <c r="RPU112" s="4"/>
      <c r="RPV112" s="4"/>
      <c r="RPW112" s="4"/>
      <c r="RPX112" s="4"/>
      <c r="RPY112" s="4"/>
      <c r="RPZ112" s="4"/>
      <c r="RQA112" s="4"/>
      <c r="RQB112" s="4"/>
      <c r="RQC112" s="4"/>
      <c r="RQD112" s="4"/>
      <c r="RQE112" s="4"/>
      <c r="RQF112" s="4"/>
      <c r="RQG112" s="4"/>
      <c r="RQH112" s="4"/>
      <c r="RQI112" s="4"/>
      <c r="RQJ112" s="4"/>
      <c r="RQK112" s="4"/>
      <c r="RQL112" s="4"/>
      <c r="RQM112" s="4"/>
      <c r="RQN112" s="4"/>
      <c r="RQO112" s="4"/>
      <c r="RQP112" s="4"/>
      <c r="RQQ112" s="4"/>
      <c r="RQR112" s="4"/>
      <c r="RQS112" s="4"/>
      <c r="RQT112" s="4"/>
      <c r="RQU112" s="4"/>
      <c r="RQV112" s="4"/>
      <c r="RQW112" s="4"/>
      <c r="RQX112" s="4"/>
      <c r="RQY112" s="4"/>
      <c r="RQZ112" s="4"/>
      <c r="RRA112" s="4"/>
      <c r="RRB112" s="4"/>
      <c r="RRC112" s="4"/>
      <c r="RRD112" s="4"/>
      <c r="RRE112" s="4"/>
      <c r="RRF112" s="4"/>
      <c r="RRG112" s="4"/>
      <c r="RRH112" s="4"/>
      <c r="RRI112" s="4"/>
      <c r="RRJ112" s="4"/>
      <c r="RRK112" s="4"/>
      <c r="RRL112" s="4"/>
      <c r="RRM112" s="4"/>
      <c r="RRN112" s="4"/>
      <c r="RRO112" s="4"/>
      <c r="RRP112" s="4"/>
      <c r="RRQ112" s="4"/>
      <c r="RRR112" s="4"/>
      <c r="RRS112" s="4"/>
      <c r="RRT112" s="4"/>
      <c r="RRU112" s="4"/>
      <c r="RRV112" s="4"/>
      <c r="RRW112" s="4"/>
      <c r="RRX112" s="4"/>
      <c r="RRY112" s="4"/>
      <c r="RRZ112" s="4"/>
      <c r="RSA112" s="4"/>
      <c r="RSB112" s="4"/>
      <c r="RSC112" s="4"/>
      <c r="RSD112" s="4"/>
      <c r="RSE112" s="4"/>
      <c r="RSF112" s="4"/>
      <c r="RSG112" s="4"/>
      <c r="RSH112" s="4"/>
      <c r="RSI112" s="4"/>
      <c r="RSJ112" s="4"/>
      <c r="RSK112" s="4"/>
      <c r="RSL112" s="4"/>
      <c r="RSM112" s="4"/>
      <c r="RSN112" s="4"/>
      <c r="RSO112" s="4"/>
      <c r="RSP112" s="4"/>
      <c r="RSQ112" s="4"/>
      <c r="RSR112" s="4"/>
      <c r="RSS112" s="4"/>
      <c r="RST112" s="4"/>
      <c r="RSU112" s="4"/>
      <c r="RSV112" s="4"/>
      <c r="RSW112" s="4"/>
      <c r="RSX112" s="4"/>
      <c r="RSY112" s="4"/>
      <c r="RSZ112" s="4"/>
      <c r="RTA112" s="4"/>
      <c r="RTB112" s="4"/>
      <c r="RTC112" s="4"/>
      <c r="RTD112" s="4"/>
      <c r="RTE112" s="4"/>
      <c r="RTF112" s="4"/>
      <c r="RTG112" s="4"/>
      <c r="RTH112" s="4"/>
      <c r="RTI112" s="4"/>
      <c r="RTJ112" s="4"/>
      <c r="RTK112" s="4"/>
      <c r="RTL112" s="4"/>
      <c r="RTM112" s="4"/>
      <c r="RTN112" s="4"/>
      <c r="RTO112" s="4"/>
      <c r="RTP112" s="4"/>
      <c r="RTQ112" s="4"/>
      <c r="RTR112" s="4"/>
      <c r="RTS112" s="4"/>
      <c r="RTT112" s="4"/>
      <c r="RTU112" s="4"/>
      <c r="RTV112" s="4"/>
      <c r="RTW112" s="4"/>
      <c r="RTX112" s="4"/>
      <c r="RTY112" s="4"/>
      <c r="RTZ112" s="4"/>
      <c r="RUA112" s="4"/>
      <c r="RUB112" s="4"/>
      <c r="RUC112" s="4"/>
      <c r="RUD112" s="4"/>
      <c r="RUE112" s="4"/>
      <c r="RUF112" s="4"/>
      <c r="RUG112" s="4"/>
      <c r="RUH112" s="4"/>
      <c r="RUI112" s="4"/>
      <c r="RUJ112" s="4"/>
      <c r="RUK112" s="4"/>
      <c r="RUL112" s="4"/>
      <c r="RUM112" s="4"/>
      <c r="RUN112" s="4"/>
      <c r="RUO112" s="4"/>
      <c r="RUP112" s="4"/>
      <c r="RUQ112" s="4"/>
      <c r="RUR112" s="4"/>
      <c r="RUS112" s="4"/>
      <c r="RUT112" s="4"/>
      <c r="RUU112" s="4"/>
      <c r="RUV112" s="4"/>
      <c r="RUW112" s="4"/>
      <c r="RUX112" s="4"/>
      <c r="RUY112" s="4"/>
      <c r="RUZ112" s="4"/>
      <c r="RVA112" s="4"/>
      <c r="RVB112" s="4"/>
      <c r="RVC112" s="4"/>
      <c r="RVD112" s="4"/>
      <c r="RVE112" s="4"/>
      <c r="RVF112" s="4"/>
      <c r="RVG112" s="4"/>
      <c r="RVH112" s="4"/>
      <c r="RVI112" s="4"/>
      <c r="RVJ112" s="4"/>
      <c r="RVK112" s="4"/>
      <c r="RVL112" s="4"/>
      <c r="RVM112" s="4"/>
      <c r="RVN112" s="4"/>
      <c r="RVO112" s="4"/>
      <c r="RVP112" s="4"/>
      <c r="RVQ112" s="4"/>
      <c r="RVR112" s="4"/>
      <c r="RVS112" s="4"/>
      <c r="RVT112" s="4"/>
      <c r="RVU112" s="4"/>
      <c r="RVV112" s="4"/>
      <c r="RVW112" s="4"/>
      <c r="RVX112" s="4"/>
      <c r="RVY112" s="4"/>
      <c r="RVZ112" s="4"/>
      <c r="RWA112" s="4"/>
      <c r="RWB112" s="4"/>
      <c r="RWC112" s="4"/>
      <c r="RWD112" s="4"/>
      <c r="RWE112" s="4"/>
      <c r="RWF112" s="4"/>
      <c r="RWG112" s="4"/>
      <c r="RWH112" s="4"/>
      <c r="RWI112" s="4"/>
      <c r="RWJ112" s="4"/>
      <c r="RWK112" s="4"/>
      <c r="RWL112" s="4"/>
      <c r="RWM112" s="4"/>
      <c r="RWN112" s="4"/>
      <c r="RWO112" s="4"/>
      <c r="RWP112" s="4"/>
      <c r="RWQ112" s="4"/>
      <c r="RWR112" s="4"/>
      <c r="RWS112" s="4"/>
      <c r="RWT112" s="4"/>
      <c r="RWU112" s="4"/>
      <c r="RWV112" s="4"/>
      <c r="RWW112" s="4"/>
      <c r="RWX112" s="4"/>
      <c r="RWY112" s="4"/>
      <c r="RWZ112" s="4"/>
      <c r="RXA112" s="4"/>
      <c r="RXB112" s="4"/>
      <c r="RXC112" s="4"/>
      <c r="RXD112" s="4"/>
      <c r="RXE112" s="4"/>
      <c r="RXF112" s="4"/>
      <c r="RXG112" s="4"/>
      <c r="RXH112" s="4"/>
      <c r="RXI112" s="4"/>
      <c r="RXJ112" s="4"/>
      <c r="RXK112" s="4"/>
      <c r="RXL112" s="4"/>
      <c r="RXM112" s="4"/>
      <c r="RXN112" s="4"/>
      <c r="RXO112" s="4"/>
      <c r="RXP112" s="4"/>
      <c r="RXQ112" s="4"/>
      <c r="RXR112" s="4"/>
      <c r="RXS112" s="4"/>
      <c r="RXT112" s="4"/>
      <c r="RXU112" s="4"/>
      <c r="RXV112" s="4"/>
      <c r="RXW112" s="4"/>
      <c r="RXX112" s="4"/>
      <c r="RXY112" s="4"/>
      <c r="RXZ112" s="4"/>
      <c r="RYA112" s="4"/>
      <c r="RYB112" s="4"/>
      <c r="RYC112" s="4"/>
      <c r="RYD112" s="4"/>
      <c r="RYE112" s="4"/>
      <c r="RYF112" s="4"/>
      <c r="RYG112" s="4"/>
      <c r="RYH112" s="4"/>
      <c r="RYI112" s="4"/>
      <c r="RYJ112" s="4"/>
      <c r="RYK112" s="4"/>
      <c r="RYL112" s="4"/>
      <c r="RYM112" s="4"/>
      <c r="RYN112" s="4"/>
      <c r="RYO112" s="4"/>
      <c r="RYP112" s="4"/>
      <c r="RYQ112" s="4"/>
      <c r="RYR112" s="4"/>
      <c r="RYS112" s="4"/>
      <c r="RYT112" s="4"/>
      <c r="RYU112" s="4"/>
      <c r="RYV112" s="4"/>
      <c r="RYW112" s="4"/>
      <c r="RYX112" s="4"/>
      <c r="RYY112" s="4"/>
      <c r="RYZ112" s="4"/>
      <c r="RZA112" s="4"/>
      <c r="RZB112" s="4"/>
      <c r="RZC112" s="4"/>
      <c r="RZD112" s="4"/>
      <c r="RZE112" s="4"/>
      <c r="RZF112" s="4"/>
      <c r="RZG112" s="4"/>
      <c r="RZH112" s="4"/>
      <c r="RZI112" s="4"/>
      <c r="RZJ112" s="4"/>
      <c r="RZK112" s="4"/>
      <c r="RZL112" s="4"/>
      <c r="RZM112" s="4"/>
      <c r="RZN112" s="4"/>
      <c r="RZO112" s="4"/>
      <c r="RZP112" s="4"/>
      <c r="RZQ112" s="4"/>
      <c r="RZR112" s="4"/>
      <c r="RZS112" s="4"/>
      <c r="RZT112" s="4"/>
      <c r="RZU112" s="4"/>
      <c r="RZV112" s="4"/>
      <c r="RZW112" s="4"/>
      <c r="RZX112" s="4"/>
      <c r="RZY112" s="4"/>
      <c r="RZZ112" s="4"/>
      <c r="SAA112" s="4"/>
      <c r="SAB112" s="4"/>
      <c r="SAC112" s="4"/>
      <c r="SAD112" s="4"/>
      <c r="SAE112" s="4"/>
      <c r="SAF112" s="4"/>
      <c r="SAG112" s="4"/>
      <c r="SAH112" s="4"/>
      <c r="SAI112" s="4"/>
      <c r="SAJ112" s="4"/>
      <c r="SAK112" s="4"/>
      <c r="SAL112" s="4"/>
      <c r="SAM112" s="4"/>
      <c r="SAN112" s="4"/>
      <c r="SAO112" s="4"/>
      <c r="SAP112" s="4"/>
      <c r="SAQ112" s="4"/>
      <c r="SAR112" s="4"/>
      <c r="SAS112" s="4"/>
      <c r="SAT112" s="4"/>
      <c r="SAU112" s="4"/>
      <c r="SAV112" s="4"/>
      <c r="SAW112" s="4"/>
      <c r="SAX112" s="4"/>
      <c r="SAY112" s="4"/>
      <c r="SAZ112" s="4"/>
      <c r="SBA112" s="4"/>
      <c r="SBB112" s="4"/>
      <c r="SBC112" s="4"/>
      <c r="SBD112" s="4"/>
      <c r="SBE112" s="4"/>
      <c r="SBF112" s="4"/>
      <c r="SBG112" s="4"/>
      <c r="SBH112" s="4"/>
      <c r="SBI112" s="4"/>
      <c r="SBJ112" s="4"/>
      <c r="SBK112" s="4"/>
      <c r="SBL112" s="4"/>
      <c r="SBM112" s="4"/>
      <c r="SBN112" s="4"/>
      <c r="SBO112" s="4"/>
      <c r="SBP112" s="4"/>
      <c r="SBQ112" s="4"/>
      <c r="SBR112" s="4"/>
      <c r="SBS112" s="4"/>
      <c r="SBT112" s="4"/>
      <c r="SBU112" s="4"/>
      <c r="SBV112" s="4"/>
      <c r="SBW112" s="4"/>
      <c r="SBX112" s="4"/>
      <c r="SBY112" s="4"/>
      <c r="SBZ112" s="4"/>
      <c r="SCA112" s="4"/>
      <c r="SCB112" s="4"/>
      <c r="SCC112" s="4"/>
      <c r="SCD112" s="4"/>
      <c r="SCE112" s="4"/>
      <c r="SCF112" s="4"/>
      <c r="SCG112" s="4"/>
      <c r="SCH112" s="4"/>
      <c r="SCI112" s="4"/>
      <c r="SCJ112" s="4"/>
      <c r="SCK112" s="4"/>
      <c r="SCL112" s="4"/>
      <c r="SCM112" s="4"/>
      <c r="SCN112" s="4"/>
      <c r="SCO112" s="4"/>
      <c r="SCP112" s="4"/>
      <c r="SCQ112" s="4"/>
      <c r="SCR112" s="4"/>
      <c r="SCS112" s="4"/>
      <c r="SCT112" s="4"/>
      <c r="SCU112" s="4"/>
      <c r="SCV112" s="4"/>
      <c r="SCW112" s="4"/>
      <c r="SCX112" s="4"/>
      <c r="SCY112" s="4"/>
      <c r="SCZ112" s="4"/>
      <c r="SDA112" s="4"/>
      <c r="SDB112" s="4"/>
      <c r="SDC112" s="4"/>
      <c r="SDD112" s="4"/>
      <c r="SDE112" s="4"/>
      <c r="SDF112" s="4"/>
      <c r="SDG112" s="4"/>
      <c r="SDH112" s="4"/>
      <c r="SDI112" s="4"/>
      <c r="SDJ112" s="4"/>
      <c r="SDK112" s="4"/>
      <c r="SDL112" s="4"/>
      <c r="SDM112" s="4"/>
      <c r="SDN112" s="4"/>
      <c r="SDO112" s="4"/>
      <c r="SDP112" s="4"/>
      <c r="SDQ112" s="4"/>
      <c r="SDR112" s="4"/>
      <c r="SDS112" s="4"/>
      <c r="SDT112" s="4"/>
      <c r="SDU112" s="4"/>
      <c r="SDV112" s="4"/>
      <c r="SDW112" s="4"/>
      <c r="SDX112" s="4"/>
      <c r="SDY112" s="4"/>
      <c r="SDZ112" s="4"/>
      <c r="SEA112" s="4"/>
      <c r="SEB112" s="4"/>
      <c r="SEC112" s="4"/>
      <c r="SED112" s="4"/>
      <c r="SEE112" s="4"/>
      <c r="SEF112" s="4"/>
      <c r="SEG112" s="4"/>
      <c r="SEH112" s="4"/>
      <c r="SEI112" s="4"/>
      <c r="SEJ112" s="4"/>
      <c r="SEK112" s="4"/>
      <c r="SEL112" s="4"/>
      <c r="SEM112" s="4"/>
      <c r="SEN112" s="4"/>
      <c r="SEO112" s="4"/>
      <c r="SEP112" s="4"/>
      <c r="SEQ112" s="4"/>
      <c r="SER112" s="4"/>
      <c r="SES112" s="4"/>
      <c r="SET112" s="4"/>
      <c r="SEU112" s="4"/>
      <c r="SEV112" s="4"/>
      <c r="SEW112" s="4"/>
      <c r="SEX112" s="4"/>
      <c r="SEY112" s="4"/>
      <c r="SEZ112" s="4"/>
      <c r="SFA112" s="4"/>
      <c r="SFB112" s="4"/>
      <c r="SFC112" s="4"/>
      <c r="SFD112" s="4"/>
      <c r="SFE112" s="4"/>
      <c r="SFF112" s="4"/>
      <c r="SFG112" s="4"/>
      <c r="SFH112" s="4"/>
      <c r="SFI112" s="4"/>
      <c r="SFJ112" s="4"/>
      <c r="SFK112" s="4"/>
      <c r="SFL112" s="4"/>
      <c r="SFM112" s="4"/>
      <c r="SFN112" s="4"/>
      <c r="SFO112" s="4"/>
      <c r="SFP112" s="4"/>
      <c r="SFQ112" s="4"/>
      <c r="SFR112" s="4"/>
      <c r="SFS112" s="4"/>
      <c r="SFT112" s="4"/>
      <c r="SFU112" s="4"/>
      <c r="SFV112" s="4"/>
      <c r="SFW112" s="4"/>
      <c r="SFX112" s="4"/>
      <c r="SFY112" s="4"/>
      <c r="SFZ112" s="4"/>
      <c r="SGA112" s="4"/>
      <c r="SGB112" s="4"/>
      <c r="SGC112" s="4"/>
      <c r="SGD112" s="4"/>
      <c r="SGE112" s="4"/>
      <c r="SGF112" s="4"/>
      <c r="SGG112" s="4"/>
      <c r="SGH112" s="4"/>
      <c r="SGI112" s="4"/>
      <c r="SGJ112" s="4"/>
      <c r="SGK112" s="4"/>
      <c r="SGL112" s="4"/>
      <c r="SGM112" s="4"/>
      <c r="SGN112" s="4"/>
      <c r="SGO112" s="4"/>
      <c r="SGP112" s="4"/>
      <c r="SGQ112" s="4"/>
      <c r="SGR112" s="4"/>
      <c r="SGS112" s="4"/>
      <c r="SGT112" s="4"/>
      <c r="SGU112" s="4"/>
      <c r="SGV112" s="4"/>
      <c r="SGW112" s="4"/>
      <c r="SGX112" s="4"/>
      <c r="SGY112" s="4"/>
      <c r="SGZ112" s="4"/>
      <c r="SHA112" s="4"/>
      <c r="SHB112" s="4"/>
      <c r="SHC112" s="4"/>
      <c r="SHD112" s="4"/>
      <c r="SHE112" s="4"/>
      <c r="SHF112" s="4"/>
      <c r="SHG112" s="4"/>
      <c r="SHH112" s="4"/>
      <c r="SHI112" s="4"/>
      <c r="SHJ112" s="4"/>
      <c r="SHK112" s="4"/>
      <c r="SHL112" s="4"/>
      <c r="SHM112" s="4"/>
      <c r="SHN112" s="4"/>
      <c r="SHO112" s="4"/>
      <c r="SHP112" s="4"/>
      <c r="SHQ112" s="4"/>
      <c r="SHR112" s="4"/>
      <c r="SHS112" s="4"/>
      <c r="SHT112" s="4"/>
      <c r="SHU112" s="4"/>
      <c r="SHV112" s="4"/>
      <c r="SHW112" s="4"/>
      <c r="SHX112" s="4"/>
      <c r="SHY112" s="4"/>
      <c r="SHZ112" s="4"/>
      <c r="SIA112" s="4"/>
      <c r="SIB112" s="4"/>
      <c r="SIC112" s="4"/>
      <c r="SID112" s="4"/>
      <c r="SIE112" s="4"/>
      <c r="SIF112" s="4"/>
      <c r="SIG112" s="4"/>
      <c r="SIH112" s="4"/>
      <c r="SII112" s="4"/>
      <c r="SIJ112" s="4"/>
      <c r="SIK112" s="4"/>
      <c r="SIL112" s="4"/>
      <c r="SIM112" s="4"/>
      <c r="SIN112" s="4"/>
      <c r="SIO112" s="4"/>
      <c r="SIP112" s="4"/>
      <c r="SIQ112" s="4"/>
      <c r="SIR112" s="4"/>
      <c r="SIS112" s="4"/>
      <c r="SIT112" s="4"/>
      <c r="SIU112" s="4"/>
      <c r="SIV112" s="4"/>
      <c r="SIW112" s="4"/>
      <c r="SIX112" s="4"/>
      <c r="SIY112" s="4"/>
      <c r="SIZ112" s="4"/>
      <c r="SJA112" s="4"/>
      <c r="SJB112" s="4"/>
      <c r="SJC112" s="4"/>
      <c r="SJD112" s="4"/>
      <c r="SJE112" s="4"/>
      <c r="SJF112" s="4"/>
      <c r="SJG112" s="4"/>
      <c r="SJH112" s="4"/>
      <c r="SJI112" s="4"/>
      <c r="SJJ112" s="4"/>
      <c r="SJK112" s="4"/>
      <c r="SJL112" s="4"/>
      <c r="SJM112" s="4"/>
      <c r="SJN112" s="4"/>
      <c r="SJO112" s="4"/>
      <c r="SJP112" s="4"/>
      <c r="SJQ112" s="4"/>
      <c r="SJR112" s="4"/>
      <c r="SJS112" s="4"/>
      <c r="SJT112" s="4"/>
      <c r="SJU112" s="4"/>
      <c r="SJV112" s="4"/>
      <c r="SJW112" s="4"/>
      <c r="SJX112" s="4"/>
      <c r="SJY112" s="4"/>
      <c r="SJZ112" s="4"/>
      <c r="SKA112" s="4"/>
      <c r="SKB112" s="4"/>
      <c r="SKC112" s="4"/>
      <c r="SKD112" s="4"/>
      <c r="SKE112" s="4"/>
      <c r="SKF112" s="4"/>
      <c r="SKG112" s="4"/>
      <c r="SKH112" s="4"/>
      <c r="SKI112" s="4"/>
      <c r="SKJ112" s="4"/>
      <c r="SKK112" s="4"/>
      <c r="SKL112" s="4"/>
      <c r="SKM112" s="4"/>
      <c r="SKN112" s="4"/>
      <c r="SKO112" s="4"/>
      <c r="SKP112" s="4"/>
      <c r="SKQ112" s="4"/>
      <c r="SKR112" s="4"/>
      <c r="SKS112" s="4"/>
      <c r="SKT112" s="4"/>
      <c r="SKU112" s="4"/>
      <c r="SKV112" s="4"/>
      <c r="SKW112" s="4"/>
      <c r="SKX112" s="4"/>
      <c r="SKY112" s="4"/>
      <c r="SKZ112" s="4"/>
      <c r="SLA112" s="4"/>
      <c r="SLB112" s="4"/>
      <c r="SLC112" s="4"/>
      <c r="SLD112" s="4"/>
      <c r="SLE112" s="4"/>
      <c r="SLF112" s="4"/>
      <c r="SLG112" s="4"/>
      <c r="SLH112" s="4"/>
      <c r="SLI112" s="4"/>
      <c r="SLJ112" s="4"/>
      <c r="SLK112" s="4"/>
      <c r="SLL112" s="4"/>
      <c r="SLM112" s="4"/>
      <c r="SLN112" s="4"/>
      <c r="SLO112" s="4"/>
      <c r="SLP112" s="4"/>
      <c r="SLQ112" s="4"/>
      <c r="SLR112" s="4"/>
      <c r="SLS112" s="4"/>
      <c r="SLT112" s="4"/>
      <c r="SLU112" s="4"/>
      <c r="SLV112" s="4"/>
      <c r="SLW112" s="4"/>
      <c r="SLX112" s="4"/>
      <c r="SLY112" s="4"/>
      <c r="SLZ112" s="4"/>
      <c r="SMA112" s="4"/>
      <c r="SMB112" s="4"/>
      <c r="SMC112" s="4"/>
      <c r="SMD112" s="4"/>
      <c r="SME112" s="4"/>
      <c r="SMF112" s="4"/>
      <c r="SMG112" s="4"/>
      <c r="SMH112" s="4"/>
      <c r="SMI112" s="4"/>
      <c r="SMJ112" s="4"/>
      <c r="SMK112" s="4"/>
      <c r="SML112" s="4"/>
      <c r="SMM112" s="4"/>
      <c r="SMN112" s="4"/>
      <c r="SMO112" s="4"/>
      <c r="SMP112" s="4"/>
      <c r="SMQ112" s="4"/>
      <c r="SMR112" s="4"/>
      <c r="SMS112" s="4"/>
      <c r="SMT112" s="4"/>
      <c r="SMU112" s="4"/>
      <c r="SMV112" s="4"/>
      <c r="SMW112" s="4"/>
      <c r="SMX112" s="4"/>
      <c r="SMY112" s="4"/>
      <c r="SMZ112" s="4"/>
      <c r="SNA112" s="4"/>
      <c r="SNB112" s="4"/>
      <c r="SNC112" s="4"/>
      <c r="SND112" s="4"/>
      <c r="SNE112" s="4"/>
      <c r="SNF112" s="4"/>
      <c r="SNG112" s="4"/>
      <c r="SNH112" s="4"/>
      <c r="SNI112" s="4"/>
      <c r="SNJ112" s="4"/>
      <c r="SNK112" s="4"/>
      <c r="SNL112" s="4"/>
      <c r="SNM112" s="4"/>
      <c r="SNN112" s="4"/>
      <c r="SNO112" s="4"/>
      <c r="SNP112" s="4"/>
      <c r="SNQ112" s="4"/>
      <c r="SNR112" s="4"/>
      <c r="SNS112" s="4"/>
      <c r="SNT112" s="4"/>
      <c r="SNU112" s="4"/>
      <c r="SNV112" s="4"/>
      <c r="SNW112" s="4"/>
      <c r="SNX112" s="4"/>
      <c r="SNY112" s="4"/>
      <c r="SNZ112" s="4"/>
      <c r="SOA112" s="4"/>
      <c r="SOB112" s="4"/>
      <c r="SOC112" s="4"/>
      <c r="SOD112" s="4"/>
      <c r="SOE112" s="4"/>
      <c r="SOF112" s="4"/>
      <c r="SOG112" s="4"/>
      <c r="SOH112" s="4"/>
      <c r="SOI112" s="4"/>
      <c r="SOJ112" s="4"/>
      <c r="SOK112" s="4"/>
      <c r="SOL112" s="4"/>
      <c r="SOM112" s="4"/>
      <c r="SON112" s="4"/>
      <c r="SOO112" s="4"/>
      <c r="SOP112" s="4"/>
      <c r="SOQ112" s="4"/>
      <c r="SOR112" s="4"/>
      <c r="SOS112" s="4"/>
      <c r="SOT112" s="4"/>
      <c r="SOU112" s="4"/>
      <c r="SOV112" s="4"/>
      <c r="SOW112" s="4"/>
      <c r="SOX112" s="4"/>
      <c r="SOY112" s="4"/>
      <c r="SOZ112" s="4"/>
      <c r="SPA112" s="4"/>
      <c r="SPB112" s="4"/>
      <c r="SPC112" s="4"/>
      <c r="SPD112" s="4"/>
      <c r="SPE112" s="4"/>
      <c r="SPF112" s="4"/>
      <c r="SPG112" s="4"/>
      <c r="SPH112" s="4"/>
      <c r="SPI112" s="4"/>
      <c r="SPJ112" s="4"/>
      <c r="SPK112" s="4"/>
      <c r="SPL112" s="4"/>
      <c r="SPM112" s="4"/>
      <c r="SPN112" s="4"/>
      <c r="SPO112" s="4"/>
      <c r="SPP112" s="4"/>
      <c r="SPQ112" s="4"/>
      <c r="SPR112" s="4"/>
      <c r="SPS112" s="4"/>
      <c r="SPT112" s="4"/>
      <c r="SPU112" s="4"/>
      <c r="SPV112" s="4"/>
      <c r="SPW112" s="4"/>
      <c r="SPX112" s="4"/>
      <c r="SPY112" s="4"/>
      <c r="SPZ112" s="4"/>
      <c r="SQA112" s="4"/>
      <c r="SQB112" s="4"/>
      <c r="SQC112" s="4"/>
      <c r="SQD112" s="4"/>
      <c r="SQE112" s="4"/>
      <c r="SQF112" s="4"/>
      <c r="SQG112" s="4"/>
      <c r="SQH112" s="4"/>
      <c r="SQI112" s="4"/>
      <c r="SQJ112" s="4"/>
      <c r="SQK112" s="4"/>
      <c r="SQL112" s="4"/>
      <c r="SQM112" s="4"/>
      <c r="SQN112" s="4"/>
      <c r="SQO112" s="4"/>
      <c r="SQP112" s="4"/>
      <c r="SQQ112" s="4"/>
      <c r="SQR112" s="4"/>
      <c r="SQS112" s="4"/>
      <c r="SQT112" s="4"/>
      <c r="SQU112" s="4"/>
      <c r="SQV112" s="4"/>
      <c r="SQW112" s="4"/>
      <c r="SQX112" s="4"/>
      <c r="SQY112" s="4"/>
      <c r="SQZ112" s="4"/>
      <c r="SRA112" s="4"/>
      <c r="SRB112" s="4"/>
      <c r="SRC112" s="4"/>
      <c r="SRD112" s="4"/>
      <c r="SRE112" s="4"/>
      <c r="SRF112" s="4"/>
      <c r="SRG112" s="4"/>
      <c r="SRH112" s="4"/>
      <c r="SRI112" s="4"/>
      <c r="SRJ112" s="4"/>
      <c r="SRK112" s="4"/>
      <c r="SRL112" s="4"/>
      <c r="SRM112" s="4"/>
      <c r="SRN112" s="4"/>
      <c r="SRO112" s="4"/>
      <c r="SRP112" s="4"/>
      <c r="SRQ112" s="4"/>
      <c r="SRR112" s="4"/>
      <c r="SRS112" s="4"/>
      <c r="SRT112" s="4"/>
      <c r="SRU112" s="4"/>
      <c r="SRV112" s="4"/>
      <c r="SRW112" s="4"/>
      <c r="SRX112" s="4"/>
      <c r="SRY112" s="4"/>
      <c r="SRZ112" s="4"/>
      <c r="SSA112" s="4"/>
      <c r="SSB112" s="4"/>
      <c r="SSC112" s="4"/>
      <c r="SSD112" s="4"/>
      <c r="SSE112" s="4"/>
      <c r="SSF112" s="4"/>
      <c r="SSG112" s="4"/>
      <c r="SSH112" s="4"/>
      <c r="SSI112" s="4"/>
      <c r="SSJ112" s="4"/>
      <c r="SSK112" s="4"/>
      <c r="SSL112" s="4"/>
      <c r="SSM112" s="4"/>
      <c r="SSN112" s="4"/>
      <c r="SSO112" s="4"/>
      <c r="SSP112" s="4"/>
      <c r="SSQ112" s="4"/>
      <c r="SSR112" s="4"/>
      <c r="SSS112" s="4"/>
      <c r="SST112" s="4"/>
      <c r="SSU112" s="4"/>
      <c r="SSV112" s="4"/>
      <c r="SSW112" s="4"/>
      <c r="SSX112" s="4"/>
      <c r="SSY112" s="4"/>
      <c r="SSZ112" s="4"/>
      <c r="STA112" s="4"/>
      <c r="STB112" s="4"/>
      <c r="STC112" s="4"/>
      <c r="STD112" s="4"/>
      <c r="STE112" s="4"/>
      <c r="STF112" s="4"/>
      <c r="STG112" s="4"/>
      <c r="STH112" s="4"/>
      <c r="STI112" s="4"/>
      <c r="STJ112" s="4"/>
      <c r="STK112" s="4"/>
      <c r="STL112" s="4"/>
      <c r="STM112" s="4"/>
      <c r="STN112" s="4"/>
      <c r="STO112" s="4"/>
      <c r="STP112" s="4"/>
      <c r="STQ112" s="4"/>
      <c r="STR112" s="4"/>
      <c r="STS112" s="4"/>
      <c r="STT112" s="4"/>
      <c r="STU112" s="4"/>
      <c r="STV112" s="4"/>
      <c r="STW112" s="4"/>
      <c r="STX112" s="4"/>
      <c r="STY112" s="4"/>
      <c r="STZ112" s="4"/>
      <c r="SUA112" s="4"/>
      <c r="SUB112" s="4"/>
      <c r="SUC112" s="4"/>
      <c r="SUD112" s="4"/>
      <c r="SUE112" s="4"/>
      <c r="SUF112" s="4"/>
      <c r="SUG112" s="4"/>
      <c r="SUH112" s="4"/>
      <c r="SUI112" s="4"/>
      <c r="SUJ112" s="4"/>
      <c r="SUK112" s="4"/>
      <c r="SUL112" s="4"/>
      <c r="SUM112" s="4"/>
      <c r="SUN112" s="4"/>
      <c r="SUO112" s="4"/>
      <c r="SUP112" s="4"/>
      <c r="SUQ112" s="4"/>
      <c r="SUR112" s="4"/>
      <c r="SUS112" s="4"/>
      <c r="SUT112" s="4"/>
      <c r="SUU112" s="4"/>
      <c r="SUV112" s="4"/>
      <c r="SUW112" s="4"/>
      <c r="SUX112" s="4"/>
      <c r="SUY112" s="4"/>
      <c r="SUZ112" s="4"/>
      <c r="SVA112" s="4"/>
      <c r="SVB112" s="4"/>
      <c r="SVC112" s="4"/>
      <c r="SVD112" s="4"/>
      <c r="SVE112" s="4"/>
      <c r="SVF112" s="4"/>
      <c r="SVG112" s="4"/>
      <c r="SVH112" s="4"/>
      <c r="SVI112" s="4"/>
      <c r="SVJ112" s="4"/>
      <c r="SVK112" s="4"/>
      <c r="SVL112" s="4"/>
      <c r="SVM112" s="4"/>
      <c r="SVN112" s="4"/>
      <c r="SVO112" s="4"/>
      <c r="SVP112" s="4"/>
      <c r="SVQ112" s="4"/>
      <c r="SVR112" s="4"/>
      <c r="SVS112" s="4"/>
      <c r="SVT112" s="4"/>
      <c r="SVU112" s="4"/>
      <c r="SVV112" s="4"/>
      <c r="SVW112" s="4"/>
      <c r="SVX112" s="4"/>
      <c r="SVY112" s="4"/>
      <c r="SVZ112" s="4"/>
      <c r="SWA112" s="4"/>
      <c r="SWB112" s="4"/>
      <c r="SWC112" s="4"/>
      <c r="SWD112" s="4"/>
      <c r="SWE112" s="4"/>
      <c r="SWF112" s="4"/>
      <c r="SWG112" s="4"/>
      <c r="SWH112" s="4"/>
      <c r="SWI112" s="4"/>
      <c r="SWJ112" s="4"/>
      <c r="SWK112" s="4"/>
      <c r="SWL112" s="4"/>
      <c r="SWM112" s="4"/>
      <c r="SWN112" s="4"/>
      <c r="SWO112" s="4"/>
      <c r="SWP112" s="4"/>
      <c r="SWQ112" s="4"/>
      <c r="SWR112" s="4"/>
      <c r="SWS112" s="4"/>
      <c r="SWT112" s="4"/>
      <c r="SWU112" s="4"/>
      <c r="SWV112" s="4"/>
      <c r="SWW112" s="4"/>
      <c r="SWX112" s="4"/>
      <c r="SWY112" s="4"/>
      <c r="SWZ112" s="4"/>
      <c r="SXA112" s="4"/>
      <c r="SXB112" s="4"/>
      <c r="SXC112" s="4"/>
      <c r="SXD112" s="4"/>
      <c r="SXE112" s="4"/>
      <c r="SXF112" s="4"/>
      <c r="SXG112" s="4"/>
      <c r="SXH112" s="4"/>
      <c r="SXI112" s="4"/>
      <c r="SXJ112" s="4"/>
      <c r="SXK112" s="4"/>
      <c r="SXL112" s="4"/>
      <c r="SXM112" s="4"/>
      <c r="SXN112" s="4"/>
      <c r="SXO112" s="4"/>
      <c r="SXP112" s="4"/>
      <c r="SXQ112" s="4"/>
      <c r="SXR112" s="4"/>
      <c r="SXS112" s="4"/>
      <c r="SXT112" s="4"/>
      <c r="SXU112" s="4"/>
      <c r="SXV112" s="4"/>
      <c r="SXW112" s="4"/>
      <c r="SXX112" s="4"/>
      <c r="SXY112" s="4"/>
      <c r="SXZ112" s="4"/>
      <c r="SYA112" s="4"/>
      <c r="SYB112" s="4"/>
      <c r="SYC112" s="4"/>
      <c r="SYD112" s="4"/>
      <c r="SYE112" s="4"/>
      <c r="SYF112" s="4"/>
      <c r="SYG112" s="4"/>
      <c r="SYH112" s="4"/>
      <c r="SYI112" s="4"/>
      <c r="SYJ112" s="4"/>
      <c r="SYK112" s="4"/>
      <c r="SYL112" s="4"/>
      <c r="SYM112" s="4"/>
      <c r="SYN112" s="4"/>
      <c r="SYO112" s="4"/>
      <c r="SYP112" s="4"/>
      <c r="SYQ112" s="4"/>
      <c r="SYR112" s="4"/>
      <c r="SYS112" s="4"/>
      <c r="SYT112" s="4"/>
      <c r="SYU112" s="4"/>
      <c r="SYV112" s="4"/>
      <c r="SYW112" s="4"/>
      <c r="SYX112" s="4"/>
      <c r="SYY112" s="4"/>
      <c r="SYZ112" s="4"/>
      <c r="SZA112" s="4"/>
      <c r="SZB112" s="4"/>
      <c r="SZC112" s="4"/>
      <c r="SZD112" s="4"/>
      <c r="SZE112" s="4"/>
      <c r="SZF112" s="4"/>
      <c r="SZG112" s="4"/>
      <c r="SZH112" s="4"/>
      <c r="SZI112" s="4"/>
      <c r="SZJ112" s="4"/>
      <c r="SZK112" s="4"/>
      <c r="SZL112" s="4"/>
      <c r="SZM112" s="4"/>
      <c r="SZN112" s="4"/>
      <c r="SZO112" s="4"/>
      <c r="SZP112" s="4"/>
      <c r="SZQ112" s="4"/>
      <c r="SZR112" s="4"/>
      <c r="SZS112" s="4"/>
      <c r="SZT112" s="4"/>
      <c r="SZU112" s="4"/>
      <c r="SZV112" s="4"/>
      <c r="SZW112" s="4"/>
      <c r="SZX112" s="4"/>
      <c r="SZY112" s="4"/>
      <c r="SZZ112" s="4"/>
      <c r="TAA112" s="4"/>
      <c r="TAB112" s="4"/>
      <c r="TAC112" s="4"/>
      <c r="TAD112" s="4"/>
      <c r="TAE112" s="4"/>
      <c r="TAF112" s="4"/>
      <c r="TAG112" s="4"/>
      <c r="TAH112" s="4"/>
      <c r="TAI112" s="4"/>
      <c r="TAJ112" s="4"/>
      <c r="TAK112" s="4"/>
      <c r="TAL112" s="4"/>
      <c r="TAM112" s="4"/>
      <c r="TAN112" s="4"/>
      <c r="TAO112" s="4"/>
      <c r="TAP112" s="4"/>
      <c r="TAQ112" s="4"/>
      <c r="TAR112" s="4"/>
      <c r="TAS112" s="4"/>
      <c r="TAT112" s="4"/>
      <c r="TAU112" s="4"/>
      <c r="TAV112" s="4"/>
      <c r="TAW112" s="4"/>
      <c r="TAX112" s="4"/>
      <c r="TAY112" s="4"/>
      <c r="TAZ112" s="4"/>
      <c r="TBA112" s="4"/>
      <c r="TBB112" s="4"/>
      <c r="TBC112" s="4"/>
      <c r="TBD112" s="4"/>
      <c r="TBE112" s="4"/>
      <c r="TBF112" s="4"/>
      <c r="TBG112" s="4"/>
      <c r="TBH112" s="4"/>
      <c r="TBI112" s="4"/>
      <c r="TBJ112" s="4"/>
      <c r="TBK112" s="4"/>
      <c r="TBL112" s="4"/>
      <c r="TBM112" s="4"/>
      <c r="TBN112" s="4"/>
      <c r="TBO112" s="4"/>
      <c r="TBP112" s="4"/>
      <c r="TBQ112" s="4"/>
      <c r="TBR112" s="4"/>
      <c r="TBS112" s="4"/>
      <c r="TBT112" s="4"/>
      <c r="TBU112" s="4"/>
      <c r="TBV112" s="4"/>
      <c r="TBW112" s="4"/>
      <c r="TBX112" s="4"/>
      <c r="TBY112" s="4"/>
      <c r="TBZ112" s="4"/>
      <c r="TCA112" s="4"/>
      <c r="TCB112" s="4"/>
      <c r="TCC112" s="4"/>
      <c r="TCD112" s="4"/>
      <c r="TCE112" s="4"/>
      <c r="TCF112" s="4"/>
      <c r="TCG112" s="4"/>
      <c r="TCH112" s="4"/>
      <c r="TCI112" s="4"/>
      <c r="TCJ112" s="4"/>
      <c r="TCK112" s="4"/>
      <c r="TCL112" s="4"/>
      <c r="TCM112" s="4"/>
      <c r="TCN112" s="4"/>
      <c r="TCO112" s="4"/>
      <c r="TCP112" s="4"/>
      <c r="TCQ112" s="4"/>
      <c r="TCR112" s="4"/>
      <c r="TCS112" s="4"/>
      <c r="TCT112" s="4"/>
      <c r="TCU112" s="4"/>
      <c r="TCV112" s="4"/>
      <c r="TCW112" s="4"/>
      <c r="TCX112" s="4"/>
      <c r="TCY112" s="4"/>
      <c r="TCZ112" s="4"/>
      <c r="TDA112" s="4"/>
      <c r="TDB112" s="4"/>
      <c r="TDC112" s="4"/>
      <c r="TDD112" s="4"/>
      <c r="TDE112" s="4"/>
      <c r="TDF112" s="4"/>
      <c r="TDG112" s="4"/>
      <c r="TDH112" s="4"/>
      <c r="TDI112" s="4"/>
      <c r="TDJ112" s="4"/>
      <c r="TDK112" s="4"/>
      <c r="TDL112" s="4"/>
      <c r="TDM112" s="4"/>
      <c r="TDN112" s="4"/>
      <c r="TDO112" s="4"/>
      <c r="TDP112" s="4"/>
      <c r="TDQ112" s="4"/>
      <c r="TDR112" s="4"/>
      <c r="TDS112" s="4"/>
      <c r="TDT112" s="4"/>
      <c r="TDU112" s="4"/>
      <c r="TDV112" s="4"/>
      <c r="TDW112" s="4"/>
      <c r="TDX112" s="4"/>
      <c r="TDY112" s="4"/>
      <c r="TDZ112" s="4"/>
      <c r="TEA112" s="4"/>
      <c r="TEB112" s="4"/>
      <c r="TEC112" s="4"/>
      <c r="TED112" s="4"/>
      <c r="TEE112" s="4"/>
      <c r="TEF112" s="4"/>
      <c r="TEG112" s="4"/>
      <c r="TEH112" s="4"/>
      <c r="TEI112" s="4"/>
      <c r="TEJ112" s="4"/>
      <c r="TEK112" s="4"/>
      <c r="TEL112" s="4"/>
      <c r="TEM112" s="4"/>
      <c r="TEN112" s="4"/>
      <c r="TEO112" s="4"/>
      <c r="TEP112" s="4"/>
      <c r="TEQ112" s="4"/>
      <c r="TER112" s="4"/>
      <c r="TES112" s="4"/>
      <c r="TET112" s="4"/>
      <c r="TEU112" s="4"/>
      <c r="TEV112" s="4"/>
      <c r="TEW112" s="4"/>
      <c r="TEX112" s="4"/>
      <c r="TEY112" s="4"/>
      <c r="TEZ112" s="4"/>
      <c r="TFA112" s="4"/>
      <c r="TFB112" s="4"/>
      <c r="TFC112" s="4"/>
      <c r="TFD112" s="4"/>
      <c r="TFE112" s="4"/>
      <c r="TFF112" s="4"/>
      <c r="TFG112" s="4"/>
      <c r="TFH112" s="4"/>
      <c r="TFI112" s="4"/>
      <c r="TFJ112" s="4"/>
      <c r="TFK112" s="4"/>
      <c r="TFL112" s="4"/>
      <c r="TFM112" s="4"/>
      <c r="TFN112" s="4"/>
      <c r="TFO112" s="4"/>
      <c r="TFP112" s="4"/>
      <c r="TFQ112" s="4"/>
      <c r="TFR112" s="4"/>
      <c r="TFS112" s="4"/>
      <c r="TFT112" s="4"/>
      <c r="TFU112" s="4"/>
      <c r="TFV112" s="4"/>
      <c r="TFW112" s="4"/>
      <c r="TFX112" s="4"/>
      <c r="TFY112" s="4"/>
      <c r="TFZ112" s="4"/>
      <c r="TGA112" s="4"/>
      <c r="TGB112" s="4"/>
      <c r="TGC112" s="4"/>
      <c r="TGD112" s="4"/>
      <c r="TGE112" s="4"/>
      <c r="TGF112" s="4"/>
      <c r="TGG112" s="4"/>
      <c r="TGH112" s="4"/>
      <c r="TGI112" s="4"/>
      <c r="TGJ112" s="4"/>
      <c r="TGK112" s="4"/>
      <c r="TGL112" s="4"/>
      <c r="TGM112" s="4"/>
      <c r="TGN112" s="4"/>
      <c r="TGO112" s="4"/>
      <c r="TGP112" s="4"/>
      <c r="TGQ112" s="4"/>
      <c r="TGR112" s="4"/>
      <c r="TGS112" s="4"/>
      <c r="TGT112" s="4"/>
      <c r="TGU112" s="4"/>
      <c r="TGV112" s="4"/>
      <c r="TGW112" s="4"/>
      <c r="TGX112" s="4"/>
      <c r="TGY112" s="4"/>
      <c r="TGZ112" s="4"/>
      <c r="THA112" s="4"/>
      <c r="THB112" s="4"/>
      <c r="THC112" s="4"/>
      <c r="THD112" s="4"/>
      <c r="THE112" s="4"/>
      <c r="THF112" s="4"/>
      <c r="THG112" s="4"/>
      <c r="THH112" s="4"/>
      <c r="THI112" s="4"/>
      <c r="THJ112" s="4"/>
      <c r="THK112" s="4"/>
      <c r="THL112" s="4"/>
      <c r="THM112" s="4"/>
      <c r="THN112" s="4"/>
      <c r="THO112" s="4"/>
      <c r="THP112" s="4"/>
      <c r="THQ112" s="4"/>
      <c r="THR112" s="4"/>
      <c r="THS112" s="4"/>
      <c r="THT112" s="4"/>
      <c r="THU112" s="4"/>
      <c r="THV112" s="4"/>
      <c r="THW112" s="4"/>
      <c r="THX112" s="4"/>
      <c r="THY112" s="4"/>
      <c r="THZ112" s="4"/>
      <c r="TIA112" s="4"/>
      <c r="TIB112" s="4"/>
      <c r="TIC112" s="4"/>
      <c r="TID112" s="4"/>
      <c r="TIE112" s="4"/>
      <c r="TIF112" s="4"/>
      <c r="TIG112" s="4"/>
      <c r="TIH112" s="4"/>
      <c r="TII112" s="4"/>
      <c r="TIJ112" s="4"/>
      <c r="TIK112" s="4"/>
      <c r="TIL112" s="4"/>
      <c r="TIM112" s="4"/>
      <c r="TIN112" s="4"/>
      <c r="TIO112" s="4"/>
      <c r="TIP112" s="4"/>
      <c r="TIQ112" s="4"/>
      <c r="TIR112" s="4"/>
      <c r="TIS112" s="4"/>
      <c r="TIT112" s="4"/>
      <c r="TIU112" s="4"/>
      <c r="TIV112" s="4"/>
      <c r="TIW112" s="4"/>
      <c r="TIX112" s="4"/>
      <c r="TIY112" s="4"/>
      <c r="TIZ112" s="4"/>
      <c r="TJA112" s="4"/>
      <c r="TJB112" s="4"/>
      <c r="TJC112" s="4"/>
      <c r="TJD112" s="4"/>
      <c r="TJE112" s="4"/>
      <c r="TJF112" s="4"/>
      <c r="TJG112" s="4"/>
      <c r="TJH112" s="4"/>
      <c r="TJI112" s="4"/>
      <c r="TJJ112" s="4"/>
      <c r="TJK112" s="4"/>
      <c r="TJL112" s="4"/>
      <c r="TJM112" s="4"/>
      <c r="TJN112" s="4"/>
      <c r="TJO112" s="4"/>
      <c r="TJP112" s="4"/>
      <c r="TJQ112" s="4"/>
      <c r="TJR112" s="4"/>
      <c r="TJS112" s="4"/>
      <c r="TJT112" s="4"/>
      <c r="TJU112" s="4"/>
      <c r="TJV112" s="4"/>
      <c r="TJW112" s="4"/>
      <c r="TJX112" s="4"/>
      <c r="TJY112" s="4"/>
      <c r="TJZ112" s="4"/>
      <c r="TKA112" s="4"/>
      <c r="TKB112" s="4"/>
      <c r="TKC112" s="4"/>
      <c r="TKD112" s="4"/>
      <c r="TKE112" s="4"/>
      <c r="TKF112" s="4"/>
      <c r="TKG112" s="4"/>
      <c r="TKH112" s="4"/>
      <c r="TKI112" s="4"/>
      <c r="TKJ112" s="4"/>
      <c r="TKK112" s="4"/>
      <c r="TKL112" s="4"/>
      <c r="TKM112" s="4"/>
      <c r="TKN112" s="4"/>
      <c r="TKO112" s="4"/>
      <c r="TKP112" s="4"/>
      <c r="TKQ112" s="4"/>
      <c r="TKR112" s="4"/>
      <c r="TKS112" s="4"/>
      <c r="TKT112" s="4"/>
      <c r="TKU112" s="4"/>
      <c r="TKV112" s="4"/>
      <c r="TKW112" s="4"/>
      <c r="TKX112" s="4"/>
      <c r="TKY112" s="4"/>
      <c r="TKZ112" s="4"/>
      <c r="TLA112" s="4"/>
      <c r="TLB112" s="4"/>
      <c r="TLC112" s="4"/>
      <c r="TLD112" s="4"/>
      <c r="TLE112" s="4"/>
      <c r="TLF112" s="4"/>
      <c r="TLG112" s="4"/>
      <c r="TLH112" s="4"/>
      <c r="TLI112" s="4"/>
      <c r="TLJ112" s="4"/>
      <c r="TLK112" s="4"/>
      <c r="TLL112" s="4"/>
      <c r="TLM112" s="4"/>
      <c r="TLN112" s="4"/>
      <c r="TLO112" s="4"/>
      <c r="TLP112" s="4"/>
      <c r="TLQ112" s="4"/>
      <c r="TLR112" s="4"/>
      <c r="TLS112" s="4"/>
      <c r="TLT112" s="4"/>
      <c r="TLU112" s="4"/>
      <c r="TLV112" s="4"/>
      <c r="TLW112" s="4"/>
      <c r="TLX112" s="4"/>
      <c r="TLY112" s="4"/>
      <c r="TLZ112" s="4"/>
      <c r="TMA112" s="4"/>
      <c r="TMB112" s="4"/>
      <c r="TMC112" s="4"/>
      <c r="TMD112" s="4"/>
      <c r="TME112" s="4"/>
      <c r="TMF112" s="4"/>
      <c r="TMG112" s="4"/>
      <c r="TMH112" s="4"/>
      <c r="TMI112" s="4"/>
      <c r="TMJ112" s="4"/>
      <c r="TMK112" s="4"/>
      <c r="TML112" s="4"/>
      <c r="TMM112" s="4"/>
      <c r="TMN112" s="4"/>
      <c r="TMO112" s="4"/>
      <c r="TMP112" s="4"/>
      <c r="TMQ112" s="4"/>
      <c r="TMR112" s="4"/>
      <c r="TMS112" s="4"/>
      <c r="TMT112" s="4"/>
      <c r="TMU112" s="4"/>
      <c r="TMV112" s="4"/>
      <c r="TMW112" s="4"/>
      <c r="TMX112" s="4"/>
      <c r="TMY112" s="4"/>
      <c r="TMZ112" s="4"/>
      <c r="TNA112" s="4"/>
      <c r="TNB112" s="4"/>
      <c r="TNC112" s="4"/>
      <c r="TND112" s="4"/>
      <c r="TNE112" s="4"/>
      <c r="TNF112" s="4"/>
      <c r="TNG112" s="4"/>
      <c r="TNH112" s="4"/>
      <c r="TNI112" s="4"/>
      <c r="TNJ112" s="4"/>
      <c r="TNK112" s="4"/>
      <c r="TNL112" s="4"/>
      <c r="TNM112" s="4"/>
      <c r="TNN112" s="4"/>
      <c r="TNO112" s="4"/>
      <c r="TNP112" s="4"/>
      <c r="TNQ112" s="4"/>
      <c r="TNR112" s="4"/>
      <c r="TNS112" s="4"/>
      <c r="TNT112" s="4"/>
      <c r="TNU112" s="4"/>
      <c r="TNV112" s="4"/>
      <c r="TNW112" s="4"/>
      <c r="TNX112" s="4"/>
      <c r="TNY112" s="4"/>
      <c r="TNZ112" s="4"/>
      <c r="TOA112" s="4"/>
      <c r="TOB112" s="4"/>
      <c r="TOC112" s="4"/>
      <c r="TOD112" s="4"/>
      <c r="TOE112" s="4"/>
      <c r="TOF112" s="4"/>
      <c r="TOG112" s="4"/>
      <c r="TOH112" s="4"/>
      <c r="TOI112" s="4"/>
      <c r="TOJ112" s="4"/>
      <c r="TOK112" s="4"/>
      <c r="TOL112" s="4"/>
      <c r="TOM112" s="4"/>
      <c r="TON112" s="4"/>
      <c r="TOO112" s="4"/>
      <c r="TOP112" s="4"/>
      <c r="TOQ112" s="4"/>
      <c r="TOR112" s="4"/>
      <c r="TOS112" s="4"/>
      <c r="TOT112" s="4"/>
      <c r="TOU112" s="4"/>
      <c r="TOV112" s="4"/>
      <c r="TOW112" s="4"/>
      <c r="TOX112" s="4"/>
      <c r="TOY112" s="4"/>
      <c r="TOZ112" s="4"/>
      <c r="TPA112" s="4"/>
      <c r="TPB112" s="4"/>
      <c r="TPC112" s="4"/>
      <c r="TPD112" s="4"/>
      <c r="TPE112" s="4"/>
      <c r="TPF112" s="4"/>
      <c r="TPG112" s="4"/>
      <c r="TPH112" s="4"/>
      <c r="TPI112" s="4"/>
      <c r="TPJ112" s="4"/>
      <c r="TPK112" s="4"/>
      <c r="TPL112" s="4"/>
      <c r="TPM112" s="4"/>
      <c r="TPN112" s="4"/>
      <c r="TPO112" s="4"/>
      <c r="TPP112" s="4"/>
      <c r="TPQ112" s="4"/>
      <c r="TPR112" s="4"/>
      <c r="TPS112" s="4"/>
      <c r="TPT112" s="4"/>
      <c r="TPU112" s="4"/>
      <c r="TPV112" s="4"/>
      <c r="TPW112" s="4"/>
      <c r="TPX112" s="4"/>
      <c r="TPY112" s="4"/>
      <c r="TPZ112" s="4"/>
      <c r="TQA112" s="4"/>
      <c r="TQB112" s="4"/>
      <c r="TQC112" s="4"/>
      <c r="TQD112" s="4"/>
      <c r="TQE112" s="4"/>
      <c r="TQF112" s="4"/>
      <c r="TQG112" s="4"/>
      <c r="TQH112" s="4"/>
      <c r="TQI112" s="4"/>
      <c r="TQJ112" s="4"/>
      <c r="TQK112" s="4"/>
      <c r="TQL112" s="4"/>
      <c r="TQM112" s="4"/>
      <c r="TQN112" s="4"/>
      <c r="TQO112" s="4"/>
      <c r="TQP112" s="4"/>
      <c r="TQQ112" s="4"/>
      <c r="TQR112" s="4"/>
      <c r="TQS112" s="4"/>
      <c r="TQT112" s="4"/>
      <c r="TQU112" s="4"/>
      <c r="TQV112" s="4"/>
      <c r="TQW112" s="4"/>
      <c r="TQX112" s="4"/>
      <c r="TQY112" s="4"/>
      <c r="TQZ112" s="4"/>
      <c r="TRA112" s="4"/>
      <c r="TRB112" s="4"/>
      <c r="TRC112" s="4"/>
      <c r="TRD112" s="4"/>
      <c r="TRE112" s="4"/>
      <c r="TRF112" s="4"/>
      <c r="TRG112" s="4"/>
      <c r="TRH112" s="4"/>
      <c r="TRI112" s="4"/>
      <c r="TRJ112" s="4"/>
      <c r="TRK112" s="4"/>
      <c r="TRL112" s="4"/>
      <c r="TRM112" s="4"/>
      <c r="TRN112" s="4"/>
      <c r="TRO112" s="4"/>
      <c r="TRP112" s="4"/>
      <c r="TRQ112" s="4"/>
      <c r="TRR112" s="4"/>
      <c r="TRS112" s="4"/>
      <c r="TRT112" s="4"/>
      <c r="TRU112" s="4"/>
      <c r="TRV112" s="4"/>
      <c r="TRW112" s="4"/>
      <c r="TRX112" s="4"/>
      <c r="TRY112" s="4"/>
      <c r="TRZ112" s="4"/>
      <c r="TSA112" s="4"/>
      <c r="TSB112" s="4"/>
      <c r="TSC112" s="4"/>
      <c r="TSD112" s="4"/>
      <c r="TSE112" s="4"/>
      <c r="TSF112" s="4"/>
      <c r="TSG112" s="4"/>
      <c r="TSH112" s="4"/>
      <c r="TSI112" s="4"/>
      <c r="TSJ112" s="4"/>
      <c r="TSK112" s="4"/>
      <c r="TSL112" s="4"/>
      <c r="TSM112" s="4"/>
      <c r="TSN112" s="4"/>
      <c r="TSO112" s="4"/>
      <c r="TSP112" s="4"/>
      <c r="TSQ112" s="4"/>
      <c r="TSR112" s="4"/>
      <c r="TSS112" s="4"/>
      <c r="TST112" s="4"/>
      <c r="TSU112" s="4"/>
      <c r="TSV112" s="4"/>
      <c r="TSW112" s="4"/>
      <c r="TSX112" s="4"/>
      <c r="TSY112" s="4"/>
      <c r="TSZ112" s="4"/>
      <c r="TTA112" s="4"/>
      <c r="TTB112" s="4"/>
      <c r="TTC112" s="4"/>
      <c r="TTD112" s="4"/>
      <c r="TTE112" s="4"/>
      <c r="TTF112" s="4"/>
      <c r="TTG112" s="4"/>
      <c r="TTH112" s="4"/>
      <c r="TTI112" s="4"/>
      <c r="TTJ112" s="4"/>
      <c r="TTK112" s="4"/>
      <c r="TTL112" s="4"/>
      <c r="TTM112" s="4"/>
      <c r="TTN112" s="4"/>
      <c r="TTO112" s="4"/>
      <c r="TTP112" s="4"/>
      <c r="TTQ112" s="4"/>
      <c r="TTR112" s="4"/>
      <c r="TTS112" s="4"/>
      <c r="TTT112" s="4"/>
      <c r="TTU112" s="4"/>
      <c r="TTV112" s="4"/>
      <c r="TTW112" s="4"/>
      <c r="TTX112" s="4"/>
      <c r="TTY112" s="4"/>
      <c r="TTZ112" s="4"/>
      <c r="TUA112" s="4"/>
      <c r="TUB112" s="4"/>
      <c r="TUC112" s="4"/>
      <c r="TUD112" s="4"/>
      <c r="TUE112" s="4"/>
      <c r="TUF112" s="4"/>
      <c r="TUG112" s="4"/>
      <c r="TUH112" s="4"/>
      <c r="TUI112" s="4"/>
      <c r="TUJ112" s="4"/>
      <c r="TUK112" s="4"/>
      <c r="TUL112" s="4"/>
      <c r="TUM112" s="4"/>
      <c r="TUN112" s="4"/>
      <c r="TUO112" s="4"/>
      <c r="TUP112" s="4"/>
      <c r="TUQ112" s="4"/>
      <c r="TUR112" s="4"/>
      <c r="TUS112" s="4"/>
      <c r="TUT112" s="4"/>
      <c r="TUU112" s="4"/>
      <c r="TUV112" s="4"/>
      <c r="TUW112" s="4"/>
      <c r="TUX112" s="4"/>
      <c r="TUY112" s="4"/>
      <c r="TUZ112" s="4"/>
      <c r="TVA112" s="4"/>
      <c r="TVB112" s="4"/>
      <c r="TVC112" s="4"/>
      <c r="TVD112" s="4"/>
      <c r="TVE112" s="4"/>
      <c r="TVF112" s="4"/>
      <c r="TVG112" s="4"/>
      <c r="TVH112" s="4"/>
      <c r="TVI112" s="4"/>
      <c r="TVJ112" s="4"/>
      <c r="TVK112" s="4"/>
      <c r="TVL112" s="4"/>
      <c r="TVM112" s="4"/>
      <c r="TVN112" s="4"/>
      <c r="TVO112" s="4"/>
      <c r="TVP112" s="4"/>
      <c r="TVQ112" s="4"/>
      <c r="TVR112" s="4"/>
      <c r="TVS112" s="4"/>
      <c r="TVT112" s="4"/>
      <c r="TVU112" s="4"/>
      <c r="TVV112" s="4"/>
      <c r="TVW112" s="4"/>
      <c r="TVX112" s="4"/>
      <c r="TVY112" s="4"/>
      <c r="TVZ112" s="4"/>
      <c r="TWA112" s="4"/>
      <c r="TWB112" s="4"/>
      <c r="TWC112" s="4"/>
      <c r="TWD112" s="4"/>
      <c r="TWE112" s="4"/>
      <c r="TWF112" s="4"/>
      <c r="TWG112" s="4"/>
      <c r="TWH112" s="4"/>
      <c r="TWI112" s="4"/>
      <c r="TWJ112" s="4"/>
      <c r="TWK112" s="4"/>
      <c r="TWL112" s="4"/>
      <c r="TWM112" s="4"/>
      <c r="TWN112" s="4"/>
      <c r="TWO112" s="4"/>
      <c r="TWP112" s="4"/>
      <c r="TWQ112" s="4"/>
      <c r="TWR112" s="4"/>
      <c r="TWS112" s="4"/>
      <c r="TWT112" s="4"/>
      <c r="TWU112" s="4"/>
      <c r="TWV112" s="4"/>
      <c r="TWW112" s="4"/>
      <c r="TWX112" s="4"/>
      <c r="TWY112" s="4"/>
      <c r="TWZ112" s="4"/>
      <c r="TXA112" s="4"/>
      <c r="TXB112" s="4"/>
      <c r="TXC112" s="4"/>
      <c r="TXD112" s="4"/>
      <c r="TXE112" s="4"/>
      <c r="TXF112" s="4"/>
      <c r="TXG112" s="4"/>
      <c r="TXH112" s="4"/>
      <c r="TXI112" s="4"/>
      <c r="TXJ112" s="4"/>
      <c r="TXK112" s="4"/>
      <c r="TXL112" s="4"/>
      <c r="TXM112" s="4"/>
      <c r="TXN112" s="4"/>
      <c r="TXO112" s="4"/>
      <c r="TXP112" s="4"/>
      <c r="TXQ112" s="4"/>
      <c r="TXR112" s="4"/>
      <c r="TXS112" s="4"/>
      <c r="TXT112" s="4"/>
      <c r="TXU112" s="4"/>
      <c r="TXV112" s="4"/>
      <c r="TXW112" s="4"/>
      <c r="TXX112" s="4"/>
      <c r="TXY112" s="4"/>
      <c r="TXZ112" s="4"/>
      <c r="TYA112" s="4"/>
      <c r="TYB112" s="4"/>
      <c r="TYC112" s="4"/>
      <c r="TYD112" s="4"/>
      <c r="TYE112" s="4"/>
      <c r="TYF112" s="4"/>
      <c r="TYG112" s="4"/>
      <c r="TYH112" s="4"/>
      <c r="TYI112" s="4"/>
      <c r="TYJ112" s="4"/>
      <c r="TYK112" s="4"/>
      <c r="TYL112" s="4"/>
      <c r="TYM112" s="4"/>
      <c r="TYN112" s="4"/>
      <c r="TYO112" s="4"/>
      <c r="TYP112" s="4"/>
      <c r="TYQ112" s="4"/>
      <c r="TYR112" s="4"/>
      <c r="TYS112" s="4"/>
      <c r="TYT112" s="4"/>
      <c r="TYU112" s="4"/>
      <c r="TYV112" s="4"/>
      <c r="TYW112" s="4"/>
      <c r="TYX112" s="4"/>
      <c r="TYY112" s="4"/>
      <c r="TYZ112" s="4"/>
      <c r="TZA112" s="4"/>
      <c r="TZB112" s="4"/>
      <c r="TZC112" s="4"/>
      <c r="TZD112" s="4"/>
      <c r="TZE112" s="4"/>
      <c r="TZF112" s="4"/>
      <c r="TZG112" s="4"/>
      <c r="TZH112" s="4"/>
      <c r="TZI112" s="4"/>
      <c r="TZJ112" s="4"/>
      <c r="TZK112" s="4"/>
      <c r="TZL112" s="4"/>
      <c r="TZM112" s="4"/>
      <c r="TZN112" s="4"/>
      <c r="TZO112" s="4"/>
      <c r="TZP112" s="4"/>
      <c r="TZQ112" s="4"/>
      <c r="TZR112" s="4"/>
      <c r="TZS112" s="4"/>
      <c r="TZT112" s="4"/>
      <c r="TZU112" s="4"/>
      <c r="TZV112" s="4"/>
      <c r="TZW112" s="4"/>
      <c r="TZX112" s="4"/>
      <c r="TZY112" s="4"/>
      <c r="TZZ112" s="4"/>
      <c r="UAA112" s="4"/>
      <c r="UAB112" s="4"/>
      <c r="UAC112" s="4"/>
      <c r="UAD112" s="4"/>
      <c r="UAE112" s="4"/>
      <c r="UAF112" s="4"/>
      <c r="UAG112" s="4"/>
      <c r="UAH112" s="4"/>
      <c r="UAI112" s="4"/>
      <c r="UAJ112" s="4"/>
      <c r="UAK112" s="4"/>
      <c r="UAL112" s="4"/>
      <c r="UAM112" s="4"/>
      <c r="UAN112" s="4"/>
      <c r="UAO112" s="4"/>
      <c r="UAP112" s="4"/>
      <c r="UAQ112" s="4"/>
      <c r="UAR112" s="4"/>
      <c r="UAS112" s="4"/>
      <c r="UAT112" s="4"/>
      <c r="UAU112" s="4"/>
      <c r="UAV112" s="4"/>
      <c r="UAW112" s="4"/>
      <c r="UAX112" s="4"/>
      <c r="UAY112" s="4"/>
      <c r="UAZ112" s="4"/>
      <c r="UBA112" s="4"/>
      <c r="UBB112" s="4"/>
      <c r="UBC112" s="4"/>
      <c r="UBD112" s="4"/>
      <c r="UBE112" s="4"/>
      <c r="UBF112" s="4"/>
      <c r="UBG112" s="4"/>
      <c r="UBH112" s="4"/>
      <c r="UBI112" s="4"/>
      <c r="UBJ112" s="4"/>
      <c r="UBK112" s="4"/>
      <c r="UBL112" s="4"/>
      <c r="UBM112" s="4"/>
      <c r="UBN112" s="4"/>
      <c r="UBO112" s="4"/>
      <c r="UBP112" s="4"/>
      <c r="UBQ112" s="4"/>
      <c r="UBR112" s="4"/>
      <c r="UBS112" s="4"/>
      <c r="UBT112" s="4"/>
      <c r="UBU112" s="4"/>
      <c r="UBV112" s="4"/>
      <c r="UBW112" s="4"/>
      <c r="UBX112" s="4"/>
      <c r="UBY112" s="4"/>
      <c r="UBZ112" s="4"/>
      <c r="UCA112" s="4"/>
      <c r="UCB112" s="4"/>
      <c r="UCC112" s="4"/>
      <c r="UCD112" s="4"/>
      <c r="UCE112" s="4"/>
      <c r="UCF112" s="4"/>
      <c r="UCG112" s="4"/>
      <c r="UCH112" s="4"/>
      <c r="UCI112" s="4"/>
      <c r="UCJ112" s="4"/>
      <c r="UCK112" s="4"/>
      <c r="UCL112" s="4"/>
      <c r="UCM112" s="4"/>
      <c r="UCN112" s="4"/>
      <c r="UCO112" s="4"/>
      <c r="UCP112" s="4"/>
      <c r="UCQ112" s="4"/>
      <c r="UCR112" s="4"/>
      <c r="UCS112" s="4"/>
      <c r="UCT112" s="4"/>
      <c r="UCU112" s="4"/>
      <c r="UCV112" s="4"/>
      <c r="UCW112" s="4"/>
      <c r="UCX112" s="4"/>
      <c r="UCY112" s="4"/>
      <c r="UCZ112" s="4"/>
      <c r="UDA112" s="4"/>
      <c r="UDB112" s="4"/>
      <c r="UDC112" s="4"/>
      <c r="UDD112" s="4"/>
      <c r="UDE112" s="4"/>
      <c r="UDF112" s="4"/>
      <c r="UDG112" s="4"/>
      <c r="UDH112" s="4"/>
      <c r="UDI112" s="4"/>
      <c r="UDJ112" s="4"/>
      <c r="UDK112" s="4"/>
      <c r="UDL112" s="4"/>
      <c r="UDM112" s="4"/>
      <c r="UDN112" s="4"/>
      <c r="UDO112" s="4"/>
      <c r="UDP112" s="4"/>
      <c r="UDQ112" s="4"/>
      <c r="UDR112" s="4"/>
      <c r="UDS112" s="4"/>
      <c r="UDT112" s="4"/>
      <c r="UDU112" s="4"/>
      <c r="UDV112" s="4"/>
      <c r="UDW112" s="4"/>
      <c r="UDX112" s="4"/>
      <c r="UDY112" s="4"/>
      <c r="UDZ112" s="4"/>
      <c r="UEA112" s="4"/>
      <c r="UEB112" s="4"/>
      <c r="UEC112" s="4"/>
      <c r="UED112" s="4"/>
      <c r="UEE112" s="4"/>
      <c r="UEF112" s="4"/>
      <c r="UEG112" s="4"/>
      <c r="UEH112" s="4"/>
      <c r="UEI112" s="4"/>
      <c r="UEJ112" s="4"/>
      <c r="UEK112" s="4"/>
      <c r="UEL112" s="4"/>
      <c r="UEM112" s="4"/>
      <c r="UEN112" s="4"/>
      <c r="UEO112" s="4"/>
      <c r="UEP112" s="4"/>
      <c r="UEQ112" s="4"/>
      <c r="UER112" s="4"/>
      <c r="UES112" s="4"/>
      <c r="UET112" s="4"/>
      <c r="UEU112" s="4"/>
      <c r="UEV112" s="4"/>
      <c r="UEW112" s="4"/>
      <c r="UEX112" s="4"/>
      <c r="UEY112" s="4"/>
      <c r="UEZ112" s="4"/>
      <c r="UFA112" s="4"/>
      <c r="UFB112" s="4"/>
      <c r="UFC112" s="4"/>
      <c r="UFD112" s="4"/>
      <c r="UFE112" s="4"/>
      <c r="UFF112" s="4"/>
      <c r="UFG112" s="4"/>
      <c r="UFH112" s="4"/>
      <c r="UFI112" s="4"/>
      <c r="UFJ112" s="4"/>
      <c r="UFK112" s="4"/>
      <c r="UFL112" s="4"/>
      <c r="UFM112" s="4"/>
      <c r="UFN112" s="4"/>
      <c r="UFO112" s="4"/>
      <c r="UFP112" s="4"/>
      <c r="UFQ112" s="4"/>
      <c r="UFR112" s="4"/>
      <c r="UFS112" s="4"/>
      <c r="UFT112" s="4"/>
      <c r="UFU112" s="4"/>
      <c r="UFV112" s="4"/>
      <c r="UFW112" s="4"/>
      <c r="UFX112" s="4"/>
      <c r="UFY112" s="4"/>
      <c r="UFZ112" s="4"/>
      <c r="UGA112" s="4"/>
      <c r="UGB112" s="4"/>
      <c r="UGC112" s="4"/>
      <c r="UGD112" s="4"/>
      <c r="UGE112" s="4"/>
      <c r="UGF112" s="4"/>
      <c r="UGG112" s="4"/>
      <c r="UGH112" s="4"/>
      <c r="UGI112" s="4"/>
      <c r="UGJ112" s="4"/>
      <c r="UGK112" s="4"/>
      <c r="UGL112" s="4"/>
      <c r="UGM112" s="4"/>
      <c r="UGN112" s="4"/>
      <c r="UGO112" s="4"/>
      <c r="UGP112" s="4"/>
      <c r="UGQ112" s="4"/>
      <c r="UGR112" s="4"/>
      <c r="UGS112" s="4"/>
      <c r="UGT112" s="4"/>
      <c r="UGU112" s="4"/>
      <c r="UGV112" s="4"/>
      <c r="UGW112" s="4"/>
      <c r="UGX112" s="4"/>
      <c r="UGY112" s="4"/>
      <c r="UGZ112" s="4"/>
      <c r="UHA112" s="4"/>
      <c r="UHB112" s="4"/>
      <c r="UHC112" s="4"/>
      <c r="UHD112" s="4"/>
      <c r="UHE112" s="4"/>
      <c r="UHF112" s="4"/>
      <c r="UHG112" s="4"/>
      <c r="UHH112" s="4"/>
      <c r="UHI112" s="4"/>
      <c r="UHJ112" s="4"/>
      <c r="UHK112" s="4"/>
      <c r="UHL112" s="4"/>
      <c r="UHM112" s="4"/>
      <c r="UHN112" s="4"/>
      <c r="UHO112" s="4"/>
      <c r="UHP112" s="4"/>
      <c r="UHQ112" s="4"/>
      <c r="UHR112" s="4"/>
      <c r="UHS112" s="4"/>
      <c r="UHT112" s="4"/>
      <c r="UHU112" s="4"/>
      <c r="UHV112" s="4"/>
      <c r="UHW112" s="4"/>
      <c r="UHX112" s="4"/>
      <c r="UHY112" s="4"/>
      <c r="UHZ112" s="4"/>
      <c r="UIA112" s="4"/>
      <c r="UIB112" s="4"/>
      <c r="UIC112" s="4"/>
      <c r="UID112" s="4"/>
      <c r="UIE112" s="4"/>
      <c r="UIF112" s="4"/>
      <c r="UIG112" s="4"/>
      <c r="UIH112" s="4"/>
      <c r="UII112" s="4"/>
      <c r="UIJ112" s="4"/>
      <c r="UIK112" s="4"/>
      <c r="UIL112" s="4"/>
      <c r="UIM112" s="4"/>
      <c r="UIN112" s="4"/>
      <c r="UIO112" s="4"/>
      <c r="UIP112" s="4"/>
      <c r="UIQ112" s="4"/>
      <c r="UIR112" s="4"/>
      <c r="UIS112" s="4"/>
      <c r="UIT112" s="4"/>
      <c r="UIU112" s="4"/>
      <c r="UIV112" s="4"/>
      <c r="UIW112" s="4"/>
      <c r="UIX112" s="4"/>
      <c r="UIY112" s="4"/>
      <c r="UIZ112" s="4"/>
      <c r="UJA112" s="4"/>
      <c r="UJB112" s="4"/>
      <c r="UJC112" s="4"/>
      <c r="UJD112" s="4"/>
      <c r="UJE112" s="4"/>
      <c r="UJF112" s="4"/>
      <c r="UJG112" s="4"/>
      <c r="UJH112" s="4"/>
      <c r="UJI112" s="4"/>
      <c r="UJJ112" s="4"/>
      <c r="UJK112" s="4"/>
      <c r="UJL112" s="4"/>
      <c r="UJM112" s="4"/>
      <c r="UJN112" s="4"/>
      <c r="UJO112" s="4"/>
      <c r="UJP112" s="4"/>
      <c r="UJQ112" s="4"/>
      <c r="UJR112" s="4"/>
      <c r="UJS112" s="4"/>
      <c r="UJT112" s="4"/>
      <c r="UJU112" s="4"/>
      <c r="UJV112" s="4"/>
      <c r="UJW112" s="4"/>
      <c r="UJX112" s="4"/>
      <c r="UJY112" s="4"/>
      <c r="UJZ112" s="4"/>
      <c r="UKA112" s="4"/>
      <c r="UKB112" s="4"/>
      <c r="UKC112" s="4"/>
      <c r="UKD112" s="4"/>
      <c r="UKE112" s="4"/>
      <c r="UKF112" s="4"/>
      <c r="UKG112" s="4"/>
      <c r="UKH112" s="4"/>
      <c r="UKI112" s="4"/>
      <c r="UKJ112" s="4"/>
      <c r="UKK112" s="4"/>
      <c r="UKL112" s="4"/>
      <c r="UKM112" s="4"/>
      <c r="UKN112" s="4"/>
      <c r="UKO112" s="4"/>
      <c r="UKP112" s="4"/>
      <c r="UKQ112" s="4"/>
      <c r="UKR112" s="4"/>
      <c r="UKS112" s="4"/>
      <c r="UKT112" s="4"/>
      <c r="UKU112" s="4"/>
      <c r="UKV112" s="4"/>
      <c r="UKW112" s="4"/>
      <c r="UKX112" s="4"/>
      <c r="UKY112" s="4"/>
      <c r="UKZ112" s="4"/>
      <c r="ULA112" s="4"/>
      <c r="ULB112" s="4"/>
      <c r="ULC112" s="4"/>
      <c r="ULD112" s="4"/>
      <c r="ULE112" s="4"/>
      <c r="ULF112" s="4"/>
      <c r="ULG112" s="4"/>
      <c r="ULH112" s="4"/>
      <c r="ULI112" s="4"/>
      <c r="ULJ112" s="4"/>
      <c r="ULK112" s="4"/>
      <c r="ULL112" s="4"/>
      <c r="ULM112" s="4"/>
      <c r="ULN112" s="4"/>
      <c r="ULO112" s="4"/>
      <c r="ULP112" s="4"/>
      <c r="ULQ112" s="4"/>
      <c r="ULR112" s="4"/>
      <c r="ULS112" s="4"/>
      <c r="ULT112" s="4"/>
      <c r="ULU112" s="4"/>
      <c r="ULV112" s="4"/>
      <c r="ULW112" s="4"/>
      <c r="ULX112" s="4"/>
      <c r="ULY112" s="4"/>
      <c r="ULZ112" s="4"/>
      <c r="UMA112" s="4"/>
      <c r="UMB112" s="4"/>
      <c r="UMC112" s="4"/>
      <c r="UMD112" s="4"/>
      <c r="UME112" s="4"/>
      <c r="UMF112" s="4"/>
      <c r="UMG112" s="4"/>
      <c r="UMH112" s="4"/>
      <c r="UMI112" s="4"/>
      <c r="UMJ112" s="4"/>
      <c r="UMK112" s="4"/>
      <c r="UML112" s="4"/>
      <c r="UMM112" s="4"/>
      <c r="UMN112" s="4"/>
      <c r="UMO112" s="4"/>
      <c r="UMP112" s="4"/>
      <c r="UMQ112" s="4"/>
      <c r="UMR112" s="4"/>
      <c r="UMS112" s="4"/>
      <c r="UMT112" s="4"/>
      <c r="UMU112" s="4"/>
      <c r="UMV112" s="4"/>
      <c r="UMW112" s="4"/>
      <c r="UMX112" s="4"/>
      <c r="UMY112" s="4"/>
      <c r="UMZ112" s="4"/>
      <c r="UNA112" s="4"/>
      <c r="UNB112" s="4"/>
      <c r="UNC112" s="4"/>
      <c r="UND112" s="4"/>
      <c r="UNE112" s="4"/>
      <c r="UNF112" s="4"/>
      <c r="UNG112" s="4"/>
      <c r="UNH112" s="4"/>
      <c r="UNI112" s="4"/>
      <c r="UNJ112" s="4"/>
      <c r="UNK112" s="4"/>
      <c r="UNL112" s="4"/>
      <c r="UNM112" s="4"/>
      <c r="UNN112" s="4"/>
      <c r="UNO112" s="4"/>
      <c r="UNP112" s="4"/>
      <c r="UNQ112" s="4"/>
      <c r="UNR112" s="4"/>
      <c r="UNS112" s="4"/>
      <c r="UNT112" s="4"/>
      <c r="UNU112" s="4"/>
      <c r="UNV112" s="4"/>
      <c r="UNW112" s="4"/>
      <c r="UNX112" s="4"/>
      <c r="UNY112" s="4"/>
      <c r="UNZ112" s="4"/>
      <c r="UOA112" s="4"/>
      <c r="UOB112" s="4"/>
      <c r="UOC112" s="4"/>
      <c r="UOD112" s="4"/>
      <c r="UOE112" s="4"/>
      <c r="UOF112" s="4"/>
      <c r="UOG112" s="4"/>
      <c r="UOH112" s="4"/>
      <c r="UOI112" s="4"/>
      <c r="UOJ112" s="4"/>
      <c r="UOK112" s="4"/>
      <c r="UOL112" s="4"/>
      <c r="UOM112" s="4"/>
      <c r="UON112" s="4"/>
      <c r="UOO112" s="4"/>
      <c r="UOP112" s="4"/>
      <c r="UOQ112" s="4"/>
      <c r="UOR112" s="4"/>
      <c r="UOS112" s="4"/>
      <c r="UOT112" s="4"/>
      <c r="UOU112" s="4"/>
      <c r="UOV112" s="4"/>
      <c r="UOW112" s="4"/>
      <c r="UOX112" s="4"/>
      <c r="UOY112" s="4"/>
      <c r="UOZ112" s="4"/>
      <c r="UPA112" s="4"/>
      <c r="UPB112" s="4"/>
      <c r="UPC112" s="4"/>
      <c r="UPD112" s="4"/>
      <c r="UPE112" s="4"/>
      <c r="UPF112" s="4"/>
      <c r="UPG112" s="4"/>
      <c r="UPH112" s="4"/>
      <c r="UPI112" s="4"/>
      <c r="UPJ112" s="4"/>
      <c r="UPK112" s="4"/>
      <c r="UPL112" s="4"/>
      <c r="UPM112" s="4"/>
      <c r="UPN112" s="4"/>
      <c r="UPO112" s="4"/>
      <c r="UPP112" s="4"/>
      <c r="UPQ112" s="4"/>
      <c r="UPR112" s="4"/>
      <c r="UPS112" s="4"/>
      <c r="UPT112" s="4"/>
      <c r="UPU112" s="4"/>
      <c r="UPV112" s="4"/>
      <c r="UPW112" s="4"/>
      <c r="UPX112" s="4"/>
      <c r="UPY112" s="4"/>
      <c r="UPZ112" s="4"/>
      <c r="UQA112" s="4"/>
      <c r="UQB112" s="4"/>
      <c r="UQC112" s="4"/>
      <c r="UQD112" s="4"/>
      <c r="UQE112" s="4"/>
      <c r="UQF112" s="4"/>
      <c r="UQG112" s="4"/>
      <c r="UQH112" s="4"/>
      <c r="UQI112" s="4"/>
      <c r="UQJ112" s="4"/>
      <c r="UQK112" s="4"/>
      <c r="UQL112" s="4"/>
      <c r="UQM112" s="4"/>
      <c r="UQN112" s="4"/>
      <c r="UQO112" s="4"/>
      <c r="UQP112" s="4"/>
      <c r="UQQ112" s="4"/>
      <c r="UQR112" s="4"/>
      <c r="UQS112" s="4"/>
      <c r="UQT112" s="4"/>
      <c r="UQU112" s="4"/>
      <c r="UQV112" s="4"/>
      <c r="UQW112" s="4"/>
      <c r="UQX112" s="4"/>
      <c r="UQY112" s="4"/>
      <c r="UQZ112" s="4"/>
      <c r="URA112" s="4"/>
      <c r="URB112" s="4"/>
      <c r="URC112" s="4"/>
      <c r="URD112" s="4"/>
      <c r="URE112" s="4"/>
      <c r="URF112" s="4"/>
      <c r="URG112" s="4"/>
      <c r="URH112" s="4"/>
      <c r="URI112" s="4"/>
      <c r="URJ112" s="4"/>
      <c r="URK112" s="4"/>
      <c r="URL112" s="4"/>
      <c r="URM112" s="4"/>
      <c r="URN112" s="4"/>
      <c r="URO112" s="4"/>
      <c r="URP112" s="4"/>
      <c r="URQ112" s="4"/>
      <c r="URR112" s="4"/>
      <c r="URS112" s="4"/>
      <c r="URT112" s="4"/>
      <c r="URU112" s="4"/>
      <c r="URV112" s="4"/>
      <c r="URW112" s="4"/>
      <c r="URX112" s="4"/>
      <c r="URY112" s="4"/>
      <c r="URZ112" s="4"/>
      <c r="USA112" s="4"/>
      <c r="USB112" s="4"/>
      <c r="USC112" s="4"/>
      <c r="USD112" s="4"/>
      <c r="USE112" s="4"/>
      <c r="USF112" s="4"/>
      <c r="USG112" s="4"/>
      <c r="USH112" s="4"/>
      <c r="USI112" s="4"/>
      <c r="USJ112" s="4"/>
      <c r="USK112" s="4"/>
      <c r="USL112" s="4"/>
      <c r="USM112" s="4"/>
      <c r="USN112" s="4"/>
      <c r="USO112" s="4"/>
      <c r="USP112" s="4"/>
      <c r="USQ112" s="4"/>
      <c r="USR112" s="4"/>
      <c r="USS112" s="4"/>
      <c r="UST112" s="4"/>
      <c r="USU112" s="4"/>
      <c r="USV112" s="4"/>
      <c r="USW112" s="4"/>
      <c r="USX112" s="4"/>
      <c r="USY112" s="4"/>
      <c r="USZ112" s="4"/>
      <c r="UTA112" s="4"/>
      <c r="UTB112" s="4"/>
      <c r="UTC112" s="4"/>
      <c r="UTD112" s="4"/>
      <c r="UTE112" s="4"/>
      <c r="UTF112" s="4"/>
      <c r="UTG112" s="4"/>
      <c r="UTH112" s="4"/>
      <c r="UTI112" s="4"/>
      <c r="UTJ112" s="4"/>
      <c r="UTK112" s="4"/>
      <c r="UTL112" s="4"/>
      <c r="UTM112" s="4"/>
      <c r="UTN112" s="4"/>
      <c r="UTO112" s="4"/>
      <c r="UTP112" s="4"/>
      <c r="UTQ112" s="4"/>
      <c r="UTR112" s="4"/>
      <c r="UTS112" s="4"/>
      <c r="UTT112" s="4"/>
      <c r="UTU112" s="4"/>
      <c r="UTV112" s="4"/>
      <c r="UTW112" s="4"/>
      <c r="UTX112" s="4"/>
      <c r="UTY112" s="4"/>
      <c r="UTZ112" s="4"/>
      <c r="UUA112" s="4"/>
      <c r="UUB112" s="4"/>
      <c r="UUC112" s="4"/>
      <c r="UUD112" s="4"/>
      <c r="UUE112" s="4"/>
      <c r="UUF112" s="4"/>
      <c r="UUG112" s="4"/>
      <c r="UUH112" s="4"/>
      <c r="UUI112" s="4"/>
      <c r="UUJ112" s="4"/>
      <c r="UUK112" s="4"/>
      <c r="UUL112" s="4"/>
      <c r="UUM112" s="4"/>
      <c r="UUN112" s="4"/>
      <c r="UUO112" s="4"/>
      <c r="UUP112" s="4"/>
      <c r="UUQ112" s="4"/>
      <c r="UUR112" s="4"/>
      <c r="UUS112" s="4"/>
      <c r="UUT112" s="4"/>
      <c r="UUU112" s="4"/>
      <c r="UUV112" s="4"/>
      <c r="UUW112" s="4"/>
      <c r="UUX112" s="4"/>
      <c r="UUY112" s="4"/>
      <c r="UUZ112" s="4"/>
      <c r="UVA112" s="4"/>
      <c r="UVB112" s="4"/>
      <c r="UVC112" s="4"/>
      <c r="UVD112" s="4"/>
      <c r="UVE112" s="4"/>
      <c r="UVF112" s="4"/>
      <c r="UVG112" s="4"/>
      <c r="UVH112" s="4"/>
      <c r="UVI112" s="4"/>
      <c r="UVJ112" s="4"/>
      <c r="UVK112" s="4"/>
      <c r="UVL112" s="4"/>
      <c r="UVM112" s="4"/>
      <c r="UVN112" s="4"/>
      <c r="UVO112" s="4"/>
      <c r="UVP112" s="4"/>
      <c r="UVQ112" s="4"/>
      <c r="UVR112" s="4"/>
      <c r="UVS112" s="4"/>
      <c r="UVT112" s="4"/>
      <c r="UVU112" s="4"/>
      <c r="UVV112" s="4"/>
      <c r="UVW112" s="4"/>
      <c r="UVX112" s="4"/>
      <c r="UVY112" s="4"/>
      <c r="UVZ112" s="4"/>
      <c r="UWA112" s="4"/>
      <c r="UWB112" s="4"/>
      <c r="UWC112" s="4"/>
      <c r="UWD112" s="4"/>
      <c r="UWE112" s="4"/>
      <c r="UWF112" s="4"/>
      <c r="UWG112" s="4"/>
      <c r="UWH112" s="4"/>
      <c r="UWI112" s="4"/>
      <c r="UWJ112" s="4"/>
      <c r="UWK112" s="4"/>
      <c r="UWL112" s="4"/>
      <c r="UWM112" s="4"/>
      <c r="UWN112" s="4"/>
      <c r="UWO112" s="4"/>
      <c r="UWP112" s="4"/>
      <c r="UWQ112" s="4"/>
      <c r="UWR112" s="4"/>
      <c r="UWS112" s="4"/>
      <c r="UWT112" s="4"/>
      <c r="UWU112" s="4"/>
      <c r="UWV112" s="4"/>
      <c r="UWW112" s="4"/>
      <c r="UWX112" s="4"/>
      <c r="UWY112" s="4"/>
      <c r="UWZ112" s="4"/>
      <c r="UXA112" s="4"/>
      <c r="UXB112" s="4"/>
      <c r="UXC112" s="4"/>
      <c r="UXD112" s="4"/>
      <c r="UXE112" s="4"/>
      <c r="UXF112" s="4"/>
      <c r="UXG112" s="4"/>
      <c r="UXH112" s="4"/>
      <c r="UXI112" s="4"/>
      <c r="UXJ112" s="4"/>
      <c r="UXK112" s="4"/>
      <c r="UXL112" s="4"/>
      <c r="UXM112" s="4"/>
      <c r="UXN112" s="4"/>
      <c r="UXO112" s="4"/>
      <c r="UXP112" s="4"/>
      <c r="UXQ112" s="4"/>
      <c r="UXR112" s="4"/>
      <c r="UXS112" s="4"/>
      <c r="UXT112" s="4"/>
      <c r="UXU112" s="4"/>
      <c r="UXV112" s="4"/>
      <c r="UXW112" s="4"/>
      <c r="UXX112" s="4"/>
      <c r="UXY112" s="4"/>
      <c r="UXZ112" s="4"/>
      <c r="UYA112" s="4"/>
      <c r="UYB112" s="4"/>
      <c r="UYC112" s="4"/>
      <c r="UYD112" s="4"/>
      <c r="UYE112" s="4"/>
      <c r="UYF112" s="4"/>
      <c r="UYG112" s="4"/>
      <c r="UYH112" s="4"/>
      <c r="UYI112" s="4"/>
      <c r="UYJ112" s="4"/>
      <c r="UYK112" s="4"/>
      <c r="UYL112" s="4"/>
      <c r="UYM112" s="4"/>
      <c r="UYN112" s="4"/>
      <c r="UYO112" s="4"/>
      <c r="UYP112" s="4"/>
      <c r="UYQ112" s="4"/>
      <c r="UYR112" s="4"/>
      <c r="UYS112" s="4"/>
      <c r="UYT112" s="4"/>
      <c r="UYU112" s="4"/>
      <c r="UYV112" s="4"/>
      <c r="UYW112" s="4"/>
      <c r="UYX112" s="4"/>
      <c r="UYY112" s="4"/>
      <c r="UYZ112" s="4"/>
      <c r="UZA112" s="4"/>
      <c r="UZB112" s="4"/>
      <c r="UZC112" s="4"/>
      <c r="UZD112" s="4"/>
      <c r="UZE112" s="4"/>
      <c r="UZF112" s="4"/>
      <c r="UZG112" s="4"/>
      <c r="UZH112" s="4"/>
      <c r="UZI112" s="4"/>
      <c r="UZJ112" s="4"/>
      <c r="UZK112" s="4"/>
      <c r="UZL112" s="4"/>
      <c r="UZM112" s="4"/>
      <c r="UZN112" s="4"/>
      <c r="UZO112" s="4"/>
      <c r="UZP112" s="4"/>
      <c r="UZQ112" s="4"/>
      <c r="UZR112" s="4"/>
      <c r="UZS112" s="4"/>
      <c r="UZT112" s="4"/>
      <c r="UZU112" s="4"/>
      <c r="UZV112" s="4"/>
      <c r="UZW112" s="4"/>
      <c r="UZX112" s="4"/>
      <c r="UZY112" s="4"/>
      <c r="UZZ112" s="4"/>
      <c r="VAA112" s="4"/>
      <c r="VAB112" s="4"/>
      <c r="VAC112" s="4"/>
      <c r="VAD112" s="4"/>
      <c r="VAE112" s="4"/>
      <c r="VAF112" s="4"/>
      <c r="VAG112" s="4"/>
      <c r="VAH112" s="4"/>
      <c r="VAI112" s="4"/>
      <c r="VAJ112" s="4"/>
      <c r="VAK112" s="4"/>
      <c r="VAL112" s="4"/>
      <c r="VAM112" s="4"/>
      <c r="VAN112" s="4"/>
      <c r="VAO112" s="4"/>
      <c r="VAP112" s="4"/>
      <c r="VAQ112" s="4"/>
      <c r="VAR112" s="4"/>
      <c r="VAS112" s="4"/>
      <c r="VAT112" s="4"/>
      <c r="VAU112" s="4"/>
      <c r="VAV112" s="4"/>
      <c r="VAW112" s="4"/>
      <c r="VAX112" s="4"/>
      <c r="VAY112" s="4"/>
      <c r="VAZ112" s="4"/>
      <c r="VBA112" s="4"/>
      <c r="VBB112" s="4"/>
      <c r="VBC112" s="4"/>
      <c r="VBD112" s="4"/>
      <c r="VBE112" s="4"/>
      <c r="VBF112" s="4"/>
      <c r="VBG112" s="4"/>
      <c r="VBH112" s="4"/>
      <c r="VBI112" s="4"/>
      <c r="VBJ112" s="4"/>
      <c r="VBK112" s="4"/>
      <c r="VBL112" s="4"/>
      <c r="VBM112" s="4"/>
      <c r="VBN112" s="4"/>
      <c r="VBO112" s="4"/>
      <c r="VBP112" s="4"/>
      <c r="VBQ112" s="4"/>
      <c r="VBR112" s="4"/>
      <c r="VBS112" s="4"/>
      <c r="VBT112" s="4"/>
      <c r="VBU112" s="4"/>
      <c r="VBV112" s="4"/>
      <c r="VBW112" s="4"/>
      <c r="VBX112" s="4"/>
      <c r="VBY112" s="4"/>
      <c r="VBZ112" s="4"/>
      <c r="VCA112" s="4"/>
      <c r="VCB112" s="4"/>
      <c r="VCC112" s="4"/>
      <c r="VCD112" s="4"/>
      <c r="VCE112" s="4"/>
      <c r="VCF112" s="4"/>
      <c r="VCG112" s="4"/>
      <c r="VCH112" s="4"/>
      <c r="VCI112" s="4"/>
      <c r="VCJ112" s="4"/>
      <c r="VCK112" s="4"/>
      <c r="VCL112" s="4"/>
      <c r="VCM112" s="4"/>
      <c r="VCN112" s="4"/>
      <c r="VCO112" s="4"/>
      <c r="VCP112" s="4"/>
      <c r="VCQ112" s="4"/>
      <c r="VCR112" s="4"/>
      <c r="VCS112" s="4"/>
      <c r="VCT112" s="4"/>
      <c r="VCU112" s="4"/>
      <c r="VCV112" s="4"/>
      <c r="VCW112" s="4"/>
      <c r="VCX112" s="4"/>
      <c r="VCY112" s="4"/>
      <c r="VCZ112" s="4"/>
      <c r="VDA112" s="4"/>
      <c r="VDB112" s="4"/>
      <c r="VDC112" s="4"/>
      <c r="VDD112" s="4"/>
      <c r="VDE112" s="4"/>
      <c r="VDF112" s="4"/>
      <c r="VDG112" s="4"/>
      <c r="VDH112" s="4"/>
      <c r="VDI112" s="4"/>
      <c r="VDJ112" s="4"/>
      <c r="VDK112" s="4"/>
      <c r="VDL112" s="4"/>
      <c r="VDM112" s="4"/>
      <c r="VDN112" s="4"/>
      <c r="VDO112" s="4"/>
      <c r="VDP112" s="4"/>
      <c r="VDQ112" s="4"/>
      <c r="VDR112" s="4"/>
      <c r="VDS112" s="4"/>
      <c r="VDT112" s="4"/>
      <c r="VDU112" s="4"/>
      <c r="VDV112" s="4"/>
      <c r="VDW112" s="4"/>
      <c r="VDX112" s="4"/>
      <c r="VDY112" s="4"/>
      <c r="VDZ112" s="4"/>
      <c r="VEA112" s="4"/>
      <c r="VEB112" s="4"/>
      <c r="VEC112" s="4"/>
      <c r="VED112" s="4"/>
      <c r="VEE112" s="4"/>
      <c r="VEF112" s="4"/>
      <c r="VEG112" s="4"/>
      <c r="VEH112" s="4"/>
      <c r="VEI112" s="4"/>
      <c r="VEJ112" s="4"/>
      <c r="VEK112" s="4"/>
      <c r="VEL112" s="4"/>
      <c r="VEM112" s="4"/>
      <c r="VEN112" s="4"/>
      <c r="VEO112" s="4"/>
      <c r="VEP112" s="4"/>
      <c r="VEQ112" s="4"/>
      <c r="VER112" s="4"/>
      <c r="VES112" s="4"/>
      <c r="VET112" s="4"/>
      <c r="VEU112" s="4"/>
      <c r="VEV112" s="4"/>
      <c r="VEW112" s="4"/>
      <c r="VEX112" s="4"/>
      <c r="VEY112" s="4"/>
      <c r="VEZ112" s="4"/>
      <c r="VFA112" s="4"/>
      <c r="VFB112" s="4"/>
      <c r="VFC112" s="4"/>
      <c r="VFD112" s="4"/>
      <c r="VFE112" s="4"/>
      <c r="VFF112" s="4"/>
      <c r="VFG112" s="4"/>
      <c r="VFH112" s="4"/>
      <c r="VFI112" s="4"/>
      <c r="VFJ112" s="4"/>
      <c r="VFK112" s="4"/>
      <c r="VFL112" s="4"/>
      <c r="VFM112" s="4"/>
      <c r="VFN112" s="4"/>
      <c r="VFO112" s="4"/>
      <c r="VFP112" s="4"/>
      <c r="VFQ112" s="4"/>
      <c r="VFR112" s="4"/>
      <c r="VFS112" s="4"/>
      <c r="VFT112" s="4"/>
      <c r="VFU112" s="4"/>
      <c r="VFV112" s="4"/>
      <c r="VFW112" s="4"/>
      <c r="VFX112" s="4"/>
      <c r="VFY112" s="4"/>
      <c r="VFZ112" s="4"/>
      <c r="VGA112" s="4"/>
      <c r="VGB112" s="4"/>
      <c r="VGC112" s="4"/>
      <c r="VGD112" s="4"/>
      <c r="VGE112" s="4"/>
      <c r="VGF112" s="4"/>
      <c r="VGG112" s="4"/>
      <c r="VGH112" s="4"/>
      <c r="VGI112" s="4"/>
      <c r="VGJ112" s="4"/>
      <c r="VGK112" s="4"/>
      <c r="VGL112" s="4"/>
      <c r="VGM112" s="4"/>
      <c r="VGN112" s="4"/>
      <c r="VGO112" s="4"/>
      <c r="VGP112" s="4"/>
      <c r="VGQ112" s="4"/>
      <c r="VGR112" s="4"/>
      <c r="VGS112" s="4"/>
      <c r="VGT112" s="4"/>
      <c r="VGU112" s="4"/>
      <c r="VGV112" s="4"/>
      <c r="VGW112" s="4"/>
      <c r="VGX112" s="4"/>
      <c r="VGY112" s="4"/>
      <c r="VGZ112" s="4"/>
      <c r="VHA112" s="4"/>
      <c r="VHB112" s="4"/>
      <c r="VHC112" s="4"/>
      <c r="VHD112" s="4"/>
      <c r="VHE112" s="4"/>
      <c r="VHF112" s="4"/>
      <c r="VHG112" s="4"/>
      <c r="VHH112" s="4"/>
      <c r="VHI112" s="4"/>
      <c r="VHJ112" s="4"/>
      <c r="VHK112" s="4"/>
      <c r="VHL112" s="4"/>
      <c r="VHM112" s="4"/>
      <c r="VHN112" s="4"/>
      <c r="VHO112" s="4"/>
      <c r="VHP112" s="4"/>
      <c r="VHQ112" s="4"/>
      <c r="VHR112" s="4"/>
      <c r="VHS112" s="4"/>
      <c r="VHT112" s="4"/>
      <c r="VHU112" s="4"/>
      <c r="VHV112" s="4"/>
      <c r="VHW112" s="4"/>
      <c r="VHX112" s="4"/>
      <c r="VHY112" s="4"/>
      <c r="VHZ112" s="4"/>
      <c r="VIA112" s="4"/>
      <c r="VIB112" s="4"/>
      <c r="VIC112" s="4"/>
      <c r="VID112" s="4"/>
      <c r="VIE112" s="4"/>
      <c r="VIF112" s="4"/>
      <c r="VIG112" s="4"/>
      <c r="VIH112" s="4"/>
      <c r="VII112" s="4"/>
      <c r="VIJ112" s="4"/>
      <c r="VIK112" s="4"/>
      <c r="VIL112" s="4"/>
      <c r="VIM112" s="4"/>
      <c r="VIN112" s="4"/>
      <c r="VIO112" s="4"/>
      <c r="VIP112" s="4"/>
      <c r="VIQ112" s="4"/>
      <c r="VIR112" s="4"/>
      <c r="VIS112" s="4"/>
      <c r="VIT112" s="4"/>
      <c r="VIU112" s="4"/>
      <c r="VIV112" s="4"/>
      <c r="VIW112" s="4"/>
      <c r="VIX112" s="4"/>
      <c r="VIY112" s="4"/>
      <c r="VIZ112" s="4"/>
      <c r="VJA112" s="4"/>
      <c r="VJB112" s="4"/>
      <c r="VJC112" s="4"/>
      <c r="VJD112" s="4"/>
      <c r="VJE112" s="4"/>
      <c r="VJF112" s="4"/>
      <c r="VJG112" s="4"/>
      <c r="VJH112" s="4"/>
      <c r="VJI112" s="4"/>
      <c r="VJJ112" s="4"/>
      <c r="VJK112" s="4"/>
      <c r="VJL112" s="4"/>
      <c r="VJM112" s="4"/>
      <c r="VJN112" s="4"/>
      <c r="VJO112" s="4"/>
      <c r="VJP112" s="4"/>
      <c r="VJQ112" s="4"/>
      <c r="VJR112" s="4"/>
      <c r="VJS112" s="4"/>
      <c r="VJT112" s="4"/>
      <c r="VJU112" s="4"/>
      <c r="VJV112" s="4"/>
      <c r="VJW112" s="4"/>
      <c r="VJX112" s="4"/>
      <c r="VJY112" s="4"/>
      <c r="VJZ112" s="4"/>
      <c r="VKA112" s="4"/>
      <c r="VKB112" s="4"/>
      <c r="VKC112" s="4"/>
      <c r="VKD112" s="4"/>
      <c r="VKE112" s="4"/>
      <c r="VKF112" s="4"/>
      <c r="VKG112" s="4"/>
      <c r="VKH112" s="4"/>
      <c r="VKI112" s="4"/>
      <c r="VKJ112" s="4"/>
      <c r="VKK112" s="4"/>
      <c r="VKL112" s="4"/>
      <c r="VKM112" s="4"/>
      <c r="VKN112" s="4"/>
      <c r="VKO112" s="4"/>
      <c r="VKP112" s="4"/>
      <c r="VKQ112" s="4"/>
      <c r="VKR112" s="4"/>
      <c r="VKS112" s="4"/>
      <c r="VKT112" s="4"/>
      <c r="VKU112" s="4"/>
      <c r="VKV112" s="4"/>
      <c r="VKW112" s="4"/>
      <c r="VKX112" s="4"/>
      <c r="VKY112" s="4"/>
      <c r="VKZ112" s="4"/>
      <c r="VLA112" s="4"/>
      <c r="VLB112" s="4"/>
      <c r="VLC112" s="4"/>
      <c r="VLD112" s="4"/>
      <c r="VLE112" s="4"/>
      <c r="VLF112" s="4"/>
      <c r="VLG112" s="4"/>
      <c r="VLH112" s="4"/>
      <c r="VLI112" s="4"/>
      <c r="VLJ112" s="4"/>
      <c r="VLK112" s="4"/>
      <c r="VLL112" s="4"/>
      <c r="VLM112" s="4"/>
      <c r="VLN112" s="4"/>
      <c r="VLO112" s="4"/>
      <c r="VLP112" s="4"/>
      <c r="VLQ112" s="4"/>
      <c r="VLR112" s="4"/>
      <c r="VLS112" s="4"/>
      <c r="VLT112" s="4"/>
      <c r="VLU112" s="4"/>
      <c r="VLV112" s="4"/>
      <c r="VLW112" s="4"/>
      <c r="VLX112" s="4"/>
      <c r="VLY112" s="4"/>
      <c r="VLZ112" s="4"/>
      <c r="VMA112" s="4"/>
      <c r="VMB112" s="4"/>
      <c r="VMC112" s="4"/>
      <c r="VMD112" s="4"/>
      <c r="VME112" s="4"/>
      <c r="VMF112" s="4"/>
      <c r="VMG112" s="4"/>
      <c r="VMH112" s="4"/>
      <c r="VMI112" s="4"/>
      <c r="VMJ112" s="4"/>
      <c r="VMK112" s="4"/>
      <c r="VML112" s="4"/>
      <c r="VMM112" s="4"/>
      <c r="VMN112" s="4"/>
      <c r="VMO112" s="4"/>
      <c r="VMP112" s="4"/>
      <c r="VMQ112" s="4"/>
      <c r="VMR112" s="4"/>
      <c r="VMS112" s="4"/>
      <c r="VMT112" s="4"/>
      <c r="VMU112" s="4"/>
      <c r="VMV112" s="4"/>
      <c r="VMW112" s="4"/>
      <c r="VMX112" s="4"/>
      <c r="VMY112" s="4"/>
      <c r="VMZ112" s="4"/>
      <c r="VNA112" s="4"/>
      <c r="VNB112" s="4"/>
      <c r="VNC112" s="4"/>
      <c r="VND112" s="4"/>
      <c r="VNE112" s="4"/>
      <c r="VNF112" s="4"/>
      <c r="VNG112" s="4"/>
      <c r="VNH112" s="4"/>
      <c r="VNI112" s="4"/>
      <c r="VNJ112" s="4"/>
      <c r="VNK112" s="4"/>
      <c r="VNL112" s="4"/>
      <c r="VNM112" s="4"/>
      <c r="VNN112" s="4"/>
      <c r="VNO112" s="4"/>
      <c r="VNP112" s="4"/>
      <c r="VNQ112" s="4"/>
      <c r="VNR112" s="4"/>
      <c r="VNS112" s="4"/>
      <c r="VNT112" s="4"/>
      <c r="VNU112" s="4"/>
      <c r="VNV112" s="4"/>
      <c r="VNW112" s="4"/>
      <c r="VNX112" s="4"/>
      <c r="VNY112" s="4"/>
      <c r="VNZ112" s="4"/>
      <c r="VOA112" s="4"/>
      <c r="VOB112" s="4"/>
      <c r="VOC112" s="4"/>
      <c r="VOD112" s="4"/>
      <c r="VOE112" s="4"/>
      <c r="VOF112" s="4"/>
      <c r="VOG112" s="4"/>
      <c r="VOH112" s="4"/>
      <c r="VOI112" s="4"/>
      <c r="VOJ112" s="4"/>
      <c r="VOK112" s="4"/>
      <c r="VOL112" s="4"/>
      <c r="VOM112" s="4"/>
      <c r="VON112" s="4"/>
      <c r="VOO112" s="4"/>
      <c r="VOP112" s="4"/>
      <c r="VOQ112" s="4"/>
      <c r="VOR112" s="4"/>
      <c r="VOS112" s="4"/>
      <c r="VOT112" s="4"/>
      <c r="VOU112" s="4"/>
      <c r="VOV112" s="4"/>
      <c r="VOW112" s="4"/>
      <c r="VOX112" s="4"/>
      <c r="VOY112" s="4"/>
      <c r="VOZ112" s="4"/>
      <c r="VPA112" s="4"/>
      <c r="VPB112" s="4"/>
      <c r="VPC112" s="4"/>
      <c r="VPD112" s="4"/>
      <c r="VPE112" s="4"/>
      <c r="VPF112" s="4"/>
      <c r="VPG112" s="4"/>
      <c r="VPH112" s="4"/>
      <c r="VPI112" s="4"/>
      <c r="VPJ112" s="4"/>
      <c r="VPK112" s="4"/>
      <c r="VPL112" s="4"/>
      <c r="VPM112" s="4"/>
      <c r="VPN112" s="4"/>
      <c r="VPO112" s="4"/>
      <c r="VPP112" s="4"/>
      <c r="VPQ112" s="4"/>
      <c r="VPR112" s="4"/>
      <c r="VPS112" s="4"/>
      <c r="VPT112" s="4"/>
      <c r="VPU112" s="4"/>
      <c r="VPV112" s="4"/>
      <c r="VPW112" s="4"/>
      <c r="VPX112" s="4"/>
      <c r="VPY112" s="4"/>
      <c r="VPZ112" s="4"/>
      <c r="VQA112" s="4"/>
      <c r="VQB112" s="4"/>
      <c r="VQC112" s="4"/>
      <c r="VQD112" s="4"/>
      <c r="VQE112" s="4"/>
      <c r="VQF112" s="4"/>
      <c r="VQG112" s="4"/>
      <c r="VQH112" s="4"/>
      <c r="VQI112" s="4"/>
      <c r="VQJ112" s="4"/>
      <c r="VQK112" s="4"/>
      <c r="VQL112" s="4"/>
      <c r="VQM112" s="4"/>
      <c r="VQN112" s="4"/>
      <c r="VQO112" s="4"/>
      <c r="VQP112" s="4"/>
      <c r="VQQ112" s="4"/>
      <c r="VQR112" s="4"/>
      <c r="VQS112" s="4"/>
      <c r="VQT112" s="4"/>
      <c r="VQU112" s="4"/>
      <c r="VQV112" s="4"/>
      <c r="VQW112" s="4"/>
      <c r="VQX112" s="4"/>
      <c r="VQY112" s="4"/>
      <c r="VQZ112" s="4"/>
      <c r="VRA112" s="4"/>
      <c r="VRB112" s="4"/>
      <c r="VRC112" s="4"/>
      <c r="VRD112" s="4"/>
      <c r="VRE112" s="4"/>
      <c r="VRF112" s="4"/>
      <c r="VRG112" s="4"/>
      <c r="VRH112" s="4"/>
      <c r="VRI112" s="4"/>
      <c r="VRJ112" s="4"/>
      <c r="VRK112" s="4"/>
      <c r="VRL112" s="4"/>
      <c r="VRM112" s="4"/>
      <c r="VRN112" s="4"/>
      <c r="VRO112" s="4"/>
      <c r="VRP112" s="4"/>
      <c r="VRQ112" s="4"/>
      <c r="VRR112" s="4"/>
      <c r="VRS112" s="4"/>
      <c r="VRT112" s="4"/>
      <c r="VRU112" s="4"/>
      <c r="VRV112" s="4"/>
      <c r="VRW112" s="4"/>
      <c r="VRX112" s="4"/>
      <c r="VRY112" s="4"/>
      <c r="VRZ112" s="4"/>
      <c r="VSA112" s="4"/>
      <c r="VSB112" s="4"/>
      <c r="VSC112" s="4"/>
      <c r="VSD112" s="4"/>
      <c r="VSE112" s="4"/>
      <c r="VSF112" s="4"/>
      <c r="VSG112" s="4"/>
      <c r="VSH112" s="4"/>
      <c r="VSI112" s="4"/>
      <c r="VSJ112" s="4"/>
      <c r="VSK112" s="4"/>
      <c r="VSL112" s="4"/>
      <c r="VSM112" s="4"/>
      <c r="VSN112" s="4"/>
      <c r="VSO112" s="4"/>
      <c r="VSP112" s="4"/>
      <c r="VSQ112" s="4"/>
      <c r="VSR112" s="4"/>
      <c r="VSS112" s="4"/>
      <c r="VST112" s="4"/>
      <c r="VSU112" s="4"/>
      <c r="VSV112" s="4"/>
      <c r="VSW112" s="4"/>
      <c r="VSX112" s="4"/>
      <c r="VSY112" s="4"/>
      <c r="VSZ112" s="4"/>
      <c r="VTA112" s="4"/>
      <c r="VTB112" s="4"/>
      <c r="VTC112" s="4"/>
      <c r="VTD112" s="4"/>
      <c r="VTE112" s="4"/>
      <c r="VTF112" s="4"/>
      <c r="VTG112" s="4"/>
      <c r="VTH112" s="4"/>
      <c r="VTI112" s="4"/>
      <c r="VTJ112" s="4"/>
      <c r="VTK112" s="4"/>
      <c r="VTL112" s="4"/>
      <c r="VTM112" s="4"/>
      <c r="VTN112" s="4"/>
      <c r="VTO112" s="4"/>
      <c r="VTP112" s="4"/>
      <c r="VTQ112" s="4"/>
      <c r="VTR112" s="4"/>
      <c r="VTS112" s="4"/>
      <c r="VTT112" s="4"/>
      <c r="VTU112" s="4"/>
      <c r="VTV112" s="4"/>
      <c r="VTW112" s="4"/>
      <c r="VTX112" s="4"/>
      <c r="VTY112" s="4"/>
      <c r="VTZ112" s="4"/>
      <c r="VUA112" s="4"/>
      <c r="VUB112" s="4"/>
      <c r="VUC112" s="4"/>
      <c r="VUD112" s="4"/>
      <c r="VUE112" s="4"/>
      <c r="VUF112" s="4"/>
      <c r="VUG112" s="4"/>
      <c r="VUH112" s="4"/>
      <c r="VUI112" s="4"/>
      <c r="VUJ112" s="4"/>
      <c r="VUK112" s="4"/>
      <c r="VUL112" s="4"/>
      <c r="VUM112" s="4"/>
      <c r="VUN112" s="4"/>
      <c r="VUO112" s="4"/>
      <c r="VUP112" s="4"/>
      <c r="VUQ112" s="4"/>
      <c r="VUR112" s="4"/>
      <c r="VUS112" s="4"/>
      <c r="VUT112" s="4"/>
      <c r="VUU112" s="4"/>
      <c r="VUV112" s="4"/>
      <c r="VUW112" s="4"/>
      <c r="VUX112" s="4"/>
      <c r="VUY112" s="4"/>
      <c r="VUZ112" s="4"/>
      <c r="VVA112" s="4"/>
      <c r="VVB112" s="4"/>
      <c r="VVC112" s="4"/>
      <c r="VVD112" s="4"/>
      <c r="VVE112" s="4"/>
      <c r="VVF112" s="4"/>
      <c r="VVG112" s="4"/>
      <c r="VVH112" s="4"/>
      <c r="VVI112" s="4"/>
      <c r="VVJ112" s="4"/>
      <c r="VVK112" s="4"/>
      <c r="VVL112" s="4"/>
      <c r="VVM112" s="4"/>
      <c r="VVN112" s="4"/>
      <c r="VVO112" s="4"/>
      <c r="VVP112" s="4"/>
      <c r="VVQ112" s="4"/>
      <c r="VVR112" s="4"/>
      <c r="VVS112" s="4"/>
      <c r="VVT112" s="4"/>
      <c r="VVU112" s="4"/>
      <c r="VVV112" s="4"/>
      <c r="VVW112" s="4"/>
      <c r="VVX112" s="4"/>
      <c r="VVY112" s="4"/>
      <c r="VVZ112" s="4"/>
      <c r="VWA112" s="4"/>
      <c r="VWB112" s="4"/>
      <c r="VWC112" s="4"/>
      <c r="VWD112" s="4"/>
      <c r="VWE112" s="4"/>
      <c r="VWF112" s="4"/>
      <c r="VWG112" s="4"/>
      <c r="VWH112" s="4"/>
      <c r="VWI112" s="4"/>
      <c r="VWJ112" s="4"/>
      <c r="VWK112" s="4"/>
      <c r="VWL112" s="4"/>
      <c r="VWM112" s="4"/>
      <c r="VWN112" s="4"/>
      <c r="VWO112" s="4"/>
      <c r="VWP112" s="4"/>
      <c r="VWQ112" s="4"/>
      <c r="VWR112" s="4"/>
      <c r="VWS112" s="4"/>
      <c r="VWT112" s="4"/>
      <c r="VWU112" s="4"/>
      <c r="VWV112" s="4"/>
      <c r="VWW112" s="4"/>
      <c r="VWX112" s="4"/>
      <c r="VWY112" s="4"/>
      <c r="VWZ112" s="4"/>
      <c r="VXA112" s="4"/>
      <c r="VXB112" s="4"/>
      <c r="VXC112" s="4"/>
      <c r="VXD112" s="4"/>
      <c r="VXE112" s="4"/>
      <c r="VXF112" s="4"/>
      <c r="VXG112" s="4"/>
      <c r="VXH112" s="4"/>
      <c r="VXI112" s="4"/>
      <c r="VXJ112" s="4"/>
      <c r="VXK112" s="4"/>
      <c r="VXL112" s="4"/>
      <c r="VXM112" s="4"/>
      <c r="VXN112" s="4"/>
      <c r="VXO112" s="4"/>
      <c r="VXP112" s="4"/>
      <c r="VXQ112" s="4"/>
      <c r="VXR112" s="4"/>
      <c r="VXS112" s="4"/>
      <c r="VXT112" s="4"/>
      <c r="VXU112" s="4"/>
      <c r="VXV112" s="4"/>
      <c r="VXW112" s="4"/>
      <c r="VXX112" s="4"/>
      <c r="VXY112" s="4"/>
      <c r="VXZ112" s="4"/>
      <c r="VYA112" s="4"/>
      <c r="VYB112" s="4"/>
      <c r="VYC112" s="4"/>
      <c r="VYD112" s="4"/>
      <c r="VYE112" s="4"/>
      <c r="VYF112" s="4"/>
      <c r="VYG112" s="4"/>
      <c r="VYH112" s="4"/>
      <c r="VYI112" s="4"/>
      <c r="VYJ112" s="4"/>
      <c r="VYK112" s="4"/>
      <c r="VYL112" s="4"/>
      <c r="VYM112" s="4"/>
      <c r="VYN112" s="4"/>
      <c r="VYO112" s="4"/>
      <c r="VYP112" s="4"/>
      <c r="VYQ112" s="4"/>
      <c r="VYR112" s="4"/>
      <c r="VYS112" s="4"/>
      <c r="VYT112" s="4"/>
      <c r="VYU112" s="4"/>
      <c r="VYV112" s="4"/>
      <c r="VYW112" s="4"/>
      <c r="VYX112" s="4"/>
      <c r="VYY112" s="4"/>
      <c r="VYZ112" s="4"/>
      <c r="VZA112" s="4"/>
      <c r="VZB112" s="4"/>
      <c r="VZC112" s="4"/>
      <c r="VZD112" s="4"/>
      <c r="VZE112" s="4"/>
      <c r="VZF112" s="4"/>
      <c r="VZG112" s="4"/>
      <c r="VZH112" s="4"/>
      <c r="VZI112" s="4"/>
      <c r="VZJ112" s="4"/>
      <c r="VZK112" s="4"/>
      <c r="VZL112" s="4"/>
      <c r="VZM112" s="4"/>
      <c r="VZN112" s="4"/>
      <c r="VZO112" s="4"/>
      <c r="VZP112" s="4"/>
      <c r="VZQ112" s="4"/>
      <c r="VZR112" s="4"/>
      <c r="VZS112" s="4"/>
      <c r="VZT112" s="4"/>
      <c r="VZU112" s="4"/>
      <c r="VZV112" s="4"/>
      <c r="VZW112" s="4"/>
      <c r="VZX112" s="4"/>
      <c r="VZY112" s="4"/>
      <c r="VZZ112" s="4"/>
      <c r="WAA112" s="4"/>
      <c r="WAB112" s="4"/>
      <c r="WAC112" s="4"/>
      <c r="WAD112" s="4"/>
      <c r="WAE112" s="4"/>
      <c r="WAF112" s="4"/>
      <c r="WAG112" s="4"/>
      <c r="WAH112" s="4"/>
      <c r="WAI112" s="4"/>
      <c r="WAJ112" s="4"/>
      <c r="WAK112" s="4"/>
      <c r="WAL112" s="4"/>
      <c r="WAM112" s="4"/>
      <c r="WAN112" s="4"/>
      <c r="WAO112" s="4"/>
      <c r="WAP112" s="4"/>
      <c r="WAQ112" s="4"/>
      <c r="WAR112" s="4"/>
      <c r="WAS112" s="4"/>
      <c r="WAT112" s="4"/>
      <c r="WAU112" s="4"/>
      <c r="WAV112" s="4"/>
      <c r="WAW112" s="4"/>
      <c r="WAX112" s="4"/>
      <c r="WAY112" s="4"/>
      <c r="WAZ112" s="4"/>
      <c r="WBA112" s="4"/>
      <c r="WBB112" s="4"/>
      <c r="WBC112" s="4"/>
      <c r="WBD112" s="4"/>
      <c r="WBE112" s="4"/>
      <c r="WBF112" s="4"/>
      <c r="WBG112" s="4"/>
      <c r="WBH112" s="4"/>
      <c r="WBI112" s="4"/>
      <c r="WBJ112" s="4"/>
      <c r="WBK112" s="4"/>
      <c r="WBL112" s="4"/>
      <c r="WBM112" s="4"/>
      <c r="WBN112" s="4"/>
      <c r="WBO112" s="4"/>
      <c r="WBP112" s="4"/>
      <c r="WBQ112" s="4"/>
      <c r="WBR112" s="4"/>
      <c r="WBS112" s="4"/>
      <c r="WBT112" s="4"/>
      <c r="WBU112" s="4"/>
      <c r="WBV112" s="4"/>
      <c r="WBW112" s="4"/>
      <c r="WBX112" s="4"/>
      <c r="WBY112" s="4"/>
      <c r="WBZ112" s="4"/>
      <c r="WCA112" s="4"/>
      <c r="WCB112" s="4"/>
      <c r="WCC112" s="4"/>
      <c r="WCD112" s="4"/>
      <c r="WCE112" s="4"/>
      <c r="WCF112" s="4"/>
      <c r="WCG112" s="4"/>
      <c r="WCH112" s="4"/>
      <c r="WCI112" s="4"/>
      <c r="WCJ112" s="4"/>
      <c r="WCK112" s="4"/>
      <c r="WCL112" s="4"/>
      <c r="WCM112" s="4"/>
      <c r="WCN112" s="4"/>
      <c r="WCO112" s="4"/>
      <c r="WCP112" s="4"/>
      <c r="WCQ112" s="4"/>
      <c r="WCR112" s="4"/>
      <c r="WCS112" s="4"/>
      <c r="WCT112" s="4"/>
      <c r="WCU112" s="4"/>
      <c r="WCV112" s="4"/>
      <c r="WCW112" s="4"/>
      <c r="WCX112" s="4"/>
      <c r="WCY112" s="4"/>
      <c r="WCZ112" s="4"/>
      <c r="WDA112" s="4"/>
      <c r="WDB112" s="4"/>
      <c r="WDC112" s="4"/>
      <c r="WDD112" s="4"/>
      <c r="WDE112" s="4"/>
      <c r="WDF112" s="4"/>
      <c r="WDG112" s="4"/>
      <c r="WDH112" s="4"/>
      <c r="WDI112" s="4"/>
      <c r="WDJ112" s="4"/>
      <c r="WDK112" s="4"/>
      <c r="WDL112" s="4"/>
      <c r="WDM112" s="4"/>
      <c r="WDN112" s="4"/>
      <c r="WDO112" s="4"/>
      <c r="WDP112" s="4"/>
      <c r="WDQ112" s="4"/>
      <c r="WDR112" s="4"/>
      <c r="WDS112" s="4"/>
      <c r="WDT112" s="4"/>
      <c r="WDU112" s="4"/>
      <c r="WDV112" s="4"/>
      <c r="WDW112" s="4"/>
      <c r="WDX112" s="4"/>
      <c r="WDY112" s="4"/>
      <c r="WDZ112" s="4"/>
      <c r="WEA112" s="4"/>
      <c r="WEB112" s="4"/>
      <c r="WEC112" s="4"/>
      <c r="WED112" s="4"/>
      <c r="WEE112" s="4"/>
      <c r="WEF112" s="4"/>
      <c r="WEG112" s="4"/>
      <c r="WEH112" s="4"/>
      <c r="WEI112" s="4"/>
      <c r="WEJ112" s="4"/>
      <c r="WEK112" s="4"/>
      <c r="WEL112" s="4"/>
      <c r="WEM112" s="4"/>
      <c r="WEN112" s="4"/>
      <c r="WEO112" s="4"/>
      <c r="WEP112" s="4"/>
      <c r="WEQ112" s="4"/>
      <c r="WER112" s="4"/>
      <c r="WES112" s="4"/>
      <c r="WET112" s="4"/>
      <c r="WEU112" s="4"/>
      <c r="WEV112" s="4"/>
      <c r="WEW112" s="4"/>
      <c r="WEX112" s="4"/>
      <c r="WEY112" s="4"/>
      <c r="WEZ112" s="4"/>
      <c r="WFA112" s="4"/>
      <c r="WFB112" s="4"/>
      <c r="WFC112" s="4"/>
      <c r="WFD112" s="4"/>
      <c r="WFE112" s="4"/>
      <c r="WFF112" s="4"/>
      <c r="WFG112" s="4"/>
      <c r="WFH112" s="4"/>
      <c r="WFI112" s="4"/>
      <c r="WFJ112" s="4"/>
      <c r="WFK112" s="4"/>
      <c r="WFL112" s="4"/>
      <c r="WFM112" s="4"/>
      <c r="WFN112" s="4"/>
      <c r="WFO112" s="4"/>
      <c r="WFP112" s="4"/>
      <c r="WFQ112" s="4"/>
      <c r="WFR112" s="4"/>
      <c r="WFS112" s="4"/>
      <c r="WFT112" s="4"/>
      <c r="WFU112" s="4"/>
      <c r="WFV112" s="4"/>
      <c r="WFW112" s="4"/>
      <c r="WFX112" s="4"/>
      <c r="WFY112" s="4"/>
      <c r="WFZ112" s="4"/>
      <c r="WGA112" s="4"/>
      <c r="WGB112" s="4"/>
      <c r="WGC112" s="4"/>
      <c r="WGD112" s="4"/>
      <c r="WGE112" s="4"/>
      <c r="WGF112" s="4"/>
      <c r="WGG112" s="4"/>
      <c r="WGH112" s="4"/>
      <c r="WGI112" s="4"/>
      <c r="WGJ112" s="4"/>
      <c r="WGK112" s="4"/>
      <c r="WGL112" s="4"/>
      <c r="WGM112" s="4"/>
      <c r="WGN112" s="4"/>
      <c r="WGO112" s="4"/>
      <c r="WGP112" s="4"/>
      <c r="WGQ112" s="4"/>
      <c r="WGR112" s="4"/>
      <c r="WGS112" s="4"/>
      <c r="WGT112" s="4"/>
      <c r="WGU112" s="4"/>
      <c r="WGV112" s="4"/>
      <c r="WGW112" s="4"/>
      <c r="WGX112" s="4"/>
      <c r="WGY112" s="4"/>
      <c r="WGZ112" s="4"/>
      <c r="WHA112" s="4"/>
      <c r="WHB112" s="4"/>
      <c r="WHC112" s="4"/>
      <c r="WHD112" s="4"/>
      <c r="WHE112" s="4"/>
      <c r="WHF112" s="4"/>
      <c r="WHG112" s="4"/>
      <c r="WHH112" s="4"/>
      <c r="WHI112" s="4"/>
      <c r="WHJ112" s="4"/>
      <c r="WHK112" s="4"/>
      <c r="WHL112" s="4"/>
      <c r="WHM112" s="4"/>
      <c r="WHN112" s="4"/>
      <c r="WHO112" s="4"/>
      <c r="WHP112" s="4"/>
      <c r="WHQ112" s="4"/>
      <c r="WHR112" s="4"/>
      <c r="WHS112" s="4"/>
      <c r="WHT112" s="4"/>
      <c r="WHU112" s="4"/>
      <c r="WHV112" s="4"/>
      <c r="WHW112" s="4"/>
      <c r="WHX112" s="4"/>
      <c r="WHY112" s="4"/>
      <c r="WHZ112" s="4"/>
      <c r="WIA112" s="4"/>
      <c r="WIB112" s="4"/>
      <c r="WIC112" s="4"/>
      <c r="WID112" s="4"/>
      <c r="WIE112" s="4"/>
      <c r="WIF112" s="4"/>
      <c r="WIG112" s="4"/>
      <c r="WIH112" s="4"/>
      <c r="WII112" s="4"/>
      <c r="WIJ112" s="4"/>
      <c r="WIK112" s="4"/>
      <c r="WIL112" s="4"/>
      <c r="WIM112" s="4"/>
      <c r="WIN112" s="4"/>
      <c r="WIO112" s="4"/>
      <c r="WIP112" s="4"/>
      <c r="WIQ112" s="4"/>
      <c r="WIR112" s="4"/>
      <c r="WIS112" s="4"/>
      <c r="WIT112" s="4"/>
      <c r="WIU112" s="4"/>
      <c r="WIV112" s="4"/>
      <c r="WIW112" s="4"/>
      <c r="WIX112" s="4"/>
      <c r="WIY112" s="4"/>
      <c r="WIZ112" s="4"/>
      <c r="WJA112" s="4"/>
      <c r="WJB112" s="4"/>
      <c r="WJC112" s="4"/>
      <c r="WJD112" s="4"/>
      <c r="WJE112" s="4"/>
      <c r="WJF112" s="4"/>
      <c r="WJG112" s="4"/>
      <c r="WJH112" s="4"/>
      <c r="WJI112" s="4"/>
      <c r="WJJ112" s="4"/>
      <c r="WJK112" s="4"/>
      <c r="WJL112" s="4"/>
      <c r="WJM112" s="4"/>
      <c r="WJN112" s="4"/>
      <c r="WJO112" s="4"/>
      <c r="WJP112" s="4"/>
      <c r="WJQ112" s="4"/>
      <c r="WJR112" s="4"/>
      <c r="WJS112" s="4"/>
      <c r="WJT112" s="4"/>
      <c r="WJU112" s="4"/>
      <c r="WJV112" s="4"/>
      <c r="WJW112" s="4"/>
      <c r="WJX112" s="4"/>
      <c r="WJY112" s="4"/>
      <c r="WJZ112" s="4"/>
      <c r="WKA112" s="4"/>
      <c r="WKB112" s="4"/>
      <c r="WKC112" s="4"/>
      <c r="WKD112" s="4"/>
      <c r="WKE112" s="4"/>
      <c r="WKF112" s="4"/>
      <c r="WKG112" s="4"/>
      <c r="WKH112" s="4"/>
      <c r="WKI112" s="4"/>
      <c r="WKJ112" s="4"/>
      <c r="WKK112" s="4"/>
      <c r="WKL112" s="4"/>
      <c r="WKM112" s="4"/>
      <c r="WKN112" s="4"/>
      <c r="WKO112" s="4"/>
      <c r="WKP112" s="4"/>
      <c r="WKQ112" s="4"/>
      <c r="WKR112" s="4"/>
      <c r="WKS112" s="4"/>
      <c r="WKT112" s="4"/>
      <c r="WKU112" s="4"/>
      <c r="WKV112" s="4"/>
      <c r="WKW112" s="4"/>
      <c r="WKX112" s="4"/>
      <c r="WKY112" s="4"/>
      <c r="WKZ112" s="4"/>
      <c r="WLA112" s="4"/>
      <c r="WLB112" s="4"/>
      <c r="WLC112" s="4"/>
      <c r="WLD112" s="4"/>
      <c r="WLE112" s="4"/>
      <c r="WLF112" s="4"/>
      <c r="WLG112" s="4"/>
      <c r="WLH112" s="4"/>
      <c r="WLI112" s="4"/>
      <c r="WLJ112" s="4"/>
      <c r="WLK112" s="4"/>
      <c r="WLL112" s="4"/>
      <c r="WLM112" s="4"/>
      <c r="WLN112" s="4"/>
      <c r="WLO112" s="4"/>
      <c r="WLP112" s="4"/>
      <c r="WLQ112" s="4"/>
      <c r="WLR112" s="4"/>
      <c r="WLS112" s="4"/>
      <c r="WLT112" s="4"/>
      <c r="WLU112" s="4"/>
      <c r="WLV112" s="4"/>
      <c r="WLW112" s="4"/>
      <c r="WLX112" s="4"/>
      <c r="WLY112" s="4"/>
      <c r="WLZ112" s="4"/>
      <c r="WMA112" s="4"/>
      <c r="WMB112" s="4"/>
      <c r="WMC112" s="4"/>
      <c r="WMD112" s="4"/>
      <c r="WME112" s="4"/>
      <c r="WMF112" s="4"/>
      <c r="WMG112" s="4"/>
      <c r="WMH112" s="4"/>
      <c r="WMI112" s="4"/>
      <c r="WMJ112" s="4"/>
      <c r="WMK112" s="4"/>
      <c r="WML112" s="4"/>
      <c r="WMM112" s="4"/>
      <c r="WMN112" s="4"/>
      <c r="WMO112" s="4"/>
      <c r="WMP112" s="4"/>
      <c r="WMQ112" s="4"/>
      <c r="WMR112" s="4"/>
      <c r="WMS112" s="4"/>
      <c r="WMT112" s="4"/>
      <c r="WMU112" s="4"/>
      <c r="WMV112" s="4"/>
      <c r="WMW112" s="4"/>
      <c r="WMX112" s="4"/>
      <c r="WMY112" s="4"/>
      <c r="WMZ112" s="4"/>
      <c r="WNA112" s="4"/>
      <c r="WNB112" s="4"/>
      <c r="WNC112" s="4"/>
      <c r="WND112" s="4"/>
      <c r="WNE112" s="4"/>
      <c r="WNF112" s="4"/>
      <c r="WNG112" s="4"/>
      <c r="WNH112" s="4"/>
      <c r="WNI112" s="4"/>
      <c r="WNJ112" s="4"/>
      <c r="WNK112" s="4"/>
      <c r="WNL112" s="4"/>
      <c r="WNM112" s="4"/>
      <c r="WNN112" s="4"/>
      <c r="WNO112" s="4"/>
      <c r="WNP112" s="4"/>
      <c r="WNQ112" s="4"/>
      <c r="WNR112" s="4"/>
      <c r="WNS112" s="4"/>
      <c r="WNT112" s="4"/>
      <c r="WNU112" s="4"/>
      <c r="WNV112" s="4"/>
      <c r="WNW112" s="4"/>
      <c r="WNX112" s="4"/>
      <c r="WNY112" s="4"/>
      <c r="WNZ112" s="4"/>
      <c r="WOA112" s="4"/>
      <c r="WOB112" s="4"/>
      <c r="WOC112" s="4"/>
      <c r="WOD112" s="4"/>
      <c r="WOE112" s="4"/>
      <c r="WOF112" s="4"/>
      <c r="WOG112" s="4"/>
      <c r="WOH112" s="4"/>
      <c r="WOI112" s="4"/>
      <c r="WOJ112" s="4"/>
      <c r="WOK112" s="4"/>
      <c r="WOL112" s="4"/>
      <c r="WOM112" s="4"/>
      <c r="WON112" s="4"/>
      <c r="WOO112" s="4"/>
      <c r="WOP112" s="4"/>
      <c r="WOQ112" s="4"/>
      <c r="WOR112" s="4"/>
      <c r="WOS112" s="4"/>
      <c r="WOT112" s="4"/>
      <c r="WOU112" s="4"/>
      <c r="WOV112" s="4"/>
      <c r="WOW112" s="4"/>
      <c r="WOX112" s="4"/>
      <c r="WOY112" s="4"/>
      <c r="WOZ112" s="4"/>
      <c r="WPA112" s="4"/>
      <c r="WPB112" s="4"/>
      <c r="WPC112" s="4"/>
      <c r="WPD112" s="4"/>
      <c r="WPE112" s="4"/>
      <c r="WPF112" s="4"/>
      <c r="WPG112" s="4"/>
      <c r="WPH112" s="4"/>
      <c r="WPI112" s="4"/>
      <c r="WPJ112" s="4"/>
      <c r="WPK112" s="4"/>
      <c r="WPL112" s="4"/>
      <c r="WPM112" s="4"/>
      <c r="WPN112" s="4"/>
      <c r="WPO112" s="4"/>
      <c r="WPP112" s="4"/>
      <c r="WPQ112" s="4"/>
      <c r="WPR112" s="4"/>
      <c r="WPS112" s="4"/>
      <c r="WPT112" s="4"/>
      <c r="WPU112" s="4"/>
      <c r="WPV112" s="4"/>
      <c r="WPW112" s="4"/>
      <c r="WPX112" s="4"/>
      <c r="WPY112" s="4"/>
      <c r="WPZ112" s="4"/>
      <c r="WQA112" s="4"/>
      <c r="WQB112" s="4"/>
      <c r="WQC112" s="4"/>
      <c r="WQD112" s="4"/>
      <c r="WQE112" s="4"/>
      <c r="WQF112" s="4"/>
      <c r="WQG112" s="4"/>
      <c r="WQH112" s="4"/>
      <c r="WQI112" s="4"/>
      <c r="WQJ112" s="4"/>
      <c r="WQK112" s="4"/>
      <c r="WQL112" s="4"/>
      <c r="WQM112" s="4"/>
      <c r="WQN112" s="4"/>
      <c r="WQO112" s="4"/>
      <c r="WQP112" s="4"/>
      <c r="WQQ112" s="4"/>
      <c r="WQR112" s="4"/>
      <c r="WQS112" s="4"/>
      <c r="WQT112" s="4"/>
      <c r="WQU112" s="4"/>
      <c r="WQV112" s="4"/>
      <c r="WQW112" s="4"/>
      <c r="WQX112" s="4"/>
      <c r="WQY112" s="4"/>
      <c r="WQZ112" s="4"/>
      <c r="WRA112" s="4"/>
      <c r="WRB112" s="4"/>
      <c r="WRC112" s="4"/>
      <c r="WRD112" s="4"/>
      <c r="WRE112" s="4"/>
      <c r="WRF112" s="4"/>
      <c r="WRG112" s="4"/>
      <c r="WRH112" s="4"/>
      <c r="WRI112" s="4"/>
      <c r="WRJ112" s="4"/>
      <c r="WRK112" s="4"/>
      <c r="WRL112" s="4"/>
      <c r="WRM112" s="4"/>
      <c r="WRN112" s="4"/>
      <c r="WRO112" s="4"/>
      <c r="WRP112" s="4"/>
      <c r="WRQ112" s="4"/>
      <c r="WRR112" s="4"/>
      <c r="WRS112" s="4"/>
      <c r="WRT112" s="4"/>
      <c r="WRU112" s="4"/>
      <c r="WRV112" s="4"/>
      <c r="WRW112" s="4"/>
      <c r="WRX112" s="4"/>
      <c r="WRY112" s="4"/>
      <c r="WRZ112" s="4"/>
      <c r="WSA112" s="4"/>
      <c r="WSB112" s="4"/>
      <c r="WSC112" s="4"/>
      <c r="WSD112" s="4"/>
      <c r="WSE112" s="4"/>
      <c r="WSF112" s="4"/>
      <c r="WSG112" s="4"/>
      <c r="WSH112" s="4"/>
      <c r="WSI112" s="4"/>
      <c r="WSJ112" s="4"/>
      <c r="WSK112" s="4"/>
      <c r="WSL112" s="4"/>
      <c r="WSM112" s="4"/>
      <c r="WSN112" s="4"/>
      <c r="WSO112" s="4"/>
      <c r="WSP112" s="4"/>
      <c r="WSQ112" s="4"/>
      <c r="WSR112" s="4"/>
      <c r="WSS112" s="4"/>
      <c r="WST112" s="4"/>
      <c r="WSU112" s="4"/>
      <c r="WSV112" s="4"/>
      <c r="WSW112" s="4"/>
      <c r="WSX112" s="4"/>
      <c r="WSY112" s="4"/>
      <c r="WSZ112" s="4"/>
      <c r="WTA112" s="4"/>
      <c r="WTB112" s="4"/>
      <c r="WTC112" s="4"/>
      <c r="WTD112" s="4"/>
      <c r="WTE112" s="4"/>
      <c r="WTF112" s="4"/>
      <c r="WTG112" s="4"/>
      <c r="WTH112" s="4"/>
      <c r="WTI112" s="4"/>
      <c r="WTJ112" s="4"/>
      <c r="WTK112" s="4"/>
      <c r="WTL112" s="4"/>
      <c r="WTM112" s="4"/>
      <c r="WTN112" s="4"/>
      <c r="WTO112" s="4"/>
      <c r="WTP112" s="4"/>
      <c r="WTQ112" s="4"/>
      <c r="WTR112" s="4"/>
      <c r="WTS112" s="4"/>
      <c r="WTT112" s="4"/>
      <c r="WTU112" s="4"/>
      <c r="WTV112" s="4"/>
      <c r="WTW112" s="4"/>
      <c r="WTX112" s="4"/>
      <c r="WTY112" s="4"/>
      <c r="WTZ112" s="4"/>
      <c r="WUA112" s="4"/>
      <c r="WUB112" s="4"/>
      <c r="WUC112" s="4"/>
      <c r="WUD112" s="4"/>
      <c r="WUE112" s="4"/>
      <c r="WUF112" s="4"/>
      <c r="WUG112" s="4"/>
      <c r="WUH112" s="4"/>
      <c r="WUI112" s="4"/>
      <c r="WUJ112" s="4"/>
      <c r="WUK112" s="4"/>
      <c r="WUL112" s="4"/>
      <c r="WUM112" s="4"/>
      <c r="WUN112" s="4"/>
      <c r="WUO112" s="4"/>
      <c r="WUP112" s="4"/>
      <c r="WUQ112" s="4"/>
      <c r="WUR112" s="4"/>
      <c r="WUS112" s="4"/>
      <c r="WUT112" s="4"/>
      <c r="WUU112" s="4"/>
      <c r="WUV112" s="4"/>
      <c r="WUW112" s="4"/>
      <c r="WUX112" s="4"/>
      <c r="WUY112" s="4"/>
      <c r="WUZ112" s="4"/>
      <c r="WVA112" s="4"/>
      <c r="WVB112" s="4"/>
      <c r="WVC112" s="4"/>
      <c r="WVD112" s="4"/>
      <c r="WVE112" s="4"/>
      <c r="WVF112" s="4"/>
      <c r="WVG112" s="4"/>
      <c r="WVH112" s="4"/>
      <c r="WVI112" s="4"/>
      <c r="WVJ112" s="4"/>
      <c r="WVK112" s="4"/>
      <c r="WVL112" s="4"/>
      <c r="WVM112" s="4"/>
      <c r="WVN112" s="4"/>
      <c r="WVO112" s="4"/>
      <c r="WVP112" s="4"/>
      <c r="WVQ112" s="4"/>
      <c r="WVR112" s="4"/>
      <c r="WVS112" s="4"/>
      <c r="WVT112" s="4"/>
      <c r="WVU112" s="4"/>
      <c r="WVV112" s="4"/>
      <c r="WVW112" s="4"/>
      <c r="WVX112" s="4"/>
      <c r="WVY112" s="4"/>
      <c r="WVZ112" s="4"/>
      <c r="WWA112" s="4"/>
      <c r="WWB112" s="4"/>
      <c r="WWC112" s="4"/>
      <c r="WWD112" s="4"/>
      <c r="WWE112" s="4"/>
      <c r="WWF112" s="4"/>
      <c r="WWG112" s="4"/>
      <c r="WWH112" s="4"/>
      <c r="WWI112" s="4"/>
      <c r="WWJ112" s="4"/>
      <c r="WWK112" s="4"/>
      <c r="WWL112" s="4"/>
      <c r="WWM112" s="4"/>
      <c r="WWN112" s="4"/>
      <c r="WWO112" s="4"/>
      <c r="WWP112" s="4"/>
      <c r="WWQ112" s="4"/>
      <c r="WWR112" s="4"/>
      <c r="WWS112" s="4"/>
      <c r="WWT112" s="4"/>
      <c r="WWU112" s="4"/>
      <c r="WWV112" s="4"/>
      <c r="WWW112" s="4"/>
      <c r="WWX112" s="4"/>
      <c r="WWY112" s="4"/>
      <c r="WWZ112" s="4"/>
      <c r="WXA112" s="4"/>
      <c r="WXB112" s="4"/>
      <c r="WXC112" s="4"/>
      <c r="WXD112" s="4"/>
      <c r="WXE112" s="4"/>
      <c r="WXF112" s="4"/>
      <c r="WXG112" s="4"/>
      <c r="WXH112" s="4"/>
      <c r="WXI112" s="4"/>
      <c r="WXJ112" s="4"/>
      <c r="WXK112" s="4"/>
      <c r="WXL112" s="4"/>
      <c r="WXM112" s="4"/>
      <c r="WXN112" s="4"/>
      <c r="WXO112" s="4"/>
      <c r="WXP112" s="4"/>
      <c r="WXQ112" s="4"/>
      <c r="WXR112" s="4"/>
      <c r="WXS112" s="4"/>
      <c r="WXT112" s="4"/>
      <c r="WXU112" s="4"/>
      <c r="WXV112" s="4"/>
      <c r="WXW112" s="4"/>
      <c r="WXX112" s="4"/>
      <c r="WXY112" s="4"/>
      <c r="WXZ112" s="4"/>
      <c r="WYA112" s="4"/>
      <c r="WYB112" s="4"/>
      <c r="WYC112" s="4"/>
      <c r="WYD112" s="4"/>
      <c r="WYE112" s="4"/>
      <c r="WYF112" s="4"/>
      <c r="WYG112" s="4"/>
      <c r="WYH112" s="4"/>
      <c r="WYI112" s="4"/>
      <c r="WYJ112" s="4"/>
      <c r="WYK112" s="4"/>
      <c r="WYL112" s="4"/>
      <c r="WYM112" s="4"/>
      <c r="WYN112" s="4"/>
      <c r="WYO112" s="4"/>
      <c r="WYP112" s="4"/>
      <c r="WYQ112" s="4"/>
      <c r="WYR112" s="4"/>
      <c r="WYS112" s="4"/>
      <c r="WYT112" s="4"/>
      <c r="WYU112" s="4"/>
      <c r="WYV112" s="4"/>
      <c r="WYW112" s="4"/>
      <c r="WYX112" s="4"/>
      <c r="WYY112" s="4"/>
      <c r="WYZ112" s="4"/>
      <c r="WZA112" s="4"/>
      <c r="WZB112" s="4"/>
      <c r="WZC112" s="4"/>
      <c r="WZD112" s="4"/>
      <c r="WZE112" s="4"/>
      <c r="WZF112" s="4"/>
      <c r="WZG112" s="4"/>
      <c r="WZH112" s="4"/>
      <c r="WZI112" s="4"/>
      <c r="WZJ112" s="4"/>
      <c r="WZK112" s="4"/>
      <c r="WZL112" s="4"/>
      <c r="WZM112" s="4"/>
      <c r="WZN112" s="4"/>
      <c r="WZO112" s="4"/>
      <c r="WZP112" s="4"/>
      <c r="WZQ112" s="4"/>
      <c r="WZR112" s="4"/>
      <c r="WZS112" s="4"/>
      <c r="WZT112" s="4"/>
      <c r="WZU112" s="4"/>
      <c r="WZV112" s="4"/>
      <c r="WZW112" s="4"/>
      <c r="WZX112" s="4"/>
      <c r="WZY112" s="4"/>
      <c r="WZZ112" s="4"/>
      <c r="XAA112" s="4"/>
      <c r="XAB112" s="4"/>
      <c r="XAC112" s="4"/>
      <c r="XAD112" s="4"/>
      <c r="XAE112" s="4"/>
      <c r="XAF112" s="4"/>
      <c r="XAG112" s="4"/>
      <c r="XAH112" s="4"/>
      <c r="XAI112" s="4"/>
      <c r="XAJ112" s="4"/>
      <c r="XAK112" s="4"/>
      <c r="XAL112" s="4"/>
      <c r="XAM112" s="4"/>
      <c r="XAN112" s="4"/>
      <c r="XAO112" s="4"/>
      <c r="XAP112" s="4"/>
      <c r="XAQ112" s="4"/>
      <c r="XAR112" s="4"/>
      <c r="XAS112" s="4"/>
      <c r="XAT112" s="4"/>
      <c r="XAU112" s="4"/>
      <c r="XAV112" s="4"/>
      <c r="XAW112" s="4"/>
      <c r="XAX112" s="4"/>
      <c r="XAY112" s="4"/>
      <c r="XAZ112" s="4"/>
      <c r="XBA112" s="4"/>
      <c r="XBB112" s="4"/>
      <c r="XBC112" s="4"/>
      <c r="XBD112" s="4"/>
      <c r="XBE112" s="4"/>
      <c r="XBF112" s="4"/>
      <c r="XBG112" s="4"/>
      <c r="XBH112" s="4"/>
      <c r="XBI112" s="4"/>
      <c r="XBJ112" s="4"/>
      <c r="XBK112" s="4"/>
      <c r="XBL112" s="4"/>
      <c r="XBM112" s="4"/>
      <c r="XBN112" s="4"/>
      <c r="XBO112" s="4"/>
      <c r="XBP112" s="4"/>
      <c r="XBQ112" s="4"/>
      <c r="XBR112" s="4"/>
      <c r="XBS112" s="4"/>
      <c r="XBT112" s="4"/>
      <c r="XBU112" s="4"/>
      <c r="XBV112" s="4"/>
      <c r="XBW112" s="4"/>
      <c r="XBX112" s="4"/>
      <c r="XBY112" s="4"/>
      <c r="XBZ112" s="4"/>
      <c r="XCA112" s="4"/>
      <c r="XCB112" s="4"/>
      <c r="XCC112" s="4"/>
      <c r="XCD112" s="4"/>
      <c r="XCE112" s="4"/>
      <c r="XCF112" s="4"/>
      <c r="XCG112" s="4"/>
      <c r="XCH112" s="4"/>
      <c r="XCI112" s="4"/>
      <c r="XCJ112" s="4"/>
      <c r="XCK112" s="4"/>
      <c r="XCL112" s="4"/>
      <c r="XCM112" s="4"/>
      <c r="XCN112" s="4"/>
      <c r="XCO112" s="4"/>
      <c r="XCP112" s="4"/>
      <c r="XCQ112" s="4"/>
      <c r="XCR112" s="4"/>
      <c r="XCS112" s="4"/>
      <c r="XCT112" s="4"/>
      <c r="XCU112" s="4"/>
      <c r="XCV112" s="4"/>
      <c r="XCW112" s="4"/>
      <c r="XCX112" s="4"/>
      <c r="XCY112" s="4"/>
      <c r="XCZ112" s="4"/>
      <c r="XDA112" s="4"/>
      <c r="XDB112" s="4"/>
      <c r="XDC112" s="4"/>
      <c r="XDD112" s="4"/>
      <c r="XDE112" s="4"/>
      <c r="XDF112" s="4"/>
      <c r="XDG112" s="4"/>
      <c r="XDH112" s="4"/>
      <c r="XDI112" s="4"/>
      <c r="XDJ112" s="4"/>
      <c r="XDK112" s="4"/>
      <c r="XDL112" s="4"/>
      <c r="XDM112" s="4"/>
      <c r="XDN112" s="4"/>
      <c r="XDO112" s="4"/>
      <c r="XDP112" s="4"/>
      <c r="XDQ112" s="4"/>
      <c r="XDR112" s="4"/>
      <c r="XDS112" s="4"/>
      <c r="XDT112" s="4"/>
      <c r="XDU112" s="4"/>
      <c r="XDV112" s="4"/>
      <c r="XDW112" s="4"/>
      <c r="XDX112" s="4"/>
      <c r="XDY112" s="4"/>
      <c r="XDZ112" s="4"/>
      <c r="XEA112" s="4"/>
      <c r="XEB112" s="4"/>
      <c r="XEC112" s="4"/>
      <c r="XED112" s="4"/>
      <c r="XEE112" s="4"/>
      <c r="XEF112" s="4"/>
      <c r="XEG112" s="4"/>
      <c r="XEH112" s="4"/>
      <c r="XEI112" s="4"/>
      <c r="XEJ112" s="4"/>
      <c r="XEK112" s="4"/>
      <c r="XEL112" s="4"/>
      <c r="XEM112" s="4"/>
      <c r="XEN112" s="4"/>
      <c r="XEO112" s="4"/>
      <c r="XEP112" s="4"/>
      <c r="XEQ112" s="4"/>
      <c r="XER112" s="4"/>
      <c r="XES112" s="4"/>
      <c r="XET112" s="4"/>
      <c r="XEU112" s="4"/>
      <c r="XEV112" s="4"/>
      <c r="XEW112" s="4"/>
      <c r="XEX112" s="4"/>
      <c r="XEY112" s="4"/>
      <c r="XEZ112" s="4"/>
      <c r="XFA112" s="4"/>
      <c r="XFB112" s="4"/>
      <c r="XFC112" s="4"/>
      <c r="XFD112" s="4"/>
    </row>
    <row r="113" spans="1:16383" x14ac:dyDescent="0.35">
      <c r="A113" s="39" t="s">
        <v>81</v>
      </c>
      <c r="B113" s="101" t="s">
        <v>0</v>
      </c>
      <c r="C113" s="101"/>
      <c r="D113" s="39"/>
      <c r="E113" s="39"/>
      <c r="F113" s="14" t="s">
        <v>73</v>
      </c>
      <c r="G113" s="14" t="s">
        <v>48</v>
      </c>
      <c r="H113" s="14" t="s">
        <v>71</v>
      </c>
      <c r="I113" s="14" t="s">
        <v>70</v>
      </c>
      <c r="J113" s="40" t="s">
        <v>11</v>
      </c>
      <c r="K113" s="40"/>
      <c r="L113" s="40"/>
      <c r="M113" s="41"/>
      <c r="N113" s="42">
        <v>1</v>
      </c>
      <c r="O113" s="43">
        <v>3606</v>
      </c>
      <c r="P113" s="44">
        <f>+O113*N113</f>
        <v>3606</v>
      </c>
      <c r="Q113" s="44"/>
      <c r="R113" s="44"/>
      <c r="S113" s="44"/>
      <c r="T113" s="43">
        <f>+P113+Q113+R113+S113</f>
        <v>3606</v>
      </c>
      <c r="U113" s="43"/>
      <c r="V113" s="41"/>
      <c r="W113" s="41" t="s">
        <v>382</v>
      </c>
      <c r="X113" s="41"/>
      <c r="Y113" s="67"/>
    </row>
    <row r="114" spans="1:16383" x14ac:dyDescent="0.35">
      <c r="A114" s="39" t="s">
        <v>171</v>
      </c>
      <c r="B114" s="101" t="s">
        <v>0</v>
      </c>
      <c r="C114" s="101"/>
      <c r="D114" s="39"/>
      <c r="E114" s="39"/>
      <c r="F114" s="14" t="s">
        <v>80</v>
      </c>
      <c r="G114" s="14" t="s">
        <v>48</v>
      </c>
      <c r="H114" s="14" t="s">
        <v>46</v>
      </c>
      <c r="I114" s="14" t="s">
        <v>65</v>
      </c>
      <c r="J114" s="40" t="s">
        <v>11</v>
      </c>
      <c r="K114" s="40">
        <v>3500</v>
      </c>
      <c r="L114" s="40"/>
      <c r="M114" s="41"/>
      <c r="N114" s="42">
        <v>1</v>
      </c>
      <c r="O114" s="43">
        <v>3500</v>
      </c>
      <c r="P114" s="44">
        <f>+O114*N114</f>
        <v>3500</v>
      </c>
      <c r="Q114" s="44"/>
      <c r="R114" s="44"/>
      <c r="S114" s="44"/>
      <c r="T114" s="43">
        <f>+P114+Q114+R114+S114</f>
        <v>3500</v>
      </c>
      <c r="U114" s="43"/>
      <c r="V114" s="41"/>
      <c r="W114" s="41" t="s">
        <v>382</v>
      </c>
      <c r="X114" s="41"/>
      <c r="Y114" s="112"/>
      <c r="Z114" s="112"/>
    </row>
    <row r="115" spans="1:16383" x14ac:dyDescent="0.35">
      <c r="A115" s="39" t="s">
        <v>115</v>
      </c>
      <c r="B115" s="101" t="s">
        <v>0</v>
      </c>
      <c r="C115" s="101"/>
      <c r="D115" s="39"/>
      <c r="E115" s="39"/>
      <c r="F115" s="14" t="s">
        <v>76</v>
      </c>
      <c r="G115" s="14" t="s">
        <v>48</v>
      </c>
      <c r="H115" s="14" t="s">
        <v>46</v>
      </c>
      <c r="I115" s="14" t="s">
        <v>10</v>
      </c>
      <c r="J115" s="40" t="s">
        <v>11</v>
      </c>
      <c r="K115" s="40" t="s">
        <v>30</v>
      </c>
      <c r="L115" s="40"/>
      <c r="M115" s="41"/>
      <c r="N115" s="42">
        <v>1</v>
      </c>
      <c r="O115" s="43">
        <f>423*8</f>
        <v>3384</v>
      </c>
      <c r="P115" s="44">
        <f>423*3</f>
        <v>1269</v>
      </c>
      <c r="Q115" s="44">
        <f>423*3</f>
        <v>1269</v>
      </c>
      <c r="R115" s="44">
        <f>423*2</f>
        <v>846</v>
      </c>
      <c r="S115" s="44"/>
      <c r="T115" s="43">
        <f>+P115+Q115+R115+S115</f>
        <v>3384</v>
      </c>
      <c r="U115" s="41"/>
      <c r="V115" s="41"/>
      <c r="W115" s="41" t="s">
        <v>382</v>
      </c>
      <c r="Y115" s="90"/>
      <c r="Z115" s="90"/>
      <c r="AA115" s="60"/>
    </row>
    <row r="116" spans="1:16383" s="41" customFormat="1" x14ac:dyDescent="0.35">
      <c r="A116" s="55" t="s">
        <v>549</v>
      </c>
      <c r="B116" s="14" t="s">
        <v>0</v>
      </c>
      <c r="C116" s="14"/>
      <c r="D116" s="55"/>
      <c r="E116" s="55"/>
      <c r="F116" s="14" t="s">
        <v>77</v>
      </c>
      <c r="G116" s="14" t="s">
        <v>48</v>
      </c>
      <c r="H116" s="14" t="s">
        <v>46</v>
      </c>
      <c r="I116" s="14" t="s">
        <v>10</v>
      </c>
      <c r="J116" s="40" t="s">
        <v>11</v>
      </c>
      <c r="K116" s="40"/>
      <c r="L116" s="40"/>
      <c r="N116" s="42">
        <v>1</v>
      </c>
      <c r="O116" s="71">
        <v>2000</v>
      </c>
      <c r="P116" s="43"/>
      <c r="Q116" s="43">
        <f>5500+1700</f>
        <v>7200</v>
      </c>
      <c r="R116" s="43"/>
      <c r="S116" s="43"/>
      <c r="T116" s="43">
        <f>+P116+Q116+R116+S116</f>
        <v>7200</v>
      </c>
      <c r="U116" s="73"/>
      <c r="V116" s="73"/>
      <c r="XFC116" s="39"/>
    </row>
    <row r="117" spans="1:16383" s="41" customFormat="1" x14ac:dyDescent="0.35">
      <c r="A117" s="39" t="s">
        <v>69</v>
      </c>
      <c r="B117" s="101" t="s">
        <v>0</v>
      </c>
      <c r="C117" s="101"/>
      <c r="D117" s="39"/>
      <c r="E117" s="39"/>
      <c r="F117" s="14" t="s">
        <v>73</v>
      </c>
      <c r="G117" s="14" t="s">
        <v>48</v>
      </c>
      <c r="H117" s="14" t="s">
        <v>71</v>
      </c>
      <c r="I117" s="14" t="s">
        <v>70</v>
      </c>
      <c r="J117" s="40" t="s">
        <v>11</v>
      </c>
      <c r="K117" s="40"/>
      <c r="L117" s="40"/>
      <c r="N117" s="42">
        <v>1</v>
      </c>
      <c r="O117" s="43">
        <v>1080</v>
      </c>
      <c r="P117" s="44">
        <f>+O117*N117</f>
        <v>1080</v>
      </c>
      <c r="Q117" s="44"/>
      <c r="R117" s="44"/>
      <c r="S117" s="44"/>
      <c r="T117" s="43">
        <f>+P117+Q117+R117+S117</f>
        <v>1080</v>
      </c>
      <c r="U117" s="43"/>
      <c r="W117" s="41" t="s">
        <v>382</v>
      </c>
      <c r="XFC117" s="39"/>
    </row>
    <row r="118" spans="1:16383" s="41" customFormat="1" x14ac:dyDescent="0.35">
      <c r="A118" s="88" t="s">
        <v>365</v>
      </c>
      <c r="B118" s="101" t="s">
        <v>0</v>
      </c>
      <c r="C118" s="101"/>
      <c r="D118" s="39"/>
      <c r="E118" s="39"/>
      <c r="F118" s="14" t="s">
        <v>80</v>
      </c>
      <c r="G118" s="14" t="s">
        <v>48</v>
      </c>
      <c r="H118" s="14" t="s">
        <v>116</v>
      </c>
      <c r="I118" s="14" t="s">
        <v>116</v>
      </c>
      <c r="J118" s="40" t="s">
        <v>11</v>
      </c>
      <c r="K118" s="40"/>
      <c r="L118" s="40"/>
      <c r="N118" s="42">
        <v>1</v>
      </c>
      <c r="O118" s="43">
        <f>1038000/1430</f>
        <v>725.87412587412587</v>
      </c>
      <c r="P118" s="44">
        <f>+O118*N118</f>
        <v>725.87412587412587</v>
      </c>
      <c r="Q118" s="44"/>
      <c r="R118" s="44"/>
      <c r="S118" s="44"/>
      <c r="T118" s="43">
        <f>+P118+Q118+R118+S118</f>
        <v>725.87412587412587</v>
      </c>
      <c r="U118" s="43"/>
      <c r="W118" s="41" t="s">
        <v>382</v>
      </c>
      <c r="XFC118" s="39"/>
    </row>
    <row r="119" spans="1:16383" x14ac:dyDescent="0.35">
      <c r="A119" s="39" t="s">
        <v>147</v>
      </c>
      <c r="B119" s="101" t="s">
        <v>0</v>
      </c>
      <c r="C119" s="101"/>
      <c r="D119" s="39"/>
      <c r="E119" s="39"/>
      <c r="F119" s="14" t="s">
        <v>76</v>
      </c>
      <c r="G119" s="14" t="s">
        <v>48</v>
      </c>
      <c r="H119" s="14" t="s">
        <v>71</v>
      </c>
      <c r="I119" s="14" t="s">
        <v>70</v>
      </c>
      <c r="J119" s="40" t="s">
        <v>11</v>
      </c>
      <c r="K119" s="40" t="s">
        <v>25</v>
      </c>
      <c r="L119" s="40"/>
      <c r="M119" s="41" t="s">
        <v>146</v>
      </c>
      <c r="N119" s="42">
        <v>1</v>
      </c>
      <c r="O119" s="43">
        <v>99.91</v>
      </c>
      <c r="P119" s="44">
        <f>+O119*N119</f>
        <v>99.91</v>
      </c>
      <c r="Q119" s="44"/>
      <c r="R119" s="44"/>
      <c r="S119" s="44"/>
      <c r="T119" s="43">
        <f>+P119+Q119+R119+S119</f>
        <v>99.91</v>
      </c>
      <c r="U119" s="43"/>
      <c r="V119" s="41"/>
      <c r="W119" s="41" t="s">
        <v>382</v>
      </c>
      <c r="X119" s="41"/>
    </row>
    <row r="120" spans="1:16383" x14ac:dyDescent="0.35">
      <c r="A120" s="8" t="s">
        <v>545</v>
      </c>
      <c r="B120" s="1" t="s">
        <v>1</v>
      </c>
      <c r="F120" s="1" t="s">
        <v>77</v>
      </c>
      <c r="G120" s="1" t="s">
        <v>48</v>
      </c>
      <c r="H120" s="1" t="s">
        <v>46</v>
      </c>
      <c r="I120" s="1" t="s">
        <v>10</v>
      </c>
      <c r="J120" s="6" t="s">
        <v>50</v>
      </c>
      <c r="K120" s="6"/>
      <c r="L120" s="6"/>
      <c r="N120" s="3">
        <v>0.25</v>
      </c>
      <c r="O120" s="9">
        <v>100000</v>
      </c>
      <c r="P120" s="10"/>
      <c r="Q120" s="10">
        <f>+O120*N120</f>
        <v>25000</v>
      </c>
      <c r="R120" s="10"/>
      <c r="S120" s="10"/>
      <c r="T120" s="10">
        <f>+P120+Q120+R120+S120</f>
        <v>25000</v>
      </c>
      <c r="W120" s="4" t="s">
        <v>546</v>
      </c>
      <c r="Z120" s="65"/>
    </row>
    <row r="121" spans="1:16383" x14ac:dyDescent="0.35">
      <c r="A121" s="63" t="s">
        <v>206</v>
      </c>
      <c r="B121" s="56" t="s">
        <v>1</v>
      </c>
      <c r="C121" s="56"/>
      <c r="F121" s="1" t="s">
        <v>80</v>
      </c>
      <c r="G121" s="1" t="s">
        <v>48</v>
      </c>
      <c r="H121" s="1" t="s">
        <v>46</v>
      </c>
      <c r="I121" s="1" t="s">
        <v>10</v>
      </c>
      <c r="J121" s="6" t="s">
        <v>50</v>
      </c>
      <c r="K121" s="6"/>
      <c r="L121" s="6"/>
      <c r="N121" s="3">
        <v>0.25</v>
      </c>
      <c r="O121" s="9">
        <v>60000</v>
      </c>
      <c r="P121" s="10"/>
      <c r="Q121" s="10">
        <f>+O121*N121</f>
        <v>15000</v>
      </c>
      <c r="R121" s="10"/>
      <c r="S121" s="10"/>
      <c r="T121" s="10">
        <f>+P121+Q121+R121+S121</f>
        <v>15000</v>
      </c>
      <c r="U121" s="10"/>
      <c r="W121" s="4" t="s">
        <v>207</v>
      </c>
      <c r="Y121" s="67"/>
      <c r="Z121" s="67"/>
    </row>
    <row r="122" spans="1:16383" s="60" customFormat="1" x14ac:dyDescent="0.35">
      <c r="A122" s="63" t="s">
        <v>504</v>
      </c>
      <c r="B122" s="56" t="s">
        <v>1</v>
      </c>
      <c r="C122" s="56"/>
      <c r="D122" s="63"/>
      <c r="E122" s="63"/>
      <c r="F122" s="56" t="s">
        <v>88</v>
      </c>
      <c r="G122" s="56" t="s">
        <v>48</v>
      </c>
      <c r="H122" s="56" t="s">
        <v>38</v>
      </c>
      <c r="I122" s="56" t="s">
        <v>9</v>
      </c>
      <c r="J122" s="66" t="s">
        <v>50</v>
      </c>
      <c r="K122" s="66"/>
      <c r="L122" s="66"/>
      <c r="M122" s="67"/>
      <c r="N122" s="68">
        <v>0.25</v>
      </c>
      <c r="O122" s="26">
        <v>50000</v>
      </c>
      <c r="P122" s="69"/>
      <c r="Q122" s="10">
        <f>+O122*N122</f>
        <v>12500</v>
      </c>
      <c r="R122" s="69"/>
      <c r="S122" s="69"/>
      <c r="T122" s="26">
        <f>+P122+Q122+R122+S122</f>
        <v>12500</v>
      </c>
      <c r="U122" s="10"/>
      <c r="V122" s="4"/>
      <c r="W122" s="67" t="s">
        <v>505</v>
      </c>
      <c r="X122" s="67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  <c r="ALS122" s="4"/>
      <c r="ALT122" s="4"/>
      <c r="ALU122" s="4"/>
      <c r="ALV122" s="4"/>
      <c r="ALW122" s="4"/>
      <c r="ALX122" s="4"/>
      <c r="ALY122" s="4"/>
      <c r="ALZ122" s="4"/>
      <c r="AMA122" s="4"/>
      <c r="AMB122" s="4"/>
      <c r="AMC122" s="4"/>
      <c r="AMD122" s="4"/>
      <c r="AME122" s="4"/>
      <c r="AMF122" s="4"/>
      <c r="AMG122" s="4"/>
      <c r="AMH122" s="4"/>
      <c r="AMI122" s="4"/>
      <c r="AMJ122" s="4"/>
      <c r="AMK122" s="4"/>
      <c r="AML122" s="4"/>
      <c r="AMM122" s="4"/>
      <c r="AMN122" s="4"/>
      <c r="AMO122" s="4"/>
      <c r="AMP122" s="4"/>
      <c r="AMQ122" s="4"/>
      <c r="AMR122" s="4"/>
      <c r="AMS122" s="4"/>
      <c r="AMT122" s="4"/>
      <c r="AMU122" s="4"/>
      <c r="AMV122" s="4"/>
      <c r="AMW122" s="4"/>
      <c r="AMX122" s="4"/>
      <c r="AMY122" s="4"/>
      <c r="AMZ122" s="4"/>
      <c r="ANA122" s="4"/>
      <c r="ANB122" s="4"/>
      <c r="ANC122" s="4"/>
      <c r="AND122" s="4"/>
      <c r="ANE122" s="4"/>
      <c r="ANF122" s="4"/>
      <c r="ANG122" s="4"/>
      <c r="ANH122" s="4"/>
      <c r="ANI122" s="4"/>
      <c r="ANJ122" s="4"/>
      <c r="ANK122" s="4"/>
      <c r="ANL122" s="4"/>
      <c r="ANM122" s="4"/>
      <c r="ANN122" s="4"/>
      <c r="ANO122" s="4"/>
      <c r="ANP122" s="4"/>
      <c r="ANQ122" s="4"/>
      <c r="ANR122" s="4"/>
      <c r="ANS122" s="4"/>
      <c r="ANT122" s="4"/>
      <c r="ANU122" s="4"/>
      <c r="ANV122" s="4"/>
      <c r="ANW122" s="4"/>
      <c r="ANX122" s="4"/>
      <c r="ANY122" s="4"/>
      <c r="ANZ122" s="4"/>
      <c r="AOA122" s="4"/>
      <c r="AOB122" s="4"/>
      <c r="AOC122" s="4"/>
      <c r="AOD122" s="4"/>
      <c r="AOE122" s="4"/>
      <c r="AOF122" s="4"/>
      <c r="AOG122" s="4"/>
      <c r="AOH122" s="4"/>
      <c r="AOI122" s="4"/>
      <c r="AOJ122" s="4"/>
      <c r="AOK122" s="4"/>
      <c r="AOL122" s="4"/>
      <c r="AOM122" s="4"/>
      <c r="AON122" s="4"/>
      <c r="AOO122" s="4"/>
      <c r="AOP122" s="4"/>
      <c r="AOQ122" s="4"/>
      <c r="AOR122" s="4"/>
      <c r="AOS122" s="4"/>
      <c r="AOT122" s="4"/>
      <c r="AOU122" s="4"/>
      <c r="AOV122" s="4"/>
      <c r="AOW122" s="4"/>
      <c r="AOX122" s="4"/>
      <c r="AOY122" s="4"/>
      <c r="AOZ122" s="4"/>
      <c r="APA122" s="4"/>
      <c r="APB122" s="4"/>
      <c r="APC122" s="4"/>
      <c r="APD122" s="4"/>
      <c r="APE122" s="4"/>
      <c r="APF122" s="4"/>
      <c r="APG122" s="4"/>
      <c r="APH122" s="4"/>
      <c r="API122" s="4"/>
      <c r="APJ122" s="4"/>
      <c r="APK122" s="4"/>
      <c r="APL122" s="4"/>
      <c r="APM122" s="4"/>
      <c r="APN122" s="4"/>
      <c r="APO122" s="4"/>
      <c r="APP122" s="4"/>
      <c r="APQ122" s="4"/>
      <c r="APR122" s="4"/>
      <c r="APS122" s="4"/>
      <c r="APT122" s="4"/>
      <c r="APU122" s="4"/>
      <c r="APV122" s="4"/>
      <c r="APW122" s="4"/>
      <c r="APX122" s="4"/>
      <c r="APY122" s="4"/>
      <c r="APZ122" s="4"/>
      <c r="AQA122" s="4"/>
      <c r="AQB122" s="4"/>
      <c r="AQC122" s="4"/>
      <c r="AQD122" s="4"/>
      <c r="AQE122" s="4"/>
      <c r="AQF122" s="4"/>
      <c r="AQG122" s="4"/>
      <c r="AQH122" s="4"/>
      <c r="AQI122" s="4"/>
      <c r="AQJ122" s="4"/>
      <c r="AQK122" s="4"/>
      <c r="AQL122" s="4"/>
      <c r="AQM122" s="4"/>
      <c r="AQN122" s="4"/>
      <c r="AQO122" s="4"/>
      <c r="AQP122" s="4"/>
      <c r="AQQ122" s="4"/>
      <c r="AQR122" s="4"/>
      <c r="AQS122" s="4"/>
      <c r="AQT122" s="4"/>
      <c r="AQU122" s="4"/>
      <c r="AQV122" s="4"/>
      <c r="AQW122" s="4"/>
      <c r="AQX122" s="4"/>
      <c r="AQY122" s="4"/>
      <c r="AQZ122" s="4"/>
      <c r="ARA122" s="4"/>
      <c r="ARB122" s="4"/>
      <c r="ARC122" s="4"/>
      <c r="ARD122" s="4"/>
      <c r="ARE122" s="4"/>
      <c r="ARF122" s="4"/>
      <c r="ARG122" s="4"/>
      <c r="ARH122" s="4"/>
      <c r="ARI122" s="4"/>
      <c r="ARJ122" s="4"/>
      <c r="ARK122" s="4"/>
      <c r="ARL122" s="4"/>
      <c r="ARM122" s="4"/>
      <c r="ARN122" s="4"/>
      <c r="ARO122" s="4"/>
      <c r="ARP122" s="4"/>
      <c r="ARQ122" s="4"/>
      <c r="ARR122" s="4"/>
      <c r="ARS122" s="4"/>
      <c r="ART122" s="4"/>
      <c r="ARU122" s="4"/>
      <c r="ARV122" s="4"/>
      <c r="ARW122" s="4"/>
      <c r="ARX122" s="4"/>
      <c r="ARY122" s="4"/>
      <c r="ARZ122" s="4"/>
      <c r="ASA122" s="4"/>
      <c r="ASB122" s="4"/>
      <c r="ASC122" s="4"/>
      <c r="ASD122" s="4"/>
      <c r="ASE122" s="4"/>
      <c r="ASF122" s="4"/>
      <c r="ASG122" s="4"/>
      <c r="ASH122" s="4"/>
      <c r="ASI122" s="4"/>
      <c r="ASJ122" s="4"/>
      <c r="ASK122" s="4"/>
      <c r="ASL122" s="4"/>
      <c r="ASM122" s="4"/>
      <c r="ASN122" s="4"/>
      <c r="ASO122" s="4"/>
      <c r="ASP122" s="4"/>
      <c r="ASQ122" s="4"/>
      <c r="ASR122" s="4"/>
      <c r="ASS122" s="4"/>
      <c r="AST122" s="4"/>
      <c r="ASU122" s="4"/>
      <c r="ASV122" s="4"/>
      <c r="ASW122" s="4"/>
      <c r="ASX122" s="4"/>
      <c r="ASY122" s="4"/>
      <c r="ASZ122" s="4"/>
      <c r="ATA122" s="4"/>
      <c r="ATB122" s="4"/>
      <c r="ATC122" s="4"/>
      <c r="ATD122" s="4"/>
      <c r="ATE122" s="4"/>
      <c r="ATF122" s="4"/>
      <c r="ATG122" s="4"/>
      <c r="ATH122" s="4"/>
      <c r="ATI122" s="4"/>
      <c r="ATJ122" s="4"/>
      <c r="ATK122" s="4"/>
      <c r="ATL122" s="4"/>
      <c r="ATM122" s="4"/>
      <c r="ATN122" s="4"/>
      <c r="ATO122" s="4"/>
      <c r="ATP122" s="4"/>
      <c r="ATQ122" s="4"/>
      <c r="ATR122" s="4"/>
      <c r="ATS122" s="4"/>
      <c r="ATT122" s="4"/>
      <c r="ATU122" s="4"/>
      <c r="ATV122" s="4"/>
      <c r="ATW122" s="4"/>
      <c r="ATX122" s="4"/>
      <c r="ATY122" s="4"/>
      <c r="ATZ122" s="4"/>
      <c r="AUA122" s="4"/>
      <c r="AUB122" s="4"/>
      <c r="AUC122" s="4"/>
      <c r="AUD122" s="4"/>
      <c r="AUE122" s="4"/>
      <c r="AUF122" s="4"/>
      <c r="AUG122" s="4"/>
      <c r="AUH122" s="4"/>
      <c r="AUI122" s="4"/>
      <c r="AUJ122" s="4"/>
      <c r="AUK122" s="4"/>
      <c r="AUL122" s="4"/>
      <c r="AUM122" s="4"/>
      <c r="AUN122" s="4"/>
      <c r="AUO122" s="4"/>
      <c r="AUP122" s="4"/>
      <c r="AUQ122" s="4"/>
      <c r="AUR122" s="4"/>
      <c r="AUS122" s="4"/>
      <c r="AUT122" s="4"/>
      <c r="AUU122" s="4"/>
      <c r="AUV122" s="4"/>
      <c r="AUW122" s="4"/>
      <c r="AUX122" s="4"/>
      <c r="AUY122" s="4"/>
      <c r="AUZ122" s="4"/>
      <c r="AVA122" s="4"/>
      <c r="AVB122" s="4"/>
      <c r="AVC122" s="4"/>
      <c r="AVD122" s="4"/>
      <c r="AVE122" s="4"/>
      <c r="AVF122" s="4"/>
      <c r="AVG122" s="4"/>
      <c r="AVH122" s="4"/>
      <c r="AVI122" s="4"/>
      <c r="AVJ122" s="4"/>
      <c r="AVK122" s="4"/>
      <c r="AVL122" s="4"/>
      <c r="AVM122" s="4"/>
      <c r="AVN122" s="4"/>
      <c r="AVO122" s="4"/>
      <c r="AVP122" s="4"/>
      <c r="AVQ122" s="4"/>
      <c r="AVR122" s="4"/>
      <c r="AVS122" s="4"/>
      <c r="AVT122" s="4"/>
      <c r="AVU122" s="4"/>
      <c r="AVV122" s="4"/>
      <c r="AVW122" s="4"/>
      <c r="AVX122" s="4"/>
      <c r="AVY122" s="4"/>
      <c r="AVZ122" s="4"/>
      <c r="AWA122" s="4"/>
      <c r="AWB122" s="4"/>
      <c r="AWC122" s="4"/>
      <c r="AWD122" s="4"/>
      <c r="AWE122" s="4"/>
      <c r="AWF122" s="4"/>
      <c r="AWG122" s="4"/>
      <c r="AWH122" s="4"/>
      <c r="AWI122" s="4"/>
      <c r="AWJ122" s="4"/>
      <c r="AWK122" s="4"/>
      <c r="AWL122" s="4"/>
      <c r="AWM122" s="4"/>
      <c r="AWN122" s="4"/>
      <c r="AWO122" s="4"/>
      <c r="AWP122" s="4"/>
      <c r="AWQ122" s="4"/>
      <c r="AWR122" s="4"/>
      <c r="AWS122" s="4"/>
      <c r="AWT122" s="4"/>
      <c r="AWU122" s="4"/>
      <c r="AWV122" s="4"/>
      <c r="AWW122" s="4"/>
      <c r="AWX122" s="4"/>
      <c r="AWY122" s="4"/>
      <c r="AWZ122" s="4"/>
      <c r="AXA122" s="4"/>
      <c r="AXB122" s="4"/>
      <c r="AXC122" s="4"/>
      <c r="AXD122" s="4"/>
      <c r="AXE122" s="4"/>
      <c r="AXF122" s="4"/>
      <c r="AXG122" s="4"/>
      <c r="AXH122" s="4"/>
      <c r="AXI122" s="4"/>
      <c r="AXJ122" s="4"/>
      <c r="AXK122" s="4"/>
      <c r="AXL122" s="4"/>
      <c r="AXM122" s="4"/>
      <c r="AXN122" s="4"/>
      <c r="AXO122" s="4"/>
      <c r="AXP122" s="4"/>
      <c r="AXQ122" s="4"/>
      <c r="AXR122" s="4"/>
      <c r="AXS122" s="4"/>
      <c r="AXT122" s="4"/>
      <c r="AXU122" s="4"/>
      <c r="AXV122" s="4"/>
      <c r="AXW122" s="4"/>
      <c r="AXX122" s="4"/>
      <c r="AXY122" s="4"/>
      <c r="AXZ122" s="4"/>
      <c r="AYA122" s="4"/>
      <c r="AYB122" s="4"/>
      <c r="AYC122" s="4"/>
      <c r="AYD122" s="4"/>
      <c r="AYE122" s="4"/>
      <c r="AYF122" s="4"/>
      <c r="AYG122" s="4"/>
      <c r="AYH122" s="4"/>
      <c r="AYI122" s="4"/>
      <c r="AYJ122" s="4"/>
      <c r="AYK122" s="4"/>
      <c r="AYL122" s="4"/>
      <c r="AYM122" s="4"/>
      <c r="AYN122" s="4"/>
      <c r="AYO122" s="4"/>
      <c r="AYP122" s="4"/>
      <c r="AYQ122" s="4"/>
      <c r="AYR122" s="4"/>
      <c r="AYS122" s="4"/>
      <c r="AYT122" s="4"/>
      <c r="AYU122" s="4"/>
      <c r="AYV122" s="4"/>
      <c r="AYW122" s="4"/>
      <c r="AYX122" s="4"/>
      <c r="AYY122" s="4"/>
      <c r="AYZ122" s="4"/>
      <c r="AZA122" s="4"/>
      <c r="AZB122" s="4"/>
      <c r="AZC122" s="4"/>
      <c r="AZD122" s="4"/>
      <c r="AZE122" s="4"/>
      <c r="AZF122" s="4"/>
      <c r="AZG122" s="4"/>
      <c r="AZH122" s="4"/>
      <c r="AZI122" s="4"/>
      <c r="AZJ122" s="4"/>
      <c r="AZK122" s="4"/>
      <c r="AZL122" s="4"/>
      <c r="AZM122" s="4"/>
      <c r="AZN122" s="4"/>
      <c r="AZO122" s="4"/>
      <c r="AZP122" s="4"/>
      <c r="AZQ122" s="4"/>
      <c r="AZR122" s="4"/>
      <c r="AZS122" s="4"/>
      <c r="AZT122" s="4"/>
      <c r="AZU122" s="4"/>
      <c r="AZV122" s="4"/>
      <c r="AZW122" s="4"/>
      <c r="AZX122" s="4"/>
      <c r="AZY122" s="4"/>
      <c r="AZZ122" s="4"/>
      <c r="BAA122" s="4"/>
      <c r="BAB122" s="4"/>
      <c r="BAC122" s="4"/>
      <c r="BAD122" s="4"/>
      <c r="BAE122" s="4"/>
      <c r="BAF122" s="4"/>
      <c r="BAG122" s="4"/>
      <c r="BAH122" s="4"/>
      <c r="BAI122" s="4"/>
      <c r="BAJ122" s="4"/>
      <c r="BAK122" s="4"/>
      <c r="BAL122" s="4"/>
      <c r="BAM122" s="4"/>
      <c r="BAN122" s="4"/>
      <c r="BAO122" s="4"/>
      <c r="BAP122" s="4"/>
      <c r="BAQ122" s="4"/>
      <c r="BAR122" s="4"/>
      <c r="BAS122" s="4"/>
      <c r="BAT122" s="4"/>
      <c r="BAU122" s="4"/>
      <c r="BAV122" s="4"/>
      <c r="BAW122" s="4"/>
      <c r="BAX122" s="4"/>
      <c r="BAY122" s="4"/>
      <c r="BAZ122" s="4"/>
      <c r="BBA122" s="4"/>
      <c r="BBB122" s="4"/>
      <c r="BBC122" s="4"/>
      <c r="BBD122" s="4"/>
      <c r="BBE122" s="4"/>
      <c r="BBF122" s="4"/>
      <c r="BBG122" s="4"/>
      <c r="BBH122" s="4"/>
      <c r="BBI122" s="4"/>
      <c r="BBJ122" s="4"/>
      <c r="BBK122" s="4"/>
      <c r="BBL122" s="4"/>
      <c r="BBM122" s="4"/>
      <c r="BBN122" s="4"/>
      <c r="BBO122" s="4"/>
      <c r="BBP122" s="4"/>
      <c r="BBQ122" s="4"/>
      <c r="BBR122" s="4"/>
      <c r="BBS122" s="4"/>
      <c r="BBT122" s="4"/>
      <c r="BBU122" s="4"/>
      <c r="BBV122" s="4"/>
      <c r="BBW122" s="4"/>
      <c r="BBX122" s="4"/>
      <c r="BBY122" s="4"/>
      <c r="BBZ122" s="4"/>
      <c r="BCA122" s="4"/>
      <c r="BCB122" s="4"/>
      <c r="BCC122" s="4"/>
      <c r="BCD122" s="4"/>
      <c r="BCE122" s="4"/>
      <c r="BCF122" s="4"/>
      <c r="BCG122" s="4"/>
      <c r="BCH122" s="4"/>
      <c r="BCI122" s="4"/>
      <c r="BCJ122" s="4"/>
      <c r="BCK122" s="4"/>
      <c r="BCL122" s="4"/>
      <c r="BCM122" s="4"/>
      <c r="BCN122" s="4"/>
      <c r="BCO122" s="4"/>
      <c r="BCP122" s="4"/>
      <c r="BCQ122" s="4"/>
      <c r="BCR122" s="4"/>
      <c r="BCS122" s="4"/>
      <c r="BCT122" s="4"/>
      <c r="BCU122" s="4"/>
      <c r="BCV122" s="4"/>
      <c r="BCW122" s="4"/>
      <c r="BCX122" s="4"/>
      <c r="BCY122" s="4"/>
      <c r="BCZ122" s="4"/>
      <c r="BDA122" s="4"/>
      <c r="BDB122" s="4"/>
      <c r="BDC122" s="4"/>
      <c r="BDD122" s="4"/>
      <c r="BDE122" s="4"/>
      <c r="BDF122" s="4"/>
      <c r="BDG122" s="4"/>
      <c r="BDH122" s="4"/>
      <c r="BDI122" s="4"/>
      <c r="BDJ122" s="4"/>
      <c r="BDK122" s="4"/>
      <c r="BDL122" s="4"/>
      <c r="BDM122" s="4"/>
      <c r="BDN122" s="4"/>
      <c r="BDO122" s="4"/>
      <c r="BDP122" s="4"/>
      <c r="BDQ122" s="4"/>
      <c r="BDR122" s="4"/>
      <c r="BDS122" s="4"/>
      <c r="BDT122" s="4"/>
      <c r="BDU122" s="4"/>
      <c r="BDV122" s="4"/>
      <c r="BDW122" s="4"/>
      <c r="BDX122" s="4"/>
      <c r="BDY122" s="4"/>
      <c r="BDZ122" s="4"/>
      <c r="BEA122" s="4"/>
      <c r="BEB122" s="4"/>
      <c r="BEC122" s="4"/>
      <c r="BED122" s="4"/>
      <c r="BEE122" s="4"/>
      <c r="BEF122" s="4"/>
      <c r="BEG122" s="4"/>
      <c r="BEH122" s="4"/>
      <c r="BEI122" s="4"/>
      <c r="BEJ122" s="4"/>
      <c r="BEK122" s="4"/>
      <c r="BEL122" s="4"/>
      <c r="BEM122" s="4"/>
      <c r="BEN122" s="4"/>
      <c r="BEO122" s="4"/>
      <c r="BEP122" s="4"/>
      <c r="BEQ122" s="4"/>
      <c r="BER122" s="4"/>
      <c r="BES122" s="4"/>
      <c r="BET122" s="4"/>
      <c r="BEU122" s="4"/>
      <c r="BEV122" s="4"/>
      <c r="BEW122" s="4"/>
      <c r="BEX122" s="4"/>
      <c r="BEY122" s="4"/>
      <c r="BEZ122" s="4"/>
      <c r="BFA122" s="4"/>
      <c r="BFB122" s="4"/>
      <c r="BFC122" s="4"/>
      <c r="BFD122" s="4"/>
      <c r="BFE122" s="4"/>
      <c r="BFF122" s="4"/>
      <c r="BFG122" s="4"/>
      <c r="BFH122" s="4"/>
      <c r="BFI122" s="4"/>
      <c r="BFJ122" s="4"/>
      <c r="BFK122" s="4"/>
      <c r="BFL122" s="4"/>
      <c r="BFM122" s="4"/>
      <c r="BFN122" s="4"/>
      <c r="BFO122" s="4"/>
      <c r="BFP122" s="4"/>
      <c r="BFQ122" s="4"/>
      <c r="BFR122" s="4"/>
      <c r="BFS122" s="4"/>
      <c r="BFT122" s="4"/>
      <c r="BFU122" s="4"/>
      <c r="BFV122" s="4"/>
      <c r="BFW122" s="4"/>
      <c r="BFX122" s="4"/>
      <c r="BFY122" s="4"/>
      <c r="BFZ122" s="4"/>
      <c r="BGA122" s="4"/>
      <c r="BGB122" s="4"/>
      <c r="BGC122" s="4"/>
      <c r="BGD122" s="4"/>
      <c r="BGE122" s="4"/>
      <c r="BGF122" s="4"/>
      <c r="BGG122" s="4"/>
      <c r="BGH122" s="4"/>
      <c r="BGI122" s="4"/>
      <c r="BGJ122" s="4"/>
      <c r="BGK122" s="4"/>
      <c r="BGL122" s="4"/>
      <c r="BGM122" s="4"/>
      <c r="BGN122" s="4"/>
      <c r="BGO122" s="4"/>
      <c r="BGP122" s="4"/>
      <c r="BGQ122" s="4"/>
      <c r="BGR122" s="4"/>
      <c r="BGS122" s="4"/>
      <c r="BGT122" s="4"/>
      <c r="BGU122" s="4"/>
      <c r="BGV122" s="4"/>
      <c r="BGW122" s="4"/>
      <c r="BGX122" s="4"/>
      <c r="BGY122" s="4"/>
      <c r="BGZ122" s="4"/>
      <c r="BHA122" s="4"/>
      <c r="BHB122" s="4"/>
      <c r="BHC122" s="4"/>
      <c r="BHD122" s="4"/>
      <c r="BHE122" s="4"/>
      <c r="BHF122" s="4"/>
      <c r="BHG122" s="4"/>
      <c r="BHH122" s="4"/>
      <c r="BHI122" s="4"/>
      <c r="BHJ122" s="4"/>
      <c r="BHK122" s="4"/>
      <c r="BHL122" s="4"/>
      <c r="BHM122" s="4"/>
      <c r="BHN122" s="4"/>
      <c r="BHO122" s="4"/>
      <c r="BHP122" s="4"/>
      <c r="BHQ122" s="4"/>
      <c r="BHR122" s="4"/>
      <c r="BHS122" s="4"/>
      <c r="BHT122" s="4"/>
      <c r="BHU122" s="4"/>
      <c r="BHV122" s="4"/>
      <c r="BHW122" s="4"/>
      <c r="BHX122" s="4"/>
      <c r="BHY122" s="4"/>
      <c r="BHZ122" s="4"/>
      <c r="BIA122" s="4"/>
      <c r="BIB122" s="4"/>
      <c r="BIC122" s="4"/>
      <c r="BID122" s="4"/>
      <c r="BIE122" s="4"/>
      <c r="BIF122" s="4"/>
      <c r="BIG122" s="4"/>
      <c r="BIH122" s="4"/>
      <c r="BII122" s="4"/>
      <c r="BIJ122" s="4"/>
      <c r="BIK122" s="4"/>
      <c r="BIL122" s="4"/>
      <c r="BIM122" s="4"/>
      <c r="BIN122" s="4"/>
      <c r="BIO122" s="4"/>
      <c r="BIP122" s="4"/>
      <c r="BIQ122" s="4"/>
      <c r="BIR122" s="4"/>
      <c r="BIS122" s="4"/>
      <c r="BIT122" s="4"/>
      <c r="BIU122" s="4"/>
      <c r="BIV122" s="4"/>
      <c r="BIW122" s="4"/>
      <c r="BIX122" s="4"/>
      <c r="BIY122" s="4"/>
      <c r="BIZ122" s="4"/>
      <c r="BJA122" s="4"/>
      <c r="BJB122" s="4"/>
      <c r="BJC122" s="4"/>
      <c r="BJD122" s="4"/>
      <c r="BJE122" s="4"/>
      <c r="BJF122" s="4"/>
      <c r="BJG122" s="4"/>
      <c r="BJH122" s="4"/>
      <c r="BJI122" s="4"/>
      <c r="BJJ122" s="4"/>
      <c r="BJK122" s="4"/>
      <c r="BJL122" s="4"/>
      <c r="BJM122" s="4"/>
      <c r="BJN122" s="4"/>
      <c r="BJO122" s="4"/>
      <c r="BJP122" s="4"/>
      <c r="BJQ122" s="4"/>
      <c r="BJR122" s="4"/>
      <c r="BJS122" s="4"/>
      <c r="BJT122" s="4"/>
      <c r="BJU122" s="4"/>
      <c r="BJV122" s="4"/>
      <c r="BJW122" s="4"/>
      <c r="BJX122" s="4"/>
      <c r="BJY122" s="4"/>
      <c r="BJZ122" s="4"/>
      <c r="BKA122" s="4"/>
      <c r="BKB122" s="4"/>
      <c r="BKC122" s="4"/>
      <c r="BKD122" s="4"/>
      <c r="BKE122" s="4"/>
      <c r="BKF122" s="4"/>
      <c r="BKG122" s="4"/>
      <c r="BKH122" s="4"/>
      <c r="BKI122" s="4"/>
      <c r="BKJ122" s="4"/>
      <c r="BKK122" s="4"/>
      <c r="BKL122" s="4"/>
      <c r="BKM122" s="4"/>
      <c r="BKN122" s="4"/>
      <c r="BKO122" s="4"/>
      <c r="BKP122" s="4"/>
      <c r="BKQ122" s="4"/>
      <c r="BKR122" s="4"/>
      <c r="BKS122" s="4"/>
      <c r="BKT122" s="4"/>
      <c r="BKU122" s="4"/>
      <c r="BKV122" s="4"/>
      <c r="BKW122" s="4"/>
      <c r="BKX122" s="4"/>
      <c r="BKY122" s="4"/>
      <c r="BKZ122" s="4"/>
      <c r="BLA122" s="4"/>
      <c r="BLB122" s="4"/>
      <c r="BLC122" s="4"/>
      <c r="BLD122" s="4"/>
      <c r="BLE122" s="4"/>
      <c r="BLF122" s="4"/>
      <c r="BLG122" s="4"/>
      <c r="BLH122" s="4"/>
      <c r="BLI122" s="4"/>
      <c r="BLJ122" s="4"/>
      <c r="BLK122" s="4"/>
      <c r="BLL122" s="4"/>
      <c r="BLM122" s="4"/>
      <c r="BLN122" s="4"/>
      <c r="BLO122" s="4"/>
      <c r="BLP122" s="4"/>
      <c r="BLQ122" s="4"/>
      <c r="BLR122" s="4"/>
      <c r="BLS122" s="4"/>
      <c r="BLT122" s="4"/>
      <c r="BLU122" s="4"/>
      <c r="BLV122" s="4"/>
      <c r="BLW122" s="4"/>
      <c r="BLX122" s="4"/>
      <c r="BLY122" s="4"/>
      <c r="BLZ122" s="4"/>
      <c r="BMA122" s="4"/>
      <c r="BMB122" s="4"/>
      <c r="BMC122" s="4"/>
      <c r="BMD122" s="4"/>
      <c r="BME122" s="4"/>
      <c r="BMF122" s="4"/>
      <c r="BMG122" s="4"/>
      <c r="BMH122" s="4"/>
      <c r="BMI122" s="4"/>
      <c r="BMJ122" s="4"/>
      <c r="BMK122" s="4"/>
      <c r="BML122" s="4"/>
      <c r="BMM122" s="4"/>
      <c r="BMN122" s="4"/>
      <c r="BMO122" s="4"/>
      <c r="BMP122" s="4"/>
      <c r="BMQ122" s="4"/>
      <c r="BMR122" s="4"/>
      <c r="BMS122" s="4"/>
      <c r="BMT122" s="4"/>
      <c r="BMU122" s="4"/>
      <c r="BMV122" s="4"/>
      <c r="BMW122" s="4"/>
      <c r="BMX122" s="4"/>
      <c r="BMY122" s="4"/>
      <c r="BMZ122" s="4"/>
      <c r="BNA122" s="4"/>
      <c r="BNB122" s="4"/>
      <c r="BNC122" s="4"/>
      <c r="BND122" s="4"/>
      <c r="BNE122" s="4"/>
      <c r="BNF122" s="4"/>
      <c r="BNG122" s="4"/>
      <c r="BNH122" s="4"/>
      <c r="BNI122" s="4"/>
      <c r="BNJ122" s="4"/>
      <c r="BNK122" s="4"/>
      <c r="BNL122" s="4"/>
      <c r="BNM122" s="4"/>
      <c r="BNN122" s="4"/>
      <c r="BNO122" s="4"/>
      <c r="BNP122" s="4"/>
      <c r="BNQ122" s="4"/>
      <c r="BNR122" s="4"/>
      <c r="BNS122" s="4"/>
      <c r="BNT122" s="4"/>
      <c r="BNU122" s="4"/>
      <c r="BNV122" s="4"/>
      <c r="BNW122" s="4"/>
      <c r="BNX122" s="4"/>
      <c r="BNY122" s="4"/>
      <c r="BNZ122" s="4"/>
      <c r="BOA122" s="4"/>
      <c r="BOB122" s="4"/>
      <c r="BOC122" s="4"/>
      <c r="BOD122" s="4"/>
      <c r="BOE122" s="4"/>
      <c r="BOF122" s="4"/>
      <c r="BOG122" s="4"/>
      <c r="BOH122" s="4"/>
      <c r="BOI122" s="4"/>
      <c r="BOJ122" s="4"/>
      <c r="BOK122" s="4"/>
      <c r="BOL122" s="4"/>
      <c r="BOM122" s="4"/>
      <c r="BON122" s="4"/>
      <c r="BOO122" s="4"/>
      <c r="BOP122" s="4"/>
      <c r="BOQ122" s="4"/>
      <c r="BOR122" s="4"/>
      <c r="BOS122" s="4"/>
      <c r="BOT122" s="4"/>
      <c r="BOU122" s="4"/>
      <c r="BOV122" s="4"/>
      <c r="BOW122" s="4"/>
      <c r="BOX122" s="4"/>
      <c r="BOY122" s="4"/>
      <c r="BOZ122" s="4"/>
      <c r="BPA122" s="4"/>
      <c r="BPB122" s="4"/>
      <c r="BPC122" s="4"/>
      <c r="BPD122" s="4"/>
      <c r="BPE122" s="4"/>
      <c r="BPF122" s="4"/>
      <c r="BPG122" s="4"/>
      <c r="BPH122" s="4"/>
      <c r="BPI122" s="4"/>
      <c r="BPJ122" s="4"/>
      <c r="BPK122" s="4"/>
      <c r="BPL122" s="4"/>
      <c r="BPM122" s="4"/>
      <c r="BPN122" s="4"/>
      <c r="BPO122" s="4"/>
      <c r="BPP122" s="4"/>
      <c r="BPQ122" s="4"/>
      <c r="BPR122" s="4"/>
      <c r="BPS122" s="4"/>
      <c r="BPT122" s="4"/>
      <c r="BPU122" s="4"/>
      <c r="BPV122" s="4"/>
      <c r="BPW122" s="4"/>
      <c r="BPX122" s="4"/>
      <c r="BPY122" s="4"/>
      <c r="BPZ122" s="4"/>
      <c r="BQA122" s="4"/>
      <c r="BQB122" s="4"/>
      <c r="BQC122" s="4"/>
      <c r="BQD122" s="4"/>
      <c r="BQE122" s="4"/>
      <c r="BQF122" s="4"/>
      <c r="BQG122" s="4"/>
      <c r="BQH122" s="4"/>
      <c r="BQI122" s="4"/>
      <c r="BQJ122" s="4"/>
      <c r="BQK122" s="4"/>
      <c r="BQL122" s="4"/>
      <c r="BQM122" s="4"/>
      <c r="BQN122" s="4"/>
      <c r="BQO122" s="4"/>
      <c r="BQP122" s="4"/>
      <c r="BQQ122" s="4"/>
      <c r="BQR122" s="4"/>
      <c r="BQS122" s="4"/>
      <c r="BQT122" s="4"/>
      <c r="BQU122" s="4"/>
      <c r="BQV122" s="4"/>
      <c r="BQW122" s="4"/>
      <c r="BQX122" s="4"/>
      <c r="BQY122" s="4"/>
      <c r="BQZ122" s="4"/>
      <c r="BRA122" s="4"/>
      <c r="BRB122" s="4"/>
      <c r="BRC122" s="4"/>
      <c r="BRD122" s="4"/>
      <c r="BRE122" s="4"/>
      <c r="BRF122" s="4"/>
      <c r="BRG122" s="4"/>
      <c r="BRH122" s="4"/>
      <c r="BRI122" s="4"/>
      <c r="BRJ122" s="4"/>
      <c r="BRK122" s="4"/>
      <c r="BRL122" s="4"/>
      <c r="BRM122" s="4"/>
      <c r="BRN122" s="4"/>
      <c r="BRO122" s="4"/>
      <c r="BRP122" s="4"/>
      <c r="BRQ122" s="4"/>
      <c r="BRR122" s="4"/>
      <c r="BRS122" s="4"/>
      <c r="BRT122" s="4"/>
      <c r="BRU122" s="4"/>
      <c r="BRV122" s="4"/>
      <c r="BRW122" s="4"/>
      <c r="BRX122" s="4"/>
      <c r="BRY122" s="4"/>
      <c r="BRZ122" s="4"/>
      <c r="BSA122" s="4"/>
      <c r="BSB122" s="4"/>
      <c r="BSC122" s="4"/>
      <c r="BSD122" s="4"/>
      <c r="BSE122" s="4"/>
      <c r="BSF122" s="4"/>
      <c r="BSG122" s="4"/>
      <c r="BSH122" s="4"/>
      <c r="BSI122" s="4"/>
      <c r="BSJ122" s="4"/>
      <c r="BSK122" s="4"/>
      <c r="BSL122" s="4"/>
      <c r="BSM122" s="4"/>
      <c r="BSN122" s="4"/>
      <c r="BSO122" s="4"/>
      <c r="BSP122" s="4"/>
      <c r="BSQ122" s="4"/>
      <c r="BSR122" s="4"/>
      <c r="BSS122" s="4"/>
      <c r="BST122" s="4"/>
      <c r="BSU122" s="4"/>
      <c r="BSV122" s="4"/>
      <c r="BSW122" s="4"/>
      <c r="BSX122" s="4"/>
      <c r="BSY122" s="4"/>
      <c r="BSZ122" s="4"/>
      <c r="BTA122" s="4"/>
      <c r="BTB122" s="4"/>
      <c r="BTC122" s="4"/>
      <c r="BTD122" s="4"/>
      <c r="BTE122" s="4"/>
      <c r="BTF122" s="4"/>
      <c r="BTG122" s="4"/>
      <c r="BTH122" s="4"/>
      <c r="BTI122" s="4"/>
      <c r="BTJ122" s="4"/>
      <c r="BTK122" s="4"/>
      <c r="BTL122" s="4"/>
      <c r="BTM122" s="4"/>
      <c r="BTN122" s="4"/>
      <c r="BTO122" s="4"/>
      <c r="BTP122" s="4"/>
      <c r="BTQ122" s="4"/>
      <c r="BTR122" s="4"/>
      <c r="BTS122" s="4"/>
      <c r="BTT122" s="4"/>
      <c r="BTU122" s="4"/>
      <c r="BTV122" s="4"/>
      <c r="BTW122" s="4"/>
      <c r="BTX122" s="4"/>
      <c r="BTY122" s="4"/>
      <c r="BTZ122" s="4"/>
      <c r="BUA122" s="4"/>
      <c r="BUB122" s="4"/>
      <c r="BUC122" s="4"/>
      <c r="BUD122" s="4"/>
      <c r="BUE122" s="4"/>
      <c r="BUF122" s="4"/>
      <c r="BUG122" s="4"/>
      <c r="BUH122" s="4"/>
      <c r="BUI122" s="4"/>
      <c r="BUJ122" s="4"/>
      <c r="BUK122" s="4"/>
      <c r="BUL122" s="4"/>
      <c r="BUM122" s="4"/>
      <c r="BUN122" s="4"/>
      <c r="BUO122" s="4"/>
      <c r="BUP122" s="4"/>
      <c r="BUQ122" s="4"/>
      <c r="BUR122" s="4"/>
      <c r="BUS122" s="4"/>
      <c r="BUT122" s="4"/>
      <c r="BUU122" s="4"/>
      <c r="BUV122" s="4"/>
      <c r="BUW122" s="4"/>
      <c r="BUX122" s="4"/>
      <c r="BUY122" s="4"/>
      <c r="BUZ122" s="4"/>
      <c r="BVA122" s="4"/>
      <c r="BVB122" s="4"/>
      <c r="BVC122" s="4"/>
      <c r="BVD122" s="4"/>
      <c r="BVE122" s="4"/>
      <c r="BVF122" s="4"/>
      <c r="BVG122" s="4"/>
      <c r="BVH122" s="4"/>
      <c r="BVI122" s="4"/>
      <c r="BVJ122" s="4"/>
      <c r="BVK122" s="4"/>
      <c r="BVL122" s="4"/>
      <c r="BVM122" s="4"/>
      <c r="BVN122" s="4"/>
      <c r="BVO122" s="4"/>
      <c r="BVP122" s="4"/>
      <c r="BVQ122" s="4"/>
      <c r="BVR122" s="4"/>
      <c r="BVS122" s="4"/>
      <c r="BVT122" s="4"/>
      <c r="BVU122" s="4"/>
      <c r="BVV122" s="4"/>
      <c r="BVW122" s="4"/>
      <c r="BVX122" s="4"/>
      <c r="BVY122" s="4"/>
      <c r="BVZ122" s="4"/>
      <c r="BWA122" s="4"/>
      <c r="BWB122" s="4"/>
      <c r="BWC122" s="4"/>
      <c r="BWD122" s="4"/>
      <c r="BWE122" s="4"/>
      <c r="BWF122" s="4"/>
      <c r="BWG122" s="4"/>
      <c r="BWH122" s="4"/>
      <c r="BWI122" s="4"/>
      <c r="BWJ122" s="4"/>
      <c r="BWK122" s="4"/>
      <c r="BWL122" s="4"/>
      <c r="BWM122" s="4"/>
      <c r="BWN122" s="4"/>
      <c r="BWO122" s="4"/>
      <c r="BWP122" s="4"/>
      <c r="BWQ122" s="4"/>
      <c r="BWR122" s="4"/>
      <c r="BWS122" s="4"/>
      <c r="BWT122" s="4"/>
      <c r="BWU122" s="4"/>
      <c r="BWV122" s="4"/>
      <c r="BWW122" s="4"/>
      <c r="BWX122" s="4"/>
      <c r="BWY122" s="4"/>
      <c r="BWZ122" s="4"/>
      <c r="BXA122" s="4"/>
      <c r="BXB122" s="4"/>
      <c r="BXC122" s="4"/>
      <c r="BXD122" s="4"/>
      <c r="BXE122" s="4"/>
      <c r="BXF122" s="4"/>
      <c r="BXG122" s="4"/>
      <c r="BXH122" s="4"/>
      <c r="BXI122" s="4"/>
      <c r="BXJ122" s="4"/>
      <c r="BXK122" s="4"/>
      <c r="BXL122" s="4"/>
      <c r="BXM122" s="4"/>
      <c r="BXN122" s="4"/>
      <c r="BXO122" s="4"/>
      <c r="BXP122" s="4"/>
      <c r="BXQ122" s="4"/>
      <c r="BXR122" s="4"/>
      <c r="BXS122" s="4"/>
      <c r="BXT122" s="4"/>
      <c r="BXU122" s="4"/>
      <c r="BXV122" s="4"/>
      <c r="BXW122" s="4"/>
      <c r="BXX122" s="4"/>
      <c r="BXY122" s="4"/>
      <c r="BXZ122" s="4"/>
      <c r="BYA122" s="4"/>
      <c r="BYB122" s="4"/>
      <c r="BYC122" s="4"/>
      <c r="BYD122" s="4"/>
      <c r="BYE122" s="4"/>
      <c r="BYF122" s="4"/>
      <c r="BYG122" s="4"/>
      <c r="BYH122" s="4"/>
      <c r="BYI122" s="4"/>
      <c r="BYJ122" s="4"/>
      <c r="BYK122" s="4"/>
      <c r="BYL122" s="4"/>
      <c r="BYM122" s="4"/>
      <c r="BYN122" s="4"/>
      <c r="BYO122" s="4"/>
      <c r="BYP122" s="4"/>
      <c r="BYQ122" s="4"/>
      <c r="BYR122" s="4"/>
      <c r="BYS122" s="4"/>
      <c r="BYT122" s="4"/>
      <c r="BYU122" s="4"/>
      <c r="BYV122" s="4"/>
      <c r="BYW122" s="4"/>
      <c r="BYX122" s="4"/>
      <c r="BYY122" s="4"/>
      <c r="BYZ122" s="4"/>
      <c r="BZA122" s="4"/>
      <c r="BZB122" s="4"/>
      <c r="BZC122" s="4"/>
      <c r="BZD122" s="4"/>
      <c r="BZE122" s="4"/>
      <c r="BZF122" s="4"/>
      <c r="BZG122" s="4"/>
      <c r="BZH122" s="4"/>
      <c r="BZI122" s="4"/>
      <c r="BZJ122" s="4"/>
      <c r="BZK122" s="4"/>
      <c r="BZL122" s="4"/>
      <c r="BZM122" s="4"/>
      <c r="BZN122" s="4"/>
      <c r="BZO122" s="4"/>
      <c r="BZP122" s="4"/>
      <c r="BZQ122" s="4"/>
      <c r="BZR122" s="4"/>
      <c r="BZS122" s="4"/>
      <c r="BZT122" s="4"/>
      <c r="BZU122" s="4"/>
      <c r="BZV122" s="4"/>
      <c r="BZW122" s="4"/>
      <c r="BZX122" s="4"/>
      <c r="BZY122" s="4"/>
      <c r="BZZ122" s="4"/>
      <c r="CAA122" s="4"/>
      <c r="CAB122" s="4"/>
      <c r="CAC122" s="4"/>
      <c r="CAD122" s="4"/>
      <c r="CAE122" s="4"/>
      <c r="CAF122" s="4"/>
      <c r="CAG122" s="4"/>
      <c r="CAH122" s="4"/>
      <c r="CAI122" s="4"/>
      <c r="CAJ122" s="4"/>
      <c r="CAK122" s="4"/>
      <c r="CAL122" s="4"/>
      <c r="CAM122" s="4"/>
      <c r="CAN122" s="4"/>
      <c r="CAO122" s="4"/>
      <c r="CAP122" s="4"/>
      <c r="CAQ122" s="4"/>
      <c r="CAR122" s="4"/>
      <c r="CAS122" s="4"/>
      <c r="CAT122" s="4"/>
      <c r="CAU122" s="4"/>
      <c r="CAV122" s="4"/>
      <c r="CAW122" s="4"/>
      <c r="CAX122" s="4"/>
      <c r="CAY122" s="4"/>
      <c r="CAZ122" s="4"/>
      <c r="CBA122" s="4"/>
      <c r="CBB122" s="4"/>
      <c r="CBC122" s="4"/>
      <c r="CBD122" s="4"/>
      <c r="CBE122" s="4"/>
      <c r="CBF122" s="4"/>
      <c r="CBG122" s="4"/>
      <c r="CBH122" s="4"/>
      <c r="CBI122" s="4"/>
      <c r="CBJ122" s="4"/>
      <c r="CBK122" s="4"/>
      <c r="CBL122" s="4"/>
      <c r="CBM122" s="4"/>
      <c r="CBN122" s="4"/>
      <c r="CBO122" s="4"/>
      <c r="CBP122" s="4"/>
      <c r="CBQ122" s="4"/>
      <c r="CBR122" s="4"/>
      <c r="CBS122" s="4"/>
      <c r="CBT122" s="4"/>
      <c r="CBU122" s="4"/>
      <c r="CBV122" s="4"/>
      <c r="CBW122" s="4"/>
      <c r="CBX122" s="4"/>
      <c r="CBY122" s="4"/>
      <c r="CBZ122" s="4"/>
      <c r="CCA122" s="4"/>
      <c r="CCB122" s="4"/>
      <c r="CCC122" s="4"/>
      <c r="CCD122" s="4"/>
      <c r="CCE122" s="4"/>
      <c r="CCF122" s="4"/>
      <c r="CCG122" s="4"/>
      <c r="CCH122" s="4"/>
      <c r="CCI122" s="4"/>
      <c r="CCJ122" s="4"/>
      <c r="CCK122" s="4"/>
      <c r="CCL122" s="4"/>
      <c r="CCM122" s="4"/>
      <c r="CCN122" s="4"/>
      <c r="CCO122" s="4"/>
      <c r="CCP122" s="4"/>
      <c r="CCQ122" s="4"/>
      <c r="CCR122" s="4"/>
      <c r="CCS122" s="4"/>
      <c r="CCT122" s="4"/>
      <c r="CCU122" s="4"/>
      <c r="CCV122" s="4"/>
      <c r="CCW122" s="4"/>
      <c r="CCX122" s="4"/>
      <c r="CCY122" s="4"/>
      <c r="CCZ122" s="4"/>
      <c r="CDA122" s="4"/>
      <c r="CDB122" s="4"/>
      <c r="CDC122" s="4"/>
      <c r="CDD122" s="4"/>
      <c r="CDE122" s="4"/>
      <c r="CDF122" s="4"/>
      <c r="CDG122" s="4"/>
      <c r="CDH122" s="4"/>
      <c r="CDI122" s="4"/>
      <c r="CDJ122" s="4"/>
      <c r="CDK122" s="4"/>
      <c r="CDL122" s="4"/>
      <c r="CDM122" s="4"/>
      <c r="CDN122" s="4"/>
      <c r="CDO122" s="4"/>
      <c r="CDP122" s="4"/>
      <c r="CDQ122" s="4"/>
      <c r="CDR122" s="4"/>
      <c r="CDS122" s="4"/>
      <c r="CDT122" s="4"/>
      <c r="CDU122" s="4"/>
      <c r="CDV122" s="4"/>
      <c r="CDW122" s="4"/>
      <c r="CDX122" s="4"/>
      <c r="CDY122" s="4"/>
      <c r="CDZ122" s="4"/>
      <c r="CEA122" s="4"/>
      <c r="CEB122" s="4"/>
      <c r="CEC122" s="4"/>
      <c r="CED122" s="4"/>
      <c r="CEE122" s="4"/>
      <c r="CEF122" s="4"/>
      <c r="CEG122" s="4"/>
      <c r="CEH122" s="4"/>
      <c r="CEI122" s="4"/>
      <c r="CEJ122" s="4"/>
      <c r="CEK122" s="4"/>
      <c r="CEL122" s="4"/>
      <c r="CEM122" s="4"/>
      <c r="CEN122" s="4"/>
      <c r="CEO122" s="4"/>
      <c r="CEP122" s="4"/>
      <c r="CEQ122" s="4"/>
      <c r="CER122" s="4"/>
      <c r="CES122" s="4"/>
      <c r="CET122" s="4"/>
      <c r="CEU122" s="4"/>
      <c r="CEV122" s="4"/>
      <c r="CEW122" s="4"/>
      <c r="CEX122" s="4"/>
      <c r="CEY122" s="4"/>
      <c r="CEZ122" s="4"/>
      <c r="CFA122" s="4"/>
      <c r="CFB122" s="4"/>
      <c r="CFC122" s="4"/>
      <c r="CFD122" s="4"/>
      <c r="CFE122" s="4"/>
      <c r="CFF122" s="4"/>
      <c r="CFG122" s="4"/>
      <c r="CFH122" s="4"/>
      <c r="CFI122" s="4"/>
      <c r="CFJ122" s="4"/>
      <c r="CFK122" s="4"/>
      <c r="CFL122" s="4"/>
      <c r="CFM122" s="4"/>
      <c r="CFN122" s="4"/>
      <c r="CFO122" s="4"/>
      <c r="CFP122" s="4"/>
      <c r="CFQ122" s="4"/>
      <c r="CFR122" s="4"/>
      <c r="CFS122" s="4"/>
      <c r="CFT122" s="4"/>
      <c r="CFU122" s="4"/>
      <c r="CFV122" s="4"/>
      <c r="CFW122" s="4"/>
      <c r="CFX122" s="4"/>
      <c r="CFY122" s="4"/>
      <c r="CFZ122" s="4"/>
      <c r="CGA122" s="4"/>
      <c r="CGB122" s="4"/>
      <c r="CGC122" s="4"/>
      <c r="CGD122" s="4"/>
      <c r="CGE122" s="4"/>
      <c r="CGF122" s="4"/>
      <c r="CGG122" s="4"/>
      <c r="CGH122" s="4"/>
      <c r="CGI122" s="4"/>
      <c r="CGJ122" s="4"/>
      <c r="CGK122" s="4"/>
      <c r="CGL122" s="4"/>
      <c r="CGM122" s="4"/>
      <c r="CGN122" s="4"/>
      <c r="CGO122" s="4"/>
      <c r="CGP122" s="4"/>
      <c r="CGQ122" s="4"/>
      <c r="CGR122" s="4"/>
      <c r="CGS122" s="4"/>
      <c r="CGT122" s="4"/>
      <c r="CGU122" s="4"/>
      <c r="CGV122" s="4"/>
      <c r="CGW122" s="4"/>
      <c r="CGX122" s="4"/>
      <c r="CGY122" s="4"/>
      <c r="CGZ122" s="4"/>
      <c r="CHA122" s="4"/>
      <c r="CHB122" s="4"/>
      <c r="CHC122" s="4"/>
      <c r="CHD122" s="4"/>
      <c r="CHE122" s="4"/>
      <c r="CHF122" s="4"/>
      <c r="CHG122" s="4"/>
      <c r="CHH122" s="4"/>
      <c r="CHI122" s="4"/>
      <c r="CHJ122" s="4"/>
      <c r="CHK122" s="4"/>
      <c r="CHL122" s="4"/>
      <c r="CHM122" s="4"/>
      <c r="CHN122" s="4"/>
      <c r="CHO122" s="4"/>
      <c r="CHP122" s="4"/>
      <c r="CHQ122" s="4"/>
      <c r="CHR122" s="4"/>
      <c r="CHS122" s="4"/>
      <c r="CHT122" s="4"/>
      <c r="CHU122" s="4"/>
      <c r="CHV122" s="4"/>
      <c r="CHW122" s="4"/>
      <c r="CHX122" s="4"/>
      <c r="CHY122" s="4"/>
      <c r="CHZ122" s="4"/>
      <c r="CIA122" s="4"/>
      <c r="CIB122" s="4"/>
      <c r="CIC122" s="4"/>
      <c r="CID122" s="4"/>
      <c r="CIE122" s="4"/>
      <c r="CIF122" s="4"/>
      <c r="CIG122" s="4"/>
      <c r="CIH122" s="4"/>
      <c r="CII122" s="4"/>
      <c r="CIJ122" s="4"/>
      <c r="CIK122" s="4"/>
      <c r="CIL122" s="4"/>
      <c r="CIM122" s="4"/>
      <c r="CIN122" s="4"/>
      <c r="CIO122" s="4"/>
      <c r="CIP122" s="4"/>
      <c r="CIQ122" s="4"/>
      <c r="CIR122" s="4"/>
      <c r="CIS122" s="4"/>
      <c r="CIT122" s="4"/>
      <c r="CIU122" s="4"/>
      <c r="CIV122" s="4"/>
      <c r="CIW122" s="4"/>
      <c r="CIX122" s="4"/>
      <c r="CIY122" s="4"/>
      <c r="CIZ122" s="4"/>
      <c r="CJA122" s="4"/>
      <c r="CJB122" s="4"/>
      <c r="CJC122" s="4"/>
      <c r="CJD122" s="4"/>
      <c r="CJE122" s="4"/>
      <c r="CJF122" s="4"/>
      <c r="CJG122" s="4"/>
      <c r="CJH122" s="4"/>
      <c r="CJI122" s="4"/>
      <c r="CJJ122" s="4"/>
      <c r="CJK122" s="4"/>
      <c r="CJL122" s="4"/>
      <c r="CJM122" s="4"/>
      <c r="CJN122" s="4"/>
      <c r="CJO122" s="4"/>
      <c r="CJP122" s="4"/>
      <c r="CJQ122" s="4"/>
      <c r="CJR122" s="4"/>
      <c r="CJS122" s="4"/>
      <c r="CJT122" s="4"/>
      <c r="CJU122" s="4"/>
      <c r="CJV122" s="4"/>
      <c r="CJW122" s="4"/>
      <c r="CJX122" s="4"/>
      <c r="CJY122" s="4"/>
      <c r="CJZ122" s="4"/>
      <c r="CKA122" s="4"/>
      <c r="CKB122" s="4"/>
      <c r="CKC122" s="4"/>
      <c r="CKD122" s="4"/>
      <c r="CKE122" s="4"/>
      <c r="CKF122" s="4"/>
      <c r="CKG122" s="4"/>
      <c r="CKH122" s="4"/>
      <c r="CKI122" s="4"/>
      <c r="CKJ122" s="4"/>
      <c r="CKK122" s="4"/>
      <c r="CKL122" s="4"/>
      <c r="CKM122" s="4"/>
      <c r="CKN122" s="4"/>
      <c r="CKO122" s="4"/>
      <c r="CKP122" s="4"/>
      <c r="CKQ122" s="4"/>
      <c r="CKR122" s="4"/>
      <c r="CKS122" s="4"/>
      <c r="CKT122" s="4"/>
      <c r="CKU122" s="4"/>
      <c r="CKV122" s="4"/>
      <c r="CKW122" s="4"/>
      <c r="CKX122" s="4"/>
      <c r="CKY122" s="4"/>
      <c r="CKZ122" s="4"/>
      <c r="CLA122" s="4"/>
      <c r="CLB122" s="4"/>
      <c r="CLC122" s="4"/>
      <c r="CLD122" s="4"/>
      <c r="CLE122" s="4"/>
      <c r="CLF122" s="4"/>
      <c r="CLG122" s="4"/>
      <c r="CLH122" s="4"/>
      <c r="CLI122" s="4"/>
      <c r="CLJ122" s="4"/>
      <c r="CLK122" s="4"/>
      <c r="CLL122" s="4"/>
      <c r="CLM122" s="4"/>
      <c r="CLN122" s="4"/>
      <c r="CLO122" s="4"/>
      <c r="CLP122" s="4"/>
      <c r="CLQ122" s="4"/>
      <c r="CLR122" s="4"/>
      <c r="CLS122" s="4"/>
      <c r="CLT122" s="4"/>
      <c r="CLU122" s="4"/>
      <c r="CLV122" s="4"/>
      <c r="CLW122" s="4"/>
      <c r="CLX122" s="4"/>
      <c r="CLY122" s="4"/>
      <c r="CLZ122" s="4"/>
      <c r="CMA122" s="4"/>
      <c r="CMB122" s="4"/>
      <c r="CMC122" s="4"/>
      <c r="CMD122" s="4"/>
      <c r="CME122" s="4"/>
      <c r="CMF122" s="4"/>
      <c r="CMG122" s="4"/>
      <c r="CMH122" s="4"/>
      <c r="CMI122" s="4"/>
      <c r="CMJ122" s="4"/>
      <c r="CMK122" s="4"/>
      <c r="CML122" s="4"/>
      <c r="CMM122" s="4"/>
      <c r="CMN122" s="4"/>
      <c r="CMO122" s="4"/>
      <c r="CMP122" s="4"/>
      <c r="CMQ122" s="4"/>
      <c r="CMR122" s="4"/>
      <c r="CMS122" s="4"/>
      <c r="CMT122" s="4"/>
      <c r="CMU122" s="4"/>
      <c r="CMV122" s="4"/>
      <c r="CMW122" s="4"/>
      <c r="CMX122" s="4"/>
      <c r="CMY122" s="4"/>
      <c r="CMZ122" s="4"/>
      <c r="CNA122" s="4"/>
      <c r="CNB122" s="4"/>
      <c r="CNC122" s="4"/>
      <c r="CND122" s="4"/>
      <c r="CNE122" s="4"/>
      <c r="CNF122" s="4"/>
      <c r="CNG122" s="4"/>
      <c r="CNH122" s="4"/>
      <c r="CNI122" s="4"/>
      <c r="CNJ122" s="4"/>
      <c r="CNK122" s="4"/>
      <c r="CNL122" s="4"/>
      <c r="CNM122" s="4"/>
      <c r="CNN122" s="4"/>
      <c r="CNO122" s="4"/>
      <c r="CNP122" s="4"/>
      <c r="CNQ122" s="4"/>
      <c r="CNR122" s="4"/>
      <c r="CNS122" s="4"/>
      <c r="CNT122" s="4"/>
      <c r="CNU122" s="4"/>
      <c r="CNV122" s="4"/>
      <c r="CNW122" s="4"/>
      <c r="CNX122" s="4"/>
      <c r="CNY122" s="4"/>
      <c r="CNZ122" s="4"/>
      <c r="COA122" s="4"/>
      <c r="COB122" s="4"/>
      <c r="COC122" s="4"/>
      <c r="COD122" s="4"/>
      <c r="COE122" s="4"/>
      <c r="COF122" s="4"/>
      <c r="COG122" s="4"/>
      <c r="COH122" s="4"/>
      <c r="COI122" s="4"/>
      <c r="COJ122" s="4"/>
      <c r="COK122" s="4"/>
      <c r="COL122" s="4"/>
      <c r="COM122" s="4"/>
      <c r="CON122" s="4"/>
      <c r="COO122" s="4"/>
      <c r="COP122" s="4"/>
      <c r="COQ122" s="4"/>
      <c r="COR122" s="4"/>
      <c r="COS122" s="4"/>
      <c r="COT122" s="4"/>
      <c r="COU122" s="4"/>
      <c r="COV122" s="4"/>
      <c r="COW122" s="4"/>
      <c r="COX122" s="4"/>
      <c r="COY122" s="4"/>
      <c r="COZ122" s="4"/>
      <c r="CPA122" s="4"/>
      <c r="CPB122" s="4"/>
      <c r="CPC122" s="4"/>
      <c r="CPD122" s="4"/>
      <c r="CPE122" s="4"/>
      <c r="CPF122" s="4"/>
      <c r="CPG122" s="4"/>
      <c r="CPH122" s="4"/>
      <c r="CPI122" s="4"/>
      <c r="CPJ122" s="4"/>
      <c r="CPK122" s="4"/>
      <c r="CPL122" s="4"/>
      <c r="CPM122" s="4"/>
      <c r="CPN122" s="4"/>
      <c r="CPO122" s="4"/>
      <c r="CPP122" s="4"/>
      <c r="CPQ122" s="4"/>
      <c r="CPR122" s="4"/>
      <c r="CPS122" s="4"/>
      <c r="CPT122" s="4"/>
      <c r="CPU122" s="4"/>
      <c r="CPV122" s="4"/>
      <c r="CPW122" s="4"/>
      <c r="CPX122" s="4"/>
      <c r="CPY122" s="4"/>
      <c r="CPZ122" s="4"/>
      <c r="CQA122" s="4"/>
      <c r="CQB122" s="4"/>
      <c r="CQC122" s="4"/>
      <c r="CQD122" s="4"/>
      <c r="CQE122" s="4"/>
      <c r="CQF122" s="4"/>
      <c r="CQG122" s="4"/>
      <c r="CQH122" s="4"/>
      <c r="CQI122" s="4"/>
      <c r="CQJ122" s="4"/>
      <c r="CQK122" s="4"/>
      <c r="CQL122" s="4"/>
      <c r="CQM122" s="4"/>
      <c r="CQN122" s="4"/>
      <c r="CQO122" s="4"/>
      <c r="CQP122" s="4"/>
      <c r="CQQ122" s="4"/>
      <c r="CQR122" s="4"/>
      <c r="CQS122" s="4"/>
      <c r="CQT122" s="4"/>
      <c r="CQU122" s="4"/>
      <c r="CQV122" s="4"/>
      <c r="CQW122" s="4"/>
      <c r="CQX122" s="4"/>
      <c r="CQY122" s="4"/>
      <c r="CQZ122" s="4"/>
      <c r="CRA122" s="4"/>
      <c r="CRB122" s="4"/>
      <c r="CRC122" s="4"/>
      <c r="CRD122" s="4"/>
      <c r="CRE122" s="4"/>
      <c r="CRF122" s="4"/>
      <c r="CRG122" s="4"/>
      <c r="CRH122" s="4"/>
      <c r="CRI122" s="4"/>
      <c r="CRJ122" s="4"/>
      <c r="CRK122" s="4"/>
      <c r="CRL122" s="4"/>
      <c r="CRM122" s="4"/>
      <c r="CRN122" s="4"/>
      <c r="CRO122" s="4"/>
      <c r="CRP122" s="4"/>
      <c r="CRQ122" s="4"/>
      <c r="CRR122" s="4"/>
      <c r="CRS122" s="4"/>
      <c r="CRT122" s="4"/>
      <c r="CRU122" s="4"/>
      <c r="CRV122" s="4"/>
      <c r="CRW122" s="4"/>
      <c r="CRX122" s="4"/>
      <c r="CRY122" s="4"/>
      <c r="CRZ122" s="4"/>
      <c r="CSA122" s="4"/>
      <c r="CSB122" s="4"/>
      <c r="CSC122" s="4"/>
      <c r="CSD122" s="4"/>
      <c r="CSE122" s="4"/>
      <c r="CSF122" s="4"/>
      <c r="CSG122" s="4"/>
      <c r="CSH122" s="4"/>
      <c r="CSI122" s="4"/>
      <c r="CSJ122" s="4"/>
      <c r="CSK122" s="4"/>
      <c r="CSL122" s="4"/>
      <c r="CSM122" s="4"/>
      <c r="CSN122" s="4"/>
      <c r="CSO122" s="4"/>
      <c r="CSP122" s="4"/>
      <c r="CSQ122" s="4"/>
      <c r="CSR122" s="4"/>
      <c r="CSS122" s="4"/>
      <c r="CST122" s="4"/>
      <c r="CSU122" s="4"/>
      <c r="CSV122" s="4"/>
      <c r="CSW122" s="4"/>
      <c r="CSX122" s="4"/>
      <c r="CSY122" s="4"/>
      <c r="CSZ122" s="4"/>
      <c r="CTA122" s="4"/>
      <c r="CTB122" s="4"/>
      <c r="CTC122" s="4"/>
      <c r="CTD122" s="4"/>
      <c r="CTE122" s="4"/>
      <c r="CTF122" s="4"/>
      <c r="CTG122" s="4"/>
      <c r="CTH122" s="4"/>
      <c r="CTI122" s="4"/>
      <c r="CTJ122" s="4"/>
      <c r="CTK122" s="4"/>
      <c r="CTL122" s="4"/>
      <c r="CTM122" s="4"/>
      <c r="CTN122" s="4"/>
      <c r="CTO122" s="4"/>
      <c r="CTP122" s="4"/>
      <c r="CTQ122" s="4"/>
      <c r="CTR122" s="4"/>
      <c r="CTS122" s="4"/>
      <c r="CTT122" s="4"/>
      <c r="CTU122" s="4"/>
      <c r="CTV122" s="4"/>
      <c r="CTW122" s="4"/>
      <c r="CTX122" s="4"/>
      <c r="CTY122" s="4"/>
      <c r="CTZ122" s="4"/>
      <c r="CUA122" s="4"/>
      <c r="CUB122" s="4"/>
      <c r="CUC122" s="4"/>
      <c r="CUD122" s="4"/>
      <c r="CUE122" s="4"/>
      <c r="CUF122" s="4"/>
      <c r="CUG122" s="4"/>
      <c r="CUH122" s="4"/>
      <c r="CUI122" s="4"/>
      <c r="CUJ122" s="4"/>
      <c r="CUK122" s="4"/>
      <c r="CUL122" s="4"/>
      <c r="CUM122" s="4"/>
      <c r="CUN122" s="4"/>
      <c r="CUO122" s="4"/>
      <c r="CUP122" s="4"/>
      <c r="CUQ122" s="4"/>
      <c r="CUR122" s="4"/>
      <c r="CUS122" s="4"/>
      <c r="CUT122" s="4"/>
      <c r="CUU122" s="4"/>
      <c r="CUV122" s="4"/>
      <c r="CUW122" s="4"/>
      <c r="CUX122" s="4"/>
      <c r="CUY122" s="4"/>
      <c r="CUZ122" s="4"/>
      <c r="CVA122" s="4"/>
      <c r="CVB122" s="4"/>
      <c r="CVC122" s="4"/>
      <c r="CVD122" s="4"/>
      <c r="CVE122" s="4"/>
      <c r="CVF122" s="4"/>
      <c r="CVG122" s="4"/>
      <c r="CVH122" s="4"/>
      <c r="CVI122" s="4"/>
      <c r="CVJ122" s="4"/>
      <c r="CVK122" s="4"/>
      <c r="CVL122" s="4"/>
      <c r="CVM122" s="4"/>
      <c r="CVN122" s="4"/>
      <c r="CVO122" s="4"/>
      <c r="CVP122" s="4"/>
      <c r="CVQ122" s="4"/>
      <c r="CVR122" s="4"/>
      <c r="CVS122" s="4"/>
      <c r="CVT122" s="4"/>
      <c r="CVU122" s="4"/>
      <c r="CVV122" s="4"/>
      <c r="CVW122" s="4"/>
      <c r="CVX122" s="4"/>
      <c r="CVY122" s="4"/>
      <c r="CVZ122" s="4"/>
      <c r="CWA122" s="4"/>
      <c r="CWB122" s="4"/>
      <c r="CWC122" s="4"/>
      <c r="CWD122" s="4"/>
      <c r="CWE122" s="4"/>
      <c r="CWF122" s="4"/>
      <c r="CWG122" s="4"/>
      <c r="CWH122" s="4"/>
      <c r="CWI122" s="4"/>
      <c r="CWJ122" s="4"/>
      <c r="CWK122" s="4"/>
      <c r="CWL122" s="4"/>
      <c r="CWM122" s="4"/>
      <c r="CWN122" s="4"/>
      <c r="CWO122" s="4"/>
      <c r="CWP122" s="4"/>
      <c r="CWQ122" s="4"/>
      <c r="CWR122" s="4"/>
      <c r="CWS122" s="4"/>
      <c r="CWT122" s="4"/>
      <c r="CWU122" s="4"/>
      <c r="CWV122" s="4"/>
      <c r="CWW122" s="4"/>
      <c r="CWX122" s="4"/>
      <c r="CWY122" s="4"/>
      <c r="CWZ122" s="4"/>
      <c r="CXA122" s="4"/>
      <c r="CXB122" s="4"/>
      <c r="CXC122" s="4"/>
      <c r="CXD122" s="4"/>
      <c r="CXE122" s="4"/>
      <c r="CXF122" s="4"/>
      <c r="CXG122" s="4"/>
      <c r="CXH122" s="4"/>
      <c r="CXI122" s="4"/>
      <c r="CXJ122" s="4"/>
      <c r="CXK122" s="4"/>
      <c r="CXL122" s="4"/>
      <c r="CXM122" s="4"/>
      <c r="CXN122" s="4"/>
      <c r="CXO122" s="4"/>
      <c r="CXP122" s="4"/>
      <c r="CXQ122" s="4"/>
      <c r="CXR122" s="4"/>
      <c r="CXS122" s="4"/>
      <c r="CXT122" s="4"/>
      <c r="CXU122" s="4"/>
      <c r="CXV122" s="4"/>
      <c r="CXW122" s="4"/>
      <c r="CXX122" s="4"/>
      <c r="CXY122" s="4"/>
      <c r="CXZ122" s="4"/>
      <c r="CYA122" s="4"/>
      <c r="CYB122" s="4"/>
      <c r="CYC122" s="4"/>
      <c r="CYD122" s="4"/>
      <c r="CYE122" s="4"/>
      <c r="CYF122" s="4"/>
      <c r="CYG122" s="4"/>
      <c r="CYH122" s="4"/>
      <c r="CYI122" s="4"/>
      <c r="CYJ122" s="4"/>
      <c r="CYK122" s="4"/>
      <c r="CYL122" s="4"/>
      <c r="CYM122" s="4"/>
      <c r="CYN122" s="4"/>
      <c r="CYO122" s="4"/>
      <c r="CYP122" s="4"/>
      <c r="CYQ122" s="4"/>
      <c r="CYR122" s="4"/>
      <c r="CYS122" s="4"/>
      <c r="CYT122" s="4"/>
      <c r="CYU122" s="4"/>
      <c r="CYV122" s="4"/>
      <c r="CYW122" s="4"/>
      <c r="CYX122" s="4"/>
      <c r="CYY122" s="4"/>
      <c r="CYZ122" s="4"/>
      <c r="CZA122" s="4"/>
      <c r="CZB122" s="4"/>
      <c r="CZC122" s="4"/>
      <c r="CZD122" s="4"/>
      <c r="CZE122" s="4"/>
      <c r="CZF122" s="4"/>
      <c r="CZG122" s="4"/>
      <c r="CZH122" s="4"/>
      <c r="CZI122" s="4"/>
      <c r="CZJ122" s="4"/>
      <c r="CZK122" s="4"/>
      <c r="CZL122" s="4"/>
      <c r="CZM122" s="4"/>
      <c r="CZN122" s="4"/>
      <c r="CZO122" s="4"/>
      <c r="CZP122" s="4"/>
      <c r="CZQ122" s="4"/>
      <c r="CZR122" s="4"/>
      <c r="CZS122" s="4"/>
      <c r="CZT122" s="4"/>
      <c r="CZU122" s="4"/>
      <c r="CZV122" s="4"/>
      <c r="CZW122" s="4"/>
      <c r="CZX122" s="4"/>
      <c r="CZY122" s="4"/>
      <c r="CZZ122" s="4"/>
      <c r="DAA122" s="4"/>
      <c r="DAB122" s="4"/>
      <c r="DAC122" s="4"/>
      <c r="DAD122" s="4"/>
      <c r="DAE122" s="4"/>
      <c r="DAF122" s="4"/>
      <c r="DAG122" s="4"/>
      <c r="DAH122" s="4"/>
      <c r="DAI122" s="4"/>
      <c r="DAJ122" s="4"/>
      <c r="DAK122" s="4"/>
      <c r="DAL122" s="4"/>
      <c r="DAM122" s="4"/>
      <c r="DAN122" s="4"/>
      <c r="DAO122" s="4"/>
      <c r="DAP122" s="4"/>
      <c r="DAQ122" s="4"/>
      <c r="DAR122" s="4"/>
      <c r="DAS122" s="4"/>
      <c r="DAT122" s="4"/>
      <c r="DAU122" s="4"/>
      <c r="DAV122" s="4"/>
      <c r="DAW122" s="4"/>
      <c r="DAX122" s="4"/>
      <c r="DAY122" s="4"/>
      <c r="DAZ122" s="4"/>
      <c r="DBA122" s="4"/>
      <c r="DBB122" s="4"/>
      <c r="DBC122" s="4"/>
      <c r="DBD122" s="4"/>
      <c r="DBE122" s="4"/>
      <c r="DBF122" s="4"/>
      <c r="DBG122" s="4"/>
      <c r="DBH122" s="4"/>
      <c r="DBI122" s="4"/>
      <c r="DBJ122" s="4"/>
      <c r="DBK122" s="4"/>
      <c r="DBL122" s="4"/>
      <c r="DBM122" s="4"/>
      <c r="DBN122" s="4"/>
      <c r="DBO122" s="4"/>
      <c r="DBP122" s="4"/>
      <c r="DBQ122" s="4"/>
      <c r="DBR122" s="4"/>
      <c r="DBS122" s="4"/>
      <c r="DBT122" s="4"/>
      <c r="DBU122" s="4"/>
      <c r="DBV122" s="4"/>
      <c r="DBW122" s="4"/>
      <c r="DBX122" s="4"/>
      <c r="DBY122" s="4"/>
      <c r="DBZ122" s="4"/>
      <c r="DCA122" s="4"/>
      <c r="DCB122" s="4"/>
      <c r="DCC122" s="4"/>
      <c r="DCD122" s="4"/>
      <c r="DCE122" s="4"/>
      <c r="DCF122" s="4"/>
      <c r="DCG122" s="4"/>
      <c r="DCH122" s="4"/>
      <c r="DCI122" s="4"/>
      <c r="DCJ122" s="4"/>
      <c r="DCK122" s="4"/>
      <c r="DCL122" s="4"/>
      <c r="DCM122" s="4"/>
      <c r="DCN122" s="4"/>
      <c r="DCO122" s="4"/>
      <c r="DCP122" s="4"/>
      <c r="DCQ122" s="4"/>
      <c r="DCR122" s="4"/>
      <c r="DCS122" s="4"/>
      <c r="DCT122" s="4"/>
      <c r="DCU122" s="4"/>
      <c r="DCV122" s="4"/>
      <c r="DCW122" s="4"/>
      <c r="DCX122" s="4"/>
      <c r="DCY122" s="4"/>
      <c r="DCZ122" s="4"/>
      <c r="DDA122" s="4"/>
      <c r="DDB122" s="4"/>
      <c r="DDC122" s="4"/>
      <c r="DDD122" s="4"/>
      <c r="DDE122" s="4"/>
      <c r="DDF122" s="4"/>
      <c r="DDG122" s="4"/>
      <c r="DDH122" s="4"/>
      <c r="DDI122" s="4"/>
      <c r="DDJ122" s="4"/>
      <c r="DDK122" s="4"/>
      <c r="DDL122" s="4"/>
      <c r="DDM122" s="4"/>
      <c r="DDN122" s="4"/>
      <c r="DDO122" s="4"/>
      <c r="DDP122" s="4"/>
      <c r="DDQ122" s="4"/>
      <c r="DDR122" s="4"/>
      <c r="DDS122" s="4"/>
      <c r="DDT122" s="4"/>
      <c r="DDU122" s="4"/>
      <c r="DDV122" s="4"/>
      <c r="DDW122" s="4"/>
      <c r="DDX122" s="4"/>
      <c r="DDY122" s="4"/>
      <c r="DDZ122" s="4"/>
      <c r="DEA122" s="4"/>
      <c r="DEB122" s="4"/>
      <c r="DEC122" s="4"/>
      <c r="DED122" s="4"/>
      <c r="DEE122" s="4"/>
      <c r="DEF122" s="4"/>
      <c r="DEG122" s="4"/>
      <c r="DEH122" s="4"/>
      <c r="DEI122" s="4"/>
      <c r="DEJ122" s="4"/>
      <c r="DEK122" s="4"/>
      <c r="DEL122" s="4"/>
      <c r="DEM122" s="4"/>
      <c r="DEN122" s="4"/>
      <c r="DEO122" s="4"/>
      <c r="DEP122" s="4"/>
      <c r="DEQ122" s="4"/>
      <c r="DER122" s="4"/>
      <c r="DES122" s="4"/>
      <c r="DET122" s="4"/>
      <c r="DEU122" s="4"/>
      <c r="DEV122" s="4"/>
      <c r="DEW122" s="4"/>
      <c r="DEX122" s="4"/>
      <c r="DEY122" s="4"/>
      <c r="DEZ122" s="4"/>
      <c r="DFA122" s="4"/>
      <c r="DFB122" s="4"/>
      <c r="DFC122" s="4"/>
      <c r="DFD122" s="4"/>
      <c r="DFE122" s="4"/>
      <c r="DFF122" s="4"/>
      <c r="DFG122" s="4"/>
      <c r="DFH122" s="4"/>
      <c r="DFI122" s="4"/>
      <c r="DFJ122" s="4"/>
      <c r="DFK122" s="4"/>
      <c r="DFL122" s="4"/>
      <c r="DFM122" s="4"/>
      <c r="DFN122" s="4"/>
      <c r="DFO122" s="4"/>
      <c r="DFP122" s="4"/>
      <c r="DFQ122" s="4"/>
      <c r="DFR122" s="4"/>
      <c r="DFS122" s="4"/>
      <c r="DFT122" s="4"/>
      <c r="DFU122" s="4"/>
      <c r="DFV122" s="4"/>
      <c r="DFW122" s="4"/>
      <c r="DFX122" s="4"/>
      <c r="DFY122" s="4"/>
      <c r="DFZ122" s="4"/>
      <c r="DGA122" s="4"/>
      <c r="DGB122" s="4"/>
      <c r="DGC122" s="4"/>
      <c r="DGD122" s="4"/>
      <c r="DGE122" s="4"/>
      <c r="DGF122" s="4"/>
      <c r="DGG122" s="4"/>
      <c r="DGH122" s="4"/>
      <c r="DGI122" s="4"/>
      <c r="DGJ122" s="4"/>
      <c r="DGK122" s="4"/>
      <c r="DGL122" s="4"/>
      <c r="DGM122" s="4"/>
      <c r="DGN122" s="4"/>
      <c r="DGO122" s="4"/>
      <c r="DGP122" s="4"/>
      <c r="DGQ122" s="4"/>
      <c r="DGR122" s="4"/>
      <c r="DGS122" s="4"/>
      <c r="DGT122" s="4"/>
      <c r="DGU122" s="4"/>
      <c r="DGV122" s="4"/>
      <c r="DGW122" s="4"/>
      <c r="DGX122" s="4"/>
      <c r="DGY122" s="4"/>
      <c r="DGZ122" s="4"/>
      <c r="DHA122" s="4"/>
      <c r="DHB122" s="4"/>
      <c r="DHC122" s="4"/>
      <c r="DHD122" s="4"/>
      <c r="DHE122" s="4"/>
      <c r="DHF122" s="4"/>
      <c r="DHG122" s="4"/>
      <c r="DHH122" s="4"/>
      <c r="DHI122" s="4"/>
      <c r="DHJ122" s="4"/>
      <c r="DHK122" s="4"/>
      <c r="DHL122" s="4"/>
      <c r="DHM122" s="4"/>
      <c r="DHN122" s="4"/>
      <c r="DHO122" s="4"/>
      <c r="DHP122" s="4"/>
      <c r="DHQ122" s="4"/>
      <c r="DHR122" s="4"/>
      <c r="DHS122" s="4"/>
      <c r="DHT122" s="4"/>
      <c r="DHU122" s="4"/>
      <c r="DHV122" s="4"/>
      <c r="DHW122" s="4"/>
      <c r="DHX122" s="4"/>
      <c r="DHY122" s="4"/>
      <c r="DHZ122" s="4"/>
      <c r="DIA122" s="4"/>
      <c r="DIB122" s="4"/>
      <c r="DIC122" s="4"/>
      <c r="DID122" s="4"/>
      <c r="DIE122" s="4"/>
      <c r="DIF122" s="4"/>
      <c r="DIG122" s="4"/>
      <c r="DIH122" s="4"/>
      <c r="DII122" s="4"/>
      <c r="DIJ122" s="4"/>
      <c r="DIK122" s="4"/>
      <c r="DIL122" s="4"/>
      <c r="DIM122" s="4"/>
      <c r="DIN122" s="4"/>
      <c r="DIO122" s="4"/>
      <c r="DIP122" s="4"/>
      <c r="DIQ122" s="4"/>
      <c r="DIR122" s="4"/>
      <c r="DIS122" s="4"/>
      <c r="DIT122" s="4"/>
      <c r="DIU122" s="4"/>
      <c r="DIV122" s="4"/>
      <c r="DIW122" s="4"/>
      <c r="DIX122" s="4"/>
      <c r="DIY122" s="4"/>
      <c r="DIZ122" s="4"/>
      <c r="DJA122" s="4"/>
      <c r="DJB122" s="4"/>
      <c r="DJC122" s="4"/>
      <c r="DJD122" s="4"/>
      <c r="DJE122" s="4"/>
      <c r="DJF122" s="4"/>
      <c r="DJG122" s="4"/>
      <c r="DJH122" s="4"/>
      <c r="DJI122" s="4"/>
      <c r="DJJ122" s="4"/>
      <c r="DJK122" s="4"/>
      <c r="DJL122" s="4"/>
      <c r="DJM122" s="4"/>
      <c r="DJN122" s="4"/>
      <c r="DJO122" s="4"/>
      <c r="DJP122" s="4"/>
      <c r="DJQ122" s="4"/>
      <c r="DJR122" s="4"/>
      <c r="DJS122" s="4"/>
      <c r="DJT122" s="4"/>
      <c r="DJU122" s="4"/>
      <c r="DJV122" s="4"/>
      <c r="DJW122" s="4"/>
      <c r="DJX122" s="4"/>
      <c r="DJY122" s="4"/>
      <c r="DJZ122" s="4"/>
      <c r="DKA122" s="4"/>
      <c r="DKB122" s="4"/>
      <c r="DKC122" s="4"/>
      <c r="DKD122" s="4"/>
      <c r="DKE122" s="4"/>
      <c r="DKF122" s="4"/>
      <c r="DKG122" s="4"/>
      <c r="DKH122" s="4"/>
      <c r="DKI122" s="4"/>
      <c r="DKJ122" s="4"/>
      <c r="DKK122" s="4"/>
      <c r="DKL122" s="4"/>
      <c r="DKM122" s="4"/>
      <c r="DKN122" s="4"/>
      <c r="DKO122" s="4"/>
      <c r="DKP122" s="4"/>
      <c r="DKQ122" s="4"/>
      <c r="DKR122" s="4"/>
      <c r="DKS122" s="4"/>
      <c r="DKT122" s="4"/>
      <c r="DKU122" s="4"/>
      <c r="DKV122" s="4"/>
      <c r="DKW122" s="4"/>
      <c r="DKX122" s="4"/>
      <c r="DKY122" s="4"/>
      <c r="DKZ122" s="4"/>
      <c r="DLA122" s="4"/>
      <c r="DLB122" s="4"/>
      <c r="DLC122" s="4"/>
      <c r="DLD122" s="4"/>
      <c r="DLE122" s="4"/>
      <c r="DLF122" s="4"/>
      <c r="DLG122" s="4"/>
      <c r="DLH122" s="4"/>
      <c r="DLI122" s="4"/>
      <c r="DLJ122" s="4"/>
      <c r="DLK122" s="4"/>
      <c r="DLL122" s="4"/>
      <c r="DLM122" s="4"/>
      <c r="DLN122" s="4"/>
      <c r="DLO122" s="4"/>
      <c r="DLP122" s="4"/>
      <c r="DLQ122" s="4"/>
      <c r="DLR122" s="4"/>
      <c r="DLS122" s="4"/>
      <c r="DLT122" s="4"/>
      <c r="DLU122" s="4"/>
      <c r="DLV122" s="4"/>
      <c r="DLW122" s="4"/>
      <c r="DLX122" s="4"/>
      <c r="DLY122" s="4"/>
      <c r="DLZ122" s="4"/>
      <c r="DMA122" s="4"/>
      <c r="DMB122" s="4"/>
      <c r="DMC122" s="4"/>
      <c r="DMD122" s="4"/>
      <c r="DME122" s="4"/>
      <c r="DMF122" s="4"/>
      <c r="DMG122" s="4"/>
      <c r="DMH122" s="4"/>
      <c r="DMI122" s="4"/>
      <c r="DMJ122" s="4"/>
      <c r="DMK122" s="4"/>
      <c r="DML122" s="4"/>
      <c r="DMM122" s="4"/>
      <c r="DMN122" s="4"/>
      <c r="DMO122" s="4"/>
      <c r="DMP122" s="4"/>
      <c r="DMQ122" s="4"/>
      <c r="DMR122" s="4"/>
      <c r="DMS122" s="4"/>
      <c r="DMT122" s="4"/>
      <c r="DMU122" s="4"/>
      <c r="DMV122" s="4"/>
      <c r="DMW122" s="4"/>
      <c r="DMX122" s="4"/>
      <c r="DMY122" s="4"/>
      <c r="DMZ122" s="4"/>
      <c r="DNA122" s="4"/>
      <c r="DNB122" s="4"/>
      <c r="DNC122" s="4"/>
      <c r="DND122" s="4"/>
      <c r="DNE122" s="4"/>
      <c r="DNF122" s="4"/>
      <c r="DNG122" s="4"/>
      <c r="DNH122" s="4"/>
      <c r="DNI122" s="4"/>
      <c r="DNJ122" s="4"/>
      <c r="DNK122" s="4"/>
      <c r="DNL122" s="4"/>
      <c r="DNM122" s="4"/>
      <c r="DNN122" s="4"/>
      <c r="DNO122" s="4"/>
      <c r="DNP122" s="4"/>
      <c r="DNQ122" s="4"/>
      <c r="DNR122" s="4"/>
      <c r="DNS122" s="4"/>
      <c r="DNT122" s="4"/>
      <c r="DNU122" s="4"/>
      <c r="DNV122" s="4"/>
      <c r="DNW122" s="4"/>
      <c r="DNX122" s="4"/>
      <c r="DNY122" s="4"/>
      <c r="DNZ122" s="4"/>
      <c r="DOA122" s="4"/>
      <c r="DOB122" s="4"/>
      <c r="DOC122" s="4"/>
      <c r="DOD122" s="4"/>
      <c r="DOE122" s="4"/>
      <c r="DOF122" s="4"/>
      <c r="DOG122" s="4"/>
      <c r="DOH122" s="4"/>
      <c r="DOI122" s="4"/>
      <c r="DOJ122" s="4"/>
      <c r="DOK122" s="4"/>
      <c r="DOL122" s="4"/>
      <c r="DOM122" s="4"/>
      <c r="DON122" s="4"/>
      <c r="DOO122" s="4"/>
      <c r="DOP122" s="4"/>
      <c r="DOQ122" s="4"/>
      <c r="DOR122" s="4"/>
      <c r="DOS122" s="4"/>
      <c r="DOT122" s="4"/>
      <c r="DOU122" s="4"/>
      <c r="DOV122" s="4"/>
      <c r="DOW122" s="4"/>
      <c r="DOX122" s="4"/>
      <c r="DOY122" s="4"/>
      <c r="DOZ122" s="4"/>
      <c r="DPA122" s="4"/>
      <c r="DPB122" s="4"/>
      <c r="DPC122" s="4"/>
      <c r="DPD122" s="4"/>
      <c r="DPE122" s="4"/>
      <c r="DPF122" s="4"/>
      <c r="DPG122" s="4"/>
      <c r="DPH122" s="4"/>
      <c r="DPI122" s="4"/>
      <c r="DPJ122" s="4"/>
      <c r="DPK122" s="4"/>
      <c r="DPL122" s="4"/>
      <c r="DPM122" s="4"/>
      <c r="DPN122" s="4"/>
      <c r="DPO122" s="4"/>
      <c r="DPP122" s="4"/>
      <c r="DPQ122" s="4"/>
      <c r="DPR122" s="4"/>
      <c r="DPS122" s="4"/>
      <c r="DPT122" s="4"/>
      <c r="DPU122" s="4"/>
      <c r="DPV122" s="4"/>
      <c r="DPW122" s="4"/>
      <c r="DPX122" s="4"/>
      <c r="DPY122" s="4"/>
      <c r="DPZ122" s="4"/>
      <c r="DQA122" s="4"/>
      <c r="DQB122" s="4"/>
      <c r="DQC122" s="4"/>
      <c r="DQD122" s="4"/>
      <c r="DQE122" s="4"/>
      <c r="DQF122" s="4"/>
      <c r="DQG122" s="4"/>
      <c r="DQH122" s="4"/>
      <c r="DQI122" s="4"/>
      <c r="DQJ122" s="4"/>
      <c r="DQK122" s="4"/>
      <c r="DQL122" s="4"/>
      <c r="DQM122" s="4"/>
      <c r="DQN122" s="4"/>
      <c r="DQO122" s="4"/>
      <c r="DQP122" s="4"/>
      <c r="DQQ122" s="4"/>
      <c r="DQR122" s="4"/>
      <c r="DQS122" s="4"/>
      <c r="DQT122" s="4"/>
      <c r="DQU122" s="4"/>
      <c r="DQV122" s="4"/>
      <c r="DQW122" s="4"/>
      <c r="DQX122" s="4"/>
      <c r="DQY122" s="4"/>
      <c r="DQZ122" s="4"/>
      <c r="DRA122" s="4"/>
      <c r="DRB122" s="4"/>
      <c r="DRC122" s="4"/>
      <c r="DRD122" s="4"/>
      <c r="DRE122" s="4"/>
      <c r="DRF122" s="4"/>
      <c r="DRG122" s="4"/>
      <c r="DRH122" s="4"/>
      <c r="DRI122" s="4"/>
      <c r="DRJ122" s="4"/>
      <c r="DRK122" s="4"/>
      <c r="DRL122" s="4"/>
      <c r="DRM122" s="4"/>
      <c r="DRN122" s="4"/>
      <c r="DRO122" s="4"/>
      <c r="DRP122" s="4"/>
      <c r="DRQ122" s="4"/>
      <c r="DRR122" s="4"/>
      <c r="DRS122" s="4"/>
      <c r="DRT122" s="4"/>
      <c r="DRU122" s="4"/>
      <c r="DRV122" s="4"/>
      <c r="DRW122" s="4"/>
      <c r="DRX122" s="4"/>
      <c r="DRY122" s="4"/>
      <c r="DRZ122" s="4"/>
      <c r="DSA122" s="4"/>
      <c r="DSB122" s="4"/>
      <c r="DSC122" s="4"/>
      <c r="DSD122" s="4"/>
      <c r="DSE122" s="4"/>
      <c r="DSF122" s="4"/>
      <c r="DSG122" s="4"/>
      <c r="DSH122" s="4"/>
      <c r="DSI122" s="4"/>
      <c r="DSJ122" s="4"/>
      <c r="DSK122" s="4"/>
      <c r="DSL122" s="4"/>
      <c r="DSM122" s="4"/>
      <c r="DSN122" s="4"/>
      <c r="DSO122" s="4"/>
      <c r="DSP122" s="4"/>
      <c r="DSQ122" s="4"/>
      <c r="DSR122" s="4"/>
      <c r="DSS122" s="4"/>
      <c r="DST122" s="4"/>
      <c r="DSU122" s="4"/>
      <c r="DSV122" s="4"/>
      <c r="DSW122" s="4"/>
      <c r="DSX122" s="4"/>
      <c r="DSY122" s="4"/>
      <c r="DSZ122" s="4"/>
      <c r="DTA122" s="4"/>
      <c r="DTB122" s="4"/>
      <c r="DTC122" s="4"/>
      <c r="DTD122" s="4"/>
      <c r="DTE122" s="4"/>
      <c r="DTF122" s="4"/>
      <c r="DTG122" s="4"/>
      <c r="DTH122" s="4"/>
      <c r="DTI122" s="4"/>
      <c r="DTJ122" s="4"/>
      <c r="DTK122" s="4"/>
      <c r="DTL122" s="4"/>
      <c r="DTM122" s="4"/>
      <c r="DTN122" s="4"/>
      <c r="DTO122" s="4"/>
      <c r="DTP122" s="4"/>
      <c r="DTQ122" s="4"/>
      <c r="DTR122" s="4"/>
      <c r="DTS122" s="4"/>
      <c r="DTT122" s="4"/>
      <c r="DTU122" s="4"/>
      <c r="DTV122" s="4"/>
      <c r="DTW122" s="4"/>
      <c r="DTX122" s="4"/>
      <c r="DTY122" s="4"/>
      <c r="DTZ122" s="4"/>
      <c r="DUA122" s="4"/>
      <c r="DUB122" s="4"/>
      <c r="DUC122" s="4"/>
      <c r="DUD122" s="4"/>
      <c r="DUE122" s="4"/>
      <c r="DUF122" s="4"/>
      <c r="DUG122" s="4"/>
      <c r="DUH122" s="4"/>
      <c r="DUI122" s="4"/>
      <c r="DUJ122" s="4"/>
      <c r="DUK122" s="4"/>
      <c r="DUL122" s="4"/>
      <c r="DUM122" s="4"/>
      <c r="DUN122" s="4"/>
      <c r="DUO122" s="4"/>
      <c r="DUP122" s="4"/>
      <c r="DUQ122" s="4"/>
      <c r="DUR122" s="4"/>
      <c r="DUS122" s="4"/>
      <c r="DUT122" s="4"/>
      <c r="DUU122" s="4"/>
      <c r="DUV122" s="4"/>
      <c r="DUW122" s="4"/>
      <c r="DUX122" s="4"/>
      <c r="DUY122" s="4"/>
      <c r="DUZ122" s="4"/>
      <c r="DVA122" s="4"/>
      <c r="DVB122" s="4"/>
      <c r="DVC122" s="4"/>
      <c r="DVD122" s="4"/>
      <c r="DVE122" s="4"/>
      <c r="DVF122" s="4"/>
      <c r="DVG122" s="4"/>
      <c r="DVH122" s="4"/>
      <c r="DVI122" s="4"/>
      <c r="DVJ122" s="4"/>
      <c r="DVK122" s="4"/>
      <c r="DVL122" s="4"/>
      <c r="DVM122" s="4"/>
      <c r="DVN122" s="4"/>
      <c r="DVO122" s="4"/>
      <c r="DVP122" s="4"/>
      <c r="DVQ122" s="4"/>
      <c r="DVR122" s="4"/>
      <c r="DVS122" s="4"/>
      <c r="DVT122" s="4"/>
      <c r="DVU122" s="4"/>
      <c r="DVV122" s="4"/>
      <c r="DVW122" s="4"/>
      <c r="DVX122" s="4"/>
      <c r="DVY122" s="4"/>
      <c r="DVZ122" s="4"/>
      <c r="DWA122" s="4"/>
      <c r="DWB122" s="4"/>
      <c r="DWC122" s="4"/>
      <c r="DWD122" s="4"/>
      <c r="DWE122" s="4"/>
      <c r="DWF122" s="4"/>
      <c r="DWG122" s="4"/>
      <c r="DWH122" s="4"/>
      <c r="DWI122" s="4"/>
      <c r="DWJ122" s="4"/>
      <c r="DWK122" s="4"/>
      <c r="DWL122" s="4"/>
      <c r="DWM122" s="4"/>
      <c r="DWN122" s="4"/>
      <c r="DWO122" s="4"/>
      <c r="DWP122" s="4"/>
      <c r="DWQ122" s="4"/>
      <c r="DWR122" s="4"/>
      <c r="DWS122" s="4"/>
      <c r="DWT122" s="4"/>
      <c r="DWU122" s="4"/>
      <c r="DWV122" s="4"/>
      <c r="DWW122" s="4"/>
      <c r="DWX122" s="4"/>
      <c r="DWY122" s="4"/>
      <c r="DWZ122" s="4"/>
      <c r="DXA122" s="4"/>
      <c r="DXB122" s="4"/>
      <c r="DXC122" s="4"/>
      <c r="DXD122" s="4"/>
      <c r="DXE122" s="4"/>
      <c r="DXF122" s="4"/>
      <c r="DXG122" s="4"/>
      <c r="DXH122" s="4"/>
      <c r="DXI122" s="4"/>
      <c r="DXJ122" s="4"/>
      <c r="DXK122" s="4"/>
      <c r="DXL122" s="4"/>
      <c r="DXM122" s="4"/>
      <c r="DXN122" s="4"/>
      <c r="DXO122" s="4"/>
      <c r="DXP122" s="4"/>
      <c r="DXQ122" s="4"/>
      <c r="DXR122" s="4"/>
      <c r="DXS122" s="4"/>
      <c r="DXT122" s="4"/>
      <c r="DXU122" s="4"/>
      <c r="DXV122" s="4"/>
      <c r="DXW122" s="4"/>
      <c r="DXX122" s="4"/>
      <c r="DXY122" s="4"/>
      <c r="DXZ122" s="4"/>
      <c r="DYA122" s="4"/>
      <c r="DYB122" s="4"/>
      <c r="DYC122" s="4"/>
      <c r="DYD122" s="4"/>
      <c r="DYE122" s="4"/>
      <c r="DYF122" s="4"/>
      <c r="DYG122" s="4"/>
      <c r="DYH122" s="4"/>
      <c r="DYI122" s="4"/>
      <c r="DYJ122" s="4"/>
      <c r="DYK122" s="4"/>
      <c r="DYL122" s="4"/>
      <c r="DYM122" s="4"/>
      <c r="DYN122" s="4"/>
      <c r="DYO122" s="4"/>
      <c r="DYP122" s="4"/>
      <c r="DYQ122" s="4"/>
      <c r="DYR122" s="4"/>
      <c r="DYS122" s="4"/>
      <c r="DYT122" s="4"/>
      <c r="DYU122" s="4"/>
      <c r="DYV122" s="4"/>
      <c r="DYW122" s="4"/>
      <c r="DYX122" s="4"/>
      <c r="DYY122" s="4"/>
      <c r="DYZ122" s="4"/>
      <c r="DZA122" s="4"/>
      <c r="DZB122" s="4"/>
      <c r="DZC122" s="4"/>
      <c r="DZD122" s="4"/>
      <c r="DZE122" s="4"/>
      <c r="DZF122" s="4"/>
      <c r="DZG122" s="4"/>
      <c r="DZH122" s="4"/>
      <c r="DZI122" s="4"/>
      <c r="DZJ122" s="4"/>
      <c r="DZK122" s="4"/>
      <c r="DZL122" s="4"/>
      <c r="DZM122" s="4"/>
      <c r="DZN122" s="4"/>
      <c r="DZO122" s="4"/>
      <c r="DZP122" s="4"/>
      <c r="DZQ122" s="4"/>
      <c r="DZR122" s="4"/>
      <c r="DZS122" s="4"/>
      <c r="DZT122" s="4"/>
      <c r="DZU122" s="4"/>
      <c r="DZV122" s="4"/>
      <c r="DZW122" s="4"/>
      <c r="DZX122" s="4"/>
      <c r="DZY122" s="4"/>
      <c r="DZZ122" s="4"/>
      <c r="EAA122" s="4"/>
      <c r="EAB122" s="4"/>
      <c r="EAC122" s="4"/>
      <c r="EAD122" s="4"/>
      <c r="EAE122" s="4"/>
      <c r="EAF122" s="4"/>
      <c r="EAG122" s="4"/>
      <c r="EAH122" s="4"/>
      <c r="EAI122" s="4"/>
      <c r="EAJ122" s="4"/>
      <c r="EAK122" s="4"/>
      <c r="EAL122" s="4"/>
      <c r="EAM122" s="4"/>
      <c r="EAN122" s="4"/>
      <c r="EAO122" s="4"/>
      <c r="EAP122" s="4"/>
      <c r="EAQ122" s="4"/>
      <c r="EAR122" s="4"/>
      <c r="EAS122" s="4"/>
      <c r="EAT122" s="4"/>
      <c r="EAU122" s="4"/>
      <c r="EAV122" s="4"/>
      <c r="EAW122" s="4"/>
      <c r="EAX122" s="4"/>
      <c r="EAY122" s="4"/>
      <c r="EAZ122" s="4"/>
      <c r="EBA122" s="4"/>
      <c r="EBB122" s="4"/>
      <c r="EBC122" s="4"/>
      <c r="EBD122" s="4"/>
      <c r="EBE122" s="4"/>
      <c r="EBF122" s="4"/>
      <c r="EBG122" s="4"/>
      <c r="EBH122" s="4"/>
      <c r="EBI122" s="4"/>
      <c r="EBJ122" s="4"/>
      <c r="EBK122" s="4"/>
      <c r="EBL122" s="4"/>
      <c r="EBM122" s="4"/>
      <c r="EBN122" s="4"/>
      <c r="EBO122" s="4"/>
      <c r="EBP122" s="4"/>
      <c r="EBQ122" s="4"/>
      <c r="EBR122" s="4"/>
      <c r="EBS122" s="4"/>
      <c r="EBT122" s="4"/>
      <c r="EBU122" s="4"/>
      <c r="EBV122" s="4"/>
      <c r="EBW122" s="4"/>
      <c r="EBX122" s="4"/>
      <c r="EBY122" s="4"/>
      <c r="EBZ122" s="4"/>
      <c r="ECA122" s="4"/>
      <c r="ECB122" s="4"/>
      <c r="ECC122" s="4"/>
      <c r="ECD122" s="4"/>
      <c r="ECE122" s="4"/>
      <c r="ECF122" s="4"/>
      <c r="ECG122" s="4"/>
      <c r="ECH122" s="4"/>
      <c r="ECI122" s="4"/>
      <c r="ECJ122" s="4"/>
      <c r="ECK122" s="4"/>
      <c r="ECL122" s="4"/>
      <c r="ECM122" s="4"/>
      <c r="ECN122" s="4"/>
      <c r="ECO122" s="4"/>
      <c r="ECP122" s="4"/>
      <c r="ECQ122" s="4"/>
      <c r="ECR122" s="4"/>
      <c r="ECS122" s="4"/>
      <c r="ECT122" s="4"/>
      <c r="ECU122" s="4"/>
      <c r="ECV122" s="4"/>
      <c r="ECW122" s="4"/>
      <c r="ECX122" s="4"/>
      <c r="ECY122" s="4"/>
      <c r="ECZ122" s="4"/>
      <c r="EDA122" s="4"/>
      <c r="EDB122" s="4"/>
      <c r="EDC122" s="4"/>
      <c r="EDD122" s="4"/>
      <c r="EDE122" s="4"/>
      <c r="EDF122" s="4"/>
      <c r="EDG122" s="4"/>
      <c r="EDH122" s="4"/>
      <c r="EDI122" s="4"/>
      <c r="EDJ122" s="4"/>
      <c r="EDK122" s="4"/>
      <c r="EDL122" s="4"/>
      <c r="EDM122" s="4"/>
      <c r="EDN122" s="4"/>
      <c r="EDO122" s="4"/>
      <c r="EDP122" s="4"/>
      <c r="EDQ122" s="4"/>
      <c r="EDR122" s="4"/>
      <c r="EDS122" s="4"/>
      <c r="EDT122" s="4"/>
      <c r="EDU122" s="4"/>
      <c r="EDV122" s="4"/>
      <c r="EDW122" s="4"/>
      <c r="EDX122" s="4"/>
      <c r="EDY122" s="4"/>
      <c r="EDZ122" s="4"/>
      <c r="EEA122" s="4"/>
      <c r="EEB122" s="4"/>
      <c r="EEC122" s="4"/>
      <c r="EED122" s="4"/>
      <c r="EEE122" s="4"/>
      <c r="EEF122" s="4"/>
      <c r="EEG122" s="4"/>
      <c r="EEH122" s="4"/>
      <c r="EEI122" s="4"/>
      <c r="EEJ122" s="4"/>
      <c r="EEK122" s="4"/>
      <c r="EEL122" s="4"/>
      <c r="EEM122" s="4"/>
      <c r="EEN122" s="4"/>
      <c r="EEO122" s="4"/>
      <c r="EEP122" s="4"/>
      <c r="EEQ122" s="4"/>
      <c r="EER122" s="4"/>
      <c r="EES122" s="4"/>
      <c r="EET122" s="4"/>
      <c r="EEU122" s="4"/>
      <c r="EEV122" s="4"/>
      <c r="EEW122" s="4"/>
      <c r="EEX122" s="4"/>
      <c r="EEY122" s="4"/>
      <c r="EEZ122" s="4"/>
      <c r="EFA122" s="4"/>
      <c r="EFB122" s="4"/>
      <c r="EFC122" s="4"/>
      <c r="EFD122" s="4"/>
      <c r="EFE122" s="4"/>
      <c r="EFF122" s="4"/>
      <c r="EFG122" s="4"/>
      <c r="EFH122" s="4"/>
      <c r="EFI122" s="4"/>
      <c r="EFJ122" s="4"/>
      <c r="EFK122" s="4"/>
      <c r="EFL122" s="4"/>
      <c r="EFM122" s="4"/>
      <c r="EFN122" s="4"/>
      <c r="EFO122" s="4"/>
      <c r="EFP122" s="4"/>
      <c r="EFQ122" s="4"/>
      <c r="EFR122" s="4"/>
      <c r="EFS122" s="4"/>
      <c r="EFT122" s="4"/>
      <c r="EFU122" s="4"/>
      <c r="EFV122" s="4"/>
      <c r="EFW122" s="4"/>
      <c r="EFX122" s="4"/>
      <c r="EFY122" s="4"/>
      <c r="EFZ122" s="4"/>
      <c r="EGA122" s="4"/>
      <c r="EGB122" s="4"/>
      <c r="EGC122" s="4"/>
      <c r="EGD122" s="4"/>
      <c r="EGE122" s="4"/>
      <c r="EGF122" s="4"/>
      <c r="EGG122" s="4"/>
      <c r="EGH122" s="4"/>
      <c r="EGI122" s="4"/>
      <c r="EGJ122" s="4"/>
      <c r="EGK122" s="4"/>
      <c r="EGL122" s="4"/>
      <c r="EGM122" s="4"/>
      <c r="EGN122" s="4"/>
      <c r="EGO122" s="4"/>
      <c r="EGP122" s="4"/>
      <c r="EGQ122" s="4"/>
      <c r="EGR122" s="4"/>
      <c r="EGS122" s="4"/>
      <c r="EGT122" s="4"/>
      <c r="EGU122" s="4"/>
      <c r="EGV122" s="4"/>
      <c r="EGW122" s="4"/>
      <c r="EGX122" s="4"/>
      <c r="EGY122" s="4"/>
      <c r="EGZ122" s="4"/>
      <c r="EHA122" s="4"/>
      <c r="EHB122" s="4"/>
      <c r="EHC122" s="4"/>
      <c r="EHD122" s="4"/>
      <c r="EHE122" s="4"/>
      <c r="EHF122" s="4"/>
      <c r="EHG122" s="4"/>
      <c r="EHH122" s="4"/>
      <c r="EHI122" s="4"/>
      <c r="EHJ122" s="4"/>
      <c r="EHK122" s="4"/>
      <c r="EHL122" s="4"/>
      <c r="EHM122" s="4"/>
      <c r="EHN122" s="4"/>
      <c r="EHO122" s="4"/>
      <c r="EHP122" s="4"/>
      <c r="EHQ122" s="4"/>
      <c r="EHR122" s="4"/>
      <c r="EHS122" s="4"/>
      <c r="EHT122" s="4"/>
      <c r="EHU122" s="4"/>
      <c r="EHV122" s="4"/>
      <c r="EHW122" s="4"/>
      <c r="EHX122" s="4"/>
      <c r="EHY122" s="4"/>
      <c r="EHZ122" s="4"/>
      <c r="EIA122" s="4"/>
      <c r="EIB122" s="4"/>
      <c r="EIC122" s="4"/>
      <c r="EID122" s="4"/>
      <c r="EIE122" s="4"/>
      <c r="EIF122" s="4"/>
      <c r="EIG122" s="4"/>
      <c r="EIH122" s="4"/>
      <c r="EII122" s="4"/>
      <c r="EIJ122" s="4"/>
      <c r="EIK122" s="4"/>
      <c r="EIL122" s="4"/>
      <c r="EIM122" s="4"/>
      <c r="EIN122" s="4"/>
      <c r="EIO122" s="4"/>
      <c r="EIP122" s="4"/>
      <c r="EIQ122" s="4"/>
      <c r="EIR122" s="4"/>
      <c r="EIS122" s="4"/>
      <c r="EIT122" s="4"/>
      <c r="EIU122" s="4"/>
      <c r="EIV122" s="4"/>
      <c r="EIW122" s="4"/>
      <c r="EIX122" s="4"/>
      <c r="EIY122" s="4"/>
      <c r="EIZ122" s="4"/>
      <c r="EJA122" s="4"/>
      <c r="EJB122" s="4"/>
      <c r="EJC122" s="4"/>
      <c r="EJD122" s="4"/>
      <c r="EJE122" s="4"/>
      <c r="EJF122" s="4"/>
      <c r="EJG122" s="4"/>
      <c r="EJH122" s="4"/>
      <c r="EJI122" s="4"/>
      <c r="EJJ122" s="4"/>
      <c r="EJK122" s="4"/>
      <c r="EJL122" s="4"/>
      <c r="EJM122" s="4"/>
      <c r="EJN122" s="4"/>
      <c r="EJO122" s="4"/>
      <c r="EJP122" s="4"/>
      <c r="EJQ122" s="4"/>
      <c r="EJR122" s="4"/>
      <c r="EJS122" s="4"/>
      <c r="EJT122" s="4"/>
      <c r="EJU122" s="4"/>
      <c r="EJV122" s="4"/>
      <c r="EJW122" s="4"/>
      <c r="EJX122" s="4"/>
      <c r="EJY122" s="4"/>
      <c r="EJZ122" s="4"/>
      <c r="EKA122" s="4"/>
      <c r="EKB122" s="4"/>
      <c r="EKC122" s="4"/>
      <c r="EKD122" s="4"/>
      <c r="EKE122" s="4"/>
      <c r="EKF122" s="4"/>
      <c r="EKG122" s="4"/>
      <c r="EKH122" s="4"/>
      <c r="EKI122" s="4"/>
      <c r="EKJ122" s="4"/>
      <c r="EKK122" s="4"/>
      <c r="EKL122" s="4"/>
      <c r="EKM122" s="4"/>
      <c r="EKN122" s="4"/>
      <c r="EKO122" s="4"/>
      <c r="EKP122" s="4"/>
      <c r="EKQ122" s="4"/>
      <c r="EKR122" s="4"/>
      <c r="EKS122" s="4"/>
      <c r="EKT122" s="4"/>
      <c r="EKU122" s="4"/>
      <c r="EKV122" s="4"/>
      <c r="EKW122" s="4"/>
      <c r="EKX122" s="4"/>
      <c r="EKY122" s="4"/>
      <c r="EKZ122" s="4"/>
      <c r="ELA122" s="4"/>
      <c r="ELB122" s="4"/>
      <c r="ELC122" s="4"/>
      <c r="ELD122" s="4"/>
      <c r="ELE122" s="4"/>
      <c r="ELF122" s="4"/>
      <c r="ELG122" s="4"/>
      <c r="ELH122" s="4"/>
      <c r="ELI122" s="4"/>
      <c r="ELJ122" s="4"/>
      <c r="ELK122" s="4"/>
      <c r="ELL122" s="4"/>
      <c r="ELM122" s="4"/>
      <c r="ELN122" s="4"/>
      <c r="ELO122" s="4"/>
      <c r="ELP122" s="4"/>
      <c r="ELQ122" s="4"/>
      <c r="ELR122" s="4"/>
      <c r="ELS122" s="4"/>
      <c r="ELT122" s="4"/>
      <c r="ELU122" s="4"/>
      <c r="ELV122" s="4"/>
      <c r="ELW122" s="4"/>
      <c r="ELX122" s="4"/>
      <c r="ELY122" s="4"/>
      <c r="ELZ122" s="4"/>
      <c r="EMA122" s="4"/>
      <c r="EMB122" s="4"/>
      <c r="EMC122" s="4"/>
      <c r="EMD122" s="4"/>
      <c r="EME122" s="4"/>
      <c r="EMF122" s="4"/>
      <c r="EMG122" s="4"/>
      <c r="EMH122" s="4"/>
      <c r="EMI122" s="4"/>
      <c r="EMJ122" s="4"/>
      <c r="EMK122" s="4"/>
      <c r="EML122" s="4"/>
      <c r="EMM122" s="4"/>
      <c r="EMN122" s="4"/>
      <c r="EMO122" s="4"/>
      <c r="EMP122" s="4"/>
      <c r="EMQ122" s="4"/>
      <c r="EMR122" s="4"/>
      <c r="EMS122" s="4"/>
      <c r="EMT122" s="4"/>
      <c r="EMU122" s="4"/>
      <c r="EMV122" s="4"/>
      <c r="EMW122" s="4"/>
      <c r="EMX122" s="4"/>
      <c r="EMY122" s="4"/>
      <c r="EMZ122" s="4"/>
      <c r="ENA122" s="4"/>
      <c r="ENB122" s="4"/>
      <c r="ENC122" s="4"/>
      <c r="END122" s="4"/>
      <c r="ENE122" s="4"/>
      <c r="ENF122" s="4"/>
      <c r="ENG122" s="4"/>
      <c r="ENH122" s="4"/>
      <c r="ENI122" s="4"/>
      <c r="ENJ122" s="4"/>
      <c r="ENK122" s="4"/>
      <c r="ENL122" s="4"/>
      <c r="ENM122" s="4"/>
      <c r="ENN122" s="4"/>
      <c r="ENO122" s="4"/>
      <c r="ENP122" s="4"/>
      <c r="ENQ122" s="4"/>
      <c r="ENR122" s="4"/>
      <c r="ENS122" s="4"/>
      <c r="ENT122" s="4"/>
      <c r="ENU122" s="4"/>
      <c r="ENV122" s="4"/>
      <c r="ENW122" s="4"/>
      <c r="ENX122" s="4"/>
      <c r="ENY122" s="4"/>
      <c r="ENZ122" s="4"/>
      <c r="EOA122" s="4"/>
      <c r="EOB122" s="4"/>
      <c r="EOC122" s="4"/>
      <c r="EOD122" s="4"/>
      <c r="EOE122" s="4"/>
      <c r="EOF122" s="4"/>
      <c r="EOG122" s="4"/>
      <c r="EOH122" s="4"/>
      <c r="EOI122" s="4"/>
      <c r="EOJ122" s="4"/>
      <c r="EOK122" s="4"/>
      <c r="EOL122" s="4"/>
      <c r="EOM122" s="4"/>
      <c r="EON122" s="4"/>
      <c r="EOO122" s="4"/>
      <c r="EOP122" s="4"/>
      <c r="EOQ122" s="4"/>
      <c r="EOR122" s="4"/>
      <c r="EOS122" s="4"/>
      <c r="EOT122" s="4"/>
      <c r="EOU122" s="4"/>
      <c r="EOV122" s="4"/>
      <c r="EOW122" s="4"/>
      <c r="EOX122" s="4"/>
      <c r="EOY122" s="4"/>
      <c r="EOZ122" s="4"/>
      <c r="EPA122" s="4"/>
      <c r="EPB122" s="4"/>
      <c r="EPC122" s="4"/>
      <c r="EPD122" s="4"/>
      <c r="EPE122" s="4"/>
      <c r="EPF122" s="4"/>
      <c r="EPG122" s="4"/>
      <c r="EPH122" s="4"/>
      <c r="EPI122" s="4"/>
      <c r="EPJ122" s="4"/>
      <c r="EPK122" s="4"/>
      <c r="EPL122" s="4"/>
      <c r="EPM122" s="4"/>
      <c r="EPN122" s="4"/>
      <c r="EPO122" s="4"/>
      <c r="EPP122" s="4"/>
      <c r="EPQ122" s="4"/>
      <c r="EPR122" s="4"/>
      <c r="EPS122" s="4"/>
      <c r="EPT122" s="4"/>
      <c r="EPU122" s="4"/>
      <c r="EPV122" s="4"/>
      <c r="EPW122" s="4"/>
      <c r="EPX122" s="4"/>
      <c r="EPY122" s="4"/>
      <c r="EPZ122" s="4"/>
      <c r="EQA122" s="4"/>
      <c r="EQB122" s="4"/>
      <c r="EQC122" s="4"/>
      <c r="EQD122" s="4"/>
      <c r="EQE122" s="4"/>
      <c r="EQF122" s="4"/>
      <c r="EQG122" s="4"/>
      <c r="EQH122" s="4"/>
      <c r="EQI122" s="4"/>
      <c r="EQJ122" s="4"/>
      <c r="EQK122" s="4"/>
      <c r="EQL122" s="4"/>
      <c r="EQM122" s="4"/>
      <c r="EQN122" s="4"/>
      <c r="EQO122" s="4"/>
      <c r="EQP122" s="4"/>
      <c r="EQQ122" s="4"/>
      <c r="EQR122" s="4"/>
      <c r="EQS122" s="4"/>
      <c r="EQT122" s="4"/>
      <c r="EQU122" s="4"/>
      <c r="EQV122" s="4"/>
      <c r="EQW122" s="4"/>
      <c r="EQX122" s="4"/>
      <c r="EQY122" s="4"/>
      <c r="EQZ122" s="4"/>
      <c r="ERA122" s="4"/>
      <c r="ERB122" s="4"/>
      <c r="ERC122" s="4"/>
      <c r="ERD122" s="4"/>
      <c r="ERE122" s="4"/>
      <c r="ERF122" s="4"/>
      <c r="ERG122" s="4"/>
      <c r="ERH122" s="4"/>
      <c r="ERI122" s="4"/>
      <c r="ERJ122" s="4"/>
      <c r="ERK122" s="4"/>
      <c r="ERL122" s="4"/>
      <c r="ERM122" s="4"/>
      <c r="ERN122" s="4"/>
      <c r="ERO122" s="4"/>
      <c r="ERP122" s="4"/>
      <c r="ERQ122" s="4"/>
      <c r="ERR122" s="4"/>
      <c r="ERS122" s="4"/>
      <c r="ERT122" s="4"/>
      <c r="ERU122" s="4"/>
      <c r="ERV122" s="4"/>
      <c r="ERW122" s="4"/>
      <c r="ERX122" s="4"/>
      <c r="ERY122" s="4"/>
      <c r="ERZ122" s="4"/>
      <c r="ESA122" s="4"/>
      <c r="ESB122" s="4"/>
      <c r="ESC122" s="4"/>
      <c r="ESD122" s="4"/>
      <c r="ESE122" s="4"/>
      <c r="ESF122" s="4"/>
      <c r="ESG122" s="4"/>
      <c r="ESH122" s="4"/>
      <c r="ESI122" s="4"/>
      <c r="ESJ122" s="4"/>
      <c r="ESK122" s="4"/>
      <c r="ESL122" s="4"/>
      <c r="ESM122" s="4"/>
      <c r="ESN122" s="4"/>
      <c r="ESO122" s="4"/>
      <c r="ESP122" s="4"/>
      <c r="ESQ122" s="4"/>
      <c r="ESR122" s="4"/>
      <c r="ESS122" s="4"/>
      <c r="EST122" s="4"/>
      <c r="ESU122" s="4"/>
      <c r="ESV122" s="4"/>
      <c r="ESW122" s="4"/>
      <c r="ESX122" s="4"/>
      <c r="ESY122" s="4"/>
      <c r="ESZ122" s="4"/>
      <c r="ETA122" s="4"/>
      <c r="ETB122" s="4"/>
      <c r="ETC122" s="4"/>
      <c r="ETD122" s="4"/>
      <c r="ETE122" s="4"/>
      <c r="ETF122" s="4"/>
      <c r="ETG122" s="4"/>
      <c r="ETH122" s="4"/>
      <c r="ETI122" s="4"/>
      <c r="ETJ122" s="4"/>
      <c r="ETK122" s="4"/>
      <c r="ETL122" s="4"/>
      <c r="ETM122" s="4"/>
      <c r="ETN122" s="4"/>
      <c r="ETO122" s="4"/>
      <c r="ETP122" s="4"/>
      <c r="ETQ122" s="4"/>
      <c r="ETR122" s="4"/>
      <c r="ETS122" s="4"/>
      <c r="ETT122" s="4"/>
      <c r="ETU122" s="4"/>
      <c r="ETV122" s="4"/>
      <c r="ETW122" s="4"/>
      <c r="ETX122" s="4"/>
      <c r="ETY122" s="4"/>
      <c r="ETZ122" s="4"/>
      <c r="EUA122" s="4"/>
      <c r="EUB122" s="4"/>
      <c r="EUC122" s="4"/>
      <c r="EUD122" s="4"/>
      <c r="EUE122" s="4"/>
      <c r="EUF122" s="4"/>
      <c r="EUG122" s="4"/>
      <c r="EUH122" s="4"/>
      <c r="EUI122" s="4"/>
      <c r="EUJ122" s="4"/>
      <c r="EUK122" s="4"/>
      <c r="EUL122" s="4"/>
      <c r="EUM122" s="4"/>
      <c r="EUN122" s="4"/>
      <c r="EUO122" s="4"/>
      <c r="EUP122" s="4"/>
      <c r="EUQ122" s="4"/>
      <c r="EUR122" s="4"/>
      <c r="EUS122" s="4"/>
      <c r="EUT122" s="4"/>
      <c r="EUU122" s="4"/>
      <c r="EUV122" s="4"/>
      <c r="EUW122" s="4"/>
      <c r="EUX122" s="4"/>
      <c r="EUY122" s="4"/>
      <c r="EUZ122" s="4"/>
      <c r="EVA122" s="4"/>
      <c r="EVB122" s="4"/>
      <c r="EVC122" s="4"/>
      <c r="EVD122" s="4"/>
      <c r="EVE122" s="4"/>
      <c r="EVF122" s="4"/>
      <c r="EVG122" s="4"/>
      <c r="EVH122" s="4"/>
      <c r="EVI122" s="4"/>
      <c r="EVJ122" s="4"/>
      <c r="EVK122" s="4"/>
      <c r="EVL122" s="4"/>
      <c r="EVM122" s="4"/>
      <c r="EVN122" s="4"/>
      <c r="EVO122" s="4"/>
      <c r="EVP122" s="4"/>
      <c r="EVQ122" s="4"/>
      <c r="EVR122" s="4"/>
      <c r="EVS122" s="4"/>
      <c r="EVT122" s="4"/>
      <c r="EVU122" s="4"/>
      <c r="EVV122" s="4"/>
      <c r="EVW122" s="4"/>
      <c r="EVX122" s="4"/>
      <c r="EVY122" s="4"/>
      <c r="EVZ122" s="4"/>
      <c r="EWA122" s="4"/>
      <c r="EWB122" s="4"/>
      <c r="EWC122" s="4"/>
      <c r="EWD122" s="4"/>
      <c r="EWE122" s="4"/>
      <c r="EWF122" s="4"/>
      <c r="EWG122" s="4"/>
      <c r="EWH122" s="4"/>
      <c r="EWI122" s="4"/>
      <c r="EWJ122" s="4"/>
      <c r="EWK122" s="4"/>
      <c r="EWL122" s="4"/>
      <c r="EWM122" s="4"/>
      <c r="EWN122" s="4"/>
      <c r="EWO122" s="4"/>
      <c r="EWP122" s="4"/>
      <c r="EWQ122" s="4"/>
      <c r="EWR122" s="4"/>
      <c r="EWS122" s="4"/>
      <c r="EWT122" s="4"/>
      <c r="EWU122" s="4"/>
      <c r="EWV122" s="4"/>
      <c r="EWW122" s="4"/>
      <c r="EWX122" s="4"/>
      <c r="EWY122" s="4"/>
      <c r="EWZ122" s="4"/>
      <c r="EXA122" s="4"/>
      <c r="EXB122" s="4"/>
      <c r="EXC122" s="4"/>
      <c r="EXD122" s="4"/>
      <c r="EXE122" s="4"/>
      <c r="EXF122" s="4"/>
      <c r="EXG122" s="4"/>
      <c r="EXH122" s="4"/>
      <c r="EXI122" s="4"/>
      <c r="EXJ122" s="4"/>
      <c r="EXK122" s="4"/>
      <c r="EXL122" s="4"/>
      <c r="EXM122" s="4"/>
      <c r="EXN122" s="4"/>
      <c r="EXO122" s="4"/>
      <c r="EXP122" s="4"/>
      <c r="EXQ122" s="4"/>
      <c r="EXR122" s="4"/>
      <c r="EXS122" s="4"/>
      <c r="EXT122" s="4"/>
      <c r="EXU122" s="4"/>
      <c r="EXV122" s="4"/>
      <c r="EXW122" s="4"/>
      <c r="EXX122" s="4"/>
      <c r="EXY122" s="4"/>
      <c r="EXZ122" s="4"/>
      <c r="EYA122" s="4"/>
      <c r="EYB122" s="4"/>
      <c r="EYC122" s="4"/>
      <c r="EYD122" s="4"/>
      <c r="EYE122" s="4"/>
      <c r="EYF122" s="4"/>
      <c r="EYG122" s="4"/>
      <c r="EYH122" s="4"/>
      <c r="EYI122" s="4"/>
      <c r="EYJ122" s="4"/>
      <c r="EYK122" s="4"/>
      <c r="EYL122" s="4"/>
      <c r="EYM122" s="4"/>
      <c r="EYN122" s="4"/>
      <c r="EYO122" s="4"/>
      <c r="EYP122" s="4"/>
      <c r="EYQ122" s="4"/>
      <c r="EYR122" s="4"/>
      <c r="EYS122" s="4"/>
      <c r="EYT122" s="4"/>
      <c r="EYU122" s="4"/>
      <c r="EYV122" s="4"/>
      <c r="EYW122" s="4"/>
      <c r="EYX122" s="4"/>
      <c r="EYY122" s="4"/>
      <c r="EYZ122" s="4"/>
      <c r="EZA122" s="4"/>
      <c r="EZB122" s="4"/>
      <c r="EZC122" s="4"/>
      <c r="EZD122" s="4"/>
      <c r="EZE122" s="4"/>
      <c r="EZF122" s="4"/>
      <c r="EZG122" s="4"/>
      <c r="EZH122" s="4"/>
      <c r="EZI122" s="4"/>
      <c r="EZJ122" s="4"/>
      <c r="EZK122" s="4"/>
      <c r="EZL122" s="4"/>
      <c r="EZM122" s="4"/>
      <c r="EZN122" s="4"/>
      <c r="EZO122" s="4"/>
      <c r="EZP122" s="4"/>
      <c r="EZQ122" s="4"/>
      <c r="EZR122" s="4"/>
      <c r="EZS122" s="4"/>
      <c r="EZT122" s="4"/>
      <c r="EZU122" s="4"/>
      <c r="EZV122" s="4"/>
      <c r="EZW122" s="4"/>
      <c r="EZX122" s="4"/>
      <c r="EZY122" s="4"/>
      <c r="EZZ122" s="4"/>
      <c r="FAA122" s="4"/>
      <c r="FAB122" s="4"/>
      <c r="FAC122" s="4"/>
      <c r="FAD122" s="4"/>
      <c r="FAE122" s="4"/>
      <c r="FAF122" s="4"/>
      <c r="FAG122" s="4"/>
      <c r="FAH122" s="4"/>
      <c r="FAI122" s="4"/>
      <c r="FAJ122" s="4"/>
      <c r="FAK122" s="4"/>
      <c r="FAL122" s="4"/>
      <c r="FAM122" s="4"/>
      <c r="FAN122" s="4"/>
      <c r="FAO122" s="4"/>
      <c r="FAP122" s="4"/>
      <c r="FAQ122" s="4"/>
      <c r="FAR122" s="4"/>
      <c r="FAS122" s="4"/>
      <c r="FAT122" s="4"/>
      <c r="FAU122" s="4"/>
      <c r="FAV122" s="4"/>
      <c r="FAW122" s="4"/>
      <c r="FAX122" s="4"/>
      <c r="FAY122" s="4"/>
      <c r="FAZ122" s="4"/>
      <c r="FBA122" s="4"/>
      <c r="FBB122" s="4"/>
      <c r="FBC122" s="4"/>
      <c r="FBD122" s="4"/>
      <c r="FBE122" s="4"/>
      <c r="FBF122" s="4"/>
      <c r="FBG122" s="4"/>
      <c r="FBH122" s="4"/>
      <c r="FBI122" s="4"/>
      <c r="FBJ122" s="4"/>
      <c r="FBK122" s="4"/>
      <c r="FBL122" s="4"/>
      <c r="FBM122" s="4"/>
      <c r="FBN122" s="4"/>
      <c r="FBO122" s="4"/>
      <c r="FBP122" s="4"/>
      <c r="FBQ122" s="4"/>
      <c r="FBR122" s="4"/>
      <c r="FBS122" s="4"/>
      <c r="FBT122" s="4"/>
      <c r="FBU122" s="4"/>
      <c r="FBV122" s="4"/>
      <c r="FBW122" s="4"/>
      <c r="FBX122" s="4"/>
      <c r="FBY122" s="4"/>
      <c r="FBZ122" s="4"/>
      <c r="FCA122" s="4"/>
      <c r="FCB122" s="4"/>
      <c r="FCC122" s="4"/>
      <c r="FCD122" s="4"/>
      <c r="FCE122" s="4"/>
      <c r="FCF122" s="4"/>
      <c r="FCG122" s="4"/>
      <c r="FCH122" s="4"/>
      <c r="FCI122" s="4"/>
      <c r="FCJ122" s="4"/>
      <c r="FCK122" s="4"/>
      <c r="FCL122" s="4"/>
      <c r="FCM122" s="4"/>
      <c r="FCN122" s="4"/>
      <c r="FCO122" s="4"/>
      <c r="FCP122" s="4"/>
      <c r="FCQ122" s="4"/>
      <c r="FCR122" s="4"/>
      <c r="FCS122" s="4"/>
      <c r="FCT122" s="4"/>
      <c r="FCU122" s="4"/>
      <c r="FCV122" s="4"/>
      <c r="FCW122" s="4"/>
      <c r="FCX122" s="4"/>
      <c r="FCY122" s="4"/>
      <c r="FCZ122" s="4"/>
      <c r="FDA122" s="4"/>
      <c r="FDB122" s="4"/>
      <c r="FDC122" s="4"/>
      <c r="FDD122" s="4"/>
      <c r="FDE122" s="4"/>
      <c r="FDF122" s="4"/>
      <c r="FDG122" s="4"/>
      <c r="FDH122" s="4"/>
      <c r="FDI122" s="4"/>
      <c r="FDJ122" s="4"/>
      <c r="FDK122" s="4"/>
      <c r="FDL122" s="4"/>
      <c r="FDM122" s="4"/>
      <c r="FDN122" s="4"/>
      <c r="FDO122" s="4"/>
      <c r="FDP122" s="4"/>
      <c r="FDQ122" s="4"/>
      <c r="FDR122" s="4"/>
      <c r="FDS122" s="4"/>
      <c r="FDT122" s="4"/>
      <c r="FDU122" s="4"/>
      <c r="FDV122" s="4"/>
      <c r="FDW122" s="4"/>
      <c r="FDX122" s="4"/>
      <c r="FDY122" s="4"/>
      <c r="FDZ122" s="4"/>
      <c r="FEA122" s="4"/>
      <c r="FEB122" s="4"/>
      <c r="FEC122" s="4"/>
      <c r="FED122" s="4"/>
      <c r="FEE122" s="4"/>
      <c r="FEF122" s="4"/>
      <c r="FEG122" s="4"/>
      <c r="FEH122" s="4"/>
      <c r="FEI122" s="4"/>
      <c r="FEJ122" s="4"/>
      <c r="FEK122" s="4"/>
      <c r="FEL122" s="4"/>
      <c r="FEM122" s="4"/>
      <c r="FEN122" s="4"/>
      <c r="FEO122" s="4"/>
      <c r="FEP122" s="4"/>
      <c r="FEQ122" s="4"/>
      <c r="FER122" s="4"/>
      <c r="FES122" s="4"/>
      <c r="FET122" s="4"/>
      <c r="FEU122" s="4"/>
      <c r="FEV122" s="4"/>
      <c r="FEW122" s="4"/>
      <c r="FEX122" s="4"/>
      <c r="FEY122" s="4"/>
      <c r="FEZ122" s="4"/>
      <c r="FFA122" s="4"/>
      <c r="FFB122" s="4"/>
      <c r="FFC122" s="4"/>
      <c r="FFD122" s="4"/>
      <c r="FFE122" s="4"/>
      <c r="FFF122" s="4"/>
      <c r="FFG122" s="4"/>
      <c r="FFH122" s="4"/>
      <c r="FFI122" s="4"/>
      <c r="FFJ122" s="4"/>
      <c r="FFK122" s="4"/>
      <c r="FFL122" s="4"/>
      <c r="FFM122" s="4"/>
      <c r="FFN122" s="4"/>
      <c r="FFO122" s="4"/>
      <c r="FFP122" s="4"/>
      <c r="FFQ122" s="4"/>
      <c r="FFR122" s="4"/>
      <c r="FFS122" s="4"/>
      <c r="FFT122" s="4"/>
      <c r="FFU122" s="4"/>
      <c r="FFV122" s="4"/>
      <c r="FFW122" s="4"/>
      <c r="FFX122" s="4"/>
      <c r="FFY122" s="4"/>
      <c r="FFZ122" s="4"/>
      <c r="FGA122" s="4"/>
      <c r="FGB122" s="4"/>
      <c r="FGC122" s="4"/>
      <c r="FGD122" s="4"/>
      <c r="FGE122" s="4"/>
      <c r="FGF122" s="4"/>
      <c r="FGG122" s="4"/>
      <c r="FGH122" s="4"/>
      <c r="FGI122" s="4"/>
      <c r="FGJ122" s="4"/>
      <c r="FGK122" s="4"/>
      <c r="FGL122" s="4"/>
      <c r="FGM122" s="4"/>
      <c r="FGN122" s="4"/>
      <c r="FGO122" s="4"/>
      <c r="FGP122" s="4"/>
      <c r="FGQ122" s="4"/>
      <c r="FGR122" s="4"/>
      <c r="FGS122" s="4"/>
      <c r="FGT122" s="4"/>
      <c r="FGU122" s="4"/>
      <c r="FGV122" s="4"/>
      <c r="FGW122" s="4"/>
      <c r="FGX122" s="4"/>
      <c r="FGY122" s="4"/>
      <c r="FGZ122" s="4"/>
      <c r="FHA122" s="4"/>
      <c r="FHB122" s="4"/>
      <c r="FHC122" s="4"/>
      <c r="FHD122" s="4"/>
      <c r="FHE122" s="4"/>
      <c r="FHF122" s="4"/>
      <c r="FHG122" s="4"/>
      <c r="FHH122" s="4"/>
      <c r="FHI122" s="4"/>
      <c r="FHJ122" s="4"/>
      <c r="FHK122" s="4"/>
      <c r="FHL122" s="4"/>
      <c r="FHM122" s="4"/>
      <c r="FHN122" s="4"/>
      <c r="FHO122" s="4"/>
      <c r="FHP122" s="4"/>
      <c r="FHQ122" s="4"/>
      <c r="FHR122" s="4"/>
      <c r="FHS122" s="4"/>
      <c r="FHT122" s="4"/>
      <c r="FHU122" s="4"/>
      <c r="FHV122" s="4"/>
      <c r="FHW122" s="4"/>
      <c r="FHX122" s="4"/>
      <c r="FHY122" s="4"/>
      <c r="FHZ122" s="4"/>
      <c r="FIA122" s="4"/>
      <c r="FIB122" s="4"/>
      <c r="FIC122" s="4"/>
      <c r="FID122" s="4"/>
      <c r="FIE122" s="4"/>
      <c r="FIF122" s="4"/>
      <c r="FIG122" s="4"/>
      <c r="FIH122" s="4"/>
      <c r="FII122" s="4"/>
      <c r="FIJ122" s="4"/>
      <c r="FIK122" s="4"/>
      <c r="FIL122" s="4"/>
      <c r="FIM122" s="4"/>
      <c r="FIN122" s="4"/>
      <c r="FIO122" s="4"/>
      <c r="FIP122" s="4"/>
      <c r="FIQ122" s="4"/>
      <c r="FIR122" s="4"/>
      <c r="FIS122" s="4"/>
      <c r="FIT122" s="4"/>
      <c r="FIU122" s="4"/>
      <c r="FIV122" s="4"/>
      <c r="FIW122" s="4"/>
      <c r="FIX122" s="4"/>
      <c r="FIY122" s="4"/>
      <c r="FIZ122" s="4"/>
      <c r="FJA122" s="4"/>
      <c r="FJB122" s="4"/>
      <c r="FJC122" s="4"/>
      <c r="FJD122" s="4"/>
      <c r="FJE122" s="4"/>
      <c r="FJF122" s="4"/>
      <c r="FJG122" s="4"/>
      <c r="FJH122" s="4"/>
      <c r="FJI122" s="4"/>
      <c r="FJJ122" s="4"/>
      <c r="FJK122" s="4"/>
      <c r="FJL122" s="4"/>
      <c r="FJM122" s="4"/>
      <c r="FJN122" s="4"/>
      <c r="FJO122" s="4"/>
      <c r="FJP122" s="4"/>
      <c r="FJQ122" s="4"/>
      <c r="FJR122" s="4"/>
      <c r="FJS122" s="4"/>
      <c r="FJT122" s="4"/>
      <c r="FJU122" s="4"/>
      <c r="FJV122" s="4"/>
      <c r="FJW122" s="4"/>
      <c r="FJX122" s="4"/>
      <c r="FJY122" s="4"/>
      <c r="FJZ122" s="4"/>
      <c r="FKA122" s="4"/>
      <c r="FKB122" s="4"/>
      <c r="FKC122" s="4"/>
      <c r="FKD122" s="4"/>
      <c r="FKE122" s="4"/>
      <c r="FKF122" s="4"/>
      <c r="FKG122" s="4"/>
      <c r="FKH122" s="4"/>
      <c r="FKI122" s="4"/>
      <c r="FKJ122" s="4"/>
      <c r="FKK122" s="4"/>
      <c r="FKL122" s="4"/>
      <c r="FKM122" s="4"/>
      <c r="FKN122" s="4"/>
      <c r="FKO122" s="4"/>
      <c r="FKP122" s="4"/>
      <c r="FKQ122" s="4"/>
      <c r="FKR122" s="4"/>
      <c r="FKS122" s="4"/>
      <c r="FKT122" s="4"/>
      <c r="FKU122" s="4"/>
      <c r="FKV122" s="4"/>
      <c r="FKW122" s="4"/>
      <c r="FKX122" s="4"/>
      <c r="FKY122" s="4"/>
      <c r="FKZ122" s="4"/>
      <c r="FLA122" s="4"/>
      <c r="FLB122" s="4"/>
      <c r="FLC122" s="4"/>
      <c r="FLD122" s="4"/>
      <c r="FLE122" s="4"/>
      <c r="FLF122" s="4"/>
      <c r="FLG122" s="4"/>
      <c r="FLH122" s="4"/>
      <c r="FLI122" s="4"/>
      <c r="FLJ122" s="4"/>
      <c r="FLK122" s="4"/>
      <c r="FLL122" s="4"/>
      <c r="FLM122" s="4"/>
      <c r="FLN122" s="4"/>
      <c r="FLO122" s="4"/>
      <c r="FLP122" s="4"/>
      <c r="FLQ122" s="4"/>
      <c r="FLR122" s="4"/>
      <c r="FLS122" s="4"/>
      <c r="FLT122" s="4"/>
      <c r="FLU122" s="4"/>
      <c r="FLV122" s="4"/>
      <c r="FLW122" s="4"/>
      <c r="FLX122" s="4"/>
      <c r="FLY122" s="4"/>
      <c r="FLZ122" s="4"/>
      <c r="FMA122" s="4"/>
      <c r="FMB122" s="4"/>
      <c r="FMC122" s="4"/>
      <c r="FMD122" s="4"/>
      <c r="FME122" s="4"/>
      <c r="FMF122" s="4"/>
      <c r="FMG122" s="4"/>
      <c r="FMH122" s="4"/>
      <c r="FMI122" s="4"/>
      <c r="FMJ122" s="4"/>
      <c r="FMK122" s="4"/>
      <c r="FML122" s="4"/>
      <c r="FMM122" s="4"/>
      <c r="FMN122" s="4"/>
      <c r="FMO122" s="4"/>
      <c r="FMP122" s="4"/>
      <c r="FMQ122" s="4"/>
      <c r="FMR122" s="4"/>
      <c r="FMS122" s="4"/>
      <c r="FMT122" s="4"/>
      <c r="FMU122" s="4"/>
      <c r="FMV122" s="4"/>
      <c r="FMW122" s="4"/>
      <c r="FMX122" s="4"/>
      <c r="FMY122" s="4"/>
      <c r="FMZ122" s="4"/>
      <c r="FNA122" s="4"/>
      <c r="FNB122" s="4"/>
      <c r="FNC122" s="4"/>
      <c r="FND122" s="4"/>
      <c r="FNE122" s="4"/>
      <c r="FNF122" s="4"/>
      <c r="FNG122" s="4"/>
      <c r="FNH122" s="4"/>
      <c r="FNI122" s="4"/>
      <c r="FNJ122" s="4"/>
      <c r="FNK122" s="4"/>
      <c r="FNL122" s="4"/>
      <c r="FNM122" s="4"/>
      <c r="FNN122" s="4"/>
      <c r="FNO122" s="4"/>
      <c r="FNP122" s="4"/>
      <c r="FNQ122" s="4"/>
      <c r="FNR122" s="4"/>
      <c r="FNS122" s="4"/>
      <c r="FNT122" s="4"/>
      <c r="FNU122" s="4"/>
      <c r="FNV122" s="4"/>
      <c r="FNW122" s="4"/>
      <c r="FNX122" s="4"/>
      <c r="FNY122" s="4"/>
      <c r="FNZ122" s="4"/>
      <c r="FOA122" s="4"/>
      <c r="FOB122" s="4"/>
      <c r="FOC122" s="4"/>
      <c r="FOD122" s="4"/>
      <c r="FOE122" s="4"/>
      <c r="FOF122" s="4"/>
      <c r="FOG122" s="4"/>
      <c r="FOH122" s="4"/>
      <c r="FOI122" s="4"/>
      <c r="FOJ122" s="4"/>
      <c r="FOK122" s="4"/>
      <c r="FOL122" s="4"/>
      <c r="FOM122" s="4"/>
      <c r="FON122" s="4"/>
      <c r="FOO122" s="4"/>
      <c r="FOP122" s="4"/>
      <c r="FOQ122" s="4"/>
      <c r="FOR122" s="4"/>
      <c r="FOS122" s="4"/>
      <c r="FOT122" s="4"/>
      <c r="FOU122" s="4"/>
      <c r="FOV122" s="4"/>
      <c r="FOW122" s="4"/>
      <c r="FOX122" s="4"/>
      <c r="FOY122" s="4"/>
      <c r="FOZ122" s="4"/>
      <c r="FPA122" s="4"/>
      <c r="FPB122" s="4"/>
      <c r="FPC122" s="4"/>
      <c r="FPD122" s="4"/>
      <c r="FPE122" s="4"/>
      <c r="FPF122" s="4"/>
      <c r="FPG122" s="4"/>
      <c r="FPH122" s="4"/>
      <c r="FPI122" s="4"/>
      <c r="FPJ122" s="4"/>
      <c r="FPK122" s="4"/>
      <c r="FPL122" s="4"/>
      <c r="FPM122" s="4"/>
      <c r="FPN122" s="4"/>
      <c r="FPO122" s="4"/>
      <c r="FPP122" s="4"/>
      <c r="FPQ122" s="4"/>
      <c r="FPR122" s="4"/>
      <c r="FPS122" s="4"/>
      <c r="FPT122" s="4"/>
      <c r="FPU122" s="4"/>
      <c r="FPV122" s="4"/>
      <c r="FPW122" s="4"/>
      <c r="FPX122" s="4"/>
      <c r="FPY122" s="4"/>
      <c r="FPZ122" s="4"/>
      <c r="FQA122" s="4"/>
      <c r="FQB122" s="4"/>
      <c r="FQC122" s="4"/>
      <c r="FQD122" s="4"/>
      <c r="FQE122" s="4"/>
      <c r="FQF122" s="4"/>
      <c r="FQG122" s="4"/>
      <c r="FQH122" s="4"/>
      <c r="FQI122" s="4"/>
      <c r="FQJ122" s="4"/>
      <c r="FQK122" s="4"/>
      <c r="FQL122" s="4"/>
      <c r="FQM122" s="4"/>
      <c r="FQN122" s="4"/>
      <c r="FQO122" s="4"/>
      <c r="FQP122" s="4"/>
      <c r="FQQ122" s="4"/>
      <c r="FQR122" s="4"/>
      <c r="FQS122" s="4"/>
      <c r="FQT122" s="4"/>
      <c r="FQU122" s="4"/>
      <c r="FQV122" s="4"/>
      <c r="FQW122" s="4"/>
      <c r="FQX122" s="4"/>
      <c r="FQY122" s="4"/>
      <c r="FQZ122" s="4"/>
      <c r="FRA122" s="4"/>
      <c r="FRB122" s="4"/>
      <c r="FRC122" s="4"/>
      <c r="FRD122" s="4"/>
      <c r="FRE122" s="4"/>
      <c r="FRF122" s="4"/>
      <c r="FRG122" s="4"/>
      <c r="FRH122" s="4"/>
      <c r="FRI122" s="4"/>
      <c r="FRJ122" s="4"/>
      <c r="FRK122" s="4"/>
      <c r="FRL122" s="4"/>
      <c r="FRM122" s="4"/>
      <c r="FRN122" s="4"/>
      <c r="FRO122" s="4"/>
      <c r="FRP122" s="4"/>
      <c r="FRQ122" s="4"/>
      <c r="FRR122" s="4"/>
      <c r="FRS122" s="4"/>
      <c r="FRT122" s="4"/>
      <c r="FRU122" s="4"/>
      <c r="FRV122" s="4"/>
      <c r="FRW122" s="4"/>
      <c r="FRX122" s="4"/>
      <c r="FRY122" s="4"/>
      <c r="FRZ122" s="4"/>
      <c r="FSA122" s="4"/>
      <c r="FSB122" s="4"/>
      <c r="FSC122" s="4"/>
      <c r="FSD122" s="4"/>
      <c r="FSE122" s="4"/>
      <c r="FSF122" s="4"/>
      <c r="FSG122" s="4"/>
      <c r="FSH122" s="4"/>
      <c r="FSI122" s="4"/>
      <c r="FSJ122" s="4"/>
      <c r="FSK122" s="4"/>
      <c r="FSL122" s="4"/>
      <c r="FSM122" s="4"/>
      <c r="FSN122" s="4"/>
      <c r="FSO122" s="4"/>
      <c r="FSP122" s="4"/>
      <c r="FSQ122" s="4"/>
      <c r="FSR122" s="4"/>
      <c r="FSS122" s="4"/>
      <c r="FST122" s="4"/>
      <c r="FSU122" s="4"/>
      <c r="FSV122" s="4"/>
      <c r="FSW122" s="4"/>
      <c r="FSX122" s="4"/>
      <c r="FSY122" s="4"/>
      <c r="FSZ122" s="4"/>
      <c r="FTA122" s="4"/>
      <c r="FTB122" s="4"/>
      <c r="FTC122" s="4"/>
      <c r="FTD122" s="4"/>
      <c r="FTE122" s="4"/>
      <c r="FTF122" s="4"/>
      <c r="FTG122" s="4"/>
      <c r="FTH122" s="4"/>
      <c r="FTI122" s="4"/>
      <c r="FTJ122" s="4"/>
      <c r="FTK122" s="4"/>
      <c r="FTL122" s="4"/>
      <c r="FTM122" s="4"/>
      <c r="FTN122" s="4"/>
      <c r="FTO122" s="4"/>
      <c r="FTP122" s="4"/>
      <c r="FTQ122" s="4"/>
      <c r="FTR122" s="4"/>
      <c r="FTS122" s="4"/>
      <c r="FTT122" s="4"/>
      <c r="FTU122" s="4"/>
      <c r="FTV122" s="4"/>
      <c r="FTW122" s="4"/>
      <c r="FTX122" s="4"/>
      <c r="FTY122" s="4"/>
      <c r="FTZ122" s="4"/>
      <c r="FUA122" s="4"/>
      <c r="FUB122" s="4"/>
      <c r="FUC122" s="4"/>
      <c r="FUD122" s="4"/>
      <c r="FUE122" s="4"/>
      <c r="FUF122" s="4"/>
      <c r="FUG122" s="4"/>
      <c r="FUH122" s="4"/>
      <c r="FUI122" s="4"/>
      <c r="FUJ122" s="4"/>
      <c r="FUK122" s="4"/>
      <c r="FUL122" s="4"/>
      <c r="FUM122" s="4"/>
      <c r="FUN122" s="4"/>
      <c r="FUO122" s="4"/>
      <c r="FUP122" s="4"/>
      <c r="FUQ122" s="4"/>
      <c r="FUR122" s="4"/>
      <c r="FUS122" s="4"/>
      <c r="FUT122" s="4"/>
      <c r="FUU122" s="4"/>
      <c r="FUV122" s="4"/>
      <c r="FUW122" s="4"/>
      <c r="FUX122" s="4"/>
      <c r="FUY122" s="4"/>
      <c r="FUZ122" s="4"/>
      <c r="FVA122" s="4"/>
      <c r="FVB122" s="4"/>
      <c r="FVC122" s="4"/>
      <c r="FVD122" s="4"/>
      <c r="FVE122" s="4"/>
      <c r="FVF122" s="4"/>
      <c r="FVG122" s="4"/>
      <c r="FVH122" s="4"/>
      <c r="FVI122" s="4"/>
      <c r="FVJ122" s="4"/>
      <c r="FVK122" s="4"/>
      <c r="FVL122" s="4"/>
      <c r="FVM122" s="4"/>
      <c r="FVN122" s="4"/>
      <c r="FVO122" s="4"/>
      <c r="FVP122" s="4"/>
      <c r="FVQ122" s="4"/>
      <c r="FVR122" s="4"/>
      <c r="FVS122" s="4"/>
      <c r="FVT122" s="4"/>
      <c r="FVU122" s="4"/>
      <c r="FVV122" s="4"/>
      <c r="FVW122" s="4"/>
      <c r="FVX122" s="4"/>
      <c r="FVY122" s="4"/>
      <c r="FVZ122" s="4"/>
      <c r="FWA122" s="4"/>
      <c r="FWB122" s="4"/>
      <c r="FWC122" s="4"/>
      <c r="FWD122" s="4"/>
      <c r="FWE122" s="4"/>
      <c r="FWF122" s="4"/>
      <c r="FWG122" s="4"/>
      <c r="FWH122" s="4"/>
      <c r="FWI122" s="4"/>
      <c r="FWJ122" s="4"/>
      <c r="FWK122" s="4"/>
      <c r="FWL122" s="4"/>
      <c r="FWM122" s="4"/>
      <c r="FWN122" s="4"/>
      <c r="FWO122" s="4"/>
      <c r="FWP122" s="4"/>
      <c r="FWQ122" s="4"/>
      <c r="FWR122" s="4"/>
      <c r="FWS122" s="4"/>
      <c r="FWT122" s="4"/>
      <c r="FWU122" s="4"/>
      <c r="FWV122" s="4"/>
      <c r="FWW122" s="4"/>
      <c r="FWX122" s="4"/>
      <c r="FWY122" s="4"/>
      <c r="FWZ122" s="4"/>
      <c r="FXA122" s="4"/>
      <c r="FXB122" s="4"/>
      <c r="FXC122" s="4"/>
      <c r="FXD122" s="4"/>
      <c r="FXE122" s="4"/>
      <c r="FXF122" s="4"/>
      <c r="FXG122" s="4"/>
      <c r="FXH122" s="4"/>
      <c r="FXI122" s="4"/>
      <c r="FXJ122" s="4"/>
      <c r="FXK122" s="4"/>
      <c r="FXL122" s="4"/>
      <c r="FXM122" s="4"/>
      <c r="FXN122" s="4"/>
      <c r="FXO122" s="4"/>
      <c r="FXP122" s="4"/>
      <c r="FXQ122" s="4"/>
      <c r="FXR122" s="4"/>
      <c r="FXS122" s="4"/>
      <c r="FXT122" s="4"/>
      <c r="FXU122" s="4"/>
      <c r="FXV122" s="4"/>
      <c r="FXW122" s="4"/>
      <c r="FXX122" s="4"/>
      <c r="FXY122" s="4"/>
      <c r="FXZ122" s="4"/>
      <c r="FYA122" s="4"/>
      <c r="FYB122" s="4"/>
      <c r="FYC122" s="4"/>
      <c r="FYD122" s="4"/>
      <c r="FYE122" s="4"/>
      <c r="FYF122" s="4"/>
      <c r="FYG122" s="4"/>
      <c r="FYH122" s="4"/>
      <c r="FYI122" s="4"/>
      <c r="FYJ122" s="4"/>
      <c r="FYK122" s="4"/>
      <c r="FYL122" s="4"/>
      <c r="FYM122" s="4"/>
      <c r="FYN122" s="4"/>
      <c r="FYO122" s="4"/>
      <c r="FYP122" s="4"/>
      <c r="FYQ122" s="4"/>
      <c r="FYR122" s="4"/>
      <c r="FYS122" s="4"/>
      <c r="FYT122" s="4"/>
      <c r="FYU122" s="4"/>
      <c r="FYV122" s="4"/>
      <c r="FYW122" s="4"/>
      <c r="FYX122" s="4"/>
      <c r="FYY122" s="4"/>
      <c r="FYZ122" s="4"/>
      <c r="FZA122" s="4"/>
      <c r="FZB122" s="4"/>
      <c r="FZC122" s="4"/>
      <c r="FZD122" s="4"/>
      <c r="FZE122" s="4"/>
      <c r="FZF122" s="4"/>
      <c r="FZG122" s="4"/>
      <c r="FZH122" s="4"/>
      <c r="FZI122" s="4"/>
      <c r="FZJ122" s="4"/>
      <c r="FZK122" s="4"/>
      <c r="FZL122" s="4"/>
      <c r="FZM122" s="4"/>
      <c r="FZN122" s="4"/>
      <c r="FZO122" s="4"/>
      <c r="FZP122" s="4"/>
      <c r="FZQ122" s="4"/>
      <c r="FZR122" s="4"/>
      <c r="FZS122" s="4"/>
      <c r="FZT122" s="4"/>
      <c r="FZU122" s="4"/>
      <c r="FZV122" s="4"/>
      <c r="FZW122" s="4"/>
      <c r="FZX122" s="4"/>
      <c r="FZY122" s="4"/>
      <c r="FZZ122" s="4"/>
      <c r="GAA122" s="4"/>
      <c r="GAB122" s="4"/>
      <c r="GAC122" s="4"/>
      <c r="GAD122" s="4"/>
      <c r="GAE122" s="4"/>
      <c r="GAF122" s="4"/>
      <c r="GAG122" s="4"/>
      <c r="GAH122" s="4"/>
      <c r="GAI122" s="4"/>
      <c r="GAJ122" s="4"/>
      <c r="GAK122" s="4"/>
      <c r="GAL122" s="4"/>
      <c r="GAM122" s="4"/>
      <c r="GAN122" s="4"/>
      <c r="GAO122" s="4"/>
      <c r="GAP122" s="4"/>
      <c r="GAQ122" s="4"/>
      <c r="GAR122" s="4"/>
      <c r="GAS122" s="4"/>
      <c r="GAT122" s="4"/>
      <c r="GAU122" s="4"/>
      <c r="GAV122" s="4"/>
      <c r="GAW122" s="4"/>
      <c r="GAX122" s="4"/>
      <c r="GAY122" s="4"/>
      <c r="GAZ122" s="4"/>
      <c r="GBA122" s="4"/>
      <c r="GBB122" s="4"/>
      <c r="GBC122" s="4"/>
      <c r="GBD122" s="4"/>
      <c r="GBE122" s="4"/>
      <c r="GBF122" s="4"/>
      <c r="GBG122" s="4"/>
      <c r="GBH122" s="4"/>
      <c r="GBI122" s="4"/>
      <c r="GBJ122" s="4"/>
      <c r="GBK122" s="4"/>
      <c r="GBL122" s="4"/>
      <c r="GBM122" s="4"/>
      <c r="GBN122" s="4"/>
      <c r="GBO122" s="4"/>
      <c r="GBP122" s="4"/>
      <c r="GBQ122" s="4"/>
      <c r="GBR122" s="4"/>
      <c r="GBS122" s="4"/>
      <c r="GBT122" s="4"/>
      <c r="GBU122" s="4"/>
      <c r="GBV122" s="4"/>
      <c r="GBW122" s="4"/>
      <c r="GBX122" s="4"/>
      <c r="GBY122" s="4"/>
      <c r="GBZ122" s="4"/>
      <c r="GCA122" s="4"/>
      <c r="GCB122" s="4"/>
      <c r="GCC122" s="4"/>
      <c r="GCD122" s="4"/>
      <c r="GCE122" s="4"/>
      <c r="GCF122" s="4"/>
      <c r="GCG122" s="4"/>
      <c r="GCH122" s="4"/>
      <c r="GCI122" s="4"/>
      <c r="GCJ122" s="4"/>
      <c r="GCK122" s="4"/>
      <c r="GCL122" s="4"/>
      <c r="GCM122" s="4"/>
      <c r="GCN122" s="4"/>
      <c r="GCO122" s="4"/>
      <c r="GCP122" s="4"/>
      <c r="GCQ122" s="4"/>
      <c r="GCR122" s="4"/>
      <c r="GCS122" s="4"/>
      <c r="GCT122" s="4"/>
      <c r="GCU122" s="4"/>
      <c r="GCV122" s="4"/>
      <c r="GCW122" s="4"/>
      <c r="GCX122" s="4"/>
      <c r="GCY122" s="4"/>
      <c r="GCZ122" s="4"/>
      <c r="GDA122" s="4"/>
      <c r="GDB122" s="4"/>
      <c r="GDC122" s="4"/>
      <c r="GDD122" s="4"/>
      <c r="GDE122" s="4"/>
      <c r="GDF122" s="4"/>
      <c r="GDG122" s="4"/>
      <c r="GDH122" s="4"/>
      <c r="GDI122" s="4"/>
      <c r="GDJ122" s="4"/>
      <c r="GDK122" s="4"/>
      <c r="GDL122" s="4"/>
      <c r="GDM122" s="4"/>
      <c r="GDN122" s="4"/>
      <c r="GDO122" s="4"/>
      <c r="GDP122" s="4"/>
      <c r="GDQ122" s="4"/>
      <c r="GDR122" s="4"/>
      <c r="GDS122" s="4"/>
      <c r="GDT122" s="4"/>
      <c r="GDU122" s="4"/>
      <c r="GDV122" s="4"/>
      <c r="GDW122" s="4"/>
      <c r="GDX122" s="4"/>
      <c r="GDY122" s="4"/>
      <c r="GDZ122" s="4"/>
      <c r="GEA122" s="4"/>
      <c r="GEB122" s="4"/>
      <c r="GEC122" s="4"/>
      <c r="GED122" s="4"/>
      <c r="GEE122" s="4"/>
      <c r="GEF122" s="4"/>
      <c r="GEG122" s="4"/>
      <c r="GEH122" s="4"/>
      <c r="GEI122" s="4"/>
      <c r="GEJ122" s="4"/>
      <c r="GEK122" s="4"/>
      <c r="GEL122" s="4"/>
      <c r="GEM122" s="4"/>
      <c r="GEN122" s="4"/>
      <c r="GEO122" s="4"/>
      <c r="GEP122" s="4"/>
      <c r="GEQ122" s="4"/>
      <c r="GER122" s="4"/>
      <c r="GES122" s="4"/>
      <c r="GET122" s="4"/>
      <c r="GEU122" s="4"/>
      <c r="GEV122" s="4"/>
      <c r="GEW122" s="4"/>
      <c r="GEX122" s="4"/>
      <c r="GEY122" s="4"/>
      <c r="GEZ122" s="4"/>
      <c r="GFA122" s="4"/>
      <c r="GFB122" s="4"/>
      <c r="GFC122" s="4"/>
      <c r="GFD122" s="4"/>
      <c r="GFE122" s="4"/>
      <c r="GFF122" s="4"/>
      <c r="GFG122" s="4"/>
      <c r="GFH122" s="4"/>
      <c r="GFI122" s="4"/>
      <c r="GFJ122" s="4"/>
      <c r="GFK122" s="4"/>
      <c r="GFL122" s="4"/>
      <c r="GFM122" s="4"/>
      <c r="GFN122" s="4"/>
      <c r="GFO122" s="4"/>
      <c r="GFP122" s="4"/>
      <c r="GFQ122" s="4"/>
      <c r="GFR122" s="4"/>
      <c r="GFS122" s="4"/>
      <c r="GFT122" s="4"/>
      <c r="GFU122" s="4"/>
      <c r="GFV122" s="4"/>
      <c r="GFW122" s="4"/>
      <c r="GFX122" s="4"/>
      <c r="GFY122" s="4"/>
      <c r="GFZ122" s="4"/>
      <c r="GGA122" s="4"/>
      <c r="GGB122" s="4"/>
      <c r="GGC122" s="4"/>
      <c r="GGD122" s="4"/>
      <c r="GGE122" s="4"/>
      <c r="GGF122" s="4"/>
      <c r="GGG122" s="4"/>
      <c r="GGH122" s="4"/>
      <c r="GGI122" s="4"/>
      <c r="GGJ122" s="4"/>
      <c r="GGK122" s="4"/>
      <c r="GGL122" s="4"/>
      <c r="GGM122" s="4"/>
      <c r="GGN122" s="4"/>
      <c r="GGO122" s="4"/>
      <c r="GGP122" s="4"/>
      <c r="GGQ122" s="4"/>
      <c r="GGR122" s="4"/>
      <c r="GGS122" s="4"/>
      <c r="GGT122" s="4"/>
      <c r="GGU122" s="4"/>
      <c r="GGV122" s="4"/>
      <c r="GGW122" s="4"/>
      <c r="GGX122" s="4"/>
      <c r="GGY122" s="4"/>
      <c r="GGZ122" s="4"/>
      <c r="GHA122" s="4"/>
      <c r="GHB122" s="4"/>
      <c r="GHC122" s="4"/>
      <c r="GHD122" s="4"/>
      <c r="GHE122" s="4"/>
      <c r="GHF122" s="4"/>
      <c r="GHG122" s="4"/>
      <c r="GHH122" s="4"/>
      <c r="GHI122" s="4"/>
      <c r="GHJ122" s="4"/>
      <c r="GHK122" s="4"/>
      <c r="GHL122" s="4"/>
      <c r="GHM122" s="4"/>
      <c r="GHN122" s="4"/>
      <c r="GHO122" s="4"/>
      <c r="GHP122" s="4"/>
      <c r="GHQ122" s="4"/>
      <c r="GHR122" s="4"/>
      <c r="GHS122" s="4"/>
      <c r="GHT122" s="4"/>
      <c r="GHU122" s="4"/>
      <c r="GHV122" s="4"/>
      <c r="GHW122" s="4"/>
      <c r="GHX122" s="4"/>
      <c r="GHY122" s="4"/>
      <c r="GHZ122" s="4"/>
      <c r="GIA122" s="4"/>
      <c r="GIB122" s="4"/>
      <c r="GIC122" s="4"/>
      <c r="GID122" s="4"/>
      <c r="GIE122" s="4"/>
      <c r="GIF122" s="4"/>
      <c r="GIG122" s="4"/>
      <c r="GIH122" s="4"/>
      <c r="GII122" s="4"/>
      <c r="GIJ122" s="4"/>
      <c r="GIK122" s="4"/>
      <c r="GIL122" s="4"/>
      <c r="GIM122" s="4"/>
      <c r="GIN122" s="4"/>
      <c r="GIO122" s="4"/>
      <c r="GIP122" s="4"/>
      <c r="GIQ122" s="4"/>
      <c r="GIR122" s="4"/>
      <c r="GIS122" s="4"/>
      <c r="GIT122" s="4"/>
      <c r="GIU122" s="4"/>
      <c r="GIV122" s="4"/>
      <c r="GIW122" s="4"/>
      <c r="GIX122" s="4"/>
      <c r="GIY122" s="4"/>
      <c r="GIZ122" s="4"/>
      <c r="GJA122" s="4"/>
      <c r="GJB122" s="4"/>
      <c r="GJC122" s="4"/>
      <c r="GJD122" s="4"/>
      <c r="GJE122" s="4"/>
      <c r="GJF122" s="4"/>
      <c r="GJG122" s="4"/>
      <c r="GJH122" s="4"/>
      <c r="GJI122" s="4"/>
      <c r="GJJ122" s="4"/>
      <c r="GJK122" s="4"/>
      <c r="GJL122" s="4"/>
      <c r="GJM122" s="4"/>
      <c r="GJN122" s="4"/>
      <c r="GJO122" s="4"/>
      <c r="GJP122" s="4"/>
      <c r="GJQ122" s="4"/>
      <c r="GJR122" s="4"/>
      <c r="GJS122" s="4"/>
      <c r="GJT122" s="4"/>
      <c r="GJU122" s="4"/>
      <c r="GJV122" s="4"/>
      <c r="GJW122" s="4"/>
      <c r="GJX122" s="4"/>
      <c r="GJY122" s="4"/>
      <c r="GJZ122" s="4"/>
      <c r="GKA122" s="4"/>
      <c r="GKB122" s="4"/>
      <c r="GKC122" s="4"/>
      <c r="GKD122" s="4"/>
      <c r="GKE122" s="4"/>
      <c r="GKF122" s="4"/>
      <c r="GKG122" s="4"/>
      <c r="GKH122" s="4"/>
      <c r="GKI122" s="4"/>
      <c r="GKJ122" s="4"/>
      <c r="GKK122" s="4"/>
      <c r="GKL122" s="4"/>
      <c r="GKM122" s="4"/>
      <c r="GKN122" s="4"/>
      <c r="GKO122" s="4"/>
      <c r="GKP122" s="4"/>
      <c r="GKQ122" s="4"/>
      <c r="GKR122" s="4"/>
      <c r="GKS122" s="4"/>
      <c r="GKT122" s="4"/>
      <c r="GKU122" s="4"/>
      <c r="GKV122" s="4"/>
      <c r="GKW122" s="4"/>
      <c r="GKX122" s="4"/>
      <c r="GKY122" s="4"/>
      <c r="GKZ122" s="4"/>
      <c r="GLA122" s="4"/>
      <c r="GLB122" s="4"/>
      <c r="GLC122" s="4"/>
      <c r="GLD122" s="4"/>
      <c r="GLE122" s="4"/>
      <c r="GLF122" s="4"/>
      <c r="GLG122" s="4"/>
      <c r="GLH122" s="4"/>
      <c r="GLI122" s="4"/>
      <c r="GLJ122" s="4"/>
      <c r="GLK122" s="4"/>
      <c r="GLL122" s="4"/>
      <c r="GLM122" s="4"/>
      <c r="GLN122" s="4"/>
      <c r="GLO122" s="4"/>
      <c r="GLP122" s="4"/>
      <c r="GLQ122" s="4"/>
      <c r="GLR122" s="4"/>
      <c r="GLS122" s="4"/>
      <c r="GLT122" s="4"/>
      <c r="GLU122" s="4"/>
      <c r="GLV122" s="4"/>
      <c r="GLW122" s="4"/>
      <c r="GLX122" s="4"/>
      <c r="GLY122" s="4"/>
      <c r="GLZ122" s="4"/>
      <c r="GMA122" s="4"/>
      <c r="GMB122" s="4"/>
      <c r="GMC122" s="4"/>
      <c r="GMD122" s="4"/>
      <c r="GME122" s="4"/>
      <c r="GMF122" s="4"/>
      <c r="GMG122" s="4"/>
      <c r="GMH122" s="4"/>
      <c r="GMI122" s="4"/>
      <c r="GMJ122" s="4"/>
      <c r="GMK122" s="4"/>
      <c r="GML122" s="4"/>
      <c r="GMM122" s="4"/>
      <c r="GMN122" s="4"/>
      <c r="GMO122" s="4"/>
      <c r="GMP122" s="4"/>
      <c r="GMQ122" s="4"/>
      <c r="GMR122" s="4"/>
      <c r="GMS122" s="4"/>
      <c r="GMT122" s="4"/>
      <c r="GMU122" s="4"/>
      <c r="GMV122" s="4"/>
      <c r="GMW122" s="4"/>
      <c r="GMX122" s="4"/>
      <c r="GMY122" s="4"/>
      <c r="GMZ122" s="4"/>
      <c r="GNA122" s="4"/>
      <c r="GNB122" s="4"/>
      <c r="GNC122" s="4"/>
      <c r="GND122" s="4"/>
      <c r="GNE122" s="4"/>
      <c r="GNF122" s="4"/>
      <c r="GNG122" s="4"/>
      <c r="GNH122" s="4"/>
      <c r="GNI122" s="4"/>
      <c r="GNJ122" s="4"/>
      <c r="GNK122" s="4"/>
      <c r="GNL122" s="4"/>
      <c r="GNM122" s="4"/>
      <c r="GNN122" s="4"/>
      <c r="GNO122" s="4"/>
      <c r="GNP122" s="4"/>
      <c r="GNQ122" s="4"/>
      <c r="GNR122" s="4"/>
      <c r="GNS122" s="4"/>
      <c r="GNT122" s="4"/>
      <c r="GNU122" s="4"/>
      <c r="GNV122" s="4"/>
      <c r="GNW122" s="4"/>
      <c r="GNX122" s="4"/>
      <c r="GNY122" s="4"/>
      <c r="GNZ122" s="4"/>
      <c r="GOA122" s="4"/>
      <c r="GOB122" s="4"/>
      <c r="GOC122" s="4"/>
      <c r="GOD122" s="4"/>
      <c r="GOE122" s="4"/>
      <c r="GOF122" s="4"/>
      <c r="GOG122" s="4"/>
      <c r="GOH122" s="4"/>
      <c r="GOI122" s="4"/>
      <c r="GOJ122" s="4"/>
      <c r="GOK122" s="4"/>
      <c r="GOL122" s="4"/>
      <c r="GOM122" s="4"/>
      <c r="GON122" s="4"/>
      <c r="GOO122" s="4"/>
      <c r="GOP122" s="4"/>
      <c r="GOQ122" s="4"/>
      <c r="GOR122" s="4"/>
      <c r="GOS122" s="4"/>
      <c r="GOT122" s="4"/>
      <c r="GOU122" s="4"/>
      <c r="GOV122" s="4"/>
      <c r="GOW122" s="4"/>
      <c r="GOX122" s="4"/>
      <c r="GOY122" s="4"/>
      <c r="GOZ122" s="4"/>
      <c r="GPA122" s="4"/>
      <c r="GPB122" s="4"/>
      <c r="GPC122" s="4"/>
      <c r="GPD122" s="4"/>
      <c r="GPE122" s="4"/>
      <c r="GPF122" s="4"/>
      <c r="GPG122" s="4"/>
      <c r="GPH122" s="4"/>
      <c r="GPI122" s="4"/>
      <c r="GPJ122" s="4"/>
      <c r="GPK122" s="4"/>
      <c r="GPL122" s="4"/>
      <c r="GPM122" s="4"/>
      <c r="GPN122" s="4"/>
      <c r="GPO122" s="4"/>
      <c r="GPP122" s="4"/>
      <c r="GPQ122" s="4"/>
      <c r="GPR122" s="4"/>
      <c r="GPS122" s="4"/>
      <c r="GPT122" s="4"/>
      <c r="GPU122" s="4"/>
      <c r="GPV122" s="4"/>
      <c r="GPW122" s="4"/>
      <c r="GPX122" s="4"/>
      <c r="GPY122" s="4"/>
      <c r="GPZ122" s="4"/>
      <c r="GQA122" s="4"/>
      <c r="GQB122" s="4"/>
      <c r="GQC122" s="4"/>
      <c r="GQD122" s="4"/>
      <c r="GQE122" s="4"/>
      <c r="GQF122" s="4"/>
      <c r="GQG122" s="4"/>
      <c r="GQH122" s="4"/>
      <c r="GQI122" s="4"/>
      <c r="GQJ122" s="4"/>
      <c r="GQK122" s="4"/>
      <c r="GQL122" s="4"/>
      <c r="GQM122" s="4"/>
      <c r="GQN122" s="4"/>
      <c r="GQO122" s="4"/>
      <c r="GQP122" s="4"/>
      <c r="GQQ122" s="4"/>
      <c r="GQR122" s="4"/>
      <c r="GQS122" s="4"/>
      <c r="GQT122" s="4"/>
      <c r="GQU122" s="4"/>
      <c r="GQV122" s="4"/>
      <c r="GQW122" s="4"/>
      <c r="GQX122" s="4"/>
      <c r="GQY122" s="4"/>
      <c r="GQZ122" s="4"/>
      <c r="GRA122" s="4"/>
      <c r="GRB122" s="4"/>
      <c r="GRC122" s="4"/>
      <c r="GRD122" s="4"/>
      <c r="GRE122" s="4"/>
      <c r="GRF122" s="4"/>
      <c r="GRG122" s="4"/>
      <c r="GRH122" s="4"/>
      <c r="GRI122" s="4"/>
      <c r="GRJ122" s="4"/>
      <c r="GRK122" s="4"/>
      <c r="GRL122" s="4"/>
      <c r="GRM122" s="4"/>
      <c r="GRN122" s="4"/>
      <c r="GRO122" s="4"/>
      <c r="GRP122" s="4"/>
      <c r="GRQ122" s="4"/>
      <c r="GRR122" s="4"/>
      <c r="GRS122" s="4"/>
      <c r="GRT122" s="4"/>
      <c r="GRU122" s="4"/>
      <c r="GRV122" s="4"/>
      <c r="GRW122" s="4"/>
      <c r="GRX122" s="4"/>
      <c r="GRY122" s="4"/>
      <c r="GRZ122" s="4"/>
      <c r="GSA122" s="4"/>
      <c r="GSB122" s="4"/>
      <c r="GSC122" s="4"/>
      <c r="GSD122" s="4"/>
      <c r="GSE122" s="4"/>
      <c r="GSF122" s="4"/>
      <c r="GSG122" s="4"/>
      <c r="GSH122" s="4"/>
      <c r="GSI122" s="4"/>
      <c r="GSJ122" s="4"/>
      <c r="GSK122" s="4"/>
      <c r="GSL122" s="4"/>
      <c r="GSM122" s="4"/>
      <c r="GSN122" s="4"/>
      <c r="GSO122" s="4"/>
      <c r="GSP122" s="4"/>
      <c r="GSQ122" s="4"/>
      <c r="GSR122" s="4"/>
      <c r="GSS122" s="4"/>
      <c r="GST122" s="4"/>
      <c r="GSU122" s="4"/>
      <c r="GSV122" s="4"/>
      <c r="GSW122" s="4"/>
      <c r="GSX122" s="4"/>
      <c r="GSY122" s="4"/>
      <c r="GSZ122" s="4"/>
      <c r="GTA122" s="4"/>
      <c r="GTB122" s="4"/>
      <c r="GTC122" s="4"/>
      <c r="GTD122" s="4"/>
      <c r="GTE122" s="4"/>
      <c r="GTF122" s="4"/>
      <c r="GTG122" s="4"/>
      <c r="GTH122" s="4"/>
      <c r="GTI122" s="4"/>
      <c r="GTJ122" s="4"/>
      <c r="GTK122" s="4"/>
      <c r="GTL122" s="4"/>
      <c r="GTM122" s="4"/>
      <c r="GTN122" s="4"/>
      <c r="GTO122" s="4"/>
      <c r="GTP122" s="4"/>
      <c r="GTQ122" s="4"/>
      <c r="GTR122" s="4"/>
      <c r="GTS122" s="4"/>
      <c r="GTT122" s="4"/>
      <c r="GTU122" s="4"/>
      <c r="GTV122" s="4"/>
      <c r="GTW122" s="4"/>
      <c r="GTX122" s="4"/>
      <c r="GTY122" s="4"/>
      <c r="GTZ122" s="4"/>
      <c r="GUA122" s="4"/>
      <c r="GUB122" s="4"/>
      <c r="GUC122" s="4"/>
      <c r="GUD122" s="4"/>
      <c r="GUE122" s="4"/>
      <c r="GUF122" s="4"/>
      <c r="GUG122" s="4"/>
      <c r="GUH122" s="4"/>
      <c r="GUI122" s="4"/>
      <c r="GUJ122" s="4"/>
      <c r="GUK122" s="4"/>
      <c r="GUL122" s="4"/>
      <c r="GUM122" s="4"/>
      <c r="GUN122" s="4"/>
      <c r="GUO122" s="4"/>
      <c r="GUP122" s="4"/>
      <c r="GUQ122" s="4"/>
      <c r="GUR122" s="4"/>
      <c r="GUS122" s="4"/>
      <c r="GUT122" s="4"/>
      <c r="GUU122" s="4"/>
      <c r="GUV122" s="4"/>
      <c r="GUW122" s="4"/>
      <c r="GUX122" s="4"/>
      <c r="GUY122" s="4"/>
      <c r="GUZ122" s="4"/>
      <c r="GVA122" s="4"/>
      <c r="GVB122" s="4"/>
      <c r="GVC122" s="4"/>
      <c r="GVD122" s="4"/>
      <c r="GVE122" s="4"/>
      <c r="GVF122" s="4"/>
      <c r="GVG122" s="4"/>
      <c r="GVH122" s="4"/>
      <c r="GVI122" s="4"/>
      <c r="GVJ122" s="4"/>
      <c r="GVK122" s="4"/>
      <c r="GVL122" s="4"/>
      <c r="GVM122" s="4"/>
      <c r="GVN122" s="4"/>
      <c r="GVO122" s="4"/>
      <c r="GVP122" s="4"/>
      <c r="GVQ122" s="4"/>
      <c r="GVR122" s="4"/>
      <c r="GVS122" s="4"/>
      <c r="GVT122" s="4"/>
      <c r="GVU122" s="4"/>
      <c r="GVV122" s="4"/>
      <c r="GVW122" s="4"/>
      <c r="GVX122" s="4"/>
      <c r="GVY122" s="4"/>
      <c r="GVZ122" s="4"/>
      <c r="GWA122" s="4"/>
      <c r="GWB122" s="4"/>
      <c r="GWC122" s="4"/>
      <c r="GWD122" s="4"/>
      <c r="GWE122" s="4"/>
      <c r="GWF122" s="4"/>
      <c r="GWG122" s="4"/>
      <c r="GWH122" s="4"/>
      <c r="GWI122" s="4"/>
      <c r="GWJ122" s="4"/>
      <c r="GWK122" s="4"/>
      <c r="GWL122" s="4"/>
      <c r="GWM122" s="4"/>
      <c r="GWN122" s="4"/>
      <c r="GWO122" s="4"/>
      <c r="GWP122" s="4"/>
      <c r="GWQ122" s="4"/>
      <c r="GWR122" s="4"/>
      <c r="GWS122" s="4"/>
      <c r="GWT122" s="4"/>
      <c r="GWU122" s="4"/>
      <c r="GWV122" s="4"/>
      <c r="GWW122" s="4"/>
      <c r="GWX122" s="4"/>
      <c r="GWY122" s="4"/>
      <c r="GWZ122" s="4"/>
      <c r="GXA122" s="4"/>
      <c r="GXB122" s="4"/>
      <c r="GXC122" s="4"/>
      <c r="GXD122" s="4"/>
      <c r="GXE122" s="4"/>
      <c r="GXF122" s="4"/>
      <c r="GXG122" s="4"/>
      <c r="GXH122" s="4"/>
      <c r="GXI122" s="4"/>
      <c r="GXJ122" s="4"/>
      <c r="GXK122" s="4"/>
      <c r="GXL122" s="4"/>
      <c r="GXM122" s="4"/>
      <c r="GXN122" s="4"/>
      <c r="GXO122" s="4"/>
      <c r="GXP122" s="4"/>
      <c r="GXQ122" s="4"/>
      <c r="GXR122" s="4"/>
      <c r="GXS122" s="4"/>
      <c r="GXT122" s="4"/>
      <c r="GXU122" s="4"/>
      <c r="GXV122" s="4"/>
      <c r="GXW122" s="4"/>
      <c r="GXX122" s="4"/>
      <c r="GXY122" s="4"/>
      <c r="GXZ122" s="4"/>
      <c r="GYA122" s="4"/>
      <c r="GYB122" s="4"/>
      <c r="GYC122" s="4"/>
      <c r="GYD122" s="4"/>
      <c r="GYE122" s="4"/>
      <c r="GYF122" s="4"/>
      <c r="GYG122" s="4"/>
      <c r="GYH122" s="4"/>
      <c r="GYI122" s="4"/>
      <c r="GYJ122" s="4"/>
      <c r="GYK122" s="4"/>
      <c r="GYL122" s="4"/>
      <c r="GYM122" s="4"/>
      <c r="GYN122" s="4"/>
      <c r="GYO122" s="4"/>
      <c r="GYP122" s="4"/>
      <c r="GYQ122" s="4"/>
      <c r="GYR122" s="4"/>
      <c r="GYS122" s="4"/>
      <c r="GYT122" s="4"/>
      <c r="GYU122" s="4"/>
      <c r="GYV122" s="4"/>
      <c r="GYW122" s="4"/>
      <c r="GYX122" s="4"/>
      <c r="GYY122" s="4"/>
      <c r="GYZ122" s="4"/>
      <c r="GZA122" s="4"/>
      <c r="GZB122" s="4"/>
      <c r="GZC122" s="4"/>
      <c r="GZD122" s="4"/>
      <c r="GZE122" s="4"/>
      <c r="GZF122" s="4"/>
      <c r="GZG122" s="4"/>
      <c r="GZH122" s="4"/>
      <c r="GZI122" s="4"/>
      <c r="GZJ122" s="4"/>
      <c r="GZK122" s="4"/>
      <c r="GZL122" s="4"/>
      <c r="GZM122" s="4"/>
      <c r="GZN122" s="4"/>
      <c r="GZO122" s="4"/>
      <c r="GZP122" s="4"/>
      <c r="GZQ122" s="4"/>
      <c r="GZR122" s="4"/>
      <c r="GZS122" s="4"/>
      <c r="GZT122" s="4"/>
      <c r="GZU122" s="4"/>
      <c r="GZV122" s="4"/>
      <c r="GZW122" s="4"/>
      <c r="GZX122" s="4"/>
      <c r="GZY122" s="4"/>
      <c r="GZZ122" s="4"/>
      <c r="HAA122" s="4"/>
      <c r="HAB122" s="4"/>
      <c r="HAC122" s="4"/>
      <c r="HAD122" s="4"/>
      <c r="HAE122" s="4"/>
      <c r="HAF122" s="4"/>
      <c r="HAG122" s="4"/>
      <c r="HAH122" s="4"/>
      <c r="HAI122" s="4"/>
      <c r="HAJ122" s="4"/>
      <c r="HAK122" s="4"/>
      <c r="HAL122" s="4"/>
      <c r="HAM122" s="4"/>
      <c r="HAN122" s="4"/>
      <c r="HAO122" s="4"/>
      <c r="HAP122" s="4"/>
      <c r="HAQ122" s="4"/>
      <c r="HAR122" s="4"/>
      <c r="HAS122" s="4"/>
      <c r="HAT122" s="4"/>
      <c r="HAU122" s="4"/>
      <c r="HAV122" s="4"/>
      <c r="HAW122" s="4"/>
      <c r="HAX122" s="4"/>
      <c r="HAY122" s="4"/>
      <c r="HAZ122" s="4"/>
      <c r="HBA122" s="4"/>
      <c r="HBB122" s="4"/>
      <c r="HBC122" s="4"/>
      <c r="HBD122" s="4"/>
      <c r="HBE122" s="4"/>
      <c r="HBF122" s="4"/>
      <c r="HBG122" s="4"/>
      <c r="HBH122" s="4"/>
      <c r="HBI122" s="4"/>
      <c r="HBJ122" s="4"/>
      <c r="HBK122" s="4"/>
      <c r="HBL122" s="4"/>
      <c r="HBM122" s="4"/>
      <c r="HBN122" s="4"/>
      <c r="HBO122" s="4"/>
      <c r="HBP122" s="4"/>
      <c r="HBQ122" s="4"/>
      <c r="HBR122" s="4"/>
      <c r="HBS122" s="4"/>
      <c r="HBT122" s="4"/>
      <c r="HBU122" s="4"/>
      <c r="HBV122" s="4"/>
      <c r="HBW122" s="4"/>
      <c r="HBX122" s="4"/>
      <c r="HBY122" s="4"/>
      <c r="HBZ122" s="4"/>
      <c r="HCA122" s="4"/>
      <c r="HCB122" s="4"/>
      <c r="HCC122" s="4"/>
      <c r="HCD122" s="4"/>
      <c r="HCE122" s="4"/>
      <c r="HCF122" s="4"/>
      <c r="HCG122" s="4"/>
      <c r="HCH122" s="4"/>
      <c r="HCI122" s="4"/>
      <c r="HCJ122" s="4"/>
      <c r="HCK122" s="4"/>
      <c r="HCL122" s="4"/>
      <c r="HCM122" s="4"/>
      <c r="HCN122" s="4"/>
      <c r="HCO122" s="4"/>
      <c r="HCP122" s="4"/>
      <c r="HCQ122" s="4"/>
      <c r="HCR122" s="4"/>
      <c r="HCS122" s="4"/>
      <c r="HCT122" s="4"/>
      <c r="HCU122" s="4"/>
      <c r="HCV122" s="4"/>
      <c r="HCW122" s="4"/>
      <c r="HCX122" s="4"/>
      <c r="HCY122" s="4"/>
      <c r="HCZ122" s="4"/>
      <c r="HDA122" s="4"/>
      <c r="HDB122" s="4"/>
      <c r="HDC122" s="4"/>
      <c r="HDD122" s="4"/>
      <c r="HDE122" s="4"/>
      <c r="HDF122" s="4"/>
      <c r="HDG122" s="4"/>
      <c r="HDH122" s="4"/>
      <c r="HDI122" s="4"/>
      <c r="HDJ122" s="4"/>
      <c r="HDK122" s="4"/>
      <c r="HDL122" s="4"/>
      <c r="HDM122" s="4"/>
      <c r="HDN122" s="4"/>
      <c r="HDO122" s="4"/>
      <c r="HDP122" s="4"/>
      <c r="HDQ122" s="4"/>
      <c r="HDR122" s="4"/>
      <c r="HDS122" s="4"/>
      <c r="HDT122" s="4"/>
      <c r="HDU122" s="4"/>
      <c r="HDV122" s="4"/>
      <c r="HDW122" s="4"/>
      <c r="HDX122" s="4"/>
      <c r="HDY122" s="4"/>
      <c r="HDZ122" s="4"/>
      <c r="HEA122" s="4"/>
      <c r="HEB122" s="4"/>
      <c r="HEC122" s="4"/>
      <c r="HED122" s="4"/>
      <c r="HEE122" s="4"/>
      <c r="HEF122" s="4"/>
      <c r="HEG122" s="4"/>
      <c r="HEH122" s="4"/>
      <c r="HEI122" s="4"/>
      <c r="HEJ122" s="4"/>
      <c r="HEK122" s="4"/>
      <c r="HEL122" s="4"/>
      <c r="HEM122" s="4"/>
      <c r="HEN122" s="4"/>
      <c r="HEO122" s="4"/>
      <c r="HEP122" s="4"/>
      <c r="HEQ122" s="4"/>
      <c r="HER122" s="4"/>
      <c r="HES122" s="4"/>
      <c r="HET122" s="4"/>
      <c r="HEU122" s="4"/>
      <c r="HEV122" s="4"/>
      <c r="HEW122" s="4"/>
      <c r="HEX122" s="4"/>
      <c r="HEY122" s="4"/>
      <c r="HEZ122" s="4"/>
      <c r="HFA122" s="4"/>
      <c r="HFB122" s="4"/>
      <c r="HFC122" s="4"/>
      <c r="HFD122" s="4"/>
      <c r="HFE122" s="4"/>
      <c r="HFF122" s="4"/>
      <c r="HFG122" s="4"/>
      <c r="HFH122" s="4"/>
      <c r="HFI122" s="4"/>
      <c r="HFJ122" s="4"/>
      <c r="HFK122" s="4"/>
      <c r="HFL122" s="4"/>
      <c r="HFM122" s="4"/>
      <c r="HFN122" s="4"/>
      <c r="HFO122" s="4"/>
      <c r="HFP122" s="4"/>
      <c r="HFQ122" s="4"/>
      <c r="HFR122" s="4"/>
      <c r="HFS122" s="4"/>
      <c r="HFT122" s="4"/>
      <c r="HFU122" s="4"/>
      <c r="HFV122" s="4"/>
      <c r="HFW122" s="4"/>
      <c r="HFX122" s="4"/>
      <c r="HFY122" s="4"/>
      <c r="HFZ122" s="4"/>
      <c r="HGA122" s="4"/>
      <c r="HGB122" s="4"/>
      <c r="HGC122" s="4"/>
      <c r="HGD122" s="4"/>
      <c r="HGE122" s="4"/>
      <c r="HGF122" s="4"/>
      <c r="HGG122" s="4"/>
      <c r="HGH122" s="4"/>
      <c r="HGI122" s="4"/>
      <c r="HGJ122" s="4"/>
      <c r="HGK122" s="4"/>
      <c r="HGL122" s="4"/>
      <c r="HGM122" s="4"/>
      <c r="HGN122" s="4"/>
      <c r="HGO122" s="4"/>
      <c r="HGP122" s="4"/>
      <c r="HGQ122" s="4"/>
      <c r="HGR122" s="4"/>
      <c r="HGS122" s="4"/>
      <c r="HGT122" s="4"/>
      <c r="HGU122" s="4"/>
      <c r="HGV122" s="4"/>
      <c r="HGW122" s="4"/>
      <c r="HGX122" s="4"/>
      <c r="HGY122" s="4"/>
      <c r="HGZ122" s="4"/>
      <c r="HHA122" s="4"/>
      <c r="HHB122" s="4"/>
      <c r="HHC122" s="4"/>
      <c r="HHD122" s="4"/>
      <c r="HHE122" s="4"/>
      <c r="HHF122" s="4"/>
      <c r="HHG122" s="4"/>
      <c r="HHH122" s="4"/>
      <c r="HHI122" s="4"/>
      <c r="HHJ122" s="4"/>
      <c r="HHK122" s="4"/>
      <c r="HHL122" s="4"/>
      <c r="HHM122" s="4"/>
      <c r="HHN122" s="4"/>
      <c r="HHO122" s="4"/>
      <c r="HHP122" s="4"/>
      <c r="HHQ122" s="4"/>
      <c r="HHR122" s="4"/>
      <c r="HHS122" s="4"/>
      <c r="HHT122" s="4"/>
      <c r="HHU122" s="4"/>
      <c r="HHV122" s="4"/>
      <c r="HHW122" s="4"/>
      <c r="HHX122" s="4"/>
      <c r="HHY122" s="4"/>
      <c r="HHZ122" s="4"/>
      <c r="HIA122" s="4"/>
      <c r="HIB122" s="4"/>
      <c r="HIC122" s="4"/>
      <c r="HID122" s="4"/>
      <c r="HIE122" s="4"/>
      <c r="HIF122" s="4"/>
      <c r="HIG122" s="4"/>
      <c r="HIH122" s="4"/>
      <c r="HII122" s="4"/>
      <c r="HIJ122" s="4"/>
      <c r="HIK122" s="4"/>
      <c r="HIL122" s="4"/>
      <c r="HIM122" s="4"/>
      <c r="HIN122" s="4"/>
      <c r="HIO122" s="4"/>
      <c r="HIP122" s="4"/>
      <c r="HIQ122" s="4"/>
      <c r="HIR122" s="4"/>
      <c r="HIS122" s="4"/>
      <c r="HIT122" s="4"/>
      <c r="HIU122" s="4"/>
      <c r="HIV122" s="4"/>
      <c r="HIW122" s="4"/>
      <c r="HIX122" s="4"/>
      <c r="HIY122" s="4"/>
      <c r="HIZ122" s="4"/>
      <c r="HJA122" s="4"/>
      <c r="HJB122" s="4"/>
      <c r="HJC122" s="4"/>
      <c r="HJD122" s="4"/>
      <c r="HJE122" s="4"/>
      <c r="HJF122" s="4"/>
      <c r="HJG122" s="4"/>
      <c r="HJH122" s="4"/>
      <c r="HJI122" s="4"/>
      <c r="HJJ122" s="4"/>
      <c r="HJK122" s="4"/>
      <c r="HJL122" s="4"/>
      <c r="HJM122" s="4"/>
      <c r="HJN122" s="4"/>
      <c r="HJO122" s="4"/>
      <c r="HJP122" s="4"/>
      <c r="HJQ122" s="4"/>
      <c r="HJR122" s="4"/>
      <c r="HJS122" s="4"/>
      <c r="HJT122" s="4"/>
      <c r="HJU122" s="4"/>
      <c r="HJV122" s="4"/>
      <c r="HJW122" s="4"/>
      <c r="HJX122" s="4"/>
      <c r="HJY122" s="4"/>
      <c r="HJZ122" s="4"/>
      <c r="HKA122" s="4"/>
      <c r="HKB122" s="4"/>
      <c r="HKC122" s="4"/>
      <c r="HKD122" s="4"/>
      <c r="HKE122" s="4"/>
      <c r="HKF122" s="4"/>
      <c r="HKG122" s="4"/>
      <c r="HKH122" s="4"/>
      <c r="HKI122" s="4"/>
      <c r="HKJ122" s="4"/>
      <c r="HKK122" s="4"/>
      <c r="HKL122" s="4"/>
      <c r="HKM122" s="4"/>
      <c r="HKN122" s="4"/>
      <c r="HKO122" s="4"/>
      <c r="HKP122" s="4"/>
      <c r="HKQ122" s="4"/>
      <c r="HKR122" s="4"/>
      <c r="HKS122" s="4"/>
      <c r="HKT122" s="4"/>
      <c r="HKU122" s="4"/>
      <c r="HKV122" s="4"/>
      <c r="HKW122" s="4"/>
      <c r="HKX122" s="4"/>
      <c r="HKY122" s="4"/>
      <c r="HKZ122" s="4"/>
      <c r="HLA122" s="4"/>
      <c r="HLB122" s="4"/>
      <c r="HLC122" s="4"/>
      <c r="HLD122" s="4"/>
      <c r="HLE122" s="4"/>
      <c r="HLF122" s="4"/>
      <c r="HLG122" s="4"/>
      <c r="HLH122" s="4"/>
      <c r="HLI122" s="4"/>
      <c r="HLJ122" s="4"/>
      <c r="HLK122" s="4"/>
      <c r="HLL122" s="4"/>
      <c r="HLM122" s="4"/>
      <c r="HLN122" s="4"/>
      <c r="HLO122" s="4"/>
      <c r="HLP122" s="4"/>
      <c r="HLQ122" s="4"/>
      <c r="HLR122" s="4"/>
      <c r="HLS122" s="4"/>
      <c r="HLT122" s="4"/>
      <c r="HLU122" s="4"/>
      <c r="HLV122" s="4"/>
      <c r="HLW122" s="4"/>
      <c r="HLX122" s="4"/>
      <c r="HLY122" s="4"/>
      <c r="HLZ122" s="4"/>
      <c r="HMA122" s="4"/>
      <c r="HMB122" s="4"/>
      <c r="HMC122" s="4"/>
      <c r="HMD122" s="4"/>
      <c r="HME122" s="4"/>
      <c r="HMF122" s="4"/>
      <c r="HMG122" s="4"/>
      <c r="HMH122" s="4"/>
      <c r="HMI122" s="4"/>
      <c r="HMJ122" s="4"/>
      <c r="HMK122" s="4"/>
      <c r="HML122" s="4"/>
      <c r="HMM122" s="4"/>
      <c r="HMN122" s="4"/>
      <c r="HMO122" s="4"/>
      <c r="HMP122" s="4"/>
      <c r="HMQ122" s="4"/>
      <c r="HMR122" s="4"/>
      <c r="HMS122" s="4"/>
      <c r="HMT122" s="4"/>
      <c r="HMU122" s="4"/>
      <c r="HMV122" s="4"/>
      <c r="HMW122" s="4"/>
      <c r="HMX122" s="4"/>
      <c r="HMY122" s="4"/>
      <c r="HMZ122" s="4"/>
      <c r="HNA122" s="4"/>
      <c r="HNB122" s="4"/>
      <c r="HNC122" s="4"/>
      <c r="HND122" s="4"/>
      <c r="HNE122" s="4"/>
      <c r="HNF122" s="4"/>
      <c r="HNG122" s="4"/>
      <c r="HNH122" s="4"/>
      <c r="HNI122" s="4"/>
      <c r="HNJ122" s="4"/>
      <c r="HNK122" s="4"/>
      <c r="HNL122" s="4"/>
      <c r="HNM122" s="4"/>
      <c r="HNN122" s="4"/>
      <c r="HNO122" s="4"/>
      <c r="HNP122" s="4"/>
      <c r="HNQ122" s="4"/>
      <c r="HNR122" s="4"/>
      <c r="HNS122" s="4"/>
      <c r="HNT122" s="4"/>
      <c r="HNU122" s="4"/>
      <c r="HNV122" s="4"/>
      <c r="HNW122" s="4"/>
      <c r="HNX122" s="4"/>
      <c r="HNY122" s="4"/>
      <c r="HNZ122" s="4"/>
      <c r="HOA122" s="4"/>
      <c r="HOB122" s="4"/>
      <c r="HOC122" s="4"/>
      <c r="HOD122" s="4"/>
      <c r="HOE122" s="4"/>
      <c r="HOF122" s="4"/>
      <c r="HOG122" s="4"/>
      <c r="HOH122" s="4"/>
      <c r="HOI122" s="4"/>
      <c r="HOJ122" s="4"/>
      <c r="HOK122" s="4"/>
      <c r="HOL122" s="4"/>
      <c r="HOM122" s="4"/>
      <c r="HON122" s="4"/>
      <c r="HOO122" s="4"/>
      <c r="HOP122" s="4"/>
      <c r="HOQ122" s="4"/>
      <c r="HOR122" s="4"/>
      <c r="HOS122" s="4"/>
      <c r="HOT122" s="4"/>
      <c r="HOU122" s="4"/>
      <c r="HOV122" s="4"/>
      <c r="HOW122" s="4"/>
      <c r="HOX122" s="4"/>
      <c r="HOY122" s="4"/>
      <c r="HOZ122" s="4"/>
      <c r="HPA122" s="4"/>
      <c r="HPB122" s="4"/>
      <c r="HPC122" s="4"/>
      <c r="HPD122" s="4"/>
      <c r="HPE122" s="4"/>
      <c r="HPF122" s="4"/>
      <c r="HPG122" s="4"/>
      <c r="HPH122" s="4"/>
      <c r="HPI122" s="4"/>
      <c r="HPJ122" s="4"/>
      <c r="HPK122" s="4"/>
      <c r="HPL122" s="4"/>
      <c r="HPM122" s="4"/>
      <c r="HPN122" s="4"/>
      <c r="HPO122" s="4"/>
      <c r="HPP122" s="4"/>
      <c r="HPQ122" s="4"/>
      <c r="HPR122" s="4"/>
      <c r="HPS122" s="4"/>
      <c r="HPT122" s="4"/>
      <c r="HPU122" s="4"/>
      <c r="HPV122" s="4"/>
      <c r="HPW122" s="4"/>
      <c r="HPX122" s="4"/>
      <c r="HPY122" s="4"/>
      <c r="HPZ122" s="4"/>
      <c r="HQA122" s="4"/>
      <c r="HQB122" s="4"/>
      <c r="HQC122" s="4"/>
      <c r="HQD122" s="4"/>
      <c r="HQE122" s="4"/>
      <c r="HQF122" s="4"/>
      <c r="HQG122" s="4"/>
      <c r="HQH122" s="4"/>
      <c r="HQI122" s="4"/>
      <c r="HQJ122" s="4"/>
      <c r="HQK122" s="4"/>
      <c r="HQL122" s="4"/>
      <c r="HQM122" s="4"/>
      <c r="HQN122" s="4"/>
      <c r="HQO122" s="4"/>
      <c r="HQP122" s="4"/>
      <c r="HQQ122" s="4"/>
      <c r="HQR122" s="4"/>
      <c r="HQS122" s="4"/>
      <c r="HQT122" s="4"/>
      <c r="HQU122" s="4"/>
      <c r="HQV122" s="4"/>
      <c r="HQW122" s="4"/>
      <c r="HQX122" s="4"/>
      <c r="HQY122" s="4"/>
      <c r="HQZ122" s="4"/>
      <c r="HRA122" s="4"/>
      <c r="HRB122" s="4"/>
      <c r="HRC122" s="4"/>
      <c r="HRD122" s="4"/>
      <c r="HRE122" s="4"/>
      <c r="HRF122" s="4"/>
      <c r="HRG122" s="4"/>
      <c r="HRH122" s="4"/>
      <c r="HRI122" s="4"/>
      <c r="HRJ122" s="4"/>
      <c r="HRK122" s="4"/>
      <c r="HRL122" s="4"/>
      <c r="HRM122" s="4"/>
      <c r="HRN122" s="4"/>
      <c r="HRO122" s="4"/>
      <c r="HRP122" s="4"/>
      <c r="HRQ122" s="4"/>
      <c r="HRR122" s="4"/>
      <c r="HRS122" s="4"/>
      <c r="HRT122" s="4"/>
      <c r="HRU122" s="4"/>
      <c r="HRV122" s="4"/>
      <c r="HRW122" s="4"/>
      <c r="HRX122" s="4"/>
      <c r="HRY122" s="4"/>
      <c r="HRZ122" s="4"/>
      <c r="HSA122" s="4"/>
      <c r="HSB122" s="4"/>
      <c r="HSC122" s="4"/>
      <c r="HSD122" s="4"/>
      <c r="HSE122" s="4"/>
      <c r="HSF122" s="4"/>
      <c r="HSG122" s="4"/>
      <c r="HSH122" s="4"/>
      <c r="HSI122" s="4"/>
      <c r="HSJ122" s="4"/>
      <c r="HSK122" s="4"/>
      <c r="HSL122" s="4"/>
      <c r="HSM122" s="4"/>
      <c r="HSN122" s="4"/>
      <c r="HSO122" s="4"/>
      <c r="HSP122" s="4"/>
      <c r="HSQ122" s="4"/>
      <c r="HSR122" s="4"/>
      <c r="HSS122" s="4"/>
      <c r="HST122" s="4"/>
      <c r="HSU122" s="4"/>
      <c r="HSV122" s="4"/>
      <c r="HSW122" s="4"/>
      <c r="HSX122" s="4"/>
      <c r="HSY122" s="4"/>
      <c r="HSZ122" s="4"/>
      <c r="HTA122" s="4"/>
      <c r="HTB122" s="4"/>
      <c r="HTC122" s="4"/>
      <c r="HTD122" s="4"/>
      <c r="HTE122" s="4"/>
      <c r="HTF122" s="4"/>
      <c r="HTG122" s="4"/>
      <c r="HTH122" s="4"/>
      <c r="HTI122" s="4"/>
      <c r="HTJ122" s="4"/>
      <c r="HTK122" s="4"/>
      <c r="HTL122" s="4"/>
      <c r="HTM122" s="4"/>
      <c r="HTN122" s="4"/>
      <c r="HTO122" s="4"/>
      <c r="HTP122" s="4"/>
      <c r="HTQ122" s="4"/>
      <c r="HTR122" s="4"/>
      <c r="HTS122" s="4"/>
      <c r="HTT122" s="4"/>
      <c r="HTU122" s="4"/>
      <c r="HTV122" s="4"/>
      <c r="HTW122" s="4"/>
      <c r="HTX122" s="4"/>
      <c r="HTY122" s="4"/>
      <c r="HTZ122" s="4"/>
      <c r="HUA122" s="4"/>
      <c r="HUB122" s="4"/>
      <c r="HUC122" s="4"/>
      <c r="HUD122" s="4"/>
      <c r="HUE122" s="4"/>
      <c r="HUF122" s="4"/>
      <c r="HUG122" s="4"/>
      <c r="HUH122" s="4"/>
      <c r="HUI122" s="4"/>
      <c r="HUJ122" s="4"/>
      <c r="HUK122" s="4"/>
      <c r="HUL122" s="4"/>
      <c r="HUM122" s="4"/>
      <c r="HUN122" s="4"/>
      <c r="HUO122" s="4"/>
      <c r="HUP122" s="4"/>
      <c r="HUQ122" s="4"/>
      <c r="HUR122" s="4"/>
      <c r="HUS122" s="4"/>
      <c r="HUT122" s="4"/>
      <c r="HUU122" s="4"/>
      <c r="HUV122" s="4"/>
      <c r="HUW122" s="4"/>
      <c r="HUX122" s="4"/>
      <c r="HUY122" s="4"/>
      <c r="HUZ122" s="4"/>
      <c r="HVA122" s="4"/>
      <c r="HVB122" s="4"/>
      <c r="HVC122" s="4"/>
      <c r="HVD122" s="4"/>
      <c r="HVE122" s="4"/>
      <c r="HVF122" s="4"/>
      <c r="HVG122" s="4"/>
      <c r="HVH122" s="4"/>
      <c r="HVI122" s="4"/>
      <c r="HVJ122" s="4"/>
      <c r="HVK122" s="4"/>
      <c r="HVL122" s="4"/>
      <c r="HVM122" s="4"/>
      <c r="HVN122" s="4"/>
      <c r="HVO122" s="4"/>
      <c r="HVP122" s="4"/>
      <c r="HVQ122" s="4"/>
      <c r="HVR122" s="4"/>
      <c r="HVS122" s="4"/>
      <c r="HVT122" s="4"/>
      <c r="HVU122" s="4"/>
      <c r="HVV122" s="4"/>
      <c r="HVW122" s="4"/>
      <c r="HVX122" s="4"/>
      <c r="HVY122" s="4"/>
      <c r="HVZ122" s="4"/>
      <c r="HWA122" s="4"/>
      <c r="HWB122" s="4"/>
      <c r="HWC122" s="4"/>
      <c r="HWD122" s="4"/>
      <c r="HWE122" s="4"/>
      <c r="HWF122" s="4"/>
      <c r="HWG122" s="4"/>
      <c r="HWH122" s="4"/>
      <c r="HWI122" s="4"/>
      <c r="HWJ122" s="4"/>
      <c r="HWK122" s="4"/>
      <c r="HWL122" s="4"/>
      <c r="HWM122" s="4"/>
      <c r="HWN122" s="4"/>
      <c r="HWO122" s="4"/>
      <c r="HWP122" s="4"/>
      <c r="HWQ122" s="4"/>
      <c r="HWR122" s="4"/>
      <c r="HWS122" s="4"/>
      <c r="HWT122" s="4"/>
      <c r="HWU122" s="4"/>
      <c r="HWV122" s="4"/>
      <c r="HWW122" s="4"/>
      <c r="HWX122" s="4"/>
      <c r="HWY122" s="4"/>
      <c r="HWZ122" s="4"/>
      <c r="HXA122" s="4"/>
      <c r="HXB122" s="4"/>
      <c r="HXC122" s="4"/>
      <c r="HXD122" s="4"/>
      <c r="HXE122" s="4"/>
      <c r="HXF122" s="4"/>
      <c r="HXG122" s="4"/>
      <c r="HXH122" s="4"/>
      <c r="HXI122" s="4"/>
      <c r="HXJ122" s="4"/>
      <c r="HXK122" s="4"/>
      <c r="HXL122" s="4"/>
      <c r="HXM122" s="4"/>
      <c r="HXN122" s="4"/>
      <c r="HXO122" s="4"/>
      <c r="HXP122" s="4"/>
      <c r="HXQ122" s="4"/>
      <c r="HXR122" s="4"/>
      <c r="HXS122" s="4"/>
      <c r="HXT122" s="4"/>
      <c r="HXU122" s="4"/>
      <c r="HXV122" s="4"/>
      <c r="HXW122" s="4"/>
      <c r="HXX122" s="4"/>
      <c r="HXY122" s="4"/>
      <c r="HXZ122" s="4"/>
      <c r="HYA122" s="4"/>
      <c r="HYB122" s="4"/>
      <c r="HYC122" s="4"/>
      <c r="HYD122" s="4"/>
      <c r="HYE122" s="4"/>
      <c r="HYF122" s="4"/>
      <c r="HYG122" s="4"/>
      <c r="HYH122" s="4"/>
      <c r="HYI122" s="4"/>
      <c r="HYJ122" s="4"/>
      <c r="HYK122" s="4"/>
      <c r="HYL122" s="4"/>
      <c r="HYM122" s="4"/>
      <c r="HYN122" s="4"/>
      <c r="HYO122" s="4"/>
      <c r="HYP122" s="4"/>
      <c r="HYQ122" s="4"/>
      <c r="HYR122" s="4"/>
      <c r="HYS122" s="4"/>
      <c r="HYT122" s="4"/>
      <c r="HYU122" s="4"/>
      <c r="HYV122" s="4"/>
      <c r="HYW122" s="4"/>
      <c r="HYX122" s="4"/>
      <c r="HYY122" s="4"/>
      <c r="HYZ122" s="4"/>
      <c r="HZA122" s="4"/>
      <c r="HZB122" s="4"/>
      <c r="HZC122" s="4"/>
      <c r="HZD122" s="4"/>
      <c r="HZE122" s="4"/>
      <c r="HZF122" s="4"/>
      <c r="HZG122" s="4"/>
      <c r="HZH122" s="4"/>
      <c r="HZI122" s="4"/>
      <c r="HZJ122" s="4"/>
      <c r="HZK122" s="4"/>
      <c r="HZL122" s="4"/>
      <c r="HZM122" s="4"/>
      <c r="HZN122" s="4"/>
      <c r="HZO122" s="4"/>
      <c r="HZP122" s="4"/>
      <c r="HZQ122" s="4"/>
      <c r="HZR122" s="4"/>
      <c r="HZS122" s="4"/>
      <c r="HZT122" s="4"/>
      <c r="HZU122" s="4"/>
      <c r="HZV122" s="4"/>
      <c r="HZW122" s="4"/>
      <c r="HZX122" s="4"/>
      <c r="HZY122" s="4"/>
      <c r="HZZ122" s="4"/>
      <c r="IAA122" s="4"/>
      <c r="IAB122" s="4"/>
      <c r="IAC122" s="4"/>
      <c r="IAD122" s="4"/>
      <c r="IAE122" s="4"/>
      <c r="IAF122" s="4"/>
      <c r="IAG122" s="4"/>
      <c r="IAH122" s="4"/>
      <c r="IAI122" s="4"/>
      <c r="IAJ122" s="4"/>
      <c r="IAK122" s="4"/>
      <c r="IAL122" s="4"/>
      <c r="IAM122" s="4"/>
      <c r="IAN122" s="4"/>
      <c r="IAO122" s="4"/>
      <c r="IAP122" s="4"/>
      <c r="IAQ122" s="4"/>
      <c r="IAR122" s="4"/>
      <c r="IAS122" s="4"/>
      <c r="IAT122" s="4"/>
      <c r="IAU122" s="4"/>
      <c r="IAV122" s="4"/>
      <c r="IAW122" s="4"/>
      <c r="IAX122" s="4"/>
      <c r="IAY122" s="4"/>
      <c r="IAZ122" s="4"/>
      <c r="IBA122" s="4"/>
      <c r="IBB122" s="4"/>
      <c r="IBC122" s="4"/>
      <c r="IBD122" s="4"/>
      <c r="IBE122" s="4"/>
      <c r="IBF122" s="4"/>
      <c r="IBG122" s="4"/>
      <c r="IBH122" s="4"/>
      <c r="IBI122" s="4"/>
      <c r="IBJ122" s="4"/>
      <c r="IBK122" s="4"/>
      <c r="IBL122" s="4"/>
      <c r="IBM122" s="4"/>
      <c r="IBN122" s="4"/>
      <c r="IBO122" s="4"/>
      <c r="IBP122" s="4"/>
      <c r="IBQ122" s="4"/>
      <c r="IBR122" s="4"/>
      <c r="IBS122" s="4"/>
      <c r="IBT122" s="4"/>
      <c r="IBU122" s="4"/>
      <c r="IBV122" s="4"/>
      <c r="IBW122" s="4"/>
      <c r="IBX122" s="4"/>
      <c r="IBY122" s="4"/>
      <c r="IBZ122" s="4"/>
      <c r="ICA122" s="4"/>
      <c r="ICB122" s="4"/>
      <c r="ICC122" s="4"/>
      <c r="ICD122" s="4"/>
      <c r="ICE122" s="4"/>
      <c r="ICF122" s="4"/>
      <c r="ICG122" s="4"/>
      <c r="ICH122" s="4"/>
      <c r="ICI122" s="4"/>
      <c r="ICJ122" s="4"/>
      <c r="ICK122" s="4"/>
      <c r="ICL122" s="4"/>
      <c r="ICM122" s="4"/>
      <c r="ICN122" s="4"/>
      <c r="ICO122" s="4"/>
      <c r="ICP122" s="4"/>
      <c r="ICQ122" s="4"/>
      <c r="ICR122" s="4"/>
      <c r="ICS122" s="4"/>
      <c r="ICT122" s="4"/>
      <c r="ICU122" s="4"/>
      <c r="ICV122" s="4"/>
      <c r="ICW122" s="4"/>
      <c r="ICX122" s="4"/>
      <c r="ICY122" s="4"/>
      <c r="ICZ122" s="4"/>
      <c r="IDA122" s="4"/>
      <c r="IDB122" s="4"/>
      <c r="IDC122" s="4"/>
      <c r="IDD122" s="4"/>
      <c r="IDE122" s="4"/>
      <c r="IDF122" s="4"/>
      <c r="IDG122" s="4"/>
      <c r="IDH122" s="4"/>
      <c r="IDI122" s="4"/>
      <c r="IDJ122" s="4"/>
      <c r="IDK122" s="4"/>
      <c r="IDL122" s="4"/>
      <c r="IDM122" s="4"/>
      <c r="IDN122" s="4"/>
      <c r="IDO122" s="4"/>
      <c r="IDP122" s="4"/>
      <c r="IDQ122" s="4"/>
      <c r="IDR122" s="4"/>
      <c r="IDS122" s="4"/>
      <c r="IDT122" s="4"/>
      <c r="IDU122" s="4"/>
      <c r="IDV122" s="4"/>
      <c r="IDW122" s="4"/>
      <c r="IDX122" s="4"/>
      <c r="IDY122" s="4"/>
      <c r="IDZ122" s="4"/>
      <c r="IEA122" s="4"/>
      <c r="IEB122" s="4"/>
      <c r="IEC122" s="4"/>
      <c r="IED122" s="4"/>
      <c r="IEE122" s="4"/>
      <c r="IEF122" s="4"/>
      <c r="IEG122" s="4"/>
      <c r="IEH122" s="4"/>
      <c r="IEI122" s="4"/>
      <c r="IEJ122" s="4"/>
      <c r="IEK122" s="4"/>
      <c r="IEL122" s="4"/>
      <c r="IEM122" s="4"/>
      <c r="IEN122" s="4"/>
      <c r="IEO122" s="4"/>
      <c r="IEP122" s="4"/>
      <c r="IEQ122" s="4"/>
      <c r="IER122" s="4"/>
      <c r="IES122" s="4"/>
      <c r="IET122" s="4"/>
      <c r="IEU122" s="4"/>
      <c r="IEV122" s="4"/>
      <c r="IEW122" s="4"/>
      <c r="IEX122" s="4"/>
      <c r="IEY122" s="4"/>
      <c r="IEZ122" s="4"/>
      <c r="IFA122" s="4"/>
      <c r="IFB122" s="4"/>
      <c r="IFC122" s="4"/>
      <c r="IFD122" s="4"/>
      <c r="IFE122" s="4"/>
      <c r="IFF122" s="4"/>
      <c r="IFG122" s="4"/>
      <c r="IFH122" s="4"/>
      <c r="IFI122" s="4"/>
      <c r="IFJ122" s="4"/>
      <c r="IFK122" s="4"/>
      <c r="IFL122" s="4"/>
      <c r="IFM122" s="4"/>
      <c r="IFN122" s="4"/>
      <c r="IFO122" s="4"/>
      <c r="IFP122" s="4"/>
      <c r="IFQ122" s="4"/>
      <c r="IFR122" s="4"/>
      <c r="IFS122" s="4"/>
      <c r="IFT122" s="4"/>
      <c r="IFU122" s="4"/>
      <c r="IFV122" s="4"/>
      <c r="IFW122" s="4"/>
      <c r="IFX122" s="4"/>
      <c r="IFY122" s="4"/>
      <c r="IFZ122" s="4"/>
      <c r="IGA122" s="4"/>
      <c r="IGB122" s="4"/>
      <c r="IGC122" s="4"/>
      <c r="IGD122" s="4"/>
      <c r="IGE122" s="4"/>
      <c r="IGF122" s="4"/>
      <c r="IGG122" s="4"/>
      <c r="IGH122" s="4"/>
      <c r="IGI122" s="4"/>
      <c r="IGJ122" s="4"/>
      <c r="IGK122" s="4"/>
      <c r="IGL122" s="4"/>
      <c r="IGM122" s="4"/>
      <c r="IGN122" s="4"/>
      <c r="IGO122" s="4"/>
      <c r="IGP122" s="4"/>
      <c r="IGQ122" s="4"/>
      <c r="IGR122" s="4"/>
      <c r="IGS122" s="4"/>
      <c r="IGT122" s="4"/>
      <c r="IGU122" s="4"/>
      <c r="IGV122" s="4"/>
      <c r="IGW122" s="4"/>
      <c r="IGX122" s="4"/>
      <c r="IGY122" s="4"/>
      <c r="IGZ122" s="4"/>
      <c r="IHA122" s="4"/>
      <c r="IHB122" s="4"/>
      <c r="IHC122" s="4"/>
      <c r="IHD122" s="4"/>
      <c r="IHE122" s="4"/>
      <c r="IHF122" s="4"/>
      <c r="IHG122" s="4"/>
      <c r="IHH122" s="4"/>
      <c r="IHI122" s="4"/>
      <c r="IHJ122" s="4"/>
      <c r="IHK122" s="4"/>
      <c r="IHL122" s="4"/>
      <c r="IHM122" s="4"/>
      <c r="IHN122" s="4"/>
      <c r="IHO122" s="4"/>
      <c r="IHP122" s="4"/>
      <c r="IHQ122" s="4"/>
      <c r="IHR122" s="4"/>
      <c r="IHS122" s="4"/>
      <c r="IHT122" s="4"/>
      <c r="IHU122" s="4"/>
      <c r="IHV122" s="4"/>
      <c r="IHW122" s="4"/>
      <c r="IHX122" s="4"/>
      <c r="IHY122" s="4"/>
      <c r="IHZ122" s="4"/>
      <c r="IIA122" s="4"/>
      <c r="IIB122" s="4"/>
      <c r="IIC122" s="4"/>
      <c r="IID122" s="4"/>
      <c r="IIE122" s="4"/>
      <c r="IIF122" s="4"/>
      <c r="IIG122" s="4"/>
      <c r="IIH122" s="4"/>
      <c r="III122" s="4"/>
      <c r="IIJ122" s="4"/>
      <c r="IIK122" s="4"/>
      <c r="IIL122" s="4"/>
      <c r="IIM122" s="4"/>
      <c r="IIN122" s="4"/>
      <c r="IIO122" s="4"/>
      <c r="IIP122" s="4"/>
      <c r="IIQ122" s="4"/>
      <c r="IIR122" s="4"/>
      <c r="IIS122" s="4"/>
      <c r="IIT122" s="4"/>
      <c r="IIU122" s="4"/>
      <c r="IIV122" s="4"/>
      <c r="IIW122" s="4"/>
      <c r="IIX122" s="4"/>
      <c r="IIY122" s="4"/>
      <c r="IIZ122" s="4"/>
      <c r="IJA122" s="4"/>
      <c r="IJB122" s="4"/>
      <c r="IJC122" s="4"/>
      <c r="IJD122" s="4"/>
      <c r="IJE122" s="4"/>
      <c r="IJF122" s="4"/>
      <c r="IJG122" s="4"/>
      <c r="IJH122" s="4"/>
      <c r="IJI122" s="4"/>
      <c r="IJJ122" s="4"/>
      <c r="IJK122" s="4"/>
      <c r="IJL122" s="4"/>
      <c r="IJM122" s="4"/>
      <c r="IJN122" s="4"/>
      <c r="IJO122" s="4"/>
      <c r="IJP122" s="4"/>
      <c r="IJQ122" s="4"/>
      <c r="IJR122" s="4"/>
      <c r="IJS122" s="4"/>
      <c r="IJT122" s="4"/>
      <c r="IJU122" s="4"/>
      <c r="IJV122" s="4"/>
      <c r="IJW122" s="4"/>
      <c r="IJX122" s="4"/>
      <c r="IJY122" s="4"/>
      <c r="IJZ122" s="4"/>
      <c r="IKA122" s="4"/>
      <c r="IKB122" s="4"/>
      <c r="IKC122" s="4"/>
      <c r="IKD122" s="4"/>
      <c r="IKE122" s="4"/>
      <c r="IKF122" s="4"/>
      <c r="IKG122" s="4"/>
      <c r="IKH122" s="4"/>
      <c r="IKI122" s="4"/>
      <c r="IKJ122" s="4"/>
      <c r="IKK122" s="4"/>
      <c r="IKL122" s="4"/>
      <c r="IKM122" s="4"/>
      <c r="IKN122" s="4"/>
      <c r="IKO122" s="4"/>
      <c r="IKP122" s="4"/>
      <c r="IKQ122" s="4"/>
      <c r="IKR122" s="4"/>
      <c r="IKS122" s="4"/>
      <c r="IKT122" s="4"/>
      <c r="IKU122" s="4"/>
      <c r="IKV122" s="4"/>
      <c r="IKW122" s="4"/>
      <c r="IKX122" s="4"/>
      <c r="IKY122" s="4"/>
      <c r="IKZ122" s="4"/>
      <c r="ILA122" s="4"/>
      <c r="ILB122" s="4"/>
      <c r="ILC122" s="4"/>
      <c r="ILD122" s="4"/>
      <c r="ILE122" s="4"/>
      <c r="ILF122" s="4"/>
      <c r="ILG122" s="4"/>
      <c r="ILH122" s="4"/>
      <c r="ILI122" s="4"/>
      <c r="ILJ122" s="4"/>
      <c r="ILK122" s="4"/>
      <c r="ILL122" s="4"/>
      <c r="ILM122" s="4"/>
      <c r="ILN122" s="4"/>
      <c r="ILO122" s="4"/>
      <c r="ILP122" s="4"/>
      <c r="ILQ122" s="4"/>
      <c r="ILR122" s="4"/>
      <c r="ILS122" s="4"/>
      <c r="ILT122" s="4"/>
      <c r="ILU122" s="4"/>
      <c r="ILV122" s="4"/>
      <c r="ILW122" s="4"/>
      <c r="ILX122" s="4"/>
      <c r="ILY122" s="4"/>
      <c r="ILZ122" s="4"/>
      <c r="IMA122" s="4"/>
      <c r="IMB122" s="4"/>
      <c r="IMC122" s="4"/>
      <c r="IMD122" s="4"/>
      <c r="IME122" s="4"/>
      <c r="IMF122" s="4"/>
      <c r="IMG122" s="4"/>
      <c r="IMH122" s="4"/>
      <c r="IMI122" s="4"/>
      <c r="IMJ122" s="4"/>
      <c r="IMK122" s="4"/>
      <c r="IML122" s="4"/>
      <c r="IMM122" s="4"/>
      <c r="IMN122" s="4"/>
      <c r="IMO122" s="4"/>
      <c r="IMP122" s="4"/>
      <c r="IMQ122" s="4"/>
      <c r="IMR122" s="4"/>
      <c r="IMS122" s="4"/>
      <c r="IMT122" s="4"/>
      <c r="IMU122" s="4"/>
      <c r="IMV122" s="4"/>
      <c r="IMW122" s="4"/>
      <c r="IMX122" s="4"/>
      <c r="IMY122" s="4"/>
      <c r="IMZ122" s="4"/>
      <c r="INA122" s="4"/>
      <c r="INB122" s="4"/>
      <c r="INC122" s="4"/>
      <c r="IND122" s="4"/>
      <c r="INE122" s="4"/>
      <c r="INF122" s="4"/>
      <c r="ING122" s="4"/>
      <c r="INH122" s="4"/>
      <c r="INI122" s="4"/>
      <c r="INJ122" s="4"/>
      <c r="INK122" s="4"/>
      <c r="INL122" s="4"/>
      <c r="INM122" s="4"/>
      <c r="INN122" s="4"/>
      <c r="INO122" s="4"/>
      <c r="INP122" s="4"/>
      <c r="INQ122" s="4"/>
      <c r="INR122" s="4"/>
      <c r="INS122" s="4"/>
      <c r="INT122" s="4"/>
      <c r="INU122" s="4"/>
      <c r="INV122" s="4"/>
      <c r="INW122" s="4"/>
      <c r="INX122" s="4"/>
      <c r="INY122" s="4"/>
      <c r="INZ122" s="4"/>
      <c r="IOA122" s="4"/>
      <c r="IOB122" s="4"/>
      <c r="IOC122" s="4"/>
      <c r="IOD122" s="4"/>
      <c r="IOE122" s="4"/>
      <c r="IOF122" s="4"/>
      <c r="IOG122" s="4"/>
      <c r="IOH122" s="4"/>
      <c r="IOI122" s="4"/>
      <c r="IOJ122" s="4"/>
      <c r="IOK122" s="4"/>
      <c r="IOL122" s="4"/>
      <c r="IOM122" s="4"/>
      <c r="ION122" s="4"/>
      <c r="IOO122" s="4"/>
      <c r="IOP122" s="4"/>
      <c r="IOQ122" s="4"/>
      <c r="IOR122" s="4"/>
      <c r="IOS122" s="4"/>
      <c r="IOT122" s="4"/>
      <c r="IOU122" s="4"/>
      <c r="IOV122" s="4"/>
      <c r="IOW122" s="4"/>
      <c r="IOX122" s="4"/>
      <c r="IOY122" s="4"/>
      <c r="IOZ122" s="4"/>
      <c r="IPA122" s="4"/>
      <c r="IPB122" s="4"/>
      <c r="IPC122" s="4"/>
      <c r="IPD122" s="4"/>
      <c r="IPE122" s="4"/>
      <c r="IPF122" s="4"/>
      <c r="IPG122" s="4"/>
      <c r="IPH122" s="4"/>
      <c r="IPI122" s="4"/>
      <c r="IPJ122" s="4"/>
      <c r="IPK122" s="4"/>
      <c r="IPL122" s="4"/>
      <c r="IPM122" s="4"/>
      <c r="IPN122" s="4"/>
      <c r="IPO122" s="4"/>
      <c r="IPP122" s="4"/>
      <c r="IPQ122" s="4"/>
      <c r="IPR122" s="4"/>
      <c r="IPS122" s="4"/>
      <c r="IPT122" s="4"/>
      <c r="IPU122" s="4"/>
      <c r="IPV122" s="4"/>
      <c r="IPW122" s="4"/>
      <c r="IPX122" s="4"/>
      <c r="IPY122" s="4"/>
      <c r="IPZ122" s="4"/>
      <c r="IQA122" s="4"/>
      <c r="IQB122" s="4"/>
      <c r="IQC122" s="4"/>
      <c r="IQD122" s="4"/>
      <c r="IQE122" s="4"/>
      <c r="IQF122" s="4"/>
      <c r="IQG122" s="4"/>
      <c r="IQH122" s="4"/>
      <c r="IQI122" s="4"/>
      <c r="IQJ122" s="4"/>
      <c r="IQK122" s="4"/>
      <c r="IQL122" s="4"/>
      <c r="IQM122" s="4"/>
      <c r="IQN122" s="4"/>
      <c r="IQO122" s="4"/>
      <c r="IQP122" s="4"/>
      <c r="IQQ122" s="4"/>
      <c r="IQR122" s="4"/>
      <c r="IQS122" s="4"/>
      <c r="IQT122" s="4"/>
      <c r="IQU122" s="4"/>
      <c r="IQV122" s="4"/>
      <c r="IQW122" s="4"/>
      <c r="IQX122" s="4"/>
      <c r="IQY122" s="4"/>
      <c r="IQZ122" s="4"/>
      <c r="IRA122" s="4"/>
      <c r="IRB122" s="4"/>
      <c r="IRC122" s="4"/>
      <c r="IRD122" s="4"/>
      <c r="IRE122" s="4"/>
      <c r="IRF122" s="4"/>
      <c r="IRG122" s="4"/>
      <c r="IRH122" s="4"/>
      <c r="IRI122" s="4"/>
      <c r="IRJ122" s="4"/>
      <c r="IRK122" s="4"/>
      <c r="IRL122" s="4"/>
      <c r="IRM122" s="4"/>
      <c r="IRN122" s="4"/>
      <c r="IRO122" s="4"/>
      <c r="IRP122" s="4"/>
      <c r="IRQ122" s="4"/>
      <c r="IRR122" s="4"/>
      <c r="IRS122" s="4"/>
      <c r="IRT122" s="4"/>
      <c r="IRU122" s="4"/>
      <c r="IRV122" s="4"/>
      <c r="IRW122" s="4"/>
      <c r="IRX122" s="4"/>
      <c r="IRY122" s="4"/>
      <c r="IRZ122" s="4"/>
      <c r="ISA122" s="4"/>
      <c r="ISB122" s="4"/>
      <c r="ISC122" s="4"/>
      <c r="ISD122" s="4"/>
      <c r="ISE122" s="4"/>
      <c r="ISF122" s="4"/>
      <c r="ISG122" s="4"/>
      <c r="ISH122" s="4"/>
      <c r="ISI122" s="4"/>
      <c r="ISJ122" s="4"/>
      <c r="ISK122" s="4"/>
      <c r="ISL122" s="4"/>
      <c r="ISM122" s="4"/>
      <c r="ISN122" s="4"/>
      <c r="ISO122" s="4"/>
      <c r="ISP122" s="4"/>
      <c r="ISQ122" s="4"/>
      <c r="ISR122" s="4"/>
      <c r="ISS122" s="4"/>
      <c r="IST122" s="4"/>
      <c r="ISU122" s="4"/>
      <c r="ISV122" s="4"/>
      <c r="ISW122" s="4"/>
      <c r="ISX122" s="4"/>
      <c r="ISY122" s="4"/>
      <c r="ISZ122" s="4"/>
      <c r="ITA122" s="4"/>
      <c r="ITB122" s="4"/>
      <c r="ITC122" s="4"/>
      <c r="ITD122" s="4"/>
      <c r="ITE122" s="4"/>
      <c r="ITF122" s="4"/>
      <c r="ITG122" s="4"/>
      <c r="ITH122" s="4"/>
      <c r="ITI122" s="4"/>
      <c r="ITJ122" s="4"/>
      <c r="ITK122" s="4"/>
      <c r="ITL122" s="4"/>
      <c r="ITM122" s="4"/>
      <c r="ITN122" s="4"/>
      <c r="ITO122" s="4"/>
      <c r="ITP122" s="4"/>
      <c r="ITQ122" s="4"/>
      <c r="ITR122" s="4"/>
      <c r="ITS122" s="4"/>
      <c r="ITT122" s="4"/>
      <c r="ITU122" s="4"/>
      <c r="ITV122" s="4"/>
      <c r="ITW122" s="4"/>
      <c r="ITX122" s="4"/>
      <c r="ITY122" s="4"/>
      <c r="ITZ122" s="4"/>
      <c r="IUA122" s="4"/>
      <c r="IUB122" s="4"/>
      <c r="IUC122" s="4"/>
      <c r="IUD122" s="4"/>
      <c r="IUE122" s="4"/>
      <c r="IUF122" s="4"/>
      <c r="IUG122" s="4"/>
      <c r="IUH122" s="4"/>
      <c r="IUI122" s="4"/>
      <c r="IUJ122" s="4"/>
      <c r="IUK122" s="4"/>
      <c r="IUL122" s="4"/>
      <c r="IUM122" s="4"/>
      <c r="IUN122" s="4"/>
      <c r="IUO122" s="4"/>
      <c r="IUP122" s="4"/>
      <c r="IUQ122" s="4"/>
      <c r="IUR122" s="4"/>
      <c r="IUS122" s="4"/>
      <c r="IUT122" s="4"/>
      <c r="IUU122" s="4"/>
      <c r="IUV122" s="4"/>
      <c r="IUW122" s="4"/>
      <c r="IUX122" s="4"/>
      <c r="IUY122" s="4"/>
      <c r="IUZ122" s="4"/>
      <c r="IVA122" s="4"/>
      <c r="IVB122" s="4"/>
      <c r="IVC122" s="4"/>
      <c r="IVD122" s="4"/>
      <c r="IVE122" s="4"/>
      <c r="IVF122" s="4"/>
      <c r="IVG122" s="4"/>
      <c r="IVH122" s="4"/>
      <c r="IVI122" s="4"/>
      <c r="IVJ122" s="4"/>
      <c r="IVK122" s="4"/>
      <c r="IVL122" s="4"/>
      <c r="IVM122" s="4"/>
      <c r="IVN122" s="4"/>
      <c r="IVO122" s="4"/>
      <c r="IVP122" s="4"/>
      <c r="IVQ122" s="4"/>
      <c r="IVR122" s="4"/>
      <c r="IVS122" s="4"/>
      <c r="IVT122" s="4"/>
      <c r="IVU122" s="4"/>
      <c r="IVV122" s="4"/>
      <c r="IVW122" s="4"/>
      <c r="IVX122" s="4"/>
      <c r="IVY122" s="4"/>
      <c r="IVZ122" s="4"/>
      <c r="IWA122" s="4"/>
      <c r="IWB122" s="4"/>
      <c r="IWC122" s="4"/>
      <c r="IWD122" s="4"/>
      <c r="IWE122" s="4"/>
      <c r="IWF122" s="4"/>
      <c r="IWG122" s="4"/>
      <c r="IWH122" s="4"/>
      <c r="IWI122" s="4"/>
      <c r="IWJ122" s="4"/>
      <c r="IWK122" s="4"/>
      <c r="IWL122" s="4"/>
      <c r="IWM122" s="4"/>
      <c r="IWN122" s="4"/>
      <c r="IWO122" s="4"/>
      <c r="IWP122" s="4"/>
      <c r="IWQ122" s="4"/>
      <c r="IWR122" s="4"/>
      <c r="IWS122" s="4"/>
      <c r="IWT122" s="4"/>
      <c r="IWU122" s="4"/>
      <c r="IWV122" s="4"/>
      <c r="IWW122" s="4"/>
      <c r="IWX122" s="4"/>
      <c r="IWY122" s="4"/>
      <c r="IWZ122" s="4"/>
      <c r="IXA122" s="4"/>
      <c r="IXB122" s="4"/>
      <c r="IXC122" s="4"/>
      <c r="IXD122" s="4"/>
      <c r="IXE122" s="4"/>
      <c r="IXF122" s="4"/>
      <c r="IXG122" s="4"/>
      <c r="IXH122" s="4"/>
      <c r="IXI122" s="4"/>
      <c r="IXJ122" s="4"/>
      <c r="IXK122" s="4"/>
      <c r="IXL122" s="4"/>
      <c r="IXM122" s="4"/>
      <c r="IXN122" s="4"/>
      <c r="IXO122" s="4"/>
      <c r="IXP122" s="4"/>
      <c r="IXQ122" s="4"/>
      <c r="IXR122" s="4"/>
      <c r="IXS122" s="4"/>
      <c r="IXT122" s="4"/>
      <c r="IXU122" s="4"/>
      <c r="IXV122" s="4"/>
      <c r="IXW122" s="4"/>
      <c r="IXX122" s="4"/>
      <c r="IXY122" s="4"/>
      <c r="IXZ122" s="4"/>
      <c r="IYA122" s="4"/>
      <c r="IYB122" s="4"/>
      <c r="IYC122" s="4"/>
      <c r="IYD122" s="4"/>
      <c r="IYE122" s="4"/>
      <c r="IYF122" s="4"/>
      <c r="IYG122" s="4"/>
      <c r="IYH122" s="4"/>
      <c r="IYI122" s="4"/>
      <c r="IYJ122" s="4"/>
      <c r="IYK122" s="4"/>
      <c r="IYL122" s="4"/>
      <c r="IYM122" s="4"/>
      <c r="IYN122" s="4"/>
      <c r="IYO122" s="4"/>
      <c r="IYP122" s="4"/>
      <c r="IYQ122" s="4"/>
      <c r="IYR122" s="4"/>
      <c r="IYS122" s="4"/>
      <c r="IYT122" s="4"/>
      <c r="IYU122" s="4"/>
      <c r="IYV122" s="4"/>
      <c r="IYW122" s="4"/>
      <c r="IYX122" s="4"/>
      <c r="IYY122" s="4"/>
      <c r="IYZ122" s="4"/>
      <c r="IZA122" s="4"/>
      <c r="IZB122" s="4"/>
      <c r="IZC122" s="4"/>
      <c r="IZD122" s="4"/>
      <c r="IZE122" s="4"/>
      <c r="IZF122" s="4"/>
      <c r="IZG122" s="4"/>
      <c r="IZH122" s="4"/>
      <c r="IZI122" s="4"/>
      <c r="IZJ122" s="4"/>
      <c r="IZK122" s="4"/>
      <c r="IZL122" s="4"/>
      <c r="IZM122" s="4"/>
      <c r="IZN122" s="4"/>
      <c r="IZO122" s="4"/>
      <c r="IZP122" s="4"/>
      <c r="IZQ122" s="4"/>
      <c r="IZR122" s="4"/>
      <c r="IZS122" s="4"/>
      <c r="IZT122" s="4"/>
      <c r="IZU122" s="4"/>
      <c r="IZV122" s="4"/>
      <c r="IZW122" s="4"/>
      <c r="IZX122" s="4"/>
      <c r="IZY122" s="4"/>
      <c r="IZZ122" s="4"/>
      <c r="JAA122" s="4"/>
      <c r="JAB122" s="4"/>
      <c r="JAC122" s="4"/>
      <c r="JAD122" s="4"/>
      <c r="JAE122" s="4"/>
      <c r="JAF122" s="4"/>
      <c r="JAG122" s="4"/>
      <c r="JAH122" s="4"/>
      <c r="JAI122" s="4"/>
      <c r="JAJ122" s="4"/>
      <c r="JAK122" s="4"/>
      <c r="JAL122" s="4"/>
      <c r="JAM122" s="4"/>
      <c r="JAN122" s="4"/>
      <c r="JAO122" s="4"/>
      <c r="JAP122" s="4"/>
      <c r="JAQ122" s="4"/>
      <c r="JAR122" s="4"/>
      <c r="JAS122" s="4"/>
      <c r="JAT122" s="4"/>
      <c r="JAU122" s="4"/>
      <c r="JAV122" s="4"/>
      <c r="JAW122" s="4"/>
      <c r="JAX122" s="4"/>
      <c r="JAY122" s="4"/>
      <c r="JAZ122" s="4"/>
      <c r="JBA122" s="4"/>
      <c r="JBB122" s="4"/>
      <c r="JBC122" s="4"/>
      <c r="JBD122" s="4"/>
      <c r="JBE122" s="4"/>
      <c r="JBF122" s="4"/>
      <c r="JBG122" s="4"/>
      <c r="JBH122" s="4"/>
      <c r="JBI122" s="4"/>
      <c r="JBJ122" s="4"/>
      <c r="JBK122" s="4"/>
      <c r="JBL122" s="4"/>
      <c r="JBM122" s="4"/>
      <c r="JBN122" s="4"/>
      <c r="JBO122" s="4"/>
      <c r="JBP122" s="4"/>
      <c r="JBQ122" s="4"/>
      <c r="JBR122" s="4"/>
      <c r="JBS122" s="4"/>
      <c r="JBT122" s="4"/>
      <c r="JBU122" s="4"/>
      <c r="JBV122" s="4"/>
      <c r="JBW122" s="4"/>
      <c r="JBX122" s="4"/>
      <c r="JBY122" s="4"/>
      <c r="JBZ122" s="4"/>
      <c r="JCA122" s="4"/>
      <c r="JCB122" s="4"/>
      <c r="JCC122" s="4"/>
      <c r="JCD122" s="4"/>
      <c r="JCE122" s="4"/>
      <c r="JCF122" s="4"/>
      <c r="JCG122" s="4"/>
      <c r="JCH122" s="4"/>
      <c r="JCI122" s="4"/>
      <c r="JCJ122" s="4"/>
      <c r="JCK122" s="4"/>
      <c r="JCL122" s="4"/>
      <c r="JCM122" s="4"/>
      <c r="JCN122" s="4"/>
      <c r="JCO122" s="4"/>
      <c r="JCP122" s="4"/>
      <c r="JCQ122" s="4"/>
      <c r="JCR122" s="4"/>
      <c r="JCS122" s="4"/>
      <c r="JCT122" s="4"/>
      <c r="JCU122" s="4"/>
      <c r="JCV122" s="4"/>
      <c r="JCW122" s="4"/>
      <c r="JCX122" s="4"/>
      <c r="JCY122" s="4"/>
      <c r="JCZ122" s="4"/>
      <c r="JDA122" s="4"/>
      <c r="JDB122" s="4"/>
      <c r="JDC122" s="4"/>
      <c r="JDD122" s="4"/>
      <c r="JDE122" s="4"/>
      <c r="JDF122" s="4"/>
      <c r="JDG122" s="4"/>
      <c r="JDH122" s="4"/>
      <c r="JDI122" s="4"/>
      <c r="JDJ122" s="4"/>
      <c r="JDK122" s="4"/>
      <c r="JDL122" s="4"/>
      <c r="JDM122" s="4"/>
      <c r="JDN122" s="4"/>
      <c r="JDO122" s="4"/>
      <c r="JDP122" s="4"/>
      <c r="JDQ122" s="4"/>
      <c r="JDR122" s="4"/>
      <c r="JDS122" s="4"/>
      <c r="JDT122" s="4"/>
      <c r="JDU122" s="4"/>
      <c r="JDV122" s="4"/>
      <c r="JDW122" s="4"/>
      <c r="JDX122" s="4"/>
      <c r="JDY122" s="4"/>
      <c r="JDZ122" s="4"/>
      <c r="JEA122" s="4"/>
      <c r="JEB122" s="4"/>
      <c r="JEC122" s="4"/>
      <c r="JED122" s="4"/>
      <c r="JEE122" s="4"/>
      <c r="JEF122" s="4"/>
      <c r="JEG122" s="4"/>
      <c r="JEH122" s="4"/>
      <c r="JEI122" s="4"/>
      <c r="JEJ122" s="4"/>
      <c r="JEK122" s="4"/>
      <c r="JEL122" s="4"/>
      <c r="JEM122" s="4"/>
      <c r="JEN122" s="4"/>
      <c r="JEO122" s="4"/>
      <c r="JEP122" s="4"/>
      <c r="JEQ122" s="4"/>
      <c r="JER122" s="4"/>
      <c r="JES122" s="4"/>
      <c r="JET122" s="4"/>
      <c r="JEU122" s="4"/>
      <c r="JEV122" s="4"/>
      <c r="JEW122" s="4"/>
      <c r="JEX122" s="4"/>
      <c r="JEY122" s="4"/>
      <c r="JEZ122" s="4"/>
      <c r="JFA122" s="4"/>
      <c r="JFB122" s="4"/>
      <c r="JFC122" s="4"/>
      <c r="JFD122" s="4"/>
      <c r="JFE122" s="4"/>
      <c r="JFF122" s="4"/>
      <c r="JFG122" s="4"/>
      <c r="JFH122" s="4"/>
      <c r="JFI122" s="4"/>
      <c r="JFJ122" s="4"/>
      <c r="JFK122" s="4"/>
      <c r="JFL122" s="4"/>
      <c r="JFM122" s="4"/>
      <c r="JFN122" s="4"/>
      <c r="JFO122" s="4"/>
      <c r="JFP122" s="4"/>
      <c r="JFQ122" s="4"/>
      <c r="JFR122" s="4"/>
      <c r="JFS122" s="4"/>
      <c r="JFT122" s="4"/>
      <c r="JFU122" s="4"/>
      <c r="JFV122" s="4"/>
      <c r="JFW122" s="4"/>
      <c r="JFX122" s="4"/>
      <c r="JFY122" s="4"/>
      <c r="JFZ122" s="4"/>
      <c r="JGA122" s="4"/>
      <c r="JGB122" s="4"/>
      <c r="JGC122" s="4"/>
      <c r="JGD122" s="4"/>
      <c r="JGE122" s="4"/>
      <c r="JGF122" s="4"/>
      <c r="JGG122" s="4"/>
      <c r="JGH122" s="4"/>
      <c r="JGI122" s="4"/>
      <c r="JGJ122" s="4"/>
      <c r="JGK122" s="4"/>
      <c r="JGL122" s="4"/>
      <c r="JGM122" s="4"/>
      <c r="JGN122" s="4"/>
      <c r="JGO122" s="4"/>
      <c r="JGP122" s="4"/>
      <c r="JGQ122" s="4"/>
      <c r="JGR122" s="4"/>
      <c r="JGS122" s="4"/>
      <c r="JGT122" s="4"/>
      <c r="JGU122" s="4"/>
      <c r="JGV122" s="4"/>
      <c r="JGW122" s="4"/>
      <c r="JGX122" s="4"/>
      <c r="JGY122" s="4"/>
      <c r="JGZ122" s="4"/>
      <c r="JHA122" s="4"/>
      <c r="JHB122" s="4"/>
      <c r="JHC122" s="4"/>
      <c r="JHD122" s="4"/>
      <c r="JHE122" s="4"/>
      <c r="JHF122" s="4"/>
      <c r="JHG122" s="4"/>
      <c r="JHH122" s="4"/>
      <c r="JHI122" s="4"/>
      <c r="JHJ122" s="4"/>
      <c r="JHK122" s="4"/>
      <c r="JHL122" s="4"/>
      <c r="JHM122" s="4"/>
      <c r="JHN122" s="4"/>
      <c r="JHO122" s="4"/>
      <c r="JHP122" s="4"/>
      <c r="JHQ122" s="4"/>
      <c r="JHR122" s="4"/>
      <c r="JHS122" s="4"/>
      <c r="JHT122" s="4"/>
      <c r="JHU122" s="4"/>
      <c r="JHV122" s="4"/>
      <c r="JHW122" s="4"/>
      <c r="JHX122" s="4"/>
      <c r="JHY122" s="4"/>
      <c r="JHZ122" s="4"/>
      <c r="JIA122" s="4"/>
      <c r="JIB122" s="4"/>
      <c r="JIC122" s="4"/>
      <c r="JID122" s="4"/>
      <c r="JIE122" s="4"/>
      <c r="JIF122" s="4"/>
      <c r="JIG122" s="4"/>
      <c r="JIH122" s="4"/>
      <c r="JII122" s="4"/>
      <c r="JIJ122" s="4"/>
      <c r="JIK122" s="4"/>
      <c r="JIL122" s="4"/>
      <c r="JIM122" s="4"/>
      <c r="JIN122" s="4"/>
      <c r="JIO122" s="4"/>
      <c r="JIP122" s="4"/>
      <c r="JIQ122" s="4"/>
      <c r="JIR122" s="4"/>
      <c r="JIS122" s="4"/>
      <c r="JIT122" s="4"/>
      <c r="JIU122" s="4"/>
      <c r="JIV122" s="4"/>
      <c r="JIW122" s="4"/>
      <c r="JIX122" s="4"/>
      <c r="JIY122" s="4"/>
      <c r="JIZ122" s="4"/>
      <c r="JJA122" s="4"/>
      <c r="JJB122" s="4"/>
      <c r="JJC122" s="4"/>
      <c r="JJD122" s="4"/>
      <c r="JJE122" s="4"/>
      <c r="JJF122" s="4"/>
      <c r="JJG122" s="4"/>
      <c r="JJH122" s="4"/>
      <c r="JJI122" s="4"/>
      <c r="JJJ122" s="4"/>
      <c r="JJK122" s="4"/>
      <c r="JJL122" s="4"/>
      <c r="JJM122" s="4"/>
      <c r="JJN122" s="4"/>
      <c r="JJO122" s="4"/>
      <c r="JJP122" s="4"/>
      <c r="JJQ122" s="4"/>
      <c r="JJR122" s="4"/>
      <c r="JJS122" s="4"/>
      <c r="JJT122" s="4"/>
      <c r="JJU122" s="4"/>
      <c r="JJV122" s="4"/>
      <c r="JJW122" s="4"/>
      <c r="JJX122" s="4"/>
      <c r="JJY122" s="4"/>
      <c r="JJZ122" s="4"/>
      <c r="JKA122" s="4"/>
      <c r="JKB122" s="4"/>
      <c r="JKC122" s="4"/>
      <c r="JKD122" s="4"/>
      <c r="JKE122" s="4"/>
      <c r="JKF122" s="4"/>
      <c r="JKG122" s="4"/>
      <c r="JKH122" s="4"/>
      <c r="JKI122" s="4"/>
      <c r="JKJ122" s="4"/>
      <c r="JKK122" s="4"/>
      <c r="JKL122" s="4"/>
      <c r="JKM122" s="4"/>
      <c r="JKN122" s="4"/>
      <c r="JKO122" s="4"/>
      <c r="JKP122" s="4"/>
      <c r="JKQ122" s="4"/>
      <c r="JKR122" s="4"/>
      <c r="JKS122" s="4"/>
      <c r="JKT122" s="4"/>
      <c r="JKU122" s="4"/>
      <c r="JKV122" s="4"/>
      <c r="JKW122" s="4"/>
      <c r="JKX122" s="4"/>
      <c r="JKY122" s="4"/>
      <c r="JKZ122" s="4"/>
      <c r="JLA122" s="4"/>
      <c r="JLB122" s="4"/>
      <c r="JLC122" s="4"/>
      <c r="JLD122" s="4"/>
      <c r="JLE122" s="4"/>
      <c r="JLF122" s="4"/>
      <c r="JLG122" s="4"/>
      <c r="JLH122" s="4"/>
      <c r="JLI122" s="4"/>
      <c r="JLJ122" s="4"/>
      <c r="JLK122" s="4"/>
      <c r="JLL122" s="4"/>
      <c r="JLM122" s="4"/>
      <c r="JLN122" s="4"/>
      <c r="JLO122" s="4"/>
      <c r="JLP122" s="4"/>
      <c r="JLQ122" s="4"/>
      <c r="JLR122" s="4"/>
      <c r="JLS122" s="4"/>
      <c r="JLT122" s="4"/>
      <c r="JLU122" s="4"/>
      <c r="JLV122" s="4"/>
      <c r="JLW122" s="4"/>
      <c r="JLX122" s="4"/>
      <c r="JLY122" s="4"/>
      <c r="JLZ122" s="4"/>
      <c r="JMA122" s="4"/>
      <c r="JMB122" s="4"/>
      <c r="JMC122" s="4"/>
      <c r="JMD122" s="4"/>
      <c r="JME122" s="4"/>
      <c r="JMF122" s="4"/>
      <c r="JMG122" s="4"/>
      <c r="JMH122" s="4"/>
      <c r="JMI122" s="4"/>
      <c r="JMJ122" s="4"/>
      <c r="JMK122" s="4"/>
      <c r="JML122" s="4"/>
      <c r="JMM122" s="4"/>
      <c r="JMN122" s="4"/>
      <c r="JMO122" s="4"/>
      <c r="JMP122" s="4"/>
      <c r="JMQ122" s="4"/>
      <c r="JMR122" s="4"/>
      <c r="JMS122" s="4"/>
      <c r="JMT122" s="4"/>
      <c r="JMU122" s="4"/>
      <c r="JMV122" s="4"/>
      <c r="JMW122" s="4"/>
      <c r="JMX122" s="4"/>
      <c r="JMY122" s="4"/>
      <c r="JMZ122" s="4"/>
      <c r="JNA122" s="4"/>
      <c r="JNB122" s="4"/>
      <c r="JNC122" s="4"/>
      <c r="JND122" s="4"/>
      <c r="JNE122" s="4"/>
      <c r="JNF122" s="4"/>
      <c r="JNG122" s="4"/>
      <c r="JNH122" s="4"/>
      <c r="JNI122" s="4"/>
      <c r="JNJ122" s="4"/>
      <c r="JNK122" s="4"/>
      <c r="JNL122" s="4"/>
      <c r="JNM122" s="4"/>
      <c r="JNN122" s="4"/>
      <c r="JNO122" s="4"/>
      <c r="JNP122" s="4"/>
      <c r="JNQ122" s="4"/>
      <c r="JNR122" s="4"/>
      <c r="JNS122" s="4"/>
      <c r="JNT122" s="4"/>
      <c r="JNU122" s="4"/>
      <c r="JNV122" s="4"/>
      <c r="JNW122" s="4"/>
      <c r="JNX122" s="4"/>
      <c r="JNY122" s="4"/>
      <c r="JNZ122" s="4"/>
      <c r="JOA122" s="4"/>
      <c r="JOB122" s="4"/>
      <c r="JOC122" s="4"/>
      <c r="JOD122" s="4"/>
      <c r="JOE122" s="4"/>
      <c r="JOF122" s="4"/>
      <c r="JOG122" s="4"/>
      <c r="JOH122" s="4"/>
      <c r="JOI122" s="4"/>
      <c r="JOJ122" s="4"/>
      <c r="JOK122" s="4"/>
      <c r="JOL122" s="4"/>
      <c r="JOM122" s="4"/>
      <c r="JON122" s="4"/>
      <c r="JOO122" s="4"/>
      <c r="JOP122" s="4"/>
      <c r="JOQ122" s="4"/>
      <c r="JOR122" s="4"/>
      <c r="JOS122" s="4"/>
      <c r="JOT122" s="4"/>
      <c r="JOU122" s="4"/>
      <c r="JOV122" s="4"/>
      <c r="JOW122" s="4"/>
      <c r="JOX122" s="4"/>
      <c r="JOY122" s="4"/>
      <c r="JOZ122" s="4"/>
      <c r="JPA122" s="4"/>
      <c r="JPB122" s="4"/>
      <c r="JPC122" s="4"/>
      <c r="JPD122" s="4"/>
      <c r="JPE122" s="4"/>
      <c r="JPF122" s="4"/>
      <c r="JPG122" s="4"/>
      <c r="JPH122" s="4"/>
      <c r="JPI122" s="4"/>
      <c r="JPJ122" s="4"/>
      <c r="JPK122" s="4"/>
      <c r="JPL122" s="4"/>
      <c r="JPM122" s="4"/>
      <c r="JPN122" s="4"/>
      <c r="JPO122" s="4"/>
      <c r="JPP122" s="4"/>
      <c r="JPQ122" s="4"/>
      <c r="JPR122" s="4"/>
      <c r="JPS122" s="4"/>
      <c r="JPT122" s="4"/>
      <c r="JPU122" s="4"/>
      <c r="JPV122" s="4"/>
      <c r="JPW122" s="4"/>
      <c r="JPX122" s="4"/>
      <c r="JPY122" s="4"/>
      <c r="JPZ122" s="4"/>
      <c r="JQA122" s="4"/>
      <c r="JQB122" s="4"/>
      <c r="JQC122" s="4"/>
      <c r="JQD122" s="4"/>
      <c r="JQE122" s="4"/>
      <c r="JQF122" s="4"/>
      <c r="JQG122" s="4"/>
      <c r="JQH122" s="4"/>
      <c r="JQI122" s="4"/>
      <c r="JQJ122" s="4"/>
      <c r="JQK122" s="4"/>
      <c r="JQL122" s="4"/>
      <c r="JQM122" s="4"/>
      <c r="JQN122" s="4"/>
      <c r="JQO122" s="4"/>
      <c r="JQP122" s="4"/>
      <c r="JQQ122" s="4"/>
      <c r="JQR122" s="4"/>
      <c r="JQS122" s="4"/>
      <c r="JQT122" s="4"/>
      <c r="JQU122" s="4"/>
      <c r="JQV122" s="4"/>
      <c r="JQW122" s="4"/>
      <c r="JQX122" s="4"/>
      <c r="JQY122" s="4"/>
      <c r="JQZ122" s="4"/>
      <c r="JRA122" s="4"/>
      <c r="JRB122" s="4"/>
      <c r="JRC122" s="4"/>
      <c r="JRD122" s="4"/>
      <c r="JRE122" s="4"/>
      <c r="JRF122" s="4"/>
      <c r="JRG122" s="4"/>
      <c r="JRH122" s="4"/>
      <c r="JRI122" s="4"/>
      <c r="JRJ122" s="4"/>
      <c r="JRK122" s="4"/>
      <c r="JRL122" s="4"/>
      <c r="JRM122" s="4"/>
      <c r="JRN122" s="4"/>
      <c r="JRO122" s="4"/>
      <c r="JRP122" s="4"/>
      <c r="JRQ122" s="4"/>
      <c r="JRR122" s="4"/>
      <c r="JRS122" s="4"/>
      <c r="JRT122" s="4"/>
      <c r="JRU122" s="4"/>
      <c r="JRV122" s="4"/>
      <c r="JRW122" s="4"/>
      <c r="JRX122" s="4"/>
      <c r="JRY122" s="4"/>
      <c r="JRZ122" s="4"/>
      <c r="JSA122" s="4"/>
      <c r="JSB122" s="4"/>
      <c r="JSC122" s="4"/>
      <c r="JSD122" s="4"/>
      <c r="JSE122" s="4"/>
      <c r="JSF122" s="4"/>
      <c r="JSG122" s="4"/>
      <c r="JSH122" s="4"/>
      <c r="JSI122" s="4"/>
      <c r="JSJ122" s="4"/>
      <c r="JSK122" s="4"/>
      <c r="JSL122" s="4"/>
      <c r="JSM122" s="4"/>
      <c r="JSN122" s="4"/>
      <c r="JSO122" s="4"/>
      <c r="JSP122" s="4"/>
      <c r="JSQ122" s="4"/>
      <c r="JSR122" s="4"/>
      <c r="JSS122" s="4"/>
      <c r="JST122" s="4"/>
      <c r="JSU122" s="4"/>
      <c r="JSV122" s="4"/>
      <c r="JSW122" s="4"/>
      <c r="JSX122" s="4"/>
      <c r="JSY122" s="4"/>
      <c r="JSZ122" s="4"/>
      <c r="JTA122" s="4"/>
      <c r="JTB122" s="4"/>
      <c r="JTC122" s="4"/>
      <c r="JTD122" s="4"/>
      <c r="JTE122" s="4"/>
      <c r="JTF122" s="4"/>
      <c r="JTG122" s="4"/>
      <c r="JTH122" s="4"/>
      <c r="JTI122" s="4"/>
      <c r="JTJ122" s="4"/>
      <c r="JTK122" s="4"/>
      <c r="JTL122" s="4"/>
      <c r="JTM122" s="4"/>
      <c r="JTN122" s="4"/>
      <c r="JTO122" s="4"/>
      <c r="JTP122" s="4"/>
      <c r="JTQ122" s="4"/>
      <c r="JTR122" s="4"/>
      <c r="JTS122" s="4"/>
      <c r="JTT122" s="4"/>
      <c r="JTU122" s="4"/>
      <c r="JTV122" s="4"/>
      <c r="JTW122" s="4"/>
      <c r="JTX122" s="4"/>
      <c r="JTY122" s="4"/>
      <c r="JTZ122" s="4"/>
      <c r="JUA122" s="4"/>
      <c r="JUB122" s="4"/>
      <c r="JUC122" s="4"/>
      <c r="JUD122" s="4"/>
      <c r="JUE122" s="4"/>
      <c r="JUF122" s="4"/>
      <c r="JUG122" s="4"/>
      <c r="JUH122" s="4"/>
      <c r="JUI122" s="4"/>
      <c r="JUJ122" s="4"/>
      <c r="JUK122" s="4"/>
      <c r="JUL122" s="4"/>
      <c r="JUM122" s="4"/>
      <c r="JUN122" s="4"/>
      <c r="JUO122" s="4"/>
      <c r="JUP122" s="4"/>
      <c r="JUQ122" s="4"/>
      <c r="JUR122" s="4"/>
      <c r="JUS122" s="4"/>
      <c r="JUT122" s="4"/>
      <c r="JUU122" s="4"/>
      <c r="JUV122" s="4"/>
      <c r="JUW122" s="4"/>
      <c r="JUX122" s="4"/>
      <c r="JUY122" s="4"/>
      <c r="JUZ122" s="4"/>
      <c r="JVA122" s="4"/>
      <c r="JVB122" s="4"/>
      <c r="JVC122" s="4"/>
      <c r="JVD122" s="4"/>
      <c r="JVE122" s="4"/>
      <c r="JVF122" s="4"/>
      <c r="JVG122" s="4"/>
      <c r="JVH122" s="4"/>
      <c r="JVI122" s="4"/>
      <c r="JVJ122" s="4"/>
      <c r="JVK122" s="4"/>
      <c r="JVL122" s="4"/>
      <c r="JVM122" s="4"/>
      <c r="JVN122" s="4"/>
      <c r="JVO122" s="4"/>
      <c r="JVP122" s="4"/>
      <c r="JVQ122" s="4"/>
      <c r="JVR122" s="4"/>
      <c r="JVS122" s="4"/>
      <c r="JVT122" s="4"/>
      <c r="JVU122" s="4"/>
      <c r="JVV122" s="4"/>
      <c r="JVW122" s="4"/>
      <c r="JVX122" s="4"/>
      <c r="JVY122" s="4"/>
      <c r="JVZ122" s="4"/>
      <c r="JWA122" s="4"/>
      <c r="JWB122" s="4"/>
      <c r="JWC122" s="4"/>
      <c r="JWD122" s="4"/>
      <c r="JWE122" s="4"/>
      <c r="JWF122" s="4"/>
      <c r="JWG122" s="4"/>
      <c r="JWH122" s="4"/>
      <c r="JWI122" s="4"/>
      <c r="JWJ122" s="4"/>
      <c r="JWK122" s="4"/>
      <c r="JWL122" s="4"/>
      <c r="JWM122" s="4"/>
      <c r="JWN122" s="4"/>
      <c r="JWO122" s="4"/>
      <c r="JWP122" s="4"/>
      <c r="JWQ122" s="4"/>
      <c r="JWR122" s="4"/>
      <c r="JWS122" s="4"/>
      <c r="JWT122" s="4"/>
      <c r="JWU122" s="4"/>
      <c r="JWV122" s="4"/>
      <c r="JWW122" s="4"/>
      <c r="JWX122" s="4"/>
      <c r="JWY122" s="4"/>
      <c r="JWZ122" s="4"/>
      <c r="JXA122" s="4"/>
      <c r="JXB122" s="4"/>
      <c r="JXC122" s="4"/>
      <c r="JXD122" s="4"/>
      <c r="JXE122" s="4"/>
      <c r="JXF122" s="4"/>
      <c r="JXG122" s="4"/>
      <c r="JXH122" s="4"/>
      <c r="JXI122" s="4"/>
      <c r="JXJ122" s="4"/>
      <c r="JXK122" s="4"/>
      <c r="JXL122" s="4"/>
      <c r="JXM122" s="4"/>
      <c r="JXN122" s="4"/>
      <c r="JXO122" s="4"/>
      <c r="JXP122" s="4"/>
      <c r="JXQ122" s="4"/>
      <c r="JXR122" s="4"/>
      <c r="JXS122" s="4"/>
      <c r="JXT122" s="4"/>
      <c r="JXU122" s="4"/>
      <c r="JXV122" s="4"/>
      <c r="JXW122" s="4"/>
      <c r="JXX122" s="4"/>
      <c r="JXY122" s="4"/>
      <c r="JXZ122" s="4"/>
      <c r="JYA122" s="4"/>
      <c r="JYB122" s="4"/>
      <c r="JYC122" s="4"/>
      <c r="JYD122" s="4"/>
      <c r="JYE122" s="4"/>
      <c r="JYF122" s="4"/>
      <c r="JYG122" s="4"/>
      <c r="JYH122" s="4"/>
      <c r="JYI122" s="4"/>
      <c r="JYJ122" s="4"/>
      <c r="JYK122" s="4"/>
      <c r="JYL122" s="4"/>
      <c r="JYM122" s="4"/>
      <c r="JYN122" s="4"/>
      <c r="JYO122" s="4"/>
      <c r="JYP122" s="4"/>
      <c r="JYQ122" s="4"/>
      <c r="JYR122" s="4"/>
      <c r="JYS122" s="4"/>
      <c r="JYT122" s="4"/>
      <c r="JYU122" s="4"/>
      <c r="JYV122" s="4"/>
      <c r="JYW122" s="4"/>
      <c r="JYX122" s="4"/>
      <c r="JYY122" s="4"/>
      <c r="JYZ122" s="4"/>
      <c r="JZA122" s="4"/>
      <c r="JZB122" s="4"/>
      <c r="JZC122" s="4"/>
      <c r="JZD122" s="4"/>
      <c r="JZE122" s="4"/>
      <c r="JZF122" s="4"/>
      <c r="JZG122" s="4"/>
      <c r="JZH122" s="4"/>
      <c r="JZI122" s="4"/>
      <c r="JZJ122" s="4"/>
      <c r="JZK122" s="4"/>
      <c r="JZL122" s="4"/>
      <c r="JZM122" s="4"/>
      <c r="JZN122" s="4"/>
      <c r="JZO122" s="4"/>
      <c r="JZP122" s="4"/>
      <c r="JZQ122" s="4"/>
      <c r="JZR122" s="4"/>
      <c r="JZS122" s="4"/>
      <c r="JZT122" s="4"/>
      <c r="JZU122" s="4"/>
      <c r="JZV122" s="4"/>
      <c r="JZW122" s="4"/>
      <c r="JZX122" s="4"/>
      <c r="JZY122" s="4"/>
      <c r="JZZ122" s="4"/>
      <c r="KAA122" s="4"/>
      <c r="KAB122" s="4"/>
      <c r="KAC122" s="4"/>
      <c r="KAD122" s="4"/>
      <c r="KAE122" s="4"/>
      <c r="KAF122" s="4"/>
      <c r="KAG122" s="4"/>
      <c r="KAH122" s="4"/>
      <c r="KAI122" s="4"/>
      <c r="KAJ122" s="4"/>
      <c r="KAK122" s="4"/>
      <c r="KAL122" s="4"/>
      <c r="KAM122" s="4"/>
      <c r="KAN122" s="4"/>
      <c r="KAO122" s="4"/>
      <c r="KAP122" s="4"/>
      <c r="KAQ122" s="4"/>
      <c r="KAR122" s="4"/>
      <c r="KAS122" s="4"/>
      <c r="KAT122" s="4"/>
      <c r="KAU122" s="4"/>
      <c r="KAV122" s="4"/>
      <c r="KAW122" s="4"/>
      <c r="KAX122" s="4"/>
      <c r="KAY122" s="4"/>
      <c r="KAZ122" s="4"/>
      <c r="KBA122" s="4"/>
      <c r="KBB122" s="4"/>
      <c r="KBC122" s="4"/>
      <c r="KBD122" s="4"/>
      <c r="KBE122" s="4"/>
      <c r="KBF122" s="4"/>
      <c r="KBG122" s="4"/>
      <c r="KBH122" s="4"/>
      <c r="KBI122" s="4"/>
      <c r="KBJ122" s="4"/>
      <c r="KBK122" s="4"/>
      <c r="KBL122" s="4"/>
      <c r="KBM122" s="4"/>
      <c r="KBN122" s="4"/>
      <c r="KBO122" s="4"/>
      <c r="KBP122" s="4"/>
      <c r="KBQ122" s="4"/>
      <c r="KBR122" s="4"/>
      <c r="KBS122" s="4"/>
      <c r="KBT122" s="4"/>
      <c r="KBU122" s="4"/>
      <c r="KBV122" s="4"/>
      <c r="KBW122" s="4"/>
      <c r="KBX122" s="4"/>
      <c r="KBY122" s="4"/>
      <c r="KBZ122" s="4"/>
      <c r="KCA122" s="4"/>
      <c r="KCB122" s="4"/>
      <c r="KCC122" s="4"/>
      <c r="KCD122" s="4"/>
      <c r="KCE122" s="4"/>
      <c r="KCF122" s="4"/>
      <c r="KCG122" s="4"/>
      <c r="KCH122" s="4"/>
      <c r="KCI122" s="4"/>
      <c r="KCJ122" s="4"/>
      <c r="KCK122" s="4"/>
      <c r="KCL122" s="4"/>
      <c r="KCM122" s="4"/>
      <c r="KCN122" s="4"/>
      <c r="KCO122" s="4"/>
      <c r="KCP122" s="4"/>
      <c r="KCQ122" s="4"/>
      <c r="KCR122" s="4"/>
      <c r="KCS122" s="4"/>
      <c r="KCT122" s="4"/>
      <c r="KCU122" s="4"/>
      <c r="KCV122" s="4"/>
      <c r="KCW122" s="4"/>
      <c r="KCX122" s="4"/>
      <c r="KCY122" s="4"/>
      <c r="KCZ122" s="4"/>
      <c r="KDA122" s="4"/>
      <c r="KDB122" s="4"/>
      <c r="KDC122" s="4"/>
      <c r="KDD122" s="4"/>
      <c r="KDE122" s="4"/>
      <c r="KDF122" s="4"/>
      <c r="KDG122" s="4"/>
      <c r="KDH122" s="4"/>
      <c r="KDI122" s="4"/>
      <c r="KDJ122" s="4"/>
      <c r="KDK122" s="4"/>
      <c r="KDL122" s="4"/>
      <c r="KDM122" s="4"/>
      <c r="KDN122" s="4"/>
      <c r="KDO122" s="4"/>
      <c r="KDP122" s="4"/>
      <c r="KDQ122" s="4"/>
      <c r="KDR122" s="4"/>
      <c r="KDS122" s="4"/>
      <c r="KDT122" s="4"/>
      <c r="KDU122" s="4"/>
      <c r="KDV122" s="4"/>
      <c r="KDW122" s="4"/>
      <c r="KDX122" s="4"/>
      <c r="KDY122" s="4"/>
      <c r="KDZ122" s="4"/>
      <c r="KEA122" s="4"/>
      <c r="KEB122" s="4"/>
      <c r="KEC122" s="4"/>
      <c r="KED122" s="4"/>
      <c r="KEE122" s="4"/>
      <c r="KEF122" s="4"/>
      <c r="KEG122" s="4"/>
      <c r="KEH122" s="4"/>
      <c r="KEI122" s="4"/>
      <c r="KEJ122" s="4"/>
      <c r="KEK122" s="4"/>
      <c r="KEL122" s="4"/>
      <c r="KEM122" s="4"/>
      <c r="KEN122" s="4"/>
      <c r="KEO122" s="4"/>
      <c r="KEP122" s="4"/>
      <c r="KEQ122" s="4"/>
      <c r="KER122" s="4"/>
      <c r="KES122" s="4"/>
      <c r="KET122" s="4"/>
      <c r="KEU122" s="4"/>
      <c r="KEV122" s="4"/>
      <c r="KEW122" s="4"/>
      <c r="KEX122" s="4"/>
      <c r="KEY122" s="4"/>
      <c r="KEZ122" s="4"/>
      <c r="KFA122" s="4"/>
      <c r="KFB122" s="4"/>
      <c r="KFC122" s="4"/>
      <c r="KFD122" s="4"/>
      <c r="KFE122" s="4"/>
      <c r="KFF122" s="4"/>
      <c r="KFG122" s="4"/>
      <c r="KFH122" s="4"/>
      <c r="KFI122" s="4"/>
      <c r="KFJ122" s="4"/>
      <c r="KFK122" s="4"/>
      <c r="KFL122" s="4"/>
      <c r="KFM122" s="4"/>
      <c r="KFN122" s="4"/>
      <c r="KFO122" s="4"/>
      <c r="KFP122" s="4"/>
      <c r="KFQ122" s="4"/>
      <c r="KFR122" s="4"/>
      <c r="KFS122" s="4"/>
      <c r="KFT122" s="4"/>
      <c r="KFU122" s="4"/>
      <c r="KFV122" s="4"/>
      <c r="KFW122" s="4"/>
      <c r="KFX122" s="4"/>
      <c r="KFY122" s="4"/>
      <c r="KFZ122" s="4"/>
      <c r="KGA122" s="4"/>
      <c r="KGB122" s="4"/>
      <c r="KGC122" s="4"/>
      <c r="KGD122" s="4"/>
      <c r="KGE122" s="4"/>
      <c r="KGF122" s="4"/>
      <c r="KGG122" s="4"/>
      <c r="KGH122" s="4"/>
      <c r="KGI122" s="4"/>
      <c r="KGJ122" s="4"/>
      <c r="KGK122" s="4"/>
      <c r="KGL122" s="4"/>
      <c r="KGM122" s="4"/>
      <c r="KGN122" s="4"/>
      <c r="KGO122" s="4"/>
      <c r="KGP122" s="4"/>
      <c r="KGQ122" s="4"/>
      <c r="KGR122" s="4"/>
      <c r="KGS122" s="4"/>
      <c r="KGT122" s="4"/>
      <c r="KGU122" s="4"/>
      <c r="KGV122" s="4"/>
      <c r="KGW122" s="4"/>
      <c r="KGX122" s="4"/>
      <c r="KGY122" s="4"/>
      <c r="KGZ122" s="4"/>
      <c r="KHA122" s="4"/>
      <c r="KHB122" s="4"/>
      <c r="KHC122" s="4"/>
      <c r="KHD122" s="4"/>
      <c r="KHE122" s="4"/>
      <c r="KHF122" s="4"/>
      <c r="KHG122" s="4"/>
      <c r="KHH122" s="4"/>
      <c r="KHI122" s="4"/>
      <c r="KHJ122" s="4"/>
      <c r="KHK122" s="4"/>
      <c r="KHL122" s="4"/>
      <c r="KHM122" s="4"/>
      <c r="KHN122" s="4"/>
      <c r="KHO122" s="4"/>
      <c r="KHP122" s="4"/>
      <c r="KHQ122" s="4"/>
      <c r="KHR122" s="4"/>
      <c r="KHS122" s="4"/>
      <c r="KHT122" s="4"/>
      <c r="KHU122" s="4"/>
      <c r="KHV122" s="4"/>
      <c r="KHW122" s="4"/>
      <c r="KHX122" s="4"/>
      <c r="KHY122" s="4"/>
      <c r="KHZ122" s="4"/>
      <c r="KIA122" s="4"/>
      <c r="KIB122" s="4"/>
      <c r="KIC122" s="4"/>
      <c r="KID122" s="4"/>
      <c r="KIE122" s="4"/>
      <c r="KIF122" s="4"/>
      <c r="KIG122" s="4"/>
      <c r="KIH122" s="4"/>
      <c r="KII122" s="4"/>
      <c r="KIJ122" s="4"/>
      <c r="KIK122" s="4"/>
      <c r="KIL122" s="4"/>
      <c r="KIM122" s="4"/>
      <c r="KIN122" s="4"/>
      <c r="KIO122" s="4"/>
      <c r="KIP122" s="4"/>
      <c r="KIQ122" s="4"/>
      <c r="KIR122" s="4"/>
      <c r="KIS122" s="4"/>
      <c r="KIT122" s="4"/>
      <c r="KIU122" s="4"/>
      <c r="KIV122" s="4"/>
      <c r="KIW122" s="4"/>
      <c r="KIX122" s="4"/>
      <c r="KIY122" s="4"/>
      <c r="KIZ122" s="4"/>
      <c r="KJA122" s="4"/>
      <c r="KJB122" s="4"/>
      <c r="KJC122" s="4"/>
      <c r="KJD122" s="4"/>
      <c r="KJE122" s="4"/>
      <c r="KJF122" s="4"/>
      <c r="KJG122" s="4"/>
      <c r="KJH122" s="4"/>
      <c r="KJI122" s="4"/>
      <c r="KJJ122" s="4"/>
      <c r="KJK122" s="4"/>
      <c r="KJL122" s="4"/>
      <c r="KJM122" s="4"/>
      <c r="KJN122" s="4"/>
      <c r="KJO122" s="4"/>
      <c r="KJP122" s="4"/>
      <c r="KJQ122" s="4"/>
      <c r="KJR122" s="4"/>
      <c r="KJS122" s="4"/>
      <c r="KJT122" s="4"/>
      <c r="KJU122" s="4"/>
      <c r="KJV122" s="4"/>
      <c r="KJW122" s="4"/>
      <c r="KJX122" s="4"/>
      <c r="KJY122" s="4"/>
      <c r="KJZ122" s="4"/>
      <c r="KKA122" s="4"/>
      <c r="KKB122" s="4"/>
      <c r="KKC122" s="4"/>
      <c r="KKD122" s="4"/>
      <c r="KKE122" s="4"/>
      <c r="KKF122" s="4"/>
      <c r="KKG122" s="4"/>
      <c r="KKH122" s="4"/>
      <c r="KKI122" s="4"/>
      <c r="KKJ122" s="4"/>
      <c r="KKK122" s="4"/>
      <c r="KKL122" s="4"/>
      <c r="KKM122" s="4"/>
      <c r="KKN122" s="4"/>
      <c r="KKO122" s="4"/>
      <c r="KKP122" s="4"/>
      <c r="KKQ122" s="4"/>
      <c r="KKR122" s="4"/>
      <c r="KKS122" s="4"/>
      <c r="KKT122" s="4"/>
      <c r="KKU122" s="4"/>
      <c r="KKV122" s="4"/>
      <c r="KKW122" s="4"/>
      <c r="KKX122" s="4"/>
      <c r="KKY122" s="4"/>
      <c r="KKZ122" s="4"/>
      <c r="KLA122" s="4"/>
      <c r="KLB122" s="4"/>
      <c r="KLC122" s="4"/>
      <c r="KLD122" s="4"/>
      <c r="KLE122" s="4"/>
      <c r="KLF122" s="4"/>
      <c r="KLG122" s="4"/>
      <c r="KLH122" s="4"/>
      <c r="KLI122" s="4"/>
      <c r="KLJ122" s="4"/>
      <c r="KLK122" s="4"/>
      <c r="KLL122" s="4"/>
      <c r="KLM122" s="4"/>
      <c r="KLN122" s="4"/>
      <c r="KLO122" s="4"/>
      <c r="KLP122" s="4"/>
      <c r="KLQ122" s="4"/>
      <c r="KLR122" s="4"/>
      <c r="KLS122" s="4"/>
      <c r="KLT122" s="4"/>
      <c r="KLU122" s="4"/>
      <c r="KLV122" s="4"/>
      <c r="KLW122" s="4"/>
      <c r="KLX122" s="4"/>
      <c r="KLY122" s="4"/>
      <c r="KLZ122" s="4"/>
      <c r="KMA122" s="4"/>
      <c r="KMB122" s="4"/>
      <c r="KMC122" s="4"/>
      <c r="KMD122" s="4"/>
      <c r="KME122" s="4"/>
      <c r="KMF122" s="4"/>
      <c r="KMG122" s="4"/>
      <c r="KMH122" s="4"/>
      <c r="KMI122" s="4"/>
      <c r="KMJ122" s="4"/>
      <c r="KMK122" s="4"/>
      <c r="KML122" s="4"/>
      <c r="KMM122" s="4"/>
      <c r="KMN122" s="4"/>
      <c r="KMO122" s="4"/>
      <c r="KMP122" s="4"/>
      <c r="KMQ122" s="4"/>
      <c r="KMR122" s="4"/>
      <c r="KMS122" s="4"/>
      <c r="KMT122" s="4"/>
      <c r="KMU122" s="4"/>
      <c r="KMV122" s="4"/>
      <c r="KMW122" s="4"/>
      <c r="KMX122" s="4"/>
      <c r="KMY122" s="4"/>
      <c r="KMZ122" s="4"/>
      <c r="KNA122" s="4"/>
      <c r="KNB122" s="4"/>
      <c r="KNC122" s="4"/>
      <c r="KND122" s="4"/>
      <c r="KNE122" s="4"/>
      <c r="KNF122" s="4"/>
      <c r="KNG122" s="4"/>
      <c r="KNH122" s="4"/>
      <c r="KNI122" s="4"/>
      <c r="KNJ122" s="4"/>
      <c r="KNK122" s="4"/>
      <c r="KNL122" s="4"/>
      <c r="KNM122" s="4"/>
      <c r="KNN122" s="4"/>
      <c r="KNO122" s="4"/>
      <c r="KNP122" s="4"/>
      <c r="KNQ122" s="4"/>
      <c r="KNR122" s="4"/>
      <c r="KNS122" s="4"/>
      <c r="KNT122" s="4"/>
      <c r="KNU122" s="4"/>
      <c r="KNV122" s="4"/>
      <c r="KNW122" s="4"/>
      <c r="KNX122" s="4"/>
      <c r="KNY122" s="4"/>
      <c r="KNZ122" s="4"/>
      <c r="KOA122" s="4"/>
      <c r="KOB122" s="4"/>
      <c r="KOC122" s="4"/>
      <c r="KOD122" s="4"/>
      <c r="KOE122" s="4"/>
      <c r="KOF122" s="4"/>
      <c r="KOG122" s="4"/>
      <c r="KOH122" s="4"/>
      <c r="KOI122" s="4"/>
      <c r="KOJ122" s="4"/>
      <c r="KOK122" s="4"/>
      <c r="KOL122" s="4"/>
      <c r="KOM122" s="4"/>
      <c r="KON122" s="4"/>
      <c r="KOO122" s="4"/>
      <c r="KOP122" s="4"/>
      <c r="KOQ122" s="4"/>
      <c r="KOR122" s="4"/>
      <c r="KOS122" s="4"/>
      <c r="KOT122" s="4"/>
      <c r="KOU122" s="4"/>
      <c r="KOV122" s="4"/>
      <c r="KOW122" s="4"/>
      <c r="KOX122" s="4"/>
      <c r="KOY122" s="4"/>
      <c r="KOZ122" s="4"/>
      <c r="KPA122" s="4"/>
      <c r="KPB122" s="4"/>
      <c r="KPC122" s="4"/>
      <c r="KPD122" s="4"/>
      <c r="KPE122" s="4"/>
      <c r="KPF122" s="4"/>
      <c r="KPG122" s="4"/>
      <c r="KPH122" s="4"/>
      <c r="KPI122" s="4"/>
      <c r="KPJ122" s="4"/>
      <c r="KPK122" s="4"/>
      <c r="KPL122" s="4"/>
      <c r="KPM122" s="4"/>
      <c r="KPN122" s="4"/>
      <c r="KPO122" s="4"/>
      <c r="KPP122" s="4"/>
      <c r="KPQ122" s="4"/>
      <c r="KPR122" s="4"/>
      <c r="KPS122" s="4"/>
      <c r="KPT122" s="4"/>
      <c r="KPU122" s="4"/>
      <c r="KPV122" s="4"/>
      <c r="KPW122" s="4"/>
      <c r="KPX122" s="4"/>
      <c r="KPY122" s="4"/>
      <c r="KPZ122" s="4"/>
      <c r="KQA122" s="4"/>
      <c r="KQB122" s="4"/>
      <c r="KQC122" s="4"/>
      <c r="KQD122" s="4"/>
      <c r="KQE122" s="4"/>
      <c r="KQF122" s="4"/>
      <c r="KQG122" s="4"/>
      <c r="KQH122" s="4"/>
      <c r="KQI122" s="4"/>
      <c r="KQJ122" s="4"/>
      <c r="KQK122" s="4"/>
      <c r="KQL122" s="4"/>
      <c r="KQM122" s="4"/>
      <c r="KQN122" s="4"/>
      <c r="KQO122" s="4"/>
      <c r="KQP122" s="4"/>
      <c r="KQQ122" s="4"/>
      <c r="KQR122" s="4"/>
      <c r="KQS122" s="4"/>
      <c r="KQT122" s="4"/>
      <c r="KQU122" s="4"/>
      <c r="KQV122" s="4"/>
      <c r="KQW122" s="4"/>
      <c r="KQX122" s="4"/>
      <c r="KQY122" s="4"/>
      <c r="KQZ122" s="4"/>
      <c r="KRA122" s="4"/>
      <c r="KRB122" s="4"/>
      <c r="KRC122" s="4"/>
      <c r="KRD122" s="4"/>
      <c r="KRE122" s="4"/>
      <c r="KRF122" s="4"/>
      <c r="KRG122" s="4"/>
      <c r="KRH122" s="4"/>
      <c r="KRI122" s="4"/>
      <c r="KRJ122" s="4"/>
      <c r="KRK122" s="4"/>
      <c r="KRL122" s="4"/>
      <c r="KRM122" s="4"/>
      <c r="KRN122" s="4"/>
      <c r="KRO122" s="4"/>
      <c r="KRP122" s="4"/>
      <c r="KRQ122" s="4"/>
      <c r="KRR122" s="4"/>
      <c r="KRS122" s="4"/>
      <c r="KRT122" s="4"/>
      <c r="KRU122" s="4"/>
      <c r="KRV122" s="4"/>
      <c r="KRW122" s="4"/>
      <c r="KRX122" s="4"/>
      <c r="KRY122" s="4"/>
      <c r="KRZ122" s="4"/>
      <c r="KSA122" s="4"/>
      <c r="KSB122" s="4"/>
      <c r="KSC122" s="4"/>
      <c r="KSD122" s="4"/>
      <c r="KSE122" s="4"/>
      <c r="KSF122" s="4"/>
      <c r="KSG122" s="4"/>
      <c r="KSH122" s="4"/>
      <c r="KSI122" s="4"/>
      <c r="KSJ122" s="4"/>
      <c r="KSK122" s="4"/>
      <c r="KSL122" s="4"/>
      <c r="KSM122" s="4"/>
      <c r="KSN122" s="4"/>
      <c r="KSO122" s="4"/>
      <c r="KSP122" s="4"/>
      <c r="KSQ122" s="4"/>
      <c r="KSR122" s="4"/>
      <c r="KSS122" s="4"/>
      <c r="KST122" s="4"/>
      <c r="KSU122" s="4"/>
      <c r="KSV122" s="4"/>
      <c r="KSW122" s="4"/>
      <c r="KSX122" s="4"/>
      <c r="KSY122" s="4"/>
      <c r="KSZ122" s="4"/>
      <c r="KTA122" s="4"/>
      <c r="KTB122" s="4"/>
      <c r="KTC122" s="4"/>
      <c r="KTD122" s="4"/>
      <c r="KTE122" s="4"/>
      <c r="KTF122" s="4"/>
      <c r="KTG122" s="4"/>
      <c r="KTH122" s="4"/>
      <c r="KTI122" s="4"/>
      <c r="KTJ122" s="4"/>
      <c r="KTK122" s="4"/>
      <c r="KTL122" s="4"/>
      <c r="KTM122" s="4"/>
      <c r="KTN122" s="4"/>
      <c r="KTO122" s="4"/>
      <c r="KTP122" s="4"/>
      <c r="KTQ122" s="4"/>
      <c r="KTR122" s="4"/>
      <c r="KTS122" s="4"/>
      <c r="KTT122" s="4"/>
      <c r="KTU122" s="4"/>
      <c r="KTV122" s="4"/>
      <c r="KTW122" s="4"/>
      <c r="KTX122" s="4"/>
      <c r="KTY122" s="4"/>
      <c r="KTZ122" s="4"/>
      <c r="KUA122" s="4"/>
      <c r="KUB122" s="4"/>
      <c r="KUC122" s="4"/>
      <c r="KUD122" s="4"/>
      <c r="KUE122" s="4"/>
      <c r="KUF122" s="4"/>
      <c r="KUG122" s="4"/>
      <c r="KUH122" s="4"/>
      <c r="KUI122" s="4"/>
      <c r="KUJ122" s="4"/>
      <c r="KUK122" s="4"/>
      <c r="KUL122" s="4"/>
      <c r="KUM122" s="4"/>
      <c r="KUN122" s="4"/>
      <c r="KUO122" s="4"/>
      <c r="KUP122" s="4"/>
      <c r="KUQ122" s="4"/>
      <c r="KUR122" s="4"/>
      <c r="KUS122" s="4"/>
      <c r="KUT122" s="4"/>
      <c r="KUU122" s="4"/>
      <c r="KUV122" s="4"/>
      <c r="KUW122" s="4"/>
      <c r="KUX122" s="4"/>
      <c r="KUY122" s="4"/>
      <c r="KUZ122" s="4"/>
      <c r="KVA122" s="4"/>
      <c r="KVB122" s="4"/>
      <c r="KVC122" s="4"/>
      <c r="KVD122" s="4"/>
      <c r="KVE122" s="4"/>
      <c r="KVF122" s="4"/>
      <c r="KVG122" s="4"/>
      <c r="KVH122" s="4"/>
      <c r="KVI122" s="4"/>
      <c r="KVJ122" s="4"/>
      <c r="KVK122" s="4"/>
      <c r="KVL122" s="4"/>
      <c r="KVM122" s="4"/>
      <c r="KVN122" s="4"/>
      <c r="KVO122" s="4"/>
      <c r="KVP122" s="4"/>
      <c r="KVQ122" s="4"/>
      <c r="KVR122" s="4"/>
      <c r="KVS122" s="4"/>
      <c r="KVT122" s="4"/>
      <c r="KVU122" s="4"/>
      <c r="KVV122" s="4"/>
      <c r="KVW122" s="4"/>
      <c r="KVX122" s="4"/>
      <c r="KVY122" s="4"/>
      <c r="KVZ122" s="4"/>
      <c r="KWA122" s="4"/>
      <c r="KWB122" s="4"/>
      <c r="KWC122" s="4"/>
      <c r="KWD122" s="4"/>
      <c r="KWE122" s="4"/>
      <c r="KWF122" s="4"/>
      <c r="KWG122" s="4"/>
      <c r="KWH122" s="4"/>
      <c r="KWI122" s="4"/>
      <c r="KWJ122" s="4"/>
      <c r="KWK122" s="4"/>
      <c r="KWL122" s="4"/>
      <c r="KWM122" s="4"/>
      <c r="KWN122" s="4"/>
      <c r="KWO122" s="4"/>
      <c r="KWP122" s="4"/>
      <c r="KWQ122" s="4"/>
      <c r="KWR122" s="4"/>
      <c r="KWS122" s="4"/>
      <c r="KWT122" s="4"/>
      <c r="KWU122" s="4"/>
      <c r="KWV122" s="4"/>
      <c r="KWW122" s="4"/>
      <c r="KWX122" s="4"/>
      <c r="KWY122" s="4"/>
      <c r="KWZ122" s="4"/>
      <c r="KXA122" s="4"/>
      <c r="KXB122" s="4"/>
      <c r="KXC122" s="4"/>
      <c r="KXD122" s="4"/>
      <c r="KXE122" s="4"/>
      <c r="KXF122" s="4"/>
      <c r="KXG122" s="4"/>
      <c r="KXH122" s="4"/>
      <c r="KXI122" s="4"/>
      <c r="KXJ122" s="4"/>
      <c r="KXK122" s="4"/>
      <c r="KXL122" s="4"/>
      <c r="KXM122" s="4"/>
      <c r="KXN122" s="4"/>
      <c r="KXO122" s="4"/>
      <c r="KXP122" s="4"/>
      <c r="KXQ122" s="4"/>
      <c r="KXR122" s="4"/>
      <c r="KXS122" s="4"/>
      <c r="KXT122" s="4"/>
      <c r="KXU122" s="4"/>
      <c r="KXV122" s="4"/>
      <c r="KXW122" s="4"/>
      <c r="KXX122" s="4"/>
      <c r="KXY122" s="4"/>
      <c r="KXZ122" s="4"/>
      <c r="KYA122" s="4"/>
      <c r="KYB122" s="4"/>
      <c r="KYC122" s="4"/>
      <c r="KYD122" s="4"/>
      <c r="KYE122" s="4"/>
      <c r="KYF122" s="4"/>
      <c r="KYG122" s="4"/>
      <c r="KYH122" s="4"/>
      <c r="KYI122" s="4"/>
      <c r="KYJ122" s="4"/>
      <c r="KYK122" s="4"/>
      <c r="KYL122" s="4"/>
      <c r="KYM122" s="4"/>
      <c r="KYN122" s="4"/>
      <c r="KYO122" s="4"/>
      <c r="KYP122" s="4"/>
      <c r="KYQ122" s="4"/>
      <c r="KYR122" s="4"/>
      <c r="KYS122" s="4"/>
      <c r="KYT122" s="4"/>
      <c r="KYU122" s="4"/>
      <c r="KYV122" s="4"/>
      <c r="KYW122" s="4"/>
      <c r="KYX122" s="4"/>
      <c r="KYY122" s="4"/>
      <c r="KYZ122" s="4"/>
      <c r="KZA122" s="4"/>
      <c r="KZB122" s="4"/>
      <c r="KZC122" s="4"/>
      <c r="KZD122" s="4"/>
      <c r="KZE122" s="4"/>
      <c r="KZF122" s="4"/>
      <c r="KZG122" s="4"/>
      <c r="KZH122" s="4"/>
      <c r="KZI122" s="4"/>
      <c r="KZJ122" s="4"/>
      <c r="KZK122" s="4"/>
      <c r="KZL122" s="4"/>
      <c r="KZM122" s="4"/>
      <c r="KZN122" s="4"/>
      <c r="KZO122" s="4"/>
      <c r="KZP122" s="4"/>
      <c r="KZQ122" s="4"/>
      <c r="KZR122" s="4"/>
      <c r="KZS122" s="4"/>
      <c r="KZT122" s="4"/>
      <c r="KZU122" s="4"/>
      <c r="KZV122" s="4"/>
      <c r="KZW122" s="4"/>
      <c r="KZX122" s="4"/>
      <c r="KZY122" s="4"/>
      <c r="KZZ122" s="4"/>
      <c r="LAA122" s="4"/>
      <c r="LAB122" s="4"/>
      <c r="LAC122" s="4"/>
      <c r="LAD122" s="4"/>
      <c r="LAE122" s="4"/>
      <c r="LAF122" s="4"/>
      <c r="LAG122" s="4"/>
      <c r="LAH122" s="4"/>
      <c r="LAI122" s="4"/>
      <c r="LAJ122" s="4"/>
      <c r="LAK122" s="4"/>
      <c r="LAL122" s="4"/>
      <c r="LAM122" s="4"/>
      <c r="LAN122" s="4"/>
      <c r="LAO122" s="4"/>
      <c r="LAP122" s="4"/>
      <c r="LAQ122" s="4"/>
      <c r="LAR122" s="4"/>
      <c r="LAS122" s="4"/>
      <c r="LAT122" s="4"/>
      <c r="LAU122" s="4"/>
      <c r="LAV122" s="4"/>
      <c r="LAW122" s="4"/>
      <c r="LAX122" s="4"/>
      <c r="LAY122" s="4"/>
      <c r="LAZ122" s="4"/>
      <c r="LBA122" s="4"/>
      <c r="LBB122" s="4"/>
      <c r="LBC122" s="4"/>
      <c r="LBD122" s="4"/>
      <c r="LBE122" s="4"/>
      <c r="LBF122" s="4"/>
      <c r="LBG122" s="4"/>
      <c r="LBH122" s="4"/>
      <c r="LBI122" s="4"/>
      <c r="LBJ122" s="4"/>
      <c r="LBK122" s="4"/>
      <c r="LBL122" s="4"/>
      <c r="LBM122" s="4"/>
      <c r="LBN122" s="4"/>
      <c r="LBO122" s="4"/>
      <c r="LBP122" s="4"/>
      <c r="LBQ122" s="4"/>
      <c r="LBR122" s="4"/>
      <c r="LBS122" s="4"/>
      <c r="LBT122" s="4"/>
      <c r="LBU122" s="4"/>
      <c r="LBV122" s="4"/>
      <c r="LBW122" s="4"/>
      <c r="LBX122" s="4"/>
      <c r="LBY122" s="4"/>
      <c r="LBZ122" s="4"/>
      <c r="LCA122" s="4"/>
      <c r="LCB122" s="4"/>
      <c r="LCC122" s="4"/>
      <c r="LCD122" s="4"/>
      <c r="LCE122" s="4"/>
      <c r="LCF122" s="4"/>
      <c r="LCG122" s="4"/>
      <c r="LCH122" s="4"/>
      <c r="LCI122" s="4"/>
      <c r="LCJ122" s="4"/>
      <c r="LCK122" s="4"/>
      <c r="LCL122" s="4"/>
      <c r="LCM122" s="4"/>
      <c r="LCN122" s="4"/>
      <c r="LCO122" s="4"/>
      <c r="LCP122" s="4"/>
      <c r="LCQ122" s="4"/>
      <c r="LCR122" s="4"/>
      <c r="LCS122" s="4"/>
      <c r="LCT122" s="4"/>
      <c r="LCU122" s="4"/>
      <c r="LCV122" s="4"/>
      <c r="LCW122" s="4"/>
      <c r="LCX122" s="4"/>
      <c r="LCY122" s="4"/>
      <c r="LCZ122" s="4"/>
      <c r="LDA122" s="4"/>
      <c r="LDB122" s="4"/>
      <c r="LDC122" s="4"/>
      <c r="LDD122" s="4"/>
      <c r="LDE122" s="4"/>
      <c r="LDF122" s="4"/>
      <c r="LDG122" s="4"/>
      <c r="LDH122" s="4"/>
      <c r="LDI122" s="4"/>
      <c r="LDJ122" s="4"/>
      <c r="LDK122" s="4"/>
      <c r="LDL122" s="4"/>
      <c r="LDM122" s="4"/>
      <c r="LDN122" s="4"/>
      <c r="LDO122" s="4"/>
      <c r="LDP122" s="4"/>
      <c r="LDQ122" s="4"/>
      <c r="LDR122" s="4"/>
      <c r="LDS122" s="4"/>
      <c r="LDT122" s="4"/>
      <c r="LDU122" s="4"/>
      <c r="LDV122" s="4"/>
      <c r="LDW122" s="4"/>
      <c r="LDX122" s="4"/>
      <c r="LDY122" s="4"/>
      <c r="LDZ122" s="4"/>
      <c r="LEA122" s="4"/>
      <c r="LEB122" s="4"/>
      <c r="LEC122" s="4"/>
      <c r="LED122" s="4"/>
      <c r="LEE122" s="4"/>
      <c r="LEF122" s="4"/>
      <c r="LEG122" s="4"/>
      <c r="LEH122" s="4"/>
      <c r="LEI122" s="4"/>
      <c r="LEJ122" s="4"/>
      <c r="LEK122" s="4"/>
      <c r="LEL122" s="4"/>
      <c r="LEM122" s="4"/>
      <c r="LEN122" s="4"/>
      <c r="LEO122" s="4"/>
      <c r="LEP122" s="4"/>
      <c r="LEQ122" s="4"/>
      <c r="LER122" s="4"/>
      <c r="LES122" s="4"/>
      <c r="LET122" s="4"/>
      <c r="LEU122" s="4"/>
      <c r="LEV122" s="4"/>
      <c r="LEW122" s="4"/>
      <c r="LEX122" s="4"/>
      <c r="LEY122" s="4"/>
      <c r="LEZ122" s="4"/>
      <c r="LFA122" s="4"/>
      <c r="LFB122" s="4"/>
      <c r="LFC122" s="4"/>
      <c r="LFD122" s="4"/>
      <c r="LFE122" s="4"/>
      <c r="LFF122" s="4"/>
      <c r="LFG122" s="4"/>
      <c r="LFH122" s="4"/>
      <c r="LFI122" s="4"/>
      <c r="LFJ122" s="4"/>
      <c r="LFK122" s="4"/>
      <c r="LFL122" s="4"/>
      <c r="LFM122" s="4"/>
      <c r="LFN122" s="4"/>
      <c r="LFO122" s="4"/>
      <c r="LFP122" s="4"/>
      <c r="LFQ122" s="4"/>
      <c r="LFR122" s="4"/>
      <c r="LFS122" s="4"/>
      <c r="LFT122" s="4"/>
      <c r="LFU122" s="4"/>
      <c r="LFV122" s="4"/>
      <c r="LFW122" s="4"/>
      <c r="LFX122" s="4"/>
      <c r="LFY122" s="4"/>
      <c r="LFZ122" s="4"/>
      <c r="LGA122" s="4"/>
      <c r="LGB122" s="4"/>
      <c r="LGC122" s="4"/>
      <c r="LGD122" s="4"/>
      <c r="LGE122" s="4"/>
      <c r="LGF122" s="4"/>
      <c r="LGG122" s="4"/>
      <c r="LGH122" s="4"/>
      <c r="LGI122" s="4"/>
      <c r="LGJ122" s="4"/>
      <c r="LGK122" s="4"/>
      <c r="LGL122" s="4"/>
      <c r="LGM122" s="4"/>
      <c r="LGN122" s="4"/>
      <c r="LGO122" s="4"/>
      <c r="LGP122" s="4"/>
      <c r="LGQ122" s="4"/>
      <c r="LGR122" s="4"/>
      <c r="LGS122" s="4"/>
      <c r="LGT122" s="4"/>
      <c r="LGU122" s="4"/>
      <c r="LGV122" s="4"/>
      <c r="LGW122" s="4"/>
      <c r="LGX122" s="4"/>
      <c r="LGY122" s="4"/>
      <c r="LGZ122" s="4"/>
      <c r="LHA122" s="4"/>
      <c r="LHB122" s="4"/>
      <c r="LHC122" s="4"/>
      <c r="LHD122" s="4"/>
      <c r="LHE122" s="4"/>
      <c r="LHF122" s="4"/>
      <c r="LHG122" s="4"/>
      <c r="LHH122" s="4"/>
      <c r="LHI122" s="4"/>
      <c r="LHJ122" s="4"/>
      <c r="LHK122" s="4"/>
      <c r="LHL122" s="4"/>
      <c r="LHM122" s="4"/>
      <c r="LHN122" s="4"/>
      <c r="LHO122" s="4"/>
      <c r="LHP122" s="4"/>
      <c r="LHQ122" s="4"/>
      <c r="LHR122" s="4"/>
      <c r="LHS122" s="4"/>
      <c r="LHT122" s="4"/>
      <c r="LHU122" s="4"/>
      <c r="LHV122" s="4"/>
      <c r="LHW122" s="4"/>
      <c r="LHX122" s="4"/>
      <c r="LHY122" s="4"/>
      <c r="LHZ122" s="4"/>
      <c r="LIA122" s="4"/>
      <c r="LIB122" s="4"/>
      <c r="LIC122" s="4"/>
      <c r="LID122" s="4"/>
      <c r="LIE122" s="4"/>
      <c r="LIF122" s="4"/>
      <c r="LIG122" s="4"/>
      <c r="LIH122" s="4"/>
      <c r="LII122" s="4"/>
      <c r="LIJ122" s="4"/>
      <c r="LIK122" s="4"/>
      <c r="LIL122" s="4"/>
      <c r="LIM122" s="4"/>
      <c r="LIN122" s="4"/>
      <c r="LIO122" s="4"/>
      <c r="LIP122" s="4"/>
      <c r="LIQ122" s="4"/>
      <c r="LIR122" s="4"/>
      <c r="LIS122" s="4"/>
      <c r="LIT122" s="4"/>
      <c r="LIU122" s="4"/>
      <c r="LIV122" s="4"/>
      <c r="LIW122" s="4"/>
      <c r="LIX122" s="4"/>
      <c r="LIY122" s="4"/>
      <c r="LIZ122" s="4"/>
      <c r="LJA122" s="4"/>
      <c r="LJB122" s="4"/>
      <c r="LJC122" s="4"/>
      <c r="LJD122" s="4"/>
      <c r="LJE122" s="4"/>
      <c r="LJF122" s="4"/>
      <c r="LJG122" s="4"/>
      <c r="LJH122" s="4"/>
      <c r="LJI122" s="4"/>
      <c r="LJJ122" s="4"/>
      <c r="LJK122" s="4"/>
      <c r="LJL122" s="4"/>
      <c r="LJM122" s="4"/>
      <c r="LJN122" s="4"/>
      <c r="LJO122" s="4"/>
      <c r="LJP122" s="4"/>
      <c r="LJQ122" s="4"/>
      <c r="LJR122" s="4"/>
      <c r="LJS122" s="4"/>
      <c r="LJT122" s="4"/>
      <c r="LJU122" s="4"/>
      <c r="LJV122" s="4"/>
      <c r="LJW122" s="4"/>
      <c r="LJX122" s="4"/>
      <c r="LJY122" s="4"/>
      <c r="LJZ122" s="4"/>
      <c r="LKA122" s="4"/>
      <c r="LKB122" s="4"/>
      <c r="LKC122" s="4"/>
      <c r="LKD122" s="4"/>
      <c r="LKE122" s="4"/>
      <c r="LKF122" s="4"/>
      <c r="LKG122" s="4"/>
      <c r="LKH122" s="4"/>
      <c r="LKI122" s="4"/>
      <c r="LKJ122" s="4"/>
      <c r="LKK122" s="4"/>
      <c r="LKL122" s="4"/>
      <c r="LKM122" s="4"/>
      <c r="LKN122" s="4"/>
      <c r="LKO122" s="4"/>
      <c r="LKP122" s="4"/>
      <c r="LKQ122" s="4"/>
      <c r="LKR122" s="4"/>
      <c r="LKS122" s="4"/>
      <c r="LKT122" s="4"/>
      <c r="LKU122" s="4"/>
      <c r="LKV122" s="4"/>
      <c r="LKW122" s="4"/>
      <c r="LKX122" s="4"/>
      <c r="LKY122" s="4"/>
      <c r="LKZ122" s="4"/>
      <c r="LLA122" s="4"/>
      <c r="LLB122" s="4"/>
      <c r="LLC122" s="4"/>
      <c r="LLD122" s="4"/>
      <c r="LLE122" s="4"/>
      <c r="LLF122" s="4"/>
      <c r="LLG122" s="4"/>
      <c r="LLH122" s="4"/>
      <c r="LLI122" s="4"/>
      <c r="LLJ122" s="4"/>
      <c r="LLK122" s="4"/>
      <c r="LLL122" s="4"/>
      <c r="LLM122" s="4"/>
      <c r="LLN122" s="4"/>
      <c r="LLO122" s="4"/>
      <c r="LLP122" s="4"/>
      <c r="LLQ122" s="4"/>
      <c r="LLR122" s="4"/>
      <c r="LLS122" s="4"/>
      <c r="LLT122" s="4"/>
      <c r="LLU122" s="4"/>
      <c r="LLV122" s="4"/>
      <c r="LLW122" s="4"/>
      <c r="LLX122" s="4"/>
      <c r="LLY122" s="4"/>
      <c r="LLZ122" s="4"/>
      <c r="LMA122" s="4"/>
      <c r="LMB122" s="4"/>
      <c r="LMC122" s="4"/>
      <c r="LMD122" s="4"/>
      <c r="LME122" s="4"/>
      <c r="LMF122" s="4"/>
      <c r="LMG122" s="4"/>
      <c r="LMH122" s="4"/>
      <c r="LMI122" s="4"/>
      <c r="LMJ122" s="4"/>
      <c r="LMK122" s="4"/>
      <c r="LML122" s="4"/>
      <c r="LMM122" s="4"/>
      <c r="LMN122" s="4"/>
      <c r="LMO122" s="4"/>
      <c r="LMP122" s="4"/>
      <c r="LMQ122" s="4"/>
      <c r="LMR122" s="4"/>
      <c r="LMS122" s="4"/>
      <c r="LMT122" s="4"/>
      <c r="LMU122" s="4"/>
      <c r="LMV122" s="4"/>
      <c r="LMW122" s="4"/>
      <c r="LMX122" s="4"/>
      <c r="LMY122" s="4"/>
      <c r="LMZ122" s="4"/>
      <c r="LNA122" s="4"/>
      <c r="LNB122" s="4"/>
      <c r="LNC122" s="4"/>
      <c r="LND122" s="4"/>
      <c r="LNE122" s="4"/>
      <c r="LNF122" s="4"/>
      <c r="LNG122" s="4"/>
      <c r="LNH122" s="4"/>
      <c r="LNI122" s="4"/>
      <c r="LNJ122" s="4"/>
      <c r="LNK122" s="4"/>
      <c r="LNL122" s="4"/>
      <c r="LNM122" s="4"/>
      <c r="LNN122" s="4"/>
      <c r="LNO122" s="4"/>
      <c r="LNP122" s="4"/>
      <c r="LNQ122" s="4"/>
      <c r="LNR122" s="4"/>
      <c r="LNS122" s="4"/>
      <c r="LNT122" s="4"/>
      <c r="LNU122" s="4"/>
      <c r="LNV122" s="4"/>
      <c r="LNW122" s="4"/>
      <c r="LNX122" s="4"/>
      <c r="LNY122" s="4"/>
      <c r="LNZ122" s="4"/>
      <c r="LOA122" s="4"/>
      <c r="LOB122" s="4"/>
      <c r="LOC122" s="4"/>
      <c r="LOD122" s="4"/>
      <c r="LOE122" s="4"/>
      <c r="LOF122" s="4"/>
      <c r="LOG122" s="4"/>
      <c r="LOH122" s="4"/>
      <c r="LOI122" s="4"/>
      <c r="LOJ122" s="4"/>
      <c r="LOK122" s="4"/>
      <c r="LOL122" s="4"/>
      <c r="LOM122" s="4"/>
      <c r="LON122" s="4"/>
      <c r="LOO122" s="4"/>
      <c r="LOP122" s="4"/>
      <c r="LOQ122" s="4"/>
      <c r="LOR122" s="4"/>
      <c r="LOS122" s="4"/>
      <c r="LOT122" s="4"/>
      <c r="LOU122" s="4"/>
      <c r="LOV122" s="4"/>
      <c r="LOW122" s="4"/>
      <c r="LOX122" s="4"/>
      <c r="LOY122" s="4"/>
      <c r="LOZ122" s="4"/>
      <c r="LPA122" s="4"/>
      <c r="LPB122" s="4"/>
      <c r="LPC122" s="4"/>
      <c r="LPD122" s="4"/>
      <c r="LPE122" s="4"/>
      <c r="LPF122" s="4"/>
      <c r="LPG122" s="4"/>
      <c r="LPH122" s="4"/>
      <c r="LPI122" s="4"/>
      <c r="LPJ122" s="4"/>
      <c r="LPK122" s="4"/>
      <c r="LPL122" s="4"/>
      <c r="LPM122" s="4"/>
      <c r="LPN122" s="4"/>
      <c r="LPO122" s="4"/>
      <c r="LPP122" s="4"/>
      <c r="LPQ122" s="4"/>
      <c r="LPR122" s="4"/>
      <c r="LPS122" s="4"/>
      <c r="LPT122" s="4"/>
      <c r="LPU122" s="4"/>
      <c r="LPV122" s="4"/>
      <c r="LPW122" s="4"/>
      <c r="LPX122" s="4"/>
      <c r="LPY122" s="4"/>
      <c r="LPZ122" s="4"/>
      <c r="LQA122" s="4"/>
      <c r="LQB122" s="4"/>
      <c r="LQC122" s="4"/>
      <c r="LQD122" s="4"/>
      <c r="LQE122" s="4"/>
      <c r="LQF122" s="4"/>
      <c r="LQG122" s="4"/>
      <c r="LQH122" s="4"/>
      <c r="LQI122" s="4"/>
      <c r="LQJ122" s="4"/>
      <c r="LQK122" s="4"/>
      <c r="LQL122" s="4"/>
      <c r="LQM122" s="4"/>
      <c r="LQN122" s="4"/>
      <c r="LQO122" s="4"/>
      <c r="LQP122" s="4"/>
      <c r="LQQ122" s="4"/>
      <c r="LQR122" s="4"/>
      <c r="LQS122" s="4"/>
      <c r="LQT122" s="4"/>
      <c r="LQU122" s="4"/>
      <c r="LQV122" s="4"/>
      <c r="LQW122" s="4"/>
      <c r="LQX122" s="4"/>
      <c r="LQY122" s="4"/>
      <c r="LQZ122" s="4"/>
      <c r="LRA122" s="4"/>
      <c r="LRB122" s="4"/>
      <c r="LRC122" s="4"/>
      <c r="LRD122" s="4"/>
      <c r="LRE122" s="4"/>
      <c r="LRF122" s="4"/>
      <c r="LRG122" s="4"/>
      <c r="LRH122" s="4"/>
      <c r="LRI122" s="4"/>
      <c r="LRJ122" s="4"/>
      <c r="LRK122" s="4"/>
      <c r="LRL122" s="4"/>
      <c r="LRM122" s="4"/>
      <c r="LRN122" s="4"/>
      <c r="LRO122" s="4"/>
      <c r="LRP122" s="4"/>
      <c r="LRQ122" s="4"/>
      <c r="LRR122" s="4"/>
      <c r="LRS122" s="4"/>
      <c r="LRT122" s="4"/>
      <c r="LRU122" s="4"/>
      <c r="LRV122" s="4"/>
      <c r="LRW122" s="4"/>
      <c r="LRX122" s="4"/>
      <c r="LRY122" s="4"/>
      <c r="LRZ122" s="4"/>
      <c r="LSA122" s="4"/>
      <c r="LSB122" s="4"/>
      <c r="LSC122" s="4"/>
      <c r="LSD122" s="4"/>
      <c r="LSE122" s="4"/>
      <c r="LSF122" s="4"/>
      <c r="LSG122" s="4"/>
      <c r="LSH122" s="4"/>
      <c r="LSI122" s="4"/>
      <c r="LSJ122" s="4"/>
      <c r="LSK122" s="4"/>
      <c r="LSL122" s="4"/>
      <c r="LSM122" s="4"/>
      <c r="LSN122" s="4"/>
      <c r="LSO122" s="4"/>
      <c r="LSP122" s="4"/>
      <c r="LSQ122" s="4"/>
      <c r="LSR122" s="4"/>
      <c r="LSS122" s="4"/>
      <c r="LST122" s="4"/>
      <c r="LSU122" s="4"/>
      <c r="LSV122" s="4"/>
      <c r="LSW122" s="4"/>
      <c r="LSX122" s="4"/>
      <c r="LSY122" s="4"/>
      <c r="LSZ122" s="4"/>
      <c r="LTA122" s="4"/>
      <c r="LTB122" s="4"/>
      <c r="LTC122" s="4"/>
      <c r="LTD122" s="4"/>
      <c r="LTE122" s="4"/>
      <c r="LTF122" s="4"/>
      <c r="LTG122" s="4"/>
      <c r="LTH122" s="4"/>
      <c r="LTI122" s="4"/>
      <c r="LTJ122" s="4"/>
      <c r="LTK122" s="4"/>
      <c r="LTL122" s="4"/>
      <c r="LTM122" s="4"/>
      <c r="LTN122" s="4"/>
      <c r="LTO122" s="4"/>
      <c r="LTP122" s="4"/>
      <c r="LTQ122" s="4"/>
      <c r="LTR122" s="4"/>
      <c r="LTS122" s="4"/>
      <c r="LTT122" s="4"/>
      <c r="LTU122" s="4"/>
      <c r="LTV122" s="4"/>
      <c r="LTW122" s="4"/>
      <c r="LTX122" s="4"/>
      <c r="LTY122" s="4"/>
      <c r="LTZ122" s="4"/>
      <c r="LUA122" s="4"/>
      <c r="LUB122" s="4"/>
      <c r="LUC122" s="4"/>
      <c r="LUD122" s="4"/>
      <c r="LUE122" s="4"/>
      <c r="LUF122" s="4"/>
      <c r="LUG122" s="4"/>
      <c r="LUH122" s="4"/>
      <c r="LUI122" s="4"/>
      <c r="LUJ122" s="4"/>
      <c r="LUK122" s="4"/>
      <c r="LUL122" s="4"/>
      <c r="LUM122" s="4"/>
      <c r="LUN122" s="4"/>
      <c r="LUO122" s="4"/>
      <c r="LUP122" s="4"/>
      <c r="LUQ122" s="4"/>
      <c r="LUR122" s="4"/>
      <c r="LUS122" s="4"/>
      <c r="LUT122" s="4"/>
      <c r="LUU122" s="4"/>
      <c r="LUV122" s="4"/>
      <c r="LUW122" s="4"/>
      <c r="LUX122" s="4"/>
      <c r="LUY122" s="4"/>
      <c r="LUZ122" s="4"/>
      <c r="LVA122" s="4"/>
      <c r="LVB122" s="4"/>
      <c r="LVC122" s="4"/>
      <c r="LVD122" s="4"/>
      <c r="LVE122" s="4"/>
      <c r="LVF122" s="4"/>
      <c r="LVG122" s="4"/>
      <c r="LVH122" s="4"/>
      <c r="LVI122" s="4"/>
      <c r="LVJ122" s="4"/>
      <c r="LVK122" s="4"/>
      <c r="LVL122" s="4"/>
      <c r="LVM122" s="4"/>
      <c r="LVN122" s="4"/>
      <c r="LVO122" s="4"/>
      <c r="LVP122" s="4"/>
      <c r="LVQ122" s="4"/>
      <c r="LVR122" s="4"/>
      <c r="LVS122" s="4"/>
      <c r="LVT122" s="4"/>
      <c r="LVU122" s="4"/>
      <c r="LVV122" s="4"/>
      <c r="LVW122" s="4"/>
      <c r="LVX122" s="4"/>
      <c r="LVY122" s="4"/>
      <c r="LVZ122" s="4"/>
      <c r="LWA122" s="4"/>
      <c r="LWB122" s="4"/>
      <c r="LWC122" s="4"/>
      <c r="LWD122" s="4"/>
      <c r="LWE122" s="4"/>
      <c r="LWF122" s="4"/>
      <c r="LWG122" s="4"/>
      <c r="LWH122" s="4"/>
      <c r="LWI122" s="4"/>
      <c r="LWJ122" s="4"/>
      <c r="LWK122" s="4"/>
      <c r="LWL122" s="4"/>
      <c r="LWM122" s="4"/>
      <c r="LWN122" s="4"/>
      <c r="LWO122" s="4"/>
      <c r="LWP122" s="4"/>
      <c r="LWQ122" s="4"/>
      <c r="LWR122" s="4"/>
      <c r="LWS122" s="4"/>
      <c r="LWT122" s="4"/>
      <c r="LWU122" s="4"/>
      <c r="LWV122" s="4"/>
      <c r="LWW122" s="4"/>
      <c r="LWX122" s="4"/>
      <c r="LWY122" s="4"/>
      <c r="LWZ122" s="4"/>
      <c r="LXA122" s="4"/>
      <c r="LXB122" s="4"/>
      <c r="LXC122" s="4"/>
      <c r="LXD122" s="4"/>
      <c r="LXE122" s="4"/>
      <c r="LXF122" s="4"/>
      <c r="LXG122" s="4"/>
      <c r="LXH122" s="4"/>
      <c r="LXI122" s="4"/>
      <c r="LXJ122" s="4"/>
      <c r="LXK122" s="4"/>
      <c r="LXL122" s="4"/>
      <c r="LXM122" s="4"/>
      <c r="LXN122" s="4"/>
      <c r="LXO122" s="4"/>
      <c r="LXP122" s="4"/>
      <c r="LXQ122" s="4"/>
      <c r="LXR122" s="4"/>
      <c r="LXS122" s="4"/>
      <c r="LXT122" s="4"/>
      <c r="LXU122" s="4"/>
      <c r="LXV122" s="4"/>
      <c r="LXW122" s="4"/>
      <c r="LXX122" s="4"/>
      <c r="LXY122" s="4"/>
      <c r="LXZ122" s="4"/>
      <c r="LYA122" s="4"/>
      <c r="LYB122" s="4"/>
      <c r="LYC122" s="4"/>
      <c r="LYD122" s="4"/>
      <c r="LYE122" s="4"/>
      <c r="LYF122" s="4"/>
      <c r="LYG122" s="4"/>
      <c r="LYH122" s="4"/>
      <c r="LYI122" s="4"/>
      <c r="LYJ122" s="4"/>
      <c r="LYK122" s="4"/>
      <c r="LYL122" s="4"/>
      <c r="LYM122" s="4"/>
      <c r="LYN122" s="4"/>
      <c r="LYO122" s="4"/>
      <c r="LYP122" s="4"/>
      <c r="LYQ122" s="4"/>
      <c r="LYR122" s="4"/>
      <c r="LYS122" s="4"/>
      <c r="LYT122" s="4"/>
      <c r="LYU122" s="4"/>
      <c r="LYV122" s="4"/>
      <c r="LYW122" s="4"/>
      <c r="LYX122" s="4"/>
      <c r="LYY122" s="4"/>
      <c r="LYZ122" s="4"/>
      <c r="LZA122" s="4"/>
      <c r="LZB122" s="4"/>
      <c r="LZC122" s="4"/>
      <c r="LZD122" s="4"/>
      <c r="LZE122" s="4"/>
      <c r="LZF122" s="4"/>
      <c r="LZG122" s="4"/>
      <c r="LZH122" s="4"/>
      <c r="LZI122" s="4"/>
      <c r="LZJ122" s="4"/>
      <c r="LZK122" s="4"/>
      <c r="LZL122" s="4"/>
      <c r="LZM122" s="4"/>
      <c r="LZN122" s="4"/>
      <c r="LZO122" s="4"/>
      <c r="LZP122" s="4"/>
      <c r="LZQ122" s="4"/>
      <c r="LZR122" s="4"/>
      <c r="LZS122" s="4"/>
      <c r="LZT122" s="4"/>
      <c r="LZU122" s="4"/>
      <c r="LZV122" s="4"/>
      <c r="LZW122" s="4"/>
      <c r="LZX122" s="4"/>
      <c r="LZY122" s="4"/>
      <c r="LZZ122" s="4"/>
      <c r="MAA122" s="4"/>
      <c r="MAB122" s="4"/>
      <c r="MAC122" s="4"/>
      <c r="MAD122" s="4"/>
      <c r="MAE122" s="4"/>
      <c r="MAF122" s="4"/>
      <c r="MAG122" s="4"/>
      <c r="MAH122" s="4"/>
      <c r="MAI122" s="4"/>
      <c r="MAJ122" s="4"/>
      <c r="MAK122" s="4"/>
      <c r="MAL122" s="4"/>
      <c r="MAM122" s="4"/>
      <c r="MAN122" s="4"/>
      <c r="MAO122" s="4"/>
      <c r="MAP122" s="4"/>
      <c r="MAQ122" s="4"/>
      <c r="MAR122" s="4"/>
      <c r="MAS122" s="4"/>
      <c r="MAT122" s="4"/>
      <c r="MAU122" s="4"/>
      <c r="MAV122" s="4"/>
      <c r="MAW122" s="4"/>
      <c r="MAX122" s="4"/>
      <c r="MAY122" s="4"/>
      <c r="MAZ122" s="4"/>
      <c r="MBA122" s="4"/>
      <c r="MBB122" s="4"/>
      <c r="MBC122" s="4"/>
      <c r="MBD122" s="4"/>
      <c r="MBE122" s="4"/>
      <c r="MBF122" s="4"/>
      <c r="MBG122" s="4"/>
      <c r="MBH122" s="4"/>
      <c r="MBI122" s="4"/>
      <c r="MBJ122" s="4"/>
      <c r="MBK122" s="4"/>
      <c r="MBL122" s="4"/>
      <c r="MBM122" s="4"/>
      <c r="MBN122" s="4"/>
      <c r="MBO122" s="4"/>
      <c r="MBP122" s="4"/>
      <c r="MBQ122" s="4"/>
      <c r="MBR122" s="4"/>
      <c r="MBS122" s="4"/>
      <c r="MBT122" s="4"/>
      <c r="MBU122" s="4"/>
      <c r="MBV122" s="4"/>
      <c r="MBW122" s="4"/>
      <c r="MBX122" s="4"/>
      <c r="MBY122" s="4"/>
      <c r="MBZ122" s="4"/>
      <c r="MCA122" s="4"/>
      <c r="MCB122" s="4"/>
      <c r="MCC122" s="4"/>
      <c r="MCD122" s="4"/>
      <c r="MCE122" s="4"/>
      <c r="MCF122" s="4"/>
      <c r="MCG122" s="4"/>
      <c r="MCH122" s="4"/>
      <c r="MCI122" s="4"/>
      <c r="MCJ122" s="4"/>
      <c r="MCK122" s="4"/>
      <c r="MCL122" s="4"/>
      <c r="MCM122" s="4"/>
      <c r="MCN122" s="4"/>
      <c r="MCO122" s="4"/>
      <c r="MCP122" s="4"/>
      <c r="MCQ122" s="4"/>
      <c r="MCR122" s="4"/>
      <c r="MCS122" s="4"/>
      <c r="MCT122" s="4"/>
      <c r="MCU122" s="4"/>
      <c r="MCV122" s="4"/>
      <c r="MCW122" s="4"/>
      <c r="MCX122" s="4"/>
      <c r="MCY122" s="4"/>
      <c r="MCZ122" s="4"/>
      <c r="MDA122" s="4"/>
      <c r="MDB122" s="4"/>
      <c r="MDC122" s="4"/>
      <c r="MDD122" s="4"/>
      <c r="MDE122" s="4"/>
      <c r="MDF122" s="4"/>
      <c r="MDG122" s="4"/>
      <c r="MDH122" s="4"/>
      <c r="MDI122" s="4"/>
      <c r="MDJ122" s="4"/>
      <c r="MDK122" s="4"/>
      <c r="MDL122" s="4"/>
      <c r="MDM122" s="4"/>
      <c r="MDN122" s="4"/>
      <c r="MDO122" s="4"/>
      <c r="MDP122" s="4"/>
      <c r="MDQ122" s="4"/>
      <c r="MDR122" s="4"/>
      <c r="MDS122" s="4"/>
      <c r="MDT122" s="4"/>
      <c r="MDU122" s="4"/>
      <c r="MDV122" s="4"/>
      <c r="MDW122" s="4"/>
      <c r="MDX122" s="4"/>
      <c r="MDY122" s="4"/>
      <c r="MDZ122" s="4"/>
      <c r="MEA122" s="4"/>
      <c r="MEB122" s="4"/>
      <c r="MEC122" s="4"/>
      <c r="MED122" s="4"/>
      <c r="MEE122" s="4"/>
      <c r="MEF122" s="4"/>
      <c r="MEG122" s="4"/>
      <c r="MEH122" s="4"/>
      <c r="MEI122" s="4"/>
      <c r="MEJ122" s="4"/>
      <c r="MEK122" s="4"/>
      <c r="MEL122" s="4"/>
      <c r="MEM122" s="4"/>
      <c r="MEN122" s="4"/>
      <c r="MEO122" s="4"/>
      <c r="MEP122" s="4"/>
      <c r="MEQ122" s="4"/>
      <c r="MER122" s="4"/>
      <c r="MES122" s="4"/>
      <c r="MET122" s="4"/>
      <c r="MEU122" s="4"/>
      <c r="MEV122" s="4"/>
      <c r="MEW122" s="4"/>
      <c r="MEX122" s="4"/>
      <c r="MEY122" s="4"/>
      <c r="MEZ122" s="4"/>
      <c r="MFA122" s="4"/>
      <c r="MFB122" s="4"/>
      <c r="MFC122" s="4"/>
      <c r="MFD122" s="4"/>
      <c r="MFE122" s="4"/>
      <c r="MFF122" s="4"/>
      <c r="MFG122" s="4"/>
      <c r="MFH122" s="4"/>
      <c r="MFI122" s="4"/>
      <c r="MFJ122" s="4"/>
      <c r="MFK122" s="4"/>
      <c r="MFL122" s="4"/>
      <c r="MFM122" s="4"/>
      <c r="MFN122" s="4"/>
      <c r="MFO122" s="4"/>
      <c r="MFP122" s="4"/>
      <c r="MFQ122" s="4"/>
      <c r="MFR122" s="4"/>
      <c r="MFS122" s="4"/>
      <c r="MFT122" s="4"/>
      <c r="MFU122" s="4"/>
      <c r="MFV122" s="4"/>
      <c r="MFW122" s="4"/>
      <c r="MFX122" s="4"/>
      <c r="MFY122" s="4"/>
      <c r="MFZ122" s="4"/>
      <c r="MGA122" s="4"/>
      <c r="MGB122" s="4"/>
      <c r="MGC122" s="4"/>
      <c r="MGD122" s="4"/>
      <c r="MGE122" s="4"/>
      <c r="MGF122" s="4"/>
      <c r="MGG122" s="4"/>
      <c r="MGH122" s="4"/>
      <c r="MGI122" s="4"/>
      <c r="MGJ122" s="4"/>
      <c r="MGK122" s="4"/>
      <c r="MGL122" s="4"/>
      <c r="MGM122" s="4"/>
      <c r="MGN122" s="4"/>
      <c r="MGO122" s="4"/>
      <c r="MGP122" s="4"/>
      <c r="MGQ122" s="4"/>
      <c r="MGR122" s="4"/>
      <c r="MGS122" s="4"/>
      <c r="MGT122" s="4"/>
      <c r="MGU122" s="4"/>
      <c r="MGV122" s="4"/>
      <c r="MGW122" s="4"/>
      <c r="MGX122" s="4"/>
      <c r="MGY122" s="4"/>
      <c r="MGZ122" s="4"/>
      <c r="MHA122" s="4"/>
      <c r="MHB122" s="4"/>
      <c r="MHC122" s="4"/>
      <c r="MHD122" s="4"/>
      <c r="MHE122" s="4"/>
      <c r="MHF122" s="4"/>
      <c r="MHG122" s="4"/>
      <c r="MHH122" s="4"/>
      <c r="MHI122" s="4"/>
      <c r="MHJ122" s="4"/>
      <c r="MHK122" s="4"/>
      <c r="MHL122" s="4"/>
      <c r="MHM122" s="4"/>
      <c r="MHN122" s="4"/>
      <c r="MHO122" s="4"/>
      <c r="MHP122" s="4"/>
      <c r="MHQ122" s="4"/>
      <c r="MHR122" s="4"/>
      <c r="MHS122" s="4"/>
      <c r="MHT122" s="4"/>
      <c r="MHU122" s="4"/>
      <c r="MHV122" s="4"/>
      <c r="MHW122" s="4"/>
      <c r="MHX122" s="4"/>
      <c r="MHY122" s="4"/>
      <c r="MHZ122" s="4"/>
      <c r="MIA122" s="4"/>
      <c r="MIB122" s="4"/>
      <c r="MIC122" s="4"/>
      <c r="MID122" s="4"/>
      <c r="MIE122" s="4"/>
      <c r="MIF122" s="4"/>
      <c r="MIG122" s="4"/>
      <c r="MIH122" s="4"/>
      <c r="MII122" s="4"/>
      <c r="MIJ122" s="4"/>
      <c r="MIK122" s="4"/>
      <c r="MIL122" s="4"/>
      <c r="MIM122" s="4"/>
      <c r="MIN122" s="4"/>
      <c r="MIO122" s="4"/>
      <c r="MIP122" s="4"/>
      <c r="MIQ122" s="4"/>
      <c r="MIR122" s="4"/>
      <c r="MIS122" s="4"/>
      <c r="MIT122" s="4"/>
      <c r="MIU122" s="4"/>
      <c r="MIV122" s="4"/>
      <c r="MIW122" s="4"/>
      <c r="MIX122" s="4"/>
      <c r="MIY122" s="4"/>
      <c r="MIZ122" s="4"/>
      <c r="MJA122" s="4"/>
      <c r="MJB122" s="4"/>
      <c r="MJC122" s="4"/>
      <c r="MJD122" s="4"/>
      <c r="MJE122" s="4"/>
      <c r="MJF122" s="4"/>
      <c r="MJG122" s="4"/>
      <c r="MJH122" s="4"/>
      <c r="MJI122" s="4"/>
      <c r="MJJ122" s="4"/>
      <c r="MJK122" s="4"/>
      <c r="MJL122" s="4"/>
      <c r="MJM122" s="4"/>
      <c r="MJN122" s="4"/>
      <c r="MJO122" s="4"/>
      <c r="MJP122" s="4"/>
      <c r="MJQ122" s="4"/>
      <c r="MJR122" s="4"/>
      <c r="MJS122" s="4"/>
      <c r="MJT122" s="4"/>
      <c r="MJU122" s="4"/>
      <c r="MJV122" s="4"/>
      <c r="MJW122" s="4"/>
      <c r="MJX122" s="4"/>
      <c r="MJY122" s="4"/>
      <c r="MJZ122" s="4"/>
      <c r="MKA122" s="4"/>
      <c r="MKB122" s="4"/>
      <c r="MKC122" s="4"/>
      <c r="MKD122" s="4"/>
      <c r="MKE122" s="4"/>
      <c r="MKF122" s="4"/>
      <c r="MKG122" s="4"/>
      <c r="MKH122" s="4"/>
      <c r="MKI122" s="4"/>
      <c r="MKJ122" s="4"/>
      <c r="MKK122" s="4"/>
      <c r="MKL122" s="4"/>
      <c r="MKM122" s="4"/>
      <c r="MKN122" s="4"/>
      <c r="MKO122" s="4"/>
      <c r="MKP122" s="4"/>
      <c r="MKQ122" s="4"/>
      <c r="MKR122" s="4"/>
      <c r="MKS122" s="4"/>
      <c r="MKT122" s="4"/>
      <c r="MKU122" s="4"/>
      <c r="MKV122" s="4"/>
      <c r="MKW122" s="4"/>
      <c r="MKX122" s="4"/>
      <c r="MKY122" s="4"/>
      <c r="MKZ122" s="4"/>
      <c r="MLA122" s="4"/>
      <c r="MLB122" s="4"/>
      <c r="MLC122" s="4"/>
      <c r="MLD122" s="4"/>
      <c r="MLE122" s="4"/>
      <c r="MLF122" s="4"/>
      <c r="MLG122" s="4"/>
      <c r="MLH122" s="4"/>
      <c r="MLI122" s="4"/>
      <c r="MLJ122" s="4"/>
      <c r="MLK122" s="4"/>
      <c r="MLL122" s="4"/>
      <c r="MLM122" s="4"/>
      <c r="MLN122" s="4"/>
      <c r="MLO122" s="4"/>
      <c r="MLP122" s="4"/>
      <c r="MLQ122" s="4"/>
      <c r="MLR122" s="4"/>
      <c r="MLS122" s="4"/>
      <c r="MLT122" s="4"/>
      <c r="MLU122" s="4"/>
      <c r="MLV122" s="4"/>
      <c r="MLW122" s="4"/>
      <c r="MLX122" s="4"/>
      <c r="MLY122" s="4"/>
      <c r="MLZ122" s="4"/>
      <c r="MMA122" s="4"/>
      <c r="MMB122" s="4"/>
      <c r="MMC122" s="4"/>
      <c r="MMD122" s="4"/>
      <c r="MME122" s="4"/>
      <c r="MMF122" s="4"/>
      <c r="MMG122" s="4"/>
      <c r="MMH122" s="4"/>
      <c r="MMI122" s="4"/>
      <c r="MMJ122" s="4"/>
      <c r="MMK122" s="4"/>
      <c r="MML122" s="4"/>
      <c r="MMM122" s="4"/>
      <c r="MMN122" s="4"/>
      <c r="MMO122" s="4"/>
      <c r="MMP122" s="4"/>
      <c r="MMQ122" s="4"/>
      <c r="MMR122" s="4"/>
      <c r="MMS122" s="4"/>
      <c r="MMT122" s="4"/>
      <c r="MMU122" s="4"/>
      <c r="MMV122" s="4"/>
      <c r="MMW122" s="4"/>
      <c r="MMX122" s="4"/>
      <c r="MMY122" s="4"/>
      <c r="MMZ122" s="4"/>
      <c r="MNA122" s="4"/>
      <c r="MNB122" s="4"/>
      <c r="MNC122" s="4"/>
      <c r="MND122" s="4"/>
      <c r="MNE122" s="4"/>
      <c r="MNF122" s="4"/>
      <c r="MNG122" s="4"/>
      <c r="MNH122" s="4"/>
      <c r="MNI122" s="4"/>
      <c r="MNJ122" s="4"/>
      <c r="MNK122" s="4"/>
      <c r="MNL122" s="4"/>
      <c r="MNM122" s="4"/>
      <c r="MNN122" s="4"/>
      <c r="MNO122" s="4"/>
      <c r="MNP122" s="4"/>
      <c r="MNQ122" s="4"/>
      <c r="MNR122" s="4"/>
      <c r="MNS122" s="4"/>
      <c r="MNT122" s="4"/>
      <c r="MNU122" s="4"/>
      <c r="MNV122" s="4"/>
      <c r="MNW122" s="4"/>
      <c r="MNX122" s="4"/>
      <c r="MNY122" s="4"/>
      <c r="MNZ122" s="4"/>
      <c r="MOA122" s="4"/>
      <c r="MOB122" s="4"/>
      <c r="MOC122" s="4"/>
      <c r="MOD122" s="4"/>
      <c r="MOE122" s="4"/>
      <c r="MOF122" s="4"/>
      <c r="MOG122" s="4"/>
      <c r="MOH122" s="4"/>
      <c r="MOI122" s="4"/>
      <c r="MOJ122" s="4"/>
      <c r="MOK122" s="4"/>
      <c r="MOL122" s="4"/>
      <c r="MOM122" s="4"/>
      <c r="MON122" s="4"/>
      <c r="MOO122" s="4"/>
      <c r="MOP122" s="4"/>
      <c r="MOQ122" s="4"/>
      <c r="MOR122" s="4"/>
      <c r="MOS122" s="4"/>
      <c r="MOT122" s="4"/>
      <c r="MOU122" s="4"/>
      <c r="MOV122" s="4"/>
      <c r="MOW122" s="4"/>
      <c r="MOX122" s="4"/>
      <c r="MOY122" s="4"/>
      <c r="MOZ122" s="4"/>
      <c r="MPA122" s="4"/>
      <c r="MPB122" s="4"/>
      <c r="MPC122" s="4"/>
      <c r="MPD122" s="4"/>
      <c r="MPE122" s="4"/>
      <c r="MPF122" s="4"/>
      <c r="MPG122" s="4"/>
      <c r="MPH122" s="4"/>
      <c r="MPI122" s="4"/>
      <c r="MPJ122" s="4"/>
      <c r="MPK122" s="4"/>
      <c r="MPL122" s="4"/>
      <c r="MPM122" s="4"/>
      <c r="MPN122" s="4"/>
      <c r="MPO122" s="4"/>
      <c r="MPP122" s="4"/>
      <c r="MPQ122" s="4"/>
      <c r="MPR122" s="4"/>
      <c r="MPS122" s="4"/>
      <c r="MPT122" s="4"/>
      <c r="MPU122" s="4"/>
      <c r="MPV122" s="4"/>
      <c r="MPW122" s="4"/>
      <c r="MPX122" s="4"/>
      <c r="MPY122" s="4"/>
      <c r="MPZ122" s="4"/>
      <c r="MQA122" s="4"/>
      <c r="MQB122" s="4"/>
      <c r="MQC122" s="4"/>
      <c r="MQD122" s="4"/>
      <c r="MQE122" s="4"/>
      <c r="MQF122" s="4"/>
      <c r="MQG122" s="4"/>
      <c r="MQH122" s="4"/>
      <c r="MQI122" s="4"/>
      <c r="MQJ122" s="4"/>
      <c r="MQK122" s="4"/>
      <c r="MQL122" s="4"/>
      <c r="MQM122" s="4"/>
      <c r="MQN122" s="4"/>
      <c r="MQO122" s="4"/>
      <c r="MQP122" s="4"/>
      <c r="MQQ122" s="4"/>
      <c r="MQR122" s="4"/>
      <c r="MQS122" s="4"/>
      <c r="MQT122" s="4"/>
      <c r="MQU122" s="4"/>
      <c r="MQV122" s="4"/>
      <c r="MQW122" s="4"/>
      <c r="MQX122" s="4"/>
      <c r="MQY122" s="4"/>
      <c r="MQZ122" s="4"/>
      <c r="MRA122" s="4"/>
      <c r="MRB122" s="4"/>
      <c r="MRC122" s="4"/>
      <c r="MRD122" s="4"/>
      <c r="MRE122" s="4"/>
      <c r="MRF122" s="4"/>
      <c r="MRG122" s="4"/>
      <c r="MRH122" s="4"/>
      <c r="MRI122" s="4"/>
      <c r="MRJ122" s="4"/>
      <c r="MRK122" s="4"/>
      <c r="MRL122" s="4"/>
      <c r="MRM122" s="4"/>
      <c r="MRN122" s="4"/>
      <c r="MRO122" s="4"/>
      <c r="MRP122" s="4"/>
      <c r="MRQ122" s="4"/>
      <c r="MRR122" s="4"/>
      <c r="MRS122" s="4"/>
      <c r="MRT122" s="4"/>
      <c r="MRU122" s="4"/>
      <c r="MRV122" s="4"/>
      <c r="MRW122" s="4"/>
      <c r="MRX122" s="4"/>
      <c r="MRY122" s="4"/>
      <c r="MRZ122" s="4"/>
      <c r="MSA122" s="4"/>
      <c r="MSB122" s="4"/>
      <c r="MSC122" s="4"/>
      <c r="MSD122" s="4"/>
      <c r="MSE122" s="4"/>
      <c r="MSF122" s="4"/>
      <c r="MSG122" s="4"/>
      <c r="MSH122" s="4"/>
      <c r="MSI122" s="4"/>
      <c r="MSJ122" s="4"/>
      <c r="MSK122" s="4"/>
      <c r="MSL122" s="4"/>
      <c r="MSM122" s="4"/>
      <c r="MSN122" s="4"/>
      <c r="MSO122" s="4"/>
      <c r="MSP122" s="4"/>
      <c r="MSQ122" s="4"/>
      <c r="MSR122" s="4"/>
      <c r="MSS122" s="4"/>
      <c r="MST122" s="4"/>
      <c r="MSU122" s="4"/>
      <c r="MSV122" s="4"/>
      <c r="MSW122" s="4"/>
      <c r="MSX122" s="4"/>
      <c r="MSY122" s="4"/>
      <c r="MSZ122" s="4"/>
      <c r="MTA122" s="4"/>
      <c r="MTB122" s="4"/>
      <c r="MTC122" s="4"/>
      <c r="MTD122" s="4"/>
      <c r="MTE122" s="4"/>
      <c r="MTF122" s="4"/>
      <c r="MTG122" s="4"/>
      <c r="MTH122" s="4"/>
      <c r="MTI122" s="4"/>
      <c r="MTJ122" s="4"/>
      <c r="MTK122" s="4"/>
      <c r="MTL122" s="4"/>
      <c r="MTM122" s="4"/>
      <c r="MTN122" s="4"/>
      <c r="MTO122" s="4"/>
      <c r="MTP122" s="4"/>
      <c r="MTQ122" s="4"/>
      <c r="MTR122" s="4"/>
      <c r="MTS122" s="4"/>
      <c r="MTT122" s="4"/>
      <c r="MTU122" s="4"/>
      <c r="MTV122" s="4"/>
      <c r="MTW122" s="4"/>
      <c r="MTX122" s="4"/>
      <c r="MTY122" s="4"/>
      <c r="MTZ122" s="4"/>
      <c r="MUA122" s="4"/>
      <c r="MUB122" s="4"/>
      <c r="MUC122" s="4"/>
      <c r="MUD122" s="4"/>
      <c r="MUE122" s="4"/>
      <c r="MUF122" s="4"/>
      <c r="MUG122" s="4"/>
      <c r="MUH122" s="4"/>
      <c r="MUI122" s="4"/>
      <c r="MUJ122" s="4"/>
      <c r="MUK122" s="4"/>
      <c r="MUL122" s="4"/>
      <c r="MUM122" s="4"/>
      <c r="MUN122" s="4"/>
      <c r="MUO122" s="4"/>
      <c r="MUP122" s="4"/>
      <c r="MUQ122" s="4"/>
      <c r="MUR122" s="4"/>
      <c r="MUS122" s="4"/>
      <c r="MUT122" s="4"/>
      <c r="MUU122" s="4"/>
      <c r="MUV122" s="4"/>
      <c r="MUW122" s="4"/>
      <c r="MUX122" s="4"/>
      <c r="MUY122" s="4"/>
      <c r="MUZ122" s="4"/>
      <c r="MVA122" s="4"/>
      <c r="MVB122" s="4"/>
      <c r="MVC122" s="4"/>
      <c r="MVD122" s="4"/>
      <c r="MVE122" s="4"/>
      <c r="MVF122" s="4"/>
      <c r="MVG122" s="4"/>
      <c r="MVH122" s="4"/>
      <c r="MVI122" s="4"/>
      <c r="MVJ122" s="4"/>
      <c r="MVK122" s="4"/>
      <c r="MVL122" s="4"/>
      <c r="MVM122" s="4"/>
      <c r="MVN122" s="4"/>
      <c r="MVO122" s="4"/>
      <c r="MVP122" s="4"/>
      <c r="MVQ122" s="4"/>
      <c r="MVR122" s="4"/>
      <c r="MVS122" s="4"/>
      <c r="MVT122" s="4"/>
      <c r="MVU122" s="4"/>
      <c r="MVV122" s="4"/>
      <c r="MVW122" s="4"/>
      <c r="MVX122" s="4"/>
      <c r="MVY122" s="4"/>
      <c r="MVZ122" s="4"/>
      <c r="MWA122" s="4"/>
      <c r="MWB122" s="4"/>
      <c r="MWC122" s="4"/>
      <c r="MWD122" s="4"/>
      <c r="MWE122" s="4"/>
      <c r="MWF122" s="4"/>
      <c r="MWG122" s="4"/>
      <c r="MWH122" s="4"/>
      <c r="MWI122" s="4"/>
      <c r="MWJ122" s="4"/>
      <c r="MWK122" s="4"/>
      <c r="MWL122" s="4"/>
      <c r="MWM122" s="4"/>
      <c r="MWN122" s="4"/>
      <c r="MWO122" s="4"/>
      <c r="MWP122" s="4"/>
      <c r="MWQ122" s="4"/>
      <c r="MWR122" s="4"/>
      <c r="MWS122" s="4"/>
      <c r="MWT122" s="4"/>
      <c r="MWU122" s="4"/>
      <c r="MWV122" s="4"/>
      <c r="MWW122" s="4"/>
      <c r="MWX122" s="4"/>
      <c r="MWY122" s="4"/>
      <c r="MWZ122" s="4"/>
      <c r="MXA122" s="4"/>
      <c r="MXB122" s="4"/>
      <c r="MXC122" s="4"/>
      <c r="MXD122" s="4"/>
      <c r="MXE122" s="4"/>
      <c r="MXF122" s="4"/>
      <c r="MXG122" s="4"/>
      <c r="MXH122" s="4"/>
      <c r="MXI122" s="4"/>
      <c r="MXJ122" s="4"/>
      <c r="MXK122" s="4"/>
      <c r="MXL122" s="4"/>
      <c r="MXM122" s="4"/>
      <c r="MXN122" s="4"/>
      <c r="MXO122" s="4"/>
      <c r="MXP122" s="4"/>
      <c r="MXQ122" s="4"/>
      <c r="MXR122" s="4"/>
      <c r="MXS122" s="4"/>
      <c r="MXT122" s="4"/>
      <c r="MXU122" s="4"/>
      <c r="MXV122" s="4"/>
      <c r="MXW122" s="4"/>
      <c r="MXX122" s="4"/>
      <c r="MXY122" s="4"/>
      <c r="MXZ122" s="4"/>
      <c r="MYA122" s="4"/>
      <c r="MYB122" s="4"/>
      <c r="MYC122" s="4"/>
      <c r="MYD122" s="4"/>
      <c r="MYE122" s="4"/>
      <c r="MYF122" s="4"/>
      <c r="MYG122" s="4"/>
      <c r="MYH122" s="4"/>
      <c r="MYI122" s="4"/>
      <c r="MYJ122" s="4"/>
      <c r="MYK122" s="4"/>
      <c r="MYL122" s="4"/>
      <c r="MYM122" s="4"/>
      <c r="MYN122" s="4"/>
      <c r="MYO122" s="4"/>
      <c r="MYP122" s="4"/>
      <c r="MYQ122" s="4"/>
      <c r="MYR122" s="4"/>
      <c r="MYS122" s="4"/>
      <c r="MYT122" s="4"/>
      <c r="MYU122" s="4"/>
      <c r="MYV122" s="4"/>
      <c r="MYW122" s="4"/>
      <c r="MYX122" s="4"/>
      <c r="MYY122" s="4"/>
      <c r="MYZ122" s="4"/>
      <c r="MZA122" s="4"/>
      <c r="MZB122" s="4"/>
      <c r="MZC122" s="4"/>
      <c r="MZD122" s="4"/>
      <c r="MZE122" s="4"/>
      <c r="MZF122" s="4"/>
      <c r="MZG122" s="4"/>
      <c r="MZH122" s="4"/>
      <c r="MZI122" s="4"/>
      <c r="MZJ122" s="4"/>
      <c r="MZK122" s="4"/>
      <c r="MZL122" s="4"/>
      <c r="MZM122" s="4"/>
      <c r="MZN122" s="4"/>
      <c r="MZO122" s="4"/>
      <c r="MZP122" s="4"/>
      <c r="MZQ122" s="4"/>
      <c r="MZR122" s="4"/>
      <c r="MZS122" s="4"/>
      <c r="MZT122" s="4"/>
      <c r="MZU122" s="4"/>
      <c r="MZV122" s="4"/>
      <c r="MZW122" s="4"/>
      <c r="MZX122" s="4"/>
      <c r="MZY122" s="4"/>
      <c r="MZZ122" s="4"/>
      <c r="NAA122" s="4"/>
      <c r="NAB122" s="4"/>
      <c r="NAC122" s="4"/>
      <c r="NAD122" s="4"/>
      <c r="NAE122" s="4"/>
      <c r="NAF122" s="4"/>
      <c r="NAG122" s="4"/>
      <c r="NAH122" s="4"/>
      <c r="NAI122" s="4"/>
      <c r="NAJ122" s="4"/>
      <c r="NAK122" s="4"/>
      <c r="NAL122" s="4"/>
      <c r="NAM122" s="4"/>
      <c r="NAN122" s="4"/>
      <c r="NAO122" s="4"/>
      <c r="NAP122" s="4"/>
      <c r="NAQ122" s="4"/>
      <c r="NAR122" s="4"/>
      <c r="NAS122" s="4"/>
      <c r="NAT122" s="4"/>
      <c r="NAU122" s="4"/>
      <c r="NAV122" s="4"/>
      <c r="NAW122" s="4"/>
      <c r="NAX122" s="4"/>
      <c r="NAY122" s="4"/>
      <c r="NAZ122" s="4"/>
      <c r="NBA122" s="4"/>
      <c r="NBB122" s="4"/>
      <c r="NBC122" s="4"/>
      <c r="NBD122" s="4"/>
      <c r="NBE122" s="4"/>
      <c r="NBF122" s="4"/>
      <c r="NBG122" s="4"/>
      <c r="NBH122" s="4"/>
      <c r="NBI122" s="4"/>
      <c r="NBJ122" s="4"/>
      <c r="NBK122" s="4"/>
      <c r="NBL122" s="4"/>
      <c r="NBM122" s="4"/>
      <c r="NBN122" s="4"/>
      <c r="NBO122" s="4"/>
      <c r="NBP122" s="4"/>
      <c r="NBQ122" s="4"/>
      <c r="NBR122" s="4"/>
      <c r="NBS122" s="4"/>
      <c r="NBT122" s="4"/>
      <c r="NBU122" s="4"/>
      <c r="NBV122" s="4"/>
      <c r="NBW122" s="4"/>
      <c r="NBX122" s="4"/>
      <c r="NBY122" s="4"/>
      <c r="NBZ122" s="4"/>
      <c r="NCA122" s="4"/>
      <c r="NCB122" s="4"/>
      <c r="NCC122" s="4"/>
      <c r="NCD122" s="4"/>
      <c r="NCE122" s="4"/>
      <c r="NCF122" s="4"/>
      <c r="NCG122" s="4"/>
      <c r="NCH122" s="4"/>
      <c r="NCI122" s="4"/>
      <c r="NCJ122" s="4"/>
      <c r="NCK122" s="4"/>
      <c r="NCL122" s="4"/>
      <c r="NCM122" s="4"/>
      <c r="NCN122" s="4"/>
      <c r="NCO122" s="4"/>
      <c r="NCP122" s="4"/>
      <c r="NCQ122" s="4"/>
      <c r="NCR122" s="4"/>
      <c r="NCS122" s="4"/>
      <c r="NCT122" s="4"/>
      <c r="NCU122" s="4"/>
      <c r="NCV122" s="4"/>
      <c r="NCW122" s="4"/>
      <c r="NCX122" s="4"/>
      <c r="NCY122" s="4"/>
      <c r="NCZ122" s="4"/>
      <c r="NDA122" s="4"/>
      <c r="NDB122" s="4"/>
      <c r="NDC122" s="4"/>
      <c r="NDD122" s="4"/>
      <c r="NDE122" s="4"/>
      <c r="NDF122" s="4"/>
      <c r="NDG122" s="4"/>
      <c r="NDH122" s="4"/>
      <c r="NDI122" s="4"/>
      <c r="NDJ122" s="4"/>
      <c r="NDK122" s="4"/>
      <c r="NDL122" s="4"/>
      <c r="NDM122" s="4"/>
      <c r="NDN122" s="4"/>
      <c r="NDO122" s="4"/>
      <c r="NDP122" s="4"/>
      <c r="NDQ122" s="4"/>
      <c r="NDR122" s="4"/>
      <c r="NDS122" s="4"/>
      <c r="NDT122" s="4"/>
      <c r="NDU122" s="4"/>
      <c r="NDV122" s="4"/>
      <c r="NDW122" s="4"/>
      <c r="NDX122" s="4"/>
      <c r="NDY122" s="4"/>
      <c r="NDZ122" s="4"/>
      <c r="NEA122" s="4"/>
      <c r="NEB122" s="4"/>
      <c r="NEC122" s="4"/>
      <c r="NED122" s="4"/>
      <c r="NEE122" s="4"/>
      <c r="NEF122" s="4"/>
      <c r="NEG122" s="4"/>
      <c r="NEH122" s="4"/>
      <c r="NEI122" s="4"/>
      <c r="NEJ122" s="4"/>
      <c r="NEK122" s="4"/>
      <c r="NEL122" s="4"/>
      <c r="NEM122" s="4"/>
      <c r="NEN122" s="4"/>
      <c r="NEO122" s="4"/>
      <c r="NEP122" s="4"/>
      <c r="NEQ122" s="4"/>
      <c r="NER122" s="4"/>
      <c r="NES122" s="4"/>
      <c r="NET122" s="4"/>
      <c r="NEU122" s="4"/>
      <c r="NEV122" s="4"/>
      <c r="NEW122" s="4"/>
      <c r="NEX122" s="4"/>
      <c r="NEY122" s="4"/>
      <c r="NEZ122" s="4"/>
      <c r="NFA122" s="4"/>
      <c r="NFB122" s="4"/>
      <c r="NFC122" s="4"/>
      <c r="NFD122" s="4"/>
      <c r="NFE122" s="4"/>
      <c r="NFF122" s="4"/>
      <c r="NFG122" s="4"/>
      <c r="NFH122" s="4"/>
      <c r="NFI122" s="4"/>
      <c r="NFJ122" s="4"/>
      <c r="NFK122" s="4"/>
      <c r="NFL122" s="4"/>
      <c r="NFM122" s="4"/>
      <c r="NFN122" s="4"/>
      <c r="NFO122" s="4"/>
      <c r="NFP122" s="4"/>
      <c r="NFQ122" s="4"/>
      <c r="NFR122" s="4"/>
      <c r="NFS122" s="4"/>
      <c r="NFT122" s="4"/>
      <c r="NFU122" s="4"/>
      <c r="NFV122" s="4"/>
      <c r="NFW122" s="4"/>
      <c r="NFX122" s="4"/>
      <c r="NFY122" s="4"/>
      <c r="NFZ122" s="4"/>
      <c r="NGA122" s="4"/>
      <c r="NGB122" s="4"/>
      <c r="NGC122" s="4"/>
      <c r="NGD122" s="4"/>
      <c r="NGE122" s="4"/>
      <c r="NGF122" s="4"/>
      <c r="NGG122" s="4"/>
      <c r="NGH122" s="4"/>
      <c r="NGI122" s="4"/>
      <c r="NGJ122" s="4"/>
      <c r="NGK122" s="4"/>
      <c r="NGL122" s="4"/>
      <c r="NGM122" s="4"/>
      <c r="NGN122" s="4"/>
      <c r="NGO122" s="4"/>
      <c r="NGP122" s="4"/>
      <c r="NGQ122" s="4"/>
      <c r="NGR122" s="4"/>
      <c r="NGS122" s="4"/>
      <c r="NGT122" s="4"/>
      <c r="NGU122" s="4"/>
      <c r="NGV122" s="4"/>
      <c r="NGW122" s="4"/>
      <c r="NGX122" s="4"/>
      <c r="NGY122" s="4"/>
      <c r="NGZ122" s="4"/>
      <c r="NHA122" s="4"/>
      <c r="NHB122" s="4"/>
      <c r="NHC122" s="4"/>
      <c r="NHD122" s="4"/>
      <c r="NHE122" s="4"/>
      <c r="NHF122" s="4"/>
      <c r="NHG122" s="4"/>
      <c r="NHH122" s="4"/>
      <c r="NHI122" s="4"/>
      <c r="NHJ122" s="4"/>
      <c r="NHK122" s="4"/>
      <c r="NHL122" s="4"/>
      <c r="NHM122" s="4"/>
      <c r="NHN122" s="4"/>
      <c r="NHO122" s="4"/>
      <c r="NHP122" s="4"/>
      <c r="NHQ122" s="4"/>
      <c r="NHR122" s="4"/>
      <c r="NHS122" s="4"/>
      <c r="NHT122" s="4"/>
      <c r="NHU122" s="4"/>
      <c r="NHV122" s="4"/>
      <c r="NHW122" s="4"/>
      <c r="NHX122" s="4"/>
      <c r="NHY122" s="4"/>
      <c r="NHZ122" s="4"/>
      <c r="NIA122" s="4"/>
      <c r="NIB122" s="4"/>
      <c r="NIC122" s="4"/>
      <c r="NID122" s="4"/>
      <c r="NIE122" s="4"/>
      <c r="NIF122" s="4"/>
      <c r="NIG122" s="4"/>
      <c r="NIH122" s="4"/>
      <c r="NII122" s="4"/>
      <c r="NIJ122" s="4"/>
      <c r="NIK122" s="4"/>
      <c r="NIL122" s="4"/>
      <c r="NIM122" s="4"/>
      <c r="NIN122" s="4"/>
      <c r="NIO122" s="4"/>
      <c r="NIP122" s="4"/>
      <c r="NIQ122" s="4"/>
      <c r="NIR122" s="4"/>
      <c r="NIS122" s="4"/>
      <c r="NIT122" s="4"/>
      <c r="NIU122" s="4"/>
      <c r="NIV122" s="4"/>
      <c r="NIW122" s="4"/>
      <c r="NIX122" s="4"/>
      <c r="NIY122" s="4"/>
      <c r="NIZ122" s="4"/>
      <c r="NJA122" s="4"/>
      <c r="NJB122" s="4"/>
      <c r="NJC122" s="4"/>
      <c r="NJD122" s="4"/>
      <c r="NJE122" s="4"/>
      <c r="NJF122" s="4"/>
      <c r="NJG122" s="4"/>
      <c r="NJH122" s="4"/>
      <c r="NJI122" s="4"/>
      <c r="NJJ122" s="4"/>
      <c r="NJK122" s="4"/>
      <c r="NJL122" s="4"/>
      <c r="NJM122" s="4"/>
      <c r="NJN122" s="4"/>
      <c r="NJO122" s="4"/>
      <c r="NJP122" s="4"/>
      <c r="NJQ122" s="4"/>
      <c r="NJR122" s="4"/>
      <c r="NJS122" s="4"/>
      <c r="NJT122" s="4"/>
      <c r="NJU122" s="4"/>
      <c r="NJV122" s="4"/>
      <c r="NJW122" s="4"/>
      <c r="NJX122" s="4"/>
      <c r="NJY122" s="4"/>
      <c r="NJZ122" s="4"/>
      <c r="NKA122" s="4"/>
      <c r="NKB122" s="4"/>
      <c r="NKC122" s="4"/>
      <c r="NKD122" s="4"/>
      <c r="NKE122" s="4"/>
      <c r="NKF122" s="4"/>
      <c r="NKG122" s="4"/>
      <c r="NKH122" s="4"/>
      <c r="NKI122" s="4"/>
      <c r="NKJ122" s="4"/>
      <c r="NKK122" s="4"/>
      <c r="NKL122" s="4"/>
      <c r="NKM122" s="4"/>
      <c r="NKN122" s="4"/>
      <c r="NKO122" s="4"/>
      <c r="NKP122" s="4"/>
      <c r="NKQ122" s="4"/>
      <c r="NKR122" s="4"/>
      <c r="NKS122" s="4"/>
      <c r="NKT122" s="4"/>
      <c r="NKU122" s="4"/>
      <c r="NKV122" s="4"/>
      <c r="NKW122" s="4"/>
      <c r="NKX122" s="4"/>
      <c r="NKY122" s="4"/>
      <c r="NKZ122" s="4"/>
      <c r="NLA122" s="4"/>
      <c r="NLB122" s="4"/>
      <c r="NLC122" s="4"/>
      <c r="NLD122" s="4"/>
      <c r="NLE122" s="4"/>
      <c r="NLF122" s="4"/>
      <c r="NLG122" s="4"/>
      <c r="NLH122" s="4"/>
      <c r="NLI122" s="4"/>
      <c r="NLJ122" s="4"/>
      <c r="NLK122" s="4"/>
      <c r="NLL122" s="4"/>
      <c r="NLM122" s="4"/>
      <c r="NLN122" s="4"/>
      <c r="NLO122" s="4"/>
      <c r="NLP122" s="4"/>
      <c r="NLQ122" s="4"/>
      <c r="NLR122" s="4"/>
      <c r="NLS122" s="4"/>
      <c r="NLT122" s="4"/>
      <c r="NLU122" s="4"/>
      <c r="NLV122" s="4"/>
      <c r="NLW122" s="4"/>
      <c r="NLX122" s="4"/>
      <c r="NLY122" s="4"/>
      <c r="NLZ122" s="4"/>
      <c r="NMA122" s="4"/>
      <c r="NMB122" s="4"/>
      <c r="NMC122" s="4"/>
      <c r="NMD122" s="4"/>
      <c r="NME122" s="4"/>
      <c r="NMF122" s="4"/>
      <c r="NMG122" s="4"/>
      <c r="NMH122" s="4"/>
      <c r="NMI122" s="4"/>
      <c r="NMJ122" s="4"/>
      <c r="NMK122" s="4"/>
      <c r="NML122" s="4"/>
      <c r="NMM122" s="4"/>
      <c r="NMN122" s="4"/>
      <c r="NMO122" s="4"/>
      <c r="NMP122" s="4"/>
      <c r="NMQ122" s="4"/>
      <c r="NMR122" s="4"/>
      <c r="NMS122" s="4"/>
      <c r="NMT122" s="4"/>
      <c r="NMU122" s="4"/>
      <c r="NMV122" s="4"/>
      <c r="NMW122" s="4"/>
      <c r="NMX122" s="4"/>
      <c r="NMY122" s="4"/>
      <c r="NMZ122" s="4"/>
      <c r="NNA122" s="4"/>
      <c r="NNB122" s="4"/>
      <c r="NNC122" s="4"/>
      <c r="NND122" s="4"/>
      <c r="NNE122" s="4"/>
      <c r="NNF122" s="4"/>
      <c r="NNG122" s="4"/>
      <c r="NNH122" s="4"/>
      <c r="NNI122" s="4"/>
      <c r="NNJ122" s="4"/>
      <c r="NNK122" s="4"/>
      <c r="NNL122" s="4"/>
      <c r="NNM122" s="4"/>
      <c r="NNN122" s="4"/>
      <c r="NNO122" s="4"/>
      <c r="NNP122" s="4"/>
      <c r="NNQ122" s="4"/>
      <c r="NNR122" s="4"/>
      <c r="NNS122" s="4"/>
      <c r="NNT122" s="4"/>
      <c r="NNU122" s="4"/>
      <c r="NNV122" s="4"/>
      <c r="NNW122" s="4"/>
      <c r="NNX122" s="4"/>
      <c r="NNY122" s="4"/>
      <c r="NNZ122" s="4"/>
      <c r="NOA122" s="4"/>
      <c r="NOB122" s="4"/>
      <c r="NOC122" s="4"/>
      <c r="NOD122" s="4"/>
      <c r="NOE122" s="4"/>
      <c r="NOF122" s="4"/>
      <c r="NOG122" s="4"/>
      <c r="NOH122" s="4"/>
      <c r="NOI122" s="4"/>
      <c r="NOJ122" s="4"/>
      <c r="NOK122" s="4"/>
      <c r="NOL122" s="4"/>
      <c r="NOM122" s="4"/>
      <c r="NON122" s="4"/>
      <c r="NOO122" s="4"/>
      <c r="NOP122" s="4"/>
      <c r="NOQ122" s="4"/>
      <c r="NOR122" s="4"/>
      <c r="NOS122" s="4"/>
      <c r="NOT122" s="4"/>
      <c r="NOU122" s="4"/>
      <c r="NOV122" s="4"/>
      <c r="NOW122" s="4"/>
      <c r="NOX122" s="4"/>
      <c r="NOY122" s="4"/>
      <c r="NOZ122" s="4"/>
      <c r="NPA122" s="4"/>
      <c r="NPB122" s="4"/>
      <c r="NPC122" s="4"/>
      <c r="NPD122" s="4"/>
      <c r="NPE122" s="4"/>
      <c r="NPF122" s="4"/>
      <c r="NPG122" s="4"/>
      <c r="NPH122" s="4"/>
      <c r="NPI122" s="4"/>
      <c r="NPJ122" s="4"/>
      <c r="NPK122" s="4"/>
      <c r="NPL122" s="4"/>
      <c r="NPM122" s="4"/>
      <c r="NPN122" s="4"/>
      <c r="NPO122" s="4"/>
      <c r="NPP122" s="4"/>
      <c r="NPQ122" s="4"/>
      <c r="NPR122" s="4"/>
      <c r="NPS122" s="4"/>
      <c r="NPT122" s="4"/>
      <c r="NPU122" s="4"/>
      <c r="NPV122" s="4"/>
      <c r="NPW122" s="4"/>
      <c r="NPX122" s="4"/>
      <c r="NPY122" s="4"/>
      <c r="NPZ122" s="4"/>
      <c r="NQA122" s="4"/>
      <c r="NQB122" s="4"/>
      <c r="NQC122" s="4"/>
      <c r="NQD122" s="4"/>
      <c r="NQE122" s="4"/>
      <c r="NQF122" s="4"/>
      <c r="NQG122" s="4"/>
      <c r="NQH122" s="4"/>
      <c r="NQI122" s="4"/>
      <c r="NQJ122" s="4"/>
      <c r="NQK122" s="4"/>
      <c r="NQL122" s="4"/>
      <c r="NQM122" s="4"/>
      <c r="NQN122" s="4"/>
      <c r="NQO122" s="4"/>
      <c r="NQP122" s="4"/>
      <c r="NQQ122" s="4"/>
      <c r="NQR122" s="4"/>
      <c r="NQS122" s="4"/>
      <c r="NQT122" s="4"/>
      <c r="NQU122" s="4"/>
      <c r="NQV122" s="4"/>
      <c r="NQW122" s="4"/>
      <c r="NQX122" s="4"/>
      <c r="NQY122" s="4"/>
      <c r="NQZ122" s="4"/>
      <c r="NRA122" s="4"/>
      <c r="NRB122" s="4"/>
      <c r="NRC122" s="4"/>
      <c r="NRD122" s="4"/>
      <c r="NRE122" s="4"/>
      <c r="NRF122" s="4"/>
      <c r="NRG122" s="4"/>
      <c r="NRH122" s="4"/>
      <c r="NRI122" s="4"/>
      <c r="NRJ122" s="4"/>
      <c r="NRK122" s="4"/>
      <c r="NRL122" s="4"/>
      <c r="NRM122" s="4"/>
      <c r="NRN122" s="4"/>
      <c r="NRO122" s="4"/>
      <c r="NRP122" s="4"/>
      <c r="NRQ122" s="4"/>
      <c r="NRR122" s="4"/>
      <c r="NRS122" s="4"/>
      <c r="NRT122" s="4"/>
      <c r="NRU122" s="4"/>
      <c r="NRV122" s="4"/>
      <c r="NRW122" s="4"/>
      <c r="NRX122" s="4"/>
      <c r="NRY122" s="4"/>
      <c r="NRZ122" s="4"/>
      <c r="NSA122" s="4"/>
      <c r="NSB122" s="4"/>
      <c r="NSC122" s="4"/>
      <c r="NSD122" s="4"/>
      <c r="NSE122" s="4"/>
      <c r="NSF122" s="4"/>
      <c r="NSG122" s="4"/>
      <c r="NSH122" s="4"/>
      <c r="NSI122" s="4"/>
      <c r="NSJ122" s="4"/>
      <c r="NSK122" s="4"/>
      <c r="NSL122" s="4"/>
      <c r="NSM122" s="4"/>
      <c r="NSN122" s="4"/>
      <c r="NSO122" s="4"/>
      <c r="NSP122" s="4"/>
      <c r="NSQ122" s="4"/>
      <c r="NSR122" s="4"/>
      <c r="NSS122" s="4"/>
      <c r="NST122" s="4"/>
      <c r="NSU122" s="4"/>
      <c r="NSV122" s="4"/>
      <c r="NSW122" s="4"/>
      <c r="NSX122" s="4"/>
      <c r="NSY122" s="4"/>
      <c r="NSZ122" s="4"/>
      <c r="NTA122" s="4"/>
      <c r="NTB122" s="4"/>
      <c r="NTC122" s="4"/>
      <c r="NTD122" s="4"/>
      <c r="NTE122" s="4"/>
      <c r="NTF122" s="4"/>
      <c r="NTG122" s="4"/>
      <c r="NTH122" s="4"/>
      <c r="NTI122" s="4"/>
      <c r="NTJ122" s="4"/>
      <c r="NTK122" s="4"/>
      <c r="NTL122" s="4"/>
      <c r="NTM122" s="4"/>
      <c r="NTN122" s="4"/>
      <c r="NTO122" s="4"/>
      <c r="NTP122" s="4"/>
      <c r="NTQ122" s="4"/>
      <c r="NTR122" s="4"/>
      <c r="NTS122" s="4"/>
      <c r="NTT122" s="4"/>
      <c r="NTU122" s="4"/>
      <c r="NTV122" s="4"/>
      <c r="NTW122" s="4"/>
      <c r="NTX122" s="4"/>
      <c r="NTY122" s="4"/>
      <c r="NTZ122" s="4"/>
      <c r="NUA122" s="4"/>
      <c r="NUB122" s="4"/>
      <c r="NUC122" s="4"/>
      <c r="NUD122" s="4"/>
      <c r="NUE122" s="4"/>
      <c r="NUF122" s="4"/>
      <c r="NUG122" s="4"/>
      <c r="NUH122" s="4"/>
      <c r="NUI122" s="4"/>
      <c r="NUJ122" s="4"/>
      <c r="NUK122" s="4"/>
      <c r="NUL122" s="4"/>
      <c r="NUM122" s="4"/>
      <c r="NUN122" s="4"/>
      <c r="NUO122" s="4"/>
      <c r="NUP122" s="4"/>
      <c r="NUQ122" s="4"/>
      <c r="NUR122" s="4"/>
      <c r="NUS122" s="4"/>
      <c r="NUT122" s="4"/>
      <c r="NUU122" s="4"/>
      <c r="NUV122" s="4"/>
      <c r="NUW122" s="4"/>
      <c r="NUX122" s="4"/>
      <c r="NUY122" s="4"/>
      <c r="NUZ122" s="4"/>
      <c r="NVA122" s="4"/>
      <c r="NVB122" s="4"/>
      <c r="NVC122" s="4"/>
      <c r="NVD122" s="4"/>
      <c r="NVE122" s="4"/>
      <c r="NVF122" s="4"/>
      <c r="NVG122" s="4"/>
      <c r="NVH122" s="4"/>
      <c r="NVI122" s="4"/>
      <c r="NVJ122" s="4"/>
      <c r="NVK122" s="4"/>
      <c r="NVL122" s="4"/>
      <c r="NVM122" s="4"/>
      <c r="NVN122" s="4"/>
      <c r="NVO122" s="4"/>
      <c r="NVP122" s="4"/>
      <c r="NVQ122" s="4"/>
      <c r="NVR122" s="4"/>
      <c r="NVS122" s="4"/>
      <c r="NVT122" s="4"/>
      <c r="NVU122" s="4"/>
      <c r="NVV122" s="4"/>
      <c r="NVW122" s="4"/>
      <c r="NVX122" s="4"/>
      <c r="NVY122" s="4"/>
      <c r="NVZ122" s="4"/>
      <c r="NWA122" s="4"/>
      <c r="NWB122" s="4"/>
      <c r="NWC122" s="4"/>
      <c r="NWD122" s="4"/>
      <c r="NWE122" s="4"/>
      <c r="NWF122" s="4"/>
      <c r="NWG122" s="4"/>
      <c r="NWH122" s="4"/>
      <c r="NWI122" s="4"/>
      <c r="NWJ122" s="4"/>
      <c r="NWK122" s="4"/>
      <c r="NWL122" s="4"/>
      <c r="NWM122" s="4"/>
      <c r="NWN122" s="4"/>
      <c r="NWO122" s="4"/>
      <c r="NWP122" s="4"/>
      <c r="NWQ122" s="4"/>
      <c r="NWR122" s="4"/>
      <c r="NWS122" s="4"/>
      <c r="NWT122" s="4"/>
      <c r="NWU122" s="4"/>
      <c r="NWV122" s="4"/>
      <c r="NWW122" s="4"/>
      <c r="NWX122" s="4"/>
      <c r="NWY122" s="4"/>
      <c r="NWZ122" s="4"/>
      <c r="NXA122" s="4"/>
      <c r="NXB122" s="4"/>
      <c r="NXC122" s="4"/>
      <c r="NXD122" s="4"/>
      <c r="NXE122" s="4"/>
      <c r="NXF122" s="4"/>
      <c r="NXG122" s="4"/>
      <c r="NXH122" s="4"/>
      <c r="NXI122" s="4"/>
      <c r="NXJ122" s="4"/>
      <c r="NXK122" s="4"/>
      <c r="NXL122" s="4"/>
      <c r="NXM122" s="4"/>
      <c r="NXN122" s="4"/>
      <c r="NXO122" s="4"/>
      <c r="NXP122" s="4"/>
      <c r="NXQ122" s="4"/>
      <c r="NXR122" s="4"/>
      <c r="NXS122" s="4"/>
      <c r="NXT122" s="4"/>
      <c r="NXU122" s="4"/>
      <c r="NXV122" s="4"/>
      <c r="NXW122" s="4"/>
      <c r="NXX122" s="4"/>
      <c r="NXY122" s="4"/>
      <c r="NXZ122" s="4"/>
      <c r="NYA122" s="4"/>
      <c r="NYB122" s="4"/>
      <c r="NYC122" s="4"/>
      <c r="NYD122" s="4"/>
      <c r="NYE122" s="4"/>
      <c r="NYF122" s="4"/>
      <c r="NYG122" s="4"/>
      <c r="NYH122" s="4"/>
      <c r="NYI122" s="4"/>
      <c r="NYJ122" s="4"/>
      <c r="NYK122" s="4"/>
      <c r="NYL122" s="4"/>
      <c r="NYM122" s="4"/>
      <c r="NYN122" s="4"/>
      <c r="NYO122" s="4"/>
      <c r="NYP122" s="4"/>
      <c r="NYQ122" s="4"/>
      <c r="NYR122" s="4"/>
      <c r="NYS122" s="4"/>
      <c r="NYT122" s="4"/>
      <c r="NYU122" s="4"/>
      <c r="NYV122" s="4"/>
      <c r="NYW122" s="4"/>
      <c r="NYX122" s="4"/>
      <c r="NYY122" s="4"/>
      <c r="NYZ122" s="4"/>
      <c r="NZA122" s="4"/>
      <c r="NZB122" s="4"/>
      <c r="NZC122" s="4"/>
      <c r="NZD122" s="4"/>
      <c r="NZE122" s="4"/>
      <c r="NZF122" s="4"/>
      <c r="NZG122" s="4"/>
      <c r="NZH122" s="4"/>
      <c r="NZI122" s="4"/>
      <c r="NZJ122" s="4"/>
      <c r="NZK122" s="4"/>
      <c r="NZL122" s="4"/>
      <c r="NZM122" s="4"/>
      <c r="NZN122" s="4"/>
      <c r="NZO122" s="4"/>
      <c r="NZP122" s="4"/>
      <c r="NZQ122" s="4"/>
      <c r="NZR122" s="4"/>
      <c r="NZS122" s="4"/>
      <c r="NZT122" s="4"/>
      <c r="NZU122" s="4"/>
      <c r="NZV122" s="4"/>
      <c r="NZW122" s="4"/>
      <c r="NZX122" s="4"/>
      <c r="NZY122" s="4"/>
      <c r="NZZ122" s="4"/>
      <c r="OAA122" s="4"/>
      <c r="OAB122" s="4"/>
      <c r="OAC122" s="4"/>
      <c r="OAD122" s="4"/>
      <c r="OAE122" s="4"/>
      <c r="OAF122" s="4"/>
      <c r="OAG122" s="4"/>
      <c r="OAH122" s="4"/>
      <c r="OAI122" s="4"/>
      <c r="OAJ122" s="4"/>
      <c r="OAK122" s="4"/>
      <c r="OAL122" s="4"/>
      <c r="OAM122" s="4"/>
      <c r="OAN122" s="4"/>
      <c r="OAO122" s="4"/>
      <c r="OAP122" s="4"/>
      <c r="OAQ122" s="4"/>
      <c r="OAR122" s="4"/>
      <c r="OAS122" s="4"/>
      <c r="OAT122" s="4"/>
      <c r="OAU122" s="4"/>
      <c r="OAV122" s="4"/>
      <c r="OAW122" s="4"/>
      <c r="OAX122" s="4"/>
      <c r="OAY122" s="4"/>
      <c r="OAZ122" s="4"/>
      <c r="OBA122" s="4"/>
      <c r="OBB122" s="4"/>
      <c r="OBC122" s="4"/>
      <c r="OBD122" s="4"/>
      <c r="OBE122" s="4"/>
      <c r="OBF122" s="4"/>
      <c r="OBG122" s="4"/>
      <c r="OBH122" s="4"/>
      <c r="OBI122" s="4"/>
      <c r="OBJ122" s="4"/>
      <c r="OBK122" s="4"/>
      <c r="OBL122" s="4"/>
      <c r="OBM122" s="4"/>
      <c r="OBN122" s="4"/>
      <c r="OBO122" s="4"/>
      <c r="OBP122" s="4"/>
      <c r="OBQ122" s="4"/>
      <c r="OBR122" s="4"/>
      <c r="OBS122" s="4"/>
      <c r="OBT122" s="4"/>
      <c r="OBU122" s="4"/>
      <c r="OBV122" s="4"/>
      <c r="OBW122" s="4"/>
      <c r="OBX122" s="4"/>
      <c r="OBY122" s="4"/>
      <c r="OBZ122" s="4"/>
      <c r="OCA122" s="4"/>
      <c r="OCB122" s="4"/>
      <c r="OCC122" s="4"/>
      <c r="OCD122" s="4"/>
      <c r="OCE122" s="4"/>
      <c r="OCF122" s="4"/>
      <c r="OCG122" s="4"/>
      <c r="OCH122" s="4"/>
      <c r="OCI122" s="4"/>
      <c r="OCJ122" s="4"/>
      <c r="OCK122" s="4"/>
      <c r="OCL122" s="4"/>
      <c r="OCM122" s="4"/>
      <c r="OCN122" s="4"/>
      <c r="OCO122" s="4"/>
      <c r="OCP122" s="4"/>
      <c r="OCQ122" s="4"/>
      <c r="OCR122" s="4"/>
      <c r="OCS122" s="4"/>
      <c r="OCT122" s="4"/>
      <c r="OCU122" s="4"/>
      <c r="OCV122" s="4"/>
      <c r="OCW122" s="4"/>
      <c r="OCX122" s="4"/>
      <c r="OCY122" s="4"/>
      <c r="OCZ122" s="4"/>
      <c r="ODA122" s="4"/>
      <c r="ODB122" s="4"/>
      <c r="ODC122" s="4"/>
      <c r="ODD122" s="4"/>
      <c r="ODE122" s="4"/>
      <c r="ODF122" s="4"/>
      <c r="ODG122" s="4"/>
      <c r="ODH122" s="4"/>
      <c r="ODI122" s="4"/>
      <c r="ODJ122" s="4"/>
      <c r="ODK122" s="4"/>
      <c r="ODL122" s="4"/>
      <c r="ODM122" s="4"/>
      <c r="ODN122" s="4"/>
      <c r="ODO122" s="4"/>
      <c r="ODP122" s="4"/>
      <c r="ODQ122" s="4"/>
      <c r="ODR122" s="4"/>
      <c r="ODS122" s="4"/>
      <c r="ODT122" s="4"/>
      <c r="ODU122" s="4"/>
      <c r="ODV122" s="4"/>
      <c r="ODW122" s="4"/>
      <c r="ODX122" s="4"/>
      <c r="ODY122" s="4"/>
      <c r="ODZ122" s="4"/>
      <c r="OEA122" s="4"/>
      <c r="OEB122" s="4"/>
      <c r="OEC122" s="4"/>
      <c r="OED122" s="4"/>
      <c r="OEE122" s="4"/>
      <c r="OEF122" s="4"/>
      <c r="OEG122" s="4"/>
      <c r="OEH122" s="4"/>
      <c r="OEI122" s="4"/>
      <c r="OEJ122" s="4"/>
      <c r="OEK122" s="4"/>
      <c r="OEL122" s="4"/>
      <c r="OEM122" s="4"/>
      <c r="OEN122" s="4"/>
      <c r="OEO122" s="4"/>
      <c r="OEP122" s="4"/>
      <c r="OEQ122" s="4"/>
      <c r="OER122" s="4"/>
      <c r="OES122" s="4"/>
      <c r="OET122" s="4"/>
      <c r="OEU122" s="4"/>
      <c r="OEV122" s="4"/>
      <c r="OEW122" s="4"/>
      <c r="OEX122" s="4"/>
      <c r="OEY122" s="4"/>
      <c r="OEZ122" s="4"/>
      <c r="OFA122" s="4"/>
      <c r="OFB122" s="4"/>
      <c r="OFC122" s="4"/>
      <c r="OFD122" s="4"/>
      <c r="OFE122" s="4"/>
      <c r="OFF122" s="4"/>
      <c r="OFG122" s="4"/>
      <c r="OFH122" s="4"/>
      <c r="OFI122" s="4"/>
      <c r="OFJ122" s="4"/>
      <c r="OFK122" s="4"/>
      <c r="OFL122" s="4"/>
      <c r="OFM122" s="4"/>
      <c r="OFN122" s="4"/>
      <c r="OFO122" s="4"/>
      <c r="OFP122" s="4"/>
      <c r="OFQ122" s="4"/>
      <c r="OFR122" s="4"/>
      <c r="OFS122" s="4"/>
      <c r="OFT122" s="4"/>
      <c r="OFU122" s="4"/>
      <c r="OFV122" s="4"/>
      <c r="OFW122" s="4"/>
      <c r="OFX122" s="4"/>
      <c r="OFY122" s="4"/>
      <c r="OFZ122" s="4"/>
      <c r="OGA122" s="4"/>
      <c r="OGB122" s="4"/>
      <c r="OGC122" s="4"/>
      <c r="OGD122" s="4"/>
      <c r="OGE122" s="4"/>
      <c r="OGF122" s="4"/>
      <c r="OGG122" s="4"/>
      <c r="OGH122" s="4"/>
      <c r="OGI122" s="4"/>
      <c r="OGJ122" s="4"/>
      <c r="OGK122" s="4"/>
      <c r="OGL122" s="4"/>
      <c r="OGM122" s="4"/>
      <c r="OGN122" s="4"/>
      <c r="OGO122" s="4"/>
      <c r="OGP122" s="4"/>
      <c r="OGQ122" s="4"/>
      <c r="OGR122" s="4"/>
      <c r="OGS122" s="4"/>
      <c r="OGT122" s="4"/>
      <c r="OGU122" s="4"/>
      <c r="OGV122" s="4"/>
      <c r="OGW122" s="4"/>
      <c r="OGX122" s="4"/>
      <c r="OGY122" s="4"/>
      <c r="OGZ122" s="4"/>
      <c r="OHA122" s="4"/>
      <c r="OHB122" s="4"/>
      <c r="OHC122" s="4"/>
      <c r="OHD122" s="4"/>
      <c r="OHE122" s="4"/>
      <c r="OHF122" s="4"/>
      <c r="OHG122" s="4"/>
      <c r="OHH122" s="4"/>
      <c r="OHI122" s="4"/>
      <c r="OHJ122" s="4"/>
      <c r="OHK122" s="4"/>
      <c r="OHL122" s="4"/>
      <c r="OHM122" s="4"/>
      <c r="OHN122" s="4"/>
      <c r="OHO122" s="4"/>
      <c r="OHP122" s="4"/>
      <c r="OHQ122" s="4"/>
      <c r="OHR122" s="4"/>
      <c r="OHS122" s="4"/>
      <c r="OHT122" s="4"/>
      <c r="OHU122" s="4"/>
      <c r="OHV122" s="4"/>
      <c r="OHW122" s="4"/>
      <c r="OHX122" s="4"/>
      <c r="OHY122" s="4"/>
      <c r="OHZ122" s="4"/>
      <c r="OIA122" s="4"/>
      <c r="OIB122" s="4"/>
      <c r="OIC122" s="4"/>
      <c r="OID122" s="4"/>
      <c r="OIE122" s="4"/>
      <c r="OIF122" s="4"/>
      <c r="OIG122" s="4"/>
      <c r="OIH122" s="4"/>
      <c r="OII122" s="4"/>
      <c r="OIJ122" s="4"/>
      <c r="OIK122" s="4"/>
      <c r="OIL122" s="4"/>
      <c r="OIM122" s="4"/>
      <c r="OIN122" s="4"/>
      <c r="OIO122" s="4"/>
      <c r="OIP122" s="4"/>
      <c r="OIQ122" s="4"/>
      <c r="OIR122" s="4"/>
      <c r="OIS122" s="4"/>
      <c r="OIT122" s="4"/>
      <c r="OIU122" s="4"/>
      <c r="OIV122" s="4"/>
      <c r="OIW122" s="4"/>
      <c r="OIX122" s="4"/>
      <c r="OIY122" s="4"/>
      <c r="OIZ122" s="4"/>
      <c r="OJA122" s="4"/>
      <c r="OJB122" s="4"/>
      <c r="OJC122" s="4"/>
      <c r="OJD122" s="4"/>
      <c r="OJE122" s="4"/>
      <c r="OJF122" s="4"/>
      <c r="OJG122" s="4"/>
      <c r="OJH122" s="4"/>
      <c r="OJI122" s="4"/>
      <c r="OJJ122" s="4"/>
      <c r="OJK122" s="4"/>
      <c r="OJL122" s="4"/>
      <c r="OJM122" s="4"/>
      <c r="OJN122" s="4"/>
      <c r="OJO122" s="4"/>
      <c r="OJP122" s="4"/>
      <c r="OJQ122" s="4"/>
      <c r="OJR122" s="4"/>
      <c r="OJS122" s="4"/>
      <c r="OJT122" s="4"/>
      <c r="OJU122" s="4"/>
      <c r="OJV122" s="4"/>
      <c r="OJW122" s="4"/>
      <c r="OJX122" s="4"/>
      <c r="OJY122" s="4"/>
      <c r="OJZ122" s="4"/>
      <c r="OKA122" s="4"/>
      <c r="OKB122" s="4"/>
      <c r="OKC122" s="4"/>
      <c r="OKD122" s="4"/>
      <c r="OKE122" s="4"/>
      <c r="OKF122" s="4"/>
      <c r="OKG122" s="4"/>
      <c r="OKH122" s="4"/>
      <c r="OKI122" s="4"/>
      <c r="OKJ122" s="4"/>
      <c r="OKK122" s="4"/>
      <c r="OKL122" s="4"/>
      <c r="OKM122" s="4"/>
      <c r="OKN122" s="4"/>
      <c r="OKO122" s="4"/>
      <c r="OKP122" s="4"/>
      <c r="OKQ122" s="4"/>
      <c r="OKR122" s="4"/>
      <c r="OKS122" s="4"/>
      <c r="OKT122" s="4"/>
      <c r="OKU122" s="4"/>
      <c r="OKV122" s="4"/>
      <c r="OKW122" s="4"/>
      <c r="OKX122" s="4"/>
      <c r="OKY122" s="4"/>
      <c r="OKZ122" s="4"/>
      <c r="OLA122" s="4"/>
      <c r="OLB122" s="4"/>
      <c r="OLC122" s="4"/>
      <c r="OLD122" s="4"/>
      <c r="OLE122" s="4"/>
      <c r="OLF122" s="4"/>
      <c r="OLG122" s="4"/>
      <c r="OLH122" s="4"/>
      <c r="OLI122" s="4"/>
      <c r="OLJ122" s="4"/>
      <c r="OLK122" s="4"/>
      <c r="OLL122" s="4"/>
      <c r="OLM122" s="4"/>
      <c r="OLN122" s="4"/>
      <c r="OLO122" s="4"/>
      <c r="OLP122" s="4"/>
      <c r="OLQ122" s="4"/>
      <c r="OLR122" s="4"/>
      <c r="OLS122" s="4"/>
      <c r="OLT122" s="4"/>
      <c r="OLU122" s="4"/>
      <c r="OLV122" s="4"/>
      <c r="OLW122" s="4"/>
      <c r="OLX122" s="4"/>
      <c r="OLY122" s="4"/>
      <c r="OLZ122" s="4"/>
      <c r="OMA122" s="4"/>
      <c r="OMB122" s="4"/>
      <c r="OMC122" s="4"/>
      <c r="OMD122" s="4"/>
      <c r="OME122" s="4"/>
      <c r="OMF122" s="4"/>
      <c r="OMG122" s="4"/>
      <c r="OMH122" s="4"/>
      <c r="OMI122" s="4"/>
      <c r="OMJ122" s="4"/>
      <c r="OMK122" s="4"/>
      <c r="OML122" s="4"/>
      <c r="OMM122" s="4"/>
      <c r="OMN122" s="4"/>
      <c r="OMO122" s="4"/>
      <c r="OMP122" s="4"/>
      <c r="OMQ122" s="4"/>
      <c r="OMR122" s="4"/>
      <c r="OMS122" s="4"/>
      <c r="OMT122" s="4"/>
      <c r="OMU122" s="4"/>
      <c r="OMV122" s="4"/>
      <c r="OMW122" s="4"/>
      <c r="OMX122" s="4"/>
      <c r="OMY122" s="4"/>
      <c r="OMZ122" s="4"/>
      <c r="ONA122" s="4"/>
      <c r="ONB122" s="4"/>
      <c r="ONC122" s="4"/>
      <c r="OND122" s="4"/>
      <c r="ONE122" s="4"/>
      <c r="ONF122" s="4"/>
      <c r="ONG122" s="4"/>
      <c r="ONH122" s="4"/>
      <c r="ONI122" s="4"/>
      <c r="ONJ122" s="4"/>
      <c r="ONK122" s="4"/>
      <c r="ONL122" s="4"/>
      <c r="ONM122" s="4"/>
      <c r="ONN122" s="4"/>
      <c r="ONO122" s="4"/>
      <c r="ONP122" s="4"/>
      <c r="ONQ122" s="4"/>
      <c r="ONR122" s="4"/>
      <c r="ONS122" s="4"/>
      <c r="ONT122" s="4"/>
      <c r="ONU122" s="4"/>
      <c r="ONV122" s="4"/>
      <c r="ONW122" s="4"/>
      <c r="ONX122" s="4"/>
      <c r="ONY122" s="4"/>
      <c r="ONZ122" s="4"/>
      <c r="OOA122" s="4"/>
      <c r="OOB122" s="4"/>
      <c r="OOC122" s="4"/>
      <c r="OOD122" s="4"/>
      <c r="OOE122" s="4"/>
      <c r="OOF122" s="4"/>
      <c r="OOG122" s="4"/>
      <c r="OOH122" s="4"/>
      <c r="OOI122" s="4"/>
      <c r="OOJ122" s="4"/>
      <c r="OOK122" s="4"/>
      <c r="OOL122" s="4"/>
      <c r="OOM122" s="4"/>
      <c r="OON122" s="4"/>
      <c r="OOO122" s="4"/>
      <c r="OOP122" s="4"/>
      <c r="OOQ122" s="4"/>
      <c r="OOR122" s="4"/>
      <c r="OOS122" s="4"/>
      <c r="OOT122" s="4"/>
      <c r="OOU122" s="4"/>
      <c r="OOV122" s="4"/>
      <c r="OOW122" s="4"/>
      <c r="OOX122" s="4"/>
      <c r="OOY122" s="4"/>
      <c r="OOZ122" s="4"/>
      <c r="OPA122" s="4"/>
      <c r="OPB122" s="4"/>
      <c r="OPC122" s="4"/>
      <c r="OPD122" s="4"/>
      <c r="OPE122" s="4"/>
      <c r="OPF122" s="4"/>
      <c r="OPG122" s="4"/>
      <c r="OPH122" s="4"/>
      <c r="OPI122" s="4"/>
      <c r="OPJ122" s="4"/>
      <c r="OPK122" s="4"/>
      <c r="OPL122" s="4"/>
      <c r="OPM122" s="4"/>
      <c r="OPN122" s="4"/>
      <c r="OPO122" s="4"/>
      <c r="OPP122" s="4"/>
      <c r="OPQ122" s="4"/>
      <c r="OPR122" s="4"/>
      <c r="OPS122" s="4"/>
      <c r="OPT122" s="4"/>
      <c r="OPU122" s="4"/>
      <c r="OPV122" s="4"/>
      <c r="OPW122" s="4"/>
      <c r="OPX122" s="4"/>
      <c r="OPY122" s="4"/>
      <c r="OPZ122" s="4"/>
      <c r="OQA122" s="4"/>
      <c r="OQB122" s="4"/>
      <c r="OQC122" s="4"/>
      <c r="OQD122" s="4"/>
      <c r="OQE122" s="4"/>
      <c r="OQF122" s="4"/>
      <c r="OQG122" s="4"/>
      <c r="OQH122" s="4"/>
      <c r="OQI122" s="4"/>
      <c r="OQJ122" s="4"/>
      <c r="OQK122" s="4"/>
      <c r="OQL122" s="4"/>
      <c r="OQM122" s="4"/>
      <c r="OQN122" s="4"/>
      <c r="OQO122" s="4"/>
      <c r="OQP122" s="4"/>
      <c r="OQQ122" s="4"/>
      <c r="OQR122" s="4"/>
      <c r="OQS122" s="4"/>
      <c r="OQT122" s="4"/>
      <c r="OQU122" s="4"/>
      <c r="OQV122" s="4"/>
      <c r="OQW122" s="4"/>
      <c r="OQX122" s="4"/>
      <c r="OQY122" s="4"/>
      <c r="OQZ122" s="4"/>
      <c r="ORA122" s="4"/>
      <c r="ORB122" s="4"/>
      <c r="ORC122" s="4"/>
      <c r="ORD122" s="4"/>
      <c r="ORE122" s="4"/>
      <c r="ORF122" s="4"/>
      <c r="ORG122" s="4"/>
      <c r="ORH122" s="4"/>
      <c r="ORI122" s="4"/>
      <c r="ORJ122" s="4"/>
      <c r="ORK122" s="4"/>
      <c r="ORL122" s="4"/>
      <c r="ORM122" s="4"/>
      <c r="ORN122" s="4"/>
      <c r="ORO122" s="4"/>
      <c r="ORP122" s="4"/>
      <c r="ORQ122" s="4"/>
      <c r="ORR122" s="4"/>
      <c r="ORS122" s="4"/>
      <c r="ORT122" s="4"/>
      <c r="ORU122" s="4"/>
      <c r="ORV122" s="4"/>
      <c r="ORW122" s="4"/>
      <c r="ORX122" s="4"/>
      <c r="ORY122" s="4"/>
      <c r="ORZ122" s="4"/>
      <c r="OSA122" s="4"/>
      <c r="OSB122" s="4"/>
      <c r="OSC122" s="4"/>
      <c r="OSD122" s="4"/>
      <c r="OSE122" s="4"/>
      <c r="OSF122" s="4"/>
      <c r="OSG122" s="4"/>
      <c r="OSH122" s="4"/>
      <c r="OSI122" s="4"/>
      <c r="OSJ122" s="4"/>
      <c r="OSK122" s="4"/>
      <c r="OSL122" s="4"/>
      <c r="OSM122" s="4"/>
      <c r="OSN122" s="4"/>
      <c r="OSO122" s="4"/>
      <c r="OSP122" s="4"/>
      <c r="OSQ122" s="4"/>
      <c r="OSR122" s="4"/>
      <c r="OSS122" s="4"/>
      <c r="OST122" s="4"/>
      <c r="OSU122" s="4"/>
      <c r="OSV122" s="4"/>
      <c r="OSW122" s="4"/>
      <c r="OSX122" s="4"/>
      <c r="OSY122" s="4"/>
      <c r="OSZ122" s="4"/>
      <c r="OTA122" s="4"/>
      <c r="OTB122" s="4"/>
      <c r="OTC122" s="4"/>
      <c r="OTD122" s="4"/>
      <c r="OTE122" s="4"/>
      <c r="OTF122" s="4"/>
      <c r="OTG122" s="4"/>
      <c r="OTH122" s="4"/>
      <c r="OTI122" s="4"/>
      <c r="OTJ122" s="4"/>
      <c r="OTK122" s="4"/>
      <c r="OTL122" s="4"/>
      <c r="OTM122" s="4"/>
      <c r="OTN122" s="4"/>
      <c r="OTO122" s="4"/>
      <c r="OTP122" s="4"/>
      <c r="OTQ122" s="4"/>
      <c r="OTR122" s="4"/>
      <c r="OTS122" s="4"/>
      <c r="OTT122" s="4"/>
      <c r="OTU122" s="4"/>
      <c r="OTV122" s="4"/>
      <c r="OTW122" s="4"/>
      <c r="OTX122" s="4"/>
      <c r="OTY122" s="4"/>
      <c r="OTZ122" s="4"/>
      <c r="OUA122" s="4"/>
      <c r="OUB122" s="4"/>
      <c r="OUC122" s="4"/>
      <c r="OUD122" s="4"/>
      <c r="OUE122" s="4"/>
      <c r="OUF122" s="4"/>
      <c r="OUG122" s="4"/>
      <c r="OUH122" s="4"/>
      <c r="OUI122" s="4"/>
      <c r="OUJ122" s="4"/>
      <c r="OUK122" s="4"/>
      <c r="OUL122" s="4"/>
      <c r="OUM122" s="4"/>
      <c r="OUN122" s="4"/>
      <c r="OUO122" s="4"/>
      <c r="OUP122" s="4"/>
      <c r="OUQ122" s="4"/>
      <c r="OUR122" s="4"/>
      <c r="OUS122" s="4"/>
      <c r="OUT122" s="4"/>
      <c r="OUU122" s="4"/>
      <c r="OUV122" s="4"/>
      <c r="OUW122" s="4"/>
      <c r="OUX122" s="4"/>
      <c r="OUY122" s="4"/>
      <c r="OUZ122" s="4"/>
      <c r="OVA122" s="4"/>
      <c r="OVB122" s="4"/>
      <c r="OVC122" s="4"/>
      <c r="OVD122" s="4"/>
      <c r="OVE122" s="4"/>
      <c r="OVF122" s="4"/>
      <c r="OVG122" s="4"/>
      <c r="OVH122" s="4"/>
      <c r="OVI122" s="4"/>
      <c r="OVJ122" s="4"/>
      <c r="OVK122" s="4"/>
      <c r="OVL122" s="4"/>
      <c r="OVM122" s="4"/>
      <c r="OVN122" s="4"/>
      <c r="OVO122" s="4"/>
      <c r="OVP122" s="4"/>
      <c r="OVQ122" s="4"/>
      <c r="OVR122" s="4"/>
      <c r="OVS122" s="4"/>
      <c r="OVT122" s="4"/>
      <c r="OVU122" s="4"/>
      <c r="OVV122" s="4"/>
      <c r="OVW122" s="4"/>
      <c r="OVX122" s="4"/>
      <c r="OVY122" s="4"/>
      <c r="OVZ122" s="4"/>
      <c r="OWA122" s="4"/>
      <c r="OWB122" s="4"/>
      <c r="OWC122" s="4"/>
      <c r="OWD122" s="4"/>
      <c r="OWE122" s="4"/>
      <c r="OWF122" s="4"/>
      <c r="OWG122" s="4"/>
      <c r="OWH122" s="4"/>
      <c r="OWI122" s="4"/>
      <c r="OWJ122" s="4"/>
      <c r="OWK122" s="4"/>
      <c r="OWL122" s="4"/>
      <c r="OWM122" s="4"/>
      <c r="OWN122" s="4"/>
      <c r="OWO122" s="4"/>
      <c r="OWP122" s="4"/>
      <c r="OWQ122" s="4"/>
      <c r="OWR122" s="4"/>
      <c r="OWS122" s="4"/>
      <c r="OWT122" s="4"/>
      <c r="OWU122" s="4"/>
      <c r="OWV122" s="4"/>
      <c r="OWW122" s="4"/>
      <c r="OWX122" s="4"/>
      <c r="OWY122" s="4"/>
      <c r="OWZ122" s="4"/>
      <c r="OXA122" s="4"/>
      <c r="OXB122" s="4"/>
      <c r="OXC122" s="4"/>
      <c r="OXD122" s="4"/>
      <c r="OXE122" s="4"/>
      <c r="OXF122" s="4"/>
      <c r="OXG122" s="4"/>
      <c r="OXH122" s="4"/>
      <c r="OXI122" s="4"/>
      <c r="OXJ122" s="4"/>
      <c r="OXK122" s="4"/>
      <c r="OXL122" s="4"/>
      <c r="OXM122" s="4"/>
      <c r="OXN122" s="4"/>
      <c r="OXO122" s="4"/>
      <c r="OXP122" s="4"/>
      <c r="OXQ122" s="4"/>
      <c r="OXR122" s="4"/>
      <c r="OXS122" s="4"/>
      <c r="OXT122" s="4"/>
      <c r="OXU122" s="4"/>
      <c r="OXV122" s="4"/>
      <c r="OXW122" s="4"/>
      <c r="OXX122" s="4"/>
      <c r="OXY122" s="4"/>
      <c r="OXZ122" s="4"/>
      <c r="OYA122" s="4"/>
      <c r="OYB122" s="4"/>
      <c r="OYC122" s="4"/>
      <c r="OYD122" s="4"/>
      <c r="OYE122" s="4"/>
      <c r="OYF122" s="4"/>
      <c r="OYG122" s="4"/>
      <c r="OYH122" s="4"/>
      <c r="OYI122" s="4"/>
      <c r="OYJ122" s="4"/>
      <c r="OYK122" s="4"/>
      <c r="OYL122" s="4"/>
      <c r="OYM122" s="4"/>
      <c r="OYN122" s="4"/>
      <c r="OYO122" s="4"/>
      <c r="OYP122" s="4"/>
      <c r="OYQ122" s="4"/>
      <c r="OYR122" s="4"/>
      <c r="OYS122" s="4"/>
      <c r="OYT122" s="4"/>
      <c r="OYU122" s="4"/>
      <c r="OYV122" s="4"/>
      <c r="OYW122" s="4"/>
      <c r="OYX122" s="4"/>
      <c r="OYY122" s="4"/>
      <c r="OYZ122" s="4"/>
      <c r="OZA122" s="4"/>
      <c r="OZB122" s="4"/>
      <c r="OZC122" s="4"/>
      <c r="OZD122" s="4"/>
      <c r="OZE122" s="4"/>
      <c r="OZF122" s="4"/>
      <c r="OZG122" s="4"/>
      <c r="OZH122" s="4"/>
      <c r="OZI122" s="4"/>
      <c r="OZJ122" s="4"/>
      <c r="OZK122" s="4"/>
      <c r="OZL122" s="4"/>
      <c r="OZM122" s="4"/>
      <c r="OZN122" s="4"/>
      <c r="OZO122" s="4"/>
      <c r="OZP122" s="4"/>
      <c r="OZQ122" s="4"/>
      <c r="OZR122" s="4"/>
      <c r="OZS122" s="4"/>
      <c r="OZT122" s="4"/>
      <c r="OZU122" s="4"/>
      <c r="OZV122" s="4"/>
      <c r="OZW122" s="4"/>
      <c r="OZX122" s="4"/>
      <c r="OZY122" s="4"/>
      <c r="OZZ122" s="4"/>
      <c r="PAA122" s="4"/>
      <c r="PAB122" s="4"/>
      <c r="PAC122" s="4"/>
      <c r="PAD122" s="4"/>
      <c r="PAE122" s="4"/>
      <c r="PAF122" s="4"/>
      <c r="PAG122" s="4"/>
      <c r="PAH122" s="4"/>
      <c r="PAI122" s="4"/>
      <c r="PAJ122" s="4"/>
      <c r="PAK122" s="4"/>
      <c r="PAL122" s="4"/>
      <c r="PAM122" s="4"/>
      <c r="PAN122" s="4"/>
      <c r="PAO122" s="4"/>
      <c r="PAP122" s="4"/>
      <c r="PAQ122" s="4"/>
      <c r="PAR122" s="4"/>
      <c r="PAS122" s="4"/>
      <c r="PAT122" s="4"/>
      <c r="PAU122" s="4"/>
      <c r="PAV122" s="4"/>
      <c r="PAW122" s="4"/>
      <c r="PAX122" s="4"/>
      <c r="PAY122" s="4"/>
      <c r="PAZ122" s="4"/>
      <c r="PBA122" s="4"/>
      <c r="PBB122" s="4"/>
      <c r="PBC122" s="4"/>
      <c r="PBD122" s="4"/>
      <c r="PBE122" s="4"/>
      <c r="PBF122" s="4"/>
      <c r="PBG122" s="4"/>
      <c r="PBH122" s="4"/>
      <c r="PBI122" s="4"/>
      <c r="PBJ122" s="4"/>
      <c r="PBK122" s="4"/>
      <c r="PBL122" s="4"/>
      <c r="PBM122" s="4"/>
      <c r="PBN122" s="4"/>
      <c r="PBO122" s="4"/>
      <c r="PBP122" s="4"/>
      <c r="PBQ122" s="4"/>
      <c r="PBR122" s="4"/>
      <c r="PBS122" s="4"/>
      <c r="PBT122" s="4"/>
      <c r="PBU122" s="4"/>
      <c r="PBV122" s="4"/>
      <c r="PBW122" s="4"/>
      <c r="PBX122" s="4"/>
      <c r="PBY122" s="4"/>
      <c r="PBZ122" s="4"/>
      <c r="PCA122" s="4"/>
      <c r="PCB122" s="4"/>
      <c r="PCC122" s="4"/>
      <c r="PCD122" s="4"/>
      <c r="PCE122" s="4"/>
      <c r="PCF122" s="4"/>
      <c r="PCG122" s="4"/>
      <c r="PCH122" s="4"/>
      <c r="PCI122" s="4"/>
      <c r="PCJ122" s="4"/>
      <c r="PCK122" s="4"/>
      <c r="PCL122" s="4"/>
      <c r="PCM122" s="4"/>
      <c r="PCN122" s="4"/>
      <c r="PCO122" s="4"/>
      <c r="PCP122" s="4"/>
      <c r="PCQ122" s="4"/>
      <c r="PCR122" s="4"/>
      <c r="PCS122" s="4"/>
      <c r="PCT122" s="4"/>
      <c r="PCU122" s="4"/>
      <c r="PCV122" s="4"/>
      <c r="PCW122" s="4"/>
      <c r="PCX122" s="4"/>
      <c r="PCY122" s="4"/>
      <c r="PCZ122" s="4"/>
      <c r="PDA122" s="4"/>
      <c r="PDB122" s="4"/>
      <c r="PDC122" s="4"/>
      <c r="PDD122" s="4"/>
      <c r="PDE122" s="4"/>
      <c r="PDF122" s="4"/>
      <c r="PDG122" s="4"/>
      <c r="PDH122" s="4"/>
      <c r="PDI122" s="4"/>
      <c r="PDJ122" s="4"/>
      <c r="PDK122" s="4"/>
      <c r="PDL122" s="4"/>
      <c r="PDM122" s="4"/>
      <c r="PDN122" s="4"/>
      <c r="PDO122" s="4"/>
      <c r="PDP122" s="4"/>
      <c r="PDQ122" s="4"/>
      <c r="PDR122" s="4"/>
      <c r="PDS122" s="4"/>
      <c r="PDT122" s="4"/>
      <c r="PDU122" s="4"/>
      <c r="PDV122" s="4"/>
      <c r="PDW122" s="4"/>
      <c r="PDX122" s="4"/>
      <c r="PDY122" s="4"/>
      <c r="PDZ122" s="4"/>
      <c r="PEA122" s="4"/>
      <c r="PEB122" s="4"/>
      <c r="PEC122" s="4"/>
      <c r="PED122" s="4"/>
      <c r="PEE122" s="4"/>
      <c r="PEF122" s="4"/>
      <c r="PEG122" s="4"/>
      <c r="PEH122" s="4"/>
      <c r="PEI122" s="4"/>
      <c r="PEJ122" s="4"/>
      <c r="PEK122" s="4"/>
      <c r="PEL122" s="4"/>
      <c r="PEM122" s="4"/>
      <c r="PEN122" s="4"/>
      <c r="PEO122" s="4"/>
      <c r="PEP122" s="4"/>
      <c r="PEQ122" s="4"/>
      <c r="PER122" s="4"/>
      <c r="PES122" s="4"/>
      <c r="PET122" s="4"/>
      <c r="PEU122" s="4"/>
      <c r="PEV122" s="4"/>
      <c r="PEW122" s="4"/>
      <c r="PEX122" s="4"/>
      <c r="PEY122" s="4"/>
      <c r="PEZ122" s="4"/>
      <c r="PFA122" s="4"/>
      <c r="PFB122" s="4"/>
      <c r="PFC122" s="4"/>
      <c r="PFD122" s="4"/>
      <c r="PFE122" s="4"/>
      <c r="PFF122" s="4"/>
      <c r="PFG122" s="4"/>
      <c r="PFH122" s="4"/>
      <c r="PFI122" s="4"/>
      <c r="PFJ122" s="4"/>
      <c r="PFK122" s="4"/>
      <c r="PFL122" s="4"/>
      <c r="PFM122" s="4"/>
      <c r="PFN122" s="4"/>
      <c r="PFO122" s="4"/>
      <c r="PFP122" s="4"/>
      <c r="PFQ122" s="4"/>
      <c r="PFR122" s="4"/>
      <c r="PFS122" s="4"/>
      <c r="PFT122" s="4"/>
      <c r="PFU122" s="4"/>
      <c r="PFV122" s="4"/>
      <c r="PFW122" s="4"/>
      <c r="PFX122" s="4"/>
      <c r="PFY122" s="4"/>
      <c r="PFZ122" s="4"/>
      <c r="PGA122" s="4"/>
      <c r="PGB122" s="4"/>
      <c r="PGC122" s="4"/>
      <c r="PGD122" s="4"/>
      <c r="PGE122" s="4"/>
      <c r="PGF122" s="4"/>
      <c r="PGG122" s="4"/>
      <c r="PGH122" s="4"/>
      <c r="PGI122" s="4"/>
      <c r="PGJ122" s="4"/>
      <c r="PGK122" s="4"/>
      <c r="PGL122" s="4"/>
      <c r="PGM122" s="4"/>
      <c r="PGN122" s="4"/>
      <c r="PGO122" s="4"/>
      <c r="PGP122" s="4"/>
      <c r="PGQ122" s="4"/>
      <c r="PGR122" s="4"/>
      <c r="PGS122" s="4"/>
      <c r="PGT122" s="4"/>
      <c r="PGU122" s="4"/>
      <c r="PGV122" s="4"/>
      <c r="PGW122" s="4"/>
      <c r="PGX122" s="4"/>
      <c r="PGY122" s="4"/>
      <c r="PGZ122" s="4"/>
      <c r="PHA122" s="4"/>
      <c r="PHB122" s="4"/>
      <c r="PHC122" s="4"/>
      <c r="PHD122" s="4"/>
      <c r="PHE122" s="4"/>
      <c r="PHF122" s="4"/>
      <c r="PHG122" s="4"/>
      <c r="PHH122" s="4"/>
      <c r="PHI122" s="4"/>
      <c r="PHJ122" s="4"/>
      <c r="PHK122" s="4"/>
      <c r="PHL122" s="4"/>
      <c r="PHM122" s="4"/>
      <c r="PHN122" s="4"/>
      <c r="PHO122" s="4"/>
      <c r="PHP122" s="4"/>
      <c r="PHQ122" s="4"/>
      <c r="PHR122" s="4"/>
      <c r="PHS122" s="4"/>
      <c r="PHT122" s="4"/>
      <c r="PHU122" s="4"/>
      <c r="PHV122" s="4"/>
      <c r="PHW122" s="4"/>
      <c r="PHX122" s="4"/>
      <c r="PHY122" s="4"/>
      <c r="PHZ122" s="4"/>
      <c r="PIA122" s="4"/>
      <c r="PIB122" s="4"/>
      <c r="PIC122" s="4"/>
      <c r="PID122" s="4"/>
      <c r="PIE122" s="4"/>
      <c r="PIF122" s="4"/>
      <c r="PIG122" s="4"/>
      <c r="PIH122" s="4"/>
      <c r="PII122" s="4"/>
      <c r="PIJ122" s="4"/>
      <c r="PIK122" s="4"/>
      <c r="PIL122" s="4"/>
      <c r="PIM122" s="4"/>
      <c r="PIN122" s="4"/>
      <c r="PIO122" s="4"/>
      <c r="PIP122" s="4"/>
      <c r="PIQ122" s="4"/>
      <c r="PIR122" s="4"/>
      <c r="PIS122" s="4"/>
      <c r="PIT122" s="4"/>
      <c r="PIU122" s="4"/>
      <c r="PIV122" s="4"/>
      <c r="PIW122" s="4"/>
      <c r="PIX122" s="4"/>
      <c r="PIY122" s="4"/>
      <c r="PIZ122" s="4"/>
      <c r="PJA122" s="4"/>
      <c r="PJB122" s="4"/>
      <c r="PJC122" s="4"/>
      <c r="PJD122" s="4"/>
      <c r="PJE122" s="4"/>
      <c r="PJF122" s="4"/>
      <c r="PJG122" s="4"/>
      <c r="PJH122" s="4"/>
      <c r="PJI122" s="4"/>
      <c r="PJJ122" s="4"/>
      <c r="PJK122" s="4"/>
      <c r="PJL122" s="4"/>
      <c r="PJM122" s="4"/>
      <c r="PJN122" s="4"/>
      <c r="PJO122" s="4"/>
      <c r="PJP122" s="4"/>
      <c r="PJQ122" s="4"/>
      <c r="PJR122" s="4"/>
      <c r="PJS122" s="4"/>
      <c r="PJT122" s="4"/>
      <c r="PJU122" s="4"/>
      <c r="PJV122" s="4"/>
      <c r="PJW122" s="4"/>
      <c r="PJX122" s="4"/>
      <c r="PJY122" s="4"/>
      <c r="PJZ122" s="4"/>
      <c r="PKA122" s="4"/>
      <c r="PKB122" s="4"/>
      <c r="PKC122" s="4"/>
      <c r="PKD122" s="4"/>
      <c r="PKE122" s="4"/>
      <c r="PKF122" s="4"/>
      <c r="PKG122" s="4"/>
      <c r="PKH122" s="4"/>
      <c r="PKI122" s="4"/>
      <c r="PKJ122" s="4"/>
      <c r="PKK122" s="4"/>
      <c r="PKL122" s="4"/>
      <c r="PKM122" s="4"/>
      <c r="PKN122" s="4"/>
      <c r="PKO122" s="4"/>
      <c r="PKP122" s="4"/>
      <c r="PKQ122" s="4"/>
      <c r="PKR122" s="4"/>
      <c r="PKS122" s="4"/>
      <c r="PKT122" s="4"/>
      <c r="PKU122" s="4"/>
      <c r="PKV122" s="4"/>
      <c r="PKW122" s="4"/>
      <c r="PKX122" s="4"/>
      <c r="PKY122" s="4"/>
      <c r="PKZ122" s="4"/>
      <c r="PLA122" s="4"/>
      <c r="PLB122" s="4"/>
      <c r="PLC122" s="4"/>
      <c r="PLD122" s="4"/>
      <c r="PLE122" s="4"/>
      <c r="PLF122" s="4"/>
      <c r="PLG122" s="4"/>
      <c r="PLH122" s="4"/>
      <c r="PLI122" s="4"/>
      <c r="PLJ122" s="4"/>
      <c r="PLK122" s="4"/>
      <c r="PLL122" s="4"/>
      <c r="PLM122" s="4"/>
      <c r="PLN122" s="4"/>
      <c r="PLO122" s="4"/>
      <c r="PLP122" s="4"/>
      <c r="PLQ122" s="4"/>
      <c r="PLR122" s="4"/>
      <c r="PLS122" s="4"/>
      <c r="PLT122" s="4"/>
      <c r="PLU122" s="4"/>
      <c r="PLV122" s="4"/>
      <c r="PLW122" s="4"/>
      <c r="PLX122" s="4"/>
      <c r="PLY122" s="4"/>
      <c r="PLZ122" s="4"/>
      <c r="PMA122" s="4"/>
      <c r="PMB122" s="4"/>
      <c r="PMC122" s="4"/>
      <c r="PMD122" s="4"/>
      <c r="PME122" s="4"/>
      <c r="PMF122" s="4"/>
      <c r="PMG122" s="4"/>
      <c r="PMH122" s="4"/>
      <c r="PMI122" s="4"/>
      <c r="PMJ122" s="4"/>
      <c r="PMK122" s="4"/>
      <c r="PML122" s="4"/>
      <c r="PMM122" s="4"/>
      <c r="PMN122" s="4"/>
      <c r="PMO122" s="4"/>
      <c r="PMP122" s="4"/>
      <c r="PMQ122" s="4"/>
      <c r="PMR122" s="4"/>
      <c r="PMS122" s="4"/>
      <c r="PMT122" s="4"/>
      <c r="PMU122" s="4"/>
      <c r="PMV122" s="4"/>
      <c r="PMW122" s="4"/>
      <c r="PMX122" s="4"/>
      <c r="PMY122" s="4"/>
      <c r="PMZ122" s="4"/>
      <c r="PNA122" s="4"/>
      <c r="PNB122" s="4"/>
      <c r="PNC122" s="4"/>
      <c r="PND122" s="4"/>
      <c r="PNE122" s="4"/>
      <c r="PNF122" s="4"/>
      <c r="PNG122" s="4"/>
      <c r="PNH122" s="4"/>
      <c r="PNI122" s="4"/>
      <c r="PNJ122" s="4"/>
      <c r="PNK122" s="4"/>
      <c r="PNL122" s="4"/>
      <c r="PNM122" s="4"/>
      <c r="PNN122" s="4"/>
      <c r="PNO122" s="4"/>
      <c r="PNP122" s="4"/>
      <c r="PNQ122" s="4"/>
      <c r="PNR122" s="4"/>
      <c r="PNS122" s="4"/>
      <c r="PNT122" s="4"/>
      <c r="PNU122" s="4"/>
      <c r="PNV122" s="4"/>
      <c r="PNW122" s="4"/>
      <c r="PNX122" s="4"/>
      <c r="PNY122" s="4"/>
      <c r="PNZ122" s="4"/>
      <c r="POA122" s="4"/>
      <c r="POB122" s="4"/>
      <c r="POC122" s="4"/>
      <c r="POD122" s="4"/>
      <c r="POE122" s="4"/>
      <c r="POF122" s="4"/>
      <c r="POG122" s="4"/>
      <c r="POH122" s="4"/>
      <c r="POI122" s="4"/>
      <c r="POJ122" s="4"/>
      <c r="POK122" s="4"/>
      <c r="POL122" s="4"/>
      <c r="POM122" s="4"/>
      <c r="PON122" s="4"/>
      <c r="POO122" s="4"/>
      <c r="POP122" s="4"/>
      <c r="POQ122" s="4"/>
      <c r="POR122" s="4"/>
      <c r="POS122" s="4"/>
      <c r="POT122" s="4"/>
      <c r="POU122" s="4"/>
      <c r="POV122" s="4"/>
      <c r="POW122" s="4"/>
      <c r="POX122" s="4"/>
      <c r="POY122" s="4"/>
      <c r="POZ122" s="4"/>
      <c r="PPA122" s="4"/>
      <c r="PPB122" s="4"/>
      <c r="PPC122" s="4"/>
      <c r="PPD122" s="4"/>
      <c r="PPE122" s="4"/>
      <c r="PPF122" s="4"/>
      <c r="PPG122" s="4"/>
      <c r="PPH122" s="4"/>
      <c r="PPI122" s="4"/>
      <c r="PPJ122" s="4"/>
      <c r="PPK122" s="4"/>
      <c r="PPL122" s="4"/>
      <c r="PPM122" s="4"/>
      <c r="PPN122" s="4"/>
      <c r="PPO122" s="4"/>
      <c r="PPP122" s="4"/>
      <c r="PPQ122" s="4"/>
      <c r="PPR122" s="4"/>
      <c r="PPS122" s="4"/>
      <c r="PPT122" s="4"/>
      <c r="PPU122" s="4"/>
      <c r="PPV122" s="4"/>
      <c r="PPW122" s="4"/>
      <c r="PPX122" s="4"/>
      <c r="PPY122" s="4"/>
      <c r="PPZ122" s="4"/>
      <c r="PQA122" s="4"/>
      <c r="PQB122" s="4"/>
      <c r="PQC122" s="4"/>
      <c r="PQD122" s="4"/>
      <c r="PQE122" s="4"/>
      <c r="PQF122" s="4"/>
      <c r="PQG122" s="4"/>
      <c r="PQH122" s="4"/>
      <c r="PQI122" s="4"/>
      <c r="PQJ122" s="4"/>
      <c r="PQK122" s="4"/>
      <c r="PQL122" s="4"/>
      <c r="PQM122" s="4"/>
      <c r="PQN122" s="4"/>
      <c r="PQO122" s="4"/>
      <c r="PQP122" s="4"/>
      <c r="PQQ122" s="4"/>
      <c r="PQR122" s="4"/>
      <c r="PQS122" s="4"/>
      <c r="PQT122" s="4"/>
      <c r="PQU122" s="4"/>
      <c r="PQV122" s="4"/>
      <c r="PQW122" s="4"/>
      <c r="PQX122" s="4"/>
      <c r="PQY122" s="4"/>
      <c r="PQZ122" s="4"/>
      <c r="PRA122" s="4"/>
      <c r="PRB122" s="4"/>
      <c r="PRC122" s="4"/>
      <c r="PRD122" s="4"/>
      <c r="PRE122" s="4"/>
      <c r="PRF122" s="4"/>
      <c r="PRG122" s="4"/>
      <c r="PRH122" s="4"/>
      <c r="PRI122" s="4"/>
      <c r="PRJ122" s="4"/>
      <c r="PRK122" s="4"/>
      <c r="PRL122" s="4"/>
      <c r="PRM122" s="4"/>
      <c r="PRN122" s="4"/>
      <c r="PRO122" s="4"/>
      <c r="PRP122" s="4"/>
      <c r="PRQ122" s="4"/>
      <c r="PRR122" s="4"/>
      <c r="PRS122" s="4"/>
      <c r="PRT122" s="4"/>
      <c r="PRU122" s="4"/>
      <c r="PRV122" s="4"/>
      <c r="PRW122" s="4"/>
      <c r="PRX122" s="4"/>
      <c r="PRY122" s="4"/>
      <c r="PRZ122" s="4"/>
      <c r="PSA122" s="4"/>
      <c r="PSB122" s="4"/>
      <c r="PSC122" s="4"/>
      <c r="PSD122" s="4"/>
      <c r="PSE122" s="4"/>
      <c r="PSF122" s="4"/>
      <c r="PSG122" s="4"/>
      <c r="PSH122" s="4"/>
      <c r="PSI122" s="4"/>
      <c r="PSJ122" s="4"/>
      <c r="PSK122" s="4"/>
      <c r="PSL122" s="4"/>
      <c r="PSM122" s="4"/>
      <c r="PSN122" s="4"/>
      <c r="PSO122" s="4"/>
      <c r="PSP122" s="4"/>
      <c r="PSQ122" s="4"/>
      <c r="PSR122" s="4"/>
      <c r="PSS122" s="4"/>
      <c r="PST122" s="4"/>
      <c r="PSU122" s="4"/>
      <c r="PSV122" s="4"/>
      <c r="PSW122" s="4"/>
      <c r="PSX122" s="4"/>
      <c r="PSY122" s="4"/>
      <c r="PSZ122" s="4"/>
      <c r="PTA122" s="4"/>
      <c r="PTB122" s="4"/>
      <c r="PTC122" s="4"/>
      <c r="PTD122" s="4"/>
      <c r="PTE122" s="4"/>
      <c r="PTF122" s="4"/>
      <c r="PTG122" s="4"/>
      <c r="PTH122" s="4"/>
      <c r="PTI122" s="4"/>
      <c r="PTJ122" s="4"/>
      <c r="PTK122" s="4"/>
      <c r="PTL122" s="4"/>
      <c r="PTM122" s="4"/>
      <c r="PTN122" s="4"/>
      <c r="PTO122" s="4"/>
      <c r="PTP122" s="4"/>
      <c r="PTQ122" s="4"/>
      <c r="PTR122" s="4"/>
      <c r="PTS122" s="4"/>
      <c r="PTT122" s="4"/>
      <c r="PTU122" s="4"/>
      <c r="PTV122" s="4"/>
      <c r="PTW122" s="4"/>
      <c r="PTX122" s="4"/>
      <c r="PTY122" s="4"/>
      <c r="PTZ122" s="4"/>
      <c r="PUA122" s="4"/>
      <c r="PUB122" s="4"/>
      <c r="PUC122" s="4"/>
      <c r="PUD122" s="4"/>
      <c r="PUE122" s="4"/>
      <c r="PUF122" s="4"/>
      <c r="PUG122" s="4"/>
      <c r="PUH122" s="4"/>
      <c r="PUI122" s="4"/>
      <c r="PUJ122" s="4"/>
      <c r="PUK122" s="4"/>
      <c r="PUL122" s="4"/>
      <c r="PUM122" s="4"/>
      <c r="PUN122" s="4"/>
      <c r="PUO122" s="4"/>
      <c r="PUP122" s="4"/>
      <c r="PUQ122" s="4"/>
      <c r="PUR122" s="4"/>
      <c r="PUS122" s="4"/>
      <c r="PUT122" s="4"/>
      <c r="PUU122" s="4"/>
      <c r="PUV122" s="4"/>
      <c r="PUW122" s="4"/>
      <c r="PUX122" s="4"/>
      <c r="PUY122" s="4"/>
      <c r="PUZ122" s="4"/>
      <c r="PVA122" s="4"/>
      <c r="PVB122" s="4"/>
      <c r="PVC122" s="4"/>
      <c r="PVD122" s="4"/>
      <c r="PVE122" s="4"/>
      <c r="PVF122" s="4"/>
      <c r="PVG122" s="4"/>
      <c r="PVH122" s="4"/>
      <c r="PVI122" s="4"/>
      <c r="PVJ122" s="4"/>
      <c r="PVK122" s="4"/>
      <c r="PVL122" s="4"/>
      <c r="PVM122" s="4"/>
      <c r="PVN122" s="4"/>
      <c r="PVO122" s="4"/>
      <c r="PVP122" s="4"/>
      <c r="PVQ122" s="4"/>
      <c r="PVR122" s="4"/>
      <c r="PVS122" s="4"/>
      <c r="PVT122" s="4"/>
      <c r="PVU122" s="4"/>
      <c r="PVV122" s="4"/>
      <c r="PVW122" s="4"/>
      <c r="PVX122" s="4"/>
      <c r="PVY122" s="4"/>
      <c r="PVZ122" s="4"/>
      <c r="PWA122" s="4"/>
      <c r="PWB122" s="4"/>
      <c r="PWC122" s="4"/>
      <c r="PWD122" s="4"/>
      <c r="PWE122" s="4"/>
      <c r="PWF122" s="4"/>
      <c r="PWG122" s="4"/>
      <c r="PWH122" s="4"/>
      <c r="PWI122" s="4"/>
      <c r="PWJ122" s="4"/>
      <c r="PWK122" s="4"/>
      <c r="PWL122" s="4"/>
      <c r="PWM122" s="4"/>
      <c r="PWN122" s="4"/>
      <c r="PWO122" s="4"/>
      <c r="PWP122" s="4"/>
      <c r="PWQ122" s="4"/>
      <c r="PWR122" s="4"/>
      <c r="PWS122" s="4"/>
      <c r="PWT122" s="4"/>
      <c r="PWU122" s="4"/>
      <c r="PWV122" s="4"/>
      <c r="PWW122" s="4"/>
      <c r="PWX122" s="4"/>
      <c r="PWY122" s="4"/>
      <c r="PWZ122" s="4"/>
      <c r="PXA122" s="4"/>
      <c r="PXB122" s="4"/>
      <c r="PXC122" s="4"/>
      <c r="PXD122" s="4"/>
      <c r="PXE122" s="4"/>
      <c r="PXF122" s="4"/>
      <c r="PXG122" s="4"/>
      <c r="PXH122" s="4"/>
      <c r="PXI122" s="4"/>
      <c r="PXJ122" s="4"/>
      <c r="PXK122" s="4"/>
      <c r="PXL122" s="4"/>
      <c r="PXM122" s="4"/>
      <c r="PXN122" s="4"/>
      <c r="PXO122" s="4"/>
      <c r="PXP122" s="4"/>
      <c r="PXQ122" s="4"/>
      <c r="PXR122" s="4"/>
      <c r="PXS122" s="4"/>
      <c r="PXT122" s="4"/>
      <c r="PXU122" s="4"/>
      <c r="PXV122" s="4"/>
      <c r="PXW122" s="4"/>
      <c r="PXX122" s="4"/>
      <c r="PXY122" s="4"/>
      <c r="PXZ122" s="4"/>
      <c r="PYA122" s="4"/>
      <c r="PYB122" s="4"/>
      <c r="PYC122" s="4"/>
      <c r="PYD122" s="4"/>
      <c r="PYE122" s="4"/>
      <c r="PYF122" s="4"/>
      <c r="PYG122" s="4"/>
      <c r="PYH122" s="4"/>
      <c r="PYI122" s="4"/>
      <c r="PYJ122" s="4"/>
      <c r="PYK122" s="4"/>
      <c r="PYL122" s="4"/>
      <c r="PYM122" s="4"/>
      <c r="PYN122" s="4"/>
      <c r="PYO122" s="4"/>
      <c r="PYP122" s="4"/>
      <c r="PYQ122" s="4"/>
      <c r="PYR122" s="4"/>
      <c r="PYS122" s="4"/>
      <c r="PYT122" s="4"/>
      <c r="PYU122" s="4"/>
      <c r="PYV122" s="4"/>
      <c r="PYW122" s="4"/>
      <c r="PYX122" s="4"/>
      <c r="PYY122" s="4"/>
      <c r="PYZ122" s="4"/>
      <c r="PZA122" s="4"/>
      <c r="PZB122" s="4"/>
      <c r="PZC122" s="4"/>
      <c r="PZD122" s="4"/>
      <c r="PZE122" s="4"/>
      <c r="PZF122" s="4"/>
      <c r="PZG122" s="4"/>
      <c r="PZH122" s="4"/>
      <c r="PZI122" s="4"/>
      <c r="PZJ122" s="4"/>
      <c r="PZK122" s="4"/>
      <c r="PZL122" s="4"/>
      <c r="PZM122" s="4"/>
      <c r="PZN122" s="4"/>
      <c r="PZO122" s="4"/>
      <c r="PZP122" s="4"/>
      <c r="PZQ122" s="4"/>
      <c r="PZR122" s="4"/>
      <c r="PZS122" s="4"/>
      <c r="PZT122" s="4"/>
      <c r="PZU122" s="4"/>
      <c r="PZV122" s="4"/>
      <c r="PZW122" s="4"/>
      <c r="PZX122" s="4"/>
      <c r="PZY122" s="4"/>
      <c r="PZZ122" s="4"/>
      <c r="QAA122" s="4"/>
      <c r="QAB122" s="4"/>
      <c r="QAC122" s="4"/>
      <c r="QAD122" s="4"/>
      <c r="QAE122" s="4"/>
      <c r="QAF122" s="4"/>
      <c r="QAG122" s="4"/>
      <c r="QAH122" s="4"/>
      <c r="QAI122" s="4"/>
      <c r="QAJ122" s="4"/>
      <c r="QAK122" s="4"/>
      <c r="QAL122" s="4"/>
      <c r="QAM122" s="4"/>
      <c r="QAN122" s="4"/>
      <c r="QAO122" s="4"/>
      <c r="QAP122" s="4"/>
      <c r="QAQ122" s="4"/>
      <c r="QAR122" s="4"/>
      <c r="QAS122" s="4"/>
      <c r="QAT122" s="4"/>
      <c r="QAU122" s="4"/>
      <c r="QAV122" s="4"/>
      <c r="QAW122" s="4"/>
      <c r="QAX122" s="4"/>
      <c r="QAY122" s="4"/>
      <c r="QAZ122" s="4"/>
      <c r="QBA122" s="4"/>
      <c r="QBB122" s="4"/>
      <c r="QBC122" s="4"/>
      <c r="QBD122" s="4"/>
      <c r="QBE122" s="4"/>
      <c r="QBF122" s="4"/>
      <c r="QBG122" s="4"/>
      <c r="QBH122" s="4"/>
      <c r="QBI122" s="4"/>
      <c r="QBJ122" s="4"/>
      <c r="QBK122" s="4"/>
      <c r="QBL122" s="4"/>
      <c r="QBM122" s="4"/>
      <c r="QBN122" s="4"/>
      <c r="QBO122" s="4"/>
      <c r="QBP122" s="4"/>
      <c r="QBQ122" s="4"/>
      <c r="QBR122" s="4"/>
      <c r="QBS122" s="4"/>
      <c r="QBT122" s="4"/>
      <c r="QBU122" s="4"/>
      <c r="QBV122" s="4"/>
      <c r="QBW122" s="4"/>
      <c r="QBX122" s="4"/>
      <c r="QBY122" s="4"/>
      <c r="QBZ122" s="4"/>
      <c r="QCA122" s="4"/>
      <c r="QCB122" s="4"/>
      <c r="QCC122" s="4"/>
      <c r="QCD122" s="4"/>
      <c r="QCE122" s="4"/>
      <c r="QCF122" s="4"/>
      <c r="QCG122" s="4"/>
      <c r="QCH122" s="4"/>
      <c r="QCI122" s="4"/>
      <c r="QCJ122" s="4"/>
      <c r="QCK122" s="4"/>
      <c r="QCL122" s="4"/>
      <c r="QCM122" s="4"/>
      <c r="QCN122" s="4"/>
      <c r="QCO122" s="4"/>
      <c r="QCP122" s="4"/>
      <c r="QCQ122" s="4"/>
      <c r="QCR122" s="4"/>
      <c r="QCS122" s="4"/>
      <c r="QCT122" s="4"/>
      <c r="QCU122" s="4"/>
      <c r="QCV122" s="4"/>
      <c r="QCW122" s="4"/>
      <c r="QCX122" s="4"/>
      <c r="QCY122" s="4"/>
      <c r="QCZ122" s="4"/>
      <c r="QDA122" s="4"/>
      <c r="QDB122" s="4"/>
      <c r="QDC122" s="4"/>
      <c r="QDD122" s="4"/>
      <c r="QDE122" s="4"/>
      <c r="QDF122" s="4"/>
      <c r="QDG122" s="4"/>
      <c r="QDH122" s="4"/>
      <c r="QDI122" s="4"/>
      <c r="QDJ122" s="4"/>
      <c r="QDK122" s="4"/>
      <c r="QDL122" s="4"/>
      <c r="QDM122" s="4"/>
      <c r="QDN122" s="4"/>
      <c r="QDO122" s="4"/>
      <c r="QDP122" s="4"/>
      <c r="QDQ122" s="4"/>
      <c r="QDR122" s="4"/>
      <c r="QDS122" s="4"/>
      <c r="QDT122" s="4"/>
      <c r="QDU122" s="4"/>
      <c r="QDV122" s="4"/>
      <c r="QDW122" s="4"/>
      <c r="QDX122" s="4"/>
      <c r="QDY122" s="4"/>
      <c r="QDZ122" s="4"/>
      <c r="QEA122" s="4"/>
      <c r="QEB122" s="4"/>
      <c r="QEC122" s="4"/>
      <c r="QED122" s="4"/>
      <c r="QEE122" s="4"/>
      <c r="QEF122" s="4"/>
      <c r="QEG122" s="4"/>
      <c r="QEH122" s="4"/>
      <c r="QEI122" s="4"/>
      <c r="QEJ122" s="4"/>
      <c r="QEK122" s="4"/>
      <c r="QEL122" s="4"/>
      <c r="QEM122" s="4"/>
      <c r="QEN122" s="4"/>
      <c r="QEO122" s="4"/>
      <c r="QEP122" s="4"/>
      <c r="QEQ122" s="4"/>
      <c r="QER122" s="4"/>
      <c r="QES122" s="4"/>
      <c r="QET122" s="4"/>
      <c r="QEU122" s="4"/>
      <c r="QEV122" s="4"/>
      <c r="QEW122" s="4"/>
      <c r="QEX122" s="4"/>
      <c r="QEY122" s="4"/>
      <c r="QEZ122" s="4"/>
      <c r="QFA122" s="4"/>
      <c r="QFB122" s="4"/>
      <c r="QFC122" s="4"/>
      <c r="QFD122" s="4"/>
      <c r="QFE122" s="4"/>
      <c r="QFF122" s="4"/>
      <c r="QFG122" s="4"/>
      <c r="QFH122" s="4"/>
      <c r="QFI122" s="4"/>
      <c r="QFJ122" s="4"/>
      <c r="QFK122" s="4"/>
      <c r="QFL122" s="4"/>
      <c r="QFM122" s="4"/>
      <c r="QFN122" s="4"/>
      <c r="QFO122" s="4"/>
      <c r="QFP122" s="4"/>
      <c r="QFQ122" s="4"/>
      <c r="QFR122" s="4"/>
      <c r="QFS122" s="4"/>
      <c r="QFT122" s="4"/>
      <c r="QFU122" s="4"/>
      <c r="QFV122" s="4"/>
      <c r="QFW122" s="4"/>
      <c r="QFX122" s="4"/>
      <c r="QFY122" s="4"/>
      <c r="QFZ122" s="4"/>
      <c r="QGA122" s="4"/>
      <c r="QGB122" s="4"/>
      <c r="QGC122" s="4"/>
      <c r="QGD122" s="4"/>
      <c r="QGE122" s="4"/>
      <c r="QGF122" s="4"/>
      <c r="QGG122" s="4"/>
      <c r="QGH122" s="4"/>
      <c r="QGI122" s="4"/>
      <c r="QGJ122" s="4"/>
      <c r="QGK122" s="4"/>
      <c r="QGL122" s="4"/>
      <c r="QGM122" s="4"/>
      <c r="QGN122" s="4"/>
      <c r="QGO122" s="4"/>
      <c r="QGP122" s="4"/>
      <c r="QGQ122" s="4"/>
      <c r="QGR122" s="4"/>
      <c r="QGS122" s="4"/>
      <c r="QGT122" s="4"/>
      <c r="QGU122" s="4"/>
      <c r="QGV122" s="4"/>
      <c r="QGW122" s="4"/>
      <c r="QGX122" s="4"/>
      <c r="QGY122" s="4"/>
      <c r="QGZ122" s="4"/>
      <c r="QHA122" s="4"/>
      <c r="QHB122" s="4"/>
      <c r="QHC122" s="4"/>
      <c r="QHD122" s="4"/>
      <c r="QHE122" s="4"/>
      <c r="QHF122" s="4"/>
      <c r="QHG122" s="4"/>
      <c r="QHH122" s="4"/>
      <c r="QHI122" s="4"/>
      <c r="QHJ122" s="4"/>
      <c r="QHK122" s="4"/>
      <c r="QHL122" s="4"/>
      <c r="QHM122" s="4"/>
      <c r="QHN122" s="4"/>
      <c r="QHO122" s="4"/>
      <c r="QHP122" s="4"/>
      <c r="QHQ122" s="4"/>
      <c r="QHR122" s="4"/>
      <c r="QHS122" s="4"/>
      <c r="QHT122" s="4"/>
      <c r="QHU122" s="4"/>
      <c r="QHV122" s="4"/>
      <c r="QHW122" s="4"/>
      <c r="QHX122" s="4"/>
      <c r="QHY122" s="4"/>
      <c r="QHZ122" s="4"/>
      <c r="QIA122" s="4"/>
      <c r="QIB122" s="4"/>
      <c r="QIC122" s="4"/>
      <c r="QID122" s="4"/>
      <c r="QIE122" s="4"/>
      <c r="QIF122" s="4"/>
      <c r="QIG122" s="4"/>
      <c r="QIH122" s="4"/>
      <c r="QII122" s="4"/>
      <c r="QIJ122" s="4"/>
      <c r="QIK122" s="4"/>
      <c r="QIL122" s="4"/>
      <c r="QIM122" s="4"/>
      <c r="QIN122" s="4"/>
      <c r="QIO122" s="4"/>
      <c r="QIP122" s="4"/>
      <c r="QIQ122" s="4"/>
      <c r="QIR122" s="4"/>
      <c r="QIS122" s="4"/>
      <c r="QIT122" s="4"/>
      <c r="QIU122" s="4"/>
      <c r="QIV122" s="4"/>
      <c r="QIW122" s="4"/>
      <c r="QIX122" s="4"/>
      <c r="QIY122" s="4"/>
      <c r="QIZ122" s="4"/>
      <c r="QJA122" s="4"/>
      <c r="QJB122" s="4"/>
      <c r="QJC122" s="4"/>
      <c r="QJD122" s="4"/>
      <c r="QJE122" s="4"/>
      <c r="QJF122" s="4"/>
      <c r="QJG122" s="4"/>
      <c r="QJH122" s="4"/>
      <c r="QJI122" s="4"/>
      <c r="QJJ122" s="4"/>
      <c r="QJK122" s="4"/>
      <c r="QJL122" s="4"/>
      <c r="QJM122" s="4"/>
      <c r="QJN122" s="4"/>
      <c r="QJO122" s="4"/>
      <c r="QJP122" s="4"/>
      <c r="QJQ122" s="4"/>
      <c r="QJR122" s="4"/>
      <c r="QJS122" s="4"/>
      <c r="QJT122" s="4"/>
      <c r="QJU122" s="4"/>
      <c r="QJV122" s="4"/>
      <c r="QJW122" s="4"/>
      <c r="QJX122" s="4"/>
      <c r="QJY122" s="4"/>
      <c r="QJZ122" s="4"/>
      <c r="QKA122" s="4"/>
      <c r="QKB122" s="4"/>
      <c r="QKC122" s="4"/>
      <c r="QKD122" s="4"/>
      <c r="QKE122" s="4"/>
      <c r="QKF122" s="4"/>
      <c r="QKG122" s="4"/>
      <c r="QKH122" s="4"/>
      <c r="QKI122" s="4"/>
      <c r="QKJ122" s="4"/>
      <c r="QKK122" s="4"/>
      <c r="QKL122" s="4"/>
      <c r="QKM122" s="4"/>
      <c r="QKN122" s="4"/>
      <c r="QKO122" s="4"/>
      <c r="QKP122" s="4"/>
      <c r="QKQ122" s="4"/>
      <c r="QKR122" s="4"/>
      <c r="QKS122" s="4"/>
      <c r="QKT122" s="4"/>
      <c r="QKU122" s="4"/>
      <c r="QKV122" s="4"/>
      <c r="QKW122" s="4"/>
      <c r="QKX122" s="4"/>
      <c r="QKY122" s="4"/>
      <c r="QKZ122" s="4"/>
      <c r="QLA122" s="4"/>
      <c r="QLB122" s="4"/>
      <c r="QLC122" s="4"/>
      <c r="QLD122" s="4"/>
      <c r="QLE122" s="4"/>
      <c r="QLF122" s="4"/>
      <c r="QLG122" s="4"/>
      <c r="QLH122" s="4"/>
      <c r="QLI122" s="4"/>
      <c r="QLJ122" s="4"/>
      <c r="QLK122" s="4"/>
      <c r="QLL122" s="4"/>
      <c r="QLM122" s="4"/>
      <c r="QLN122" s="4"/>
      <c r="QLO122" s="4"/>
      <c r="QLP122" s="4"/>
      <c r="QLQ122" s="4"/>
      <c r="QLR122" s="4"/>
      <c r="QLS122" s="4"/>
      <c r="QLT122" s="4"/>
      <c r="QLU122" s="4"/>
      <c r="QLV122" s="4"/>
      <c r="QLW122" s="4"/>
      <c r="QLX122" s="4"/>
      <c r="QLY122" s="4"/>
      <c r="QLZ122" s="4"/>
      <c r="QMA122" s="4"/>
      <c r="QMB122" s="4"/>
      <c r="QMC122" s="4"/>
      <c r="QMD122" s="4"/>
      <c r="QME122" s="4"/>
      <c r="QMF122" s="4"/>
      <c r="QMG122" s="4"/>
      <c r="QMH122" s="4"/>
      <c r="QMI122" s="4"/>
      <c r="QMJ122" s="4"/>
      <c r="QMK122" s="4"/>
      <c r="QML122" s="4"/>
      <c r="QMM122" s="4"/>
      <c r="QMN122" s="4"/>
      <c r="QMO122" s="4"/>
      <c r="QMP122" s="4"/>
      <c r="QMQ122" s="4"/>
      <c r="QMR122" s="4"/>
      <c r="QMS122" s="4"/>
      <c r="QMT122" s="4"/>
      <c r="QMU122" s="4"/>
      <c r="QMV122" s="4"/>
      <c r="QMW122" s="4"/>
      <c r="QMX122" s="4"/>
      <c r="QMY122" s="4"/>
      <c r="QMZ122" s="4"/>
      <c r="QNA122" s="4"/>
      <c r="QNB122" s="4"/>
      <c r="QNC122" s="4"/>
      <c r="QND122" s="4"/>
      <c r="QNE122" s="4"/>
      <c r="QNF122" s="4"/>
      <c r="QNG122" s="4"/>
      <c r="QNH122" s="4"/>
      <c r="QNI122" s="4"/>
      <c r="QNJ122" s="4"/>
      <c r="QNK122" s="4"/>
      <c r="QNL122" s="4"/>
      <c r="QNM122" s="4"/>
      <c r="QNN122" s="4"/>
      <c r="QNO122" s="4"/>
      <c r="QNP122" s="4"/>
      <c r="QNQ122" s="4"/>
      <c r="QNR122" s="4"/>
      <c r="QNS122" s="4"/>
      <c r="QNT122" s="4"/>
      <c r="QNU122" s="4"/>
      <c r="QNV122" s="4"/>
      <c r="QNW122" s="4"/>
      <c r="QNX122" s="4"/>
      <c r="QNY122" s="4"/>
      <c r="QNZ122" s="4"/>
      <c r="QOA122" s="4"/>
      <c r="QOB122" s="4"/>
      <c r="QOC122" s="4"/>
      <c r="QOD122" s="4"/>
      <c r="QOE122" s="4"/>
      <c r="QOF122" s="4"/>
      <c r="QOG122" s="4"/>
      <c r="QOH122" s="4"/>
      <c r="QOI122" s="4"/>
      <c r="QOJ122" s="4"/>
      <c r="QOK122" s="4"/>
      <c r="QOL122" s="4"/>
      <c r="QOM122" s="4"/>
      <c r="QON122" s="4"/>
      <c r="QOO122" s="4"/>
      <c r="QOP122" s="4"/>
      <c r="QOQ122" s="4"/>
      <c r="QOR122" s="4"/>
      <c r="QOS122" s="4"/>
      <c r="QOT122" s="4"/>
      <c r="QOU122" s="4"/>
      <c r="QOV122" s="4"/>
      <c r="QOW122" s="4"/>
      <c r="QOX122" s="4"/>
      <c r="QOY122" s="4"/>
      <c r="QOZ122" s="4"/>
      <c r="QPA122" s="4"/>
      <c r="QPB122" s="4"/>
      <c r="QPC122" s="4"/>
      <c r="QPD122" s="4"/>
      <c r="QPE122" s="4"/>
      <c r="QPF122" s="4"/>
      <c r="QPG122" s="4"/>
      <c r="QPH122" s="4"/>
      <c r="QPI122" s="4"/>
      <c r="QPJ122" s="4"/>
      <c r="QPK122" s="4"/>
      <c r="QPL122" s="4"/>
      <c r="QPM122" s="4"/>
      <c r="QPN122" s="4"/>
      <c r="QPO122" s="4"/>
      <c r="QPP122" s="4"/>
      <c r="QPQ122" s="4"/>
      <c r="QPR122" s="4"/>
      <c r="QPS122" s="4"/>
      <c r="QPT122" s="4"/>
      <c r="QPU122" s="4"/>
      <c r="QPV122" s="4"/>
      <c r="QPW122" s="4"/>
      <c r="QPX122" s="4"/>
      <c r="QPY122" s="4"/>
      <c r="QPZ122" s="4"/>
      <c r="QQA122" s="4"/>
      <c r="QQB122" s="4"/>
      <c r="QQC122" s="4"/>
      <c r="QQD122" s="4"/>
      <c r="QQE122" s="4"/>
      <c r="QQF122" s="4"/>
      <c r="QQG122" s="4"/>
      <c r="QQH122" s="4"/>
      <c r="QQI122" s="4"/>
      <c r="QQJ122" s="4"/>
      <c r="QQK122" s="4"/>
      <c r="QQL122" s="4"/>
      <c r="QQM122" s="4"/>
      <c r="QQN122" s="4"/>
      <c r="QQO122" s="4"/>
      <c r="QQP122" s="4"/>
      <c r="QQQ122" s="4"/>
      <c r="QQR122" s="4"/>
      <c r="QQS122" s="4"/>
      <c r="QQT122" s="4"/>
      <c r="QQU122" s="4"/>
      <c r="QQV122" s="4"/>
      <c r="QQW122" s="4"/>
      <c r="QQX122" s="4"/>
      <c r="QQY122" s="4"/>
      <c r="QQZ122" s="4"/>
      <c r="QRA122" s="4"/>
      <c r="QRB122" s="4"/>
      <c r="QRC122" s="4"/>
      <c r="QRD122" s="4"/>
      <c r="QRE122" s="4"/>
      <c r="QRF122" s="4"/>
      <c r="QRG122" s="4"/>
      <c r="QRH122" s="4"/>
      <c r="QRI122" s="4"/>
      <c r="QRJ122" s="4"/>
      <c r="QRK122" s="4"/>
      <c r="QRL122" s="4"/>
      <c r="QRM122" s="4"/>
      <c r="QRN122" s="4"/>
      <c r="QRO122" s="4"/>
      <c r="QRP122" s="4"/>
      <c r="QRQ122" s="4"/>
      <c r="QRR122" s="4"/>
      <c r="QRS122" s="4"/>
      <c r="QRT122" s="4"/>
      <c r="QRU122" s="4"/>
      <c r="QRV122" s="4"/>
      <c r="QRW122" s="4"/>
      <c r="QRX122" s="4"/>
      <c r="QRY122" s="4"/>
      <c r="QRZ122" s="4"/>
      <c r="QSA122" s="4"/>
      <c r="QSB122" s="4"/>
      <c r="QSC122" s="4"/>
      <c r="QSD122" s="4"/>
      <c r="QSE122" s="4"/>
      <c r="QSF122" s="4"/>
      <c r="QSG122" s="4"/>
      <c r="QSH122" s="4"/>
      <c r="QSI122" s="4"/>
      <c r="QSJ122" s="4"/>
      <c r="QSK122" s="4"/>
      <c r="QSL122" s="4"/>
      <c r="QSM122" s="4"/>
      <c r="QSN122" s="4"/>
      <c r="QSO122" s="4"/>
      <c r="QSP122" s="4"/>
      <c r="QSQ122" s="4"/>
      <c r="QSR122" s="4"/>
      <c r="QSS122" s="4"/>
      <c r="QST122" s="4"/>
      <c r="QSU122" s="4"/>
      <c r="QSV122" s="4"/>
      <c r="QSW122" s="4"/>
      <c r="QSX122" s="4"/>
      <c r="QSY122" s="4"/>
      <c r="QSZ122" s="4"/>
      <c r="QTA122" s="4"/>
      <c r="QTB122" s="4"/>
      <c r="QTC122" s="4"/>
      <c r="QTD122" s="4"/>
      <c r="QTE122" s="4"/>
      <c r="QTF122" s="4"/>
      <c r="QTG122" s="4"/>
      <c r="QTH122" s="4"/>
      <c r="QTI122" s="4"/>
      <c r="QTJ122" s="4"/>
      <c r="QTK122" s="4"/>
      <c r="QTL122" s="4"/>
      <c r="QTM122" s="4"/>
      <c r="QTN122" s="4"/>
      <c r="QTO122" s="4"/>
      <c r="QTP122" s="4"/>
      <c r="QTQ122" s="4"/>
      <c r="QTR122" s="4"/>
      <c r="QTS122" s="4"/>
      <c r="QTT122" s="4"/>
      <c r="QTU122" s="4"/>
      <c r="QTV122" s="4"/>
      <c r="QTW122" s="4"/>
      <c r="QTX122" s="4"/>
      <c r="QTY122" s="4"/>
      <c r="QTZ122" s="4"/>
      <c r="QUA122" s="4"/>
      <c r="QUB122" s="4"/>
      <c r="QUC122" s="4"/>
      <c r="QUD122" s="4"/>
      <c r="QUE122" s="4"/>
      <c r="QUF122" s="4"/>
      <c r="QUG122" s="4"/>
      <c r="QUH122" s="4"/>
      <c r="QUI122" s="4"/>
      <c r="QUJ122" s="4"/>
      <c r="QUK122" s="4"/>
      <c r="QUL122" s="4"/>
      <c r="QUM122" s="4"/>
      <c r="QUN122" s="4"/>
      <c r="QUO122" s="4"/>
      <c r="QUP122" s="4"/>
      <c r="QUQ122" s="4"/>
      <c r="QUR122" s="4"/>
      <c r="QUS122" s="4"/>
      <c r="QUT122" s="4"/>
      <c r="QUU122" s="4"/>
      <c r="QUV122" s="4"/>
      <c r="QUW122" s="4"/>
      <c r="QUX122" s="4"/>
      <c r="QUY122" s="4"/>
      <c r="QUZ122" s="4"/>
      <c r="QVA122" s="4"/>
      <c r="QVB122" s="4"/>
      <c r="QVC122" s="4"/>
      <c r="QVD122" s="4"/>
      <c r="QVE122" s="4"/>
      <c r="QVF122" s="4"/>
      <c r="QVG122" s="4"/>
      <c r="QVH122" s="4"/>
      <c r="QVI122" s="4"/>
      <c r="QVJ122" s="4"/>
      <c r="QVK122" s="4"/>
      <c r="QVL122" s="4"/>
      <c r="QVM122" s="4"/>
      <c r="QVN122" s="4"/>
      <c r="QVO122" s="4"/>
      <c r="QVP122" s="4"/>
      <c r="QVQ122" s="4"/>
      <c r="QVR122" s="4"/>
      <c r="QVS122" s="4"/>
      <c r="QVT122" s="4"/>
      <c r="QVU122" s="4"/>
      <c r="QVV122" s="4"/>
      <c r="QVW122" s="4"/>
      <c r="QVX122" s="4"/>
      <c r="QVY122" s="4"/>
      <c r="QVZ122" s="4"/>
      <c r="QWA122" s="4"/>
      <c r="QWB122" s="4"/>
      <c r="QWC122" s="4"/>
      <c r="QWD122" s="4"/>
      <c r="QWE122" s="4"/>
      <c r="QWF122" s="4"/>
      <c r="QWG122" s="4"/>
      <c r="QWH122" s="4"/>
      <c r="QWI122" s="4"/>
      <c r="QWJ122" s="4"/>
      <c r="QWK122" s="4"/>
      <c r="QWL122" s="4"/>
      <c r="QWM122" s="4"/>
      <c r="QWN122" s="4"/>
      <c r="QWO122" s="4"/>
      <c r="QWP122" s="4"/>
      <c r="QWQ122" s="4"/>
      <c r="QWR122" s="4"/>
      <c r="QWS122" s="4"/>
      <c r="QWT122" s="4"/>
      <c r="QWU122" s="4"/>
      <c r="QWV122" s="4"/>
      <c r="QWW122" s="4"/>
      <c r="QWX122" s="4"/>
      <c r="QWY122" s="4"/>
      <c r="QWZ122" s="4"/>
      <c r="QXA122" s="4"/>
      <c r="QXB122" s="4"/>
      <c r="QXC122" s="4"/>
      <c r="QXD122" s="4"/>
      <c r="QXE122" s="4"/>
      <c r="QXF122" s="4"/>
      <c r="QXG122" s="4"/>
      <c r="QXH122" s="4"/>
      <c r="QXI122" s="4"/>
      <c r="QXJ122" s="4"/>
      <c r="QXK122" s="4"/>
      <c r="QXL122" s="4"/>
      <c r="QXM122" s="4"/>
      <c r="QXN122" s="4"/>
      <c r="QXO122" s="4"/>
      <c r="QXP122" s="4"/>
      <c r="QXQ122" s="4"/>
      <c r="QXR122" s="4"/>
      <c r="QXS122" s="4"/>
      <c r="QXT122" s="4"/>
      <c r="QXU122" s="4"/>
      <c r="QXV122" s="4"/>
      <c r="QXW122" s="4"/>
      <c r="QXX122" s="4"/>
      <c r="QXY122" s="4"/>
      <c r="QXZ122" s="4"/>
      <c r="QYA122" s="4"/>
      <c r="QYB122" s="4"/>
      <c r="QYC122" s="4"/>
      <c r="QYD122" s="4"/>
      <c r="QYE122" s="4"/>
      <c r="QYF122" s="4"/>
      <c r="QYG122" s="4"/>
      <c r="QYH122" s="4"/>
      <c r="QYI122" s="4"/>
      <c r="QYJ122" s="4"/>
      <c r="QYK122" s="4"/>
      <c r="QYL122" s="4"/>
      <c r="QYM122" s="4"/>
      <c r="QYN122" s="4"/>
      <c r="QYO122" s="4"/>
      <c r="QYP122" s="4"/>
      <c r="QYQ122" s="4"/>
      <c r="QYR122" s="4"/>
      <c r="QYS122" s="4"/>
      <c r="QYT122" s="4"/>
      <c r="QYU122" s="4"/>
      <c r="QYV122" s="4"/>
      <c r="QYW122" s="4"/>
      <c r="QYX122" s="4"/>
      <c r="QYY122" s="4"/>
      <c r="QYZ122" s="4"/>
      <c r="QZA122" s="4"/>
      <c r="QZB122" s="4"/>
      <c r="QZC122" s="4"/>
      <c r="QZD122" s="4"/>
      <c r="QZE122" s="4"/>
      <c r="QZF122" s="4"/>
      <c r="QZG122" s="4"/>
      <c r="QZH122" s="4"/>
      <c r="QZI122" s="4"/>
      <c r="QZJ122" s="4"/>
      <c r="QZK122" s="4"/>
      <c r="QZL122" s="4"/>
      <c r="QZM122" s="4"/>
      <c r="QZN122" s="4"/>
      <c r="QZO122" s="4"/>
      <c r="QZP122" s="4"/>
      <c r="QZQ122" s="4"/>
      <c r="QZR122" s="4"/>
      <c r="QZS122" s="4"/>
      <c r="QZT122" s="4"/>
      <c r="QZU122" s="4"/>
      <c r="QZV122" s="4"/>
      <c r="QZW122" s="4"/>
      <c r="QZX122" s="4"/>
      <c r="QZY122" s="4"/>
      <c r="QZZ122" s="4"/>
      <c r="RAA122" s="4"/>
      <c r="RAB122" s="4"/>
      <c r="RAC122" s="4"/>
      <c r="RAD122" s="4"/>
      <c r="RAE122" s="4"/>
      <c r="RAF122" s="4"/>
      <c r="RAG122" s="4"/>
      <c r="RAH122" s="4"/>
      <c r="RAI122" s="4"/>
      <c r="RAJ122" s="4"/>
      <c r="RAK122" s="4"/>
      <c r="RAL122" s="4"/>
      <c r="RAM122" s="4"/>
      <c r="RAN122" s="4"/>
      <c r="RAO122" s="4"/>
      <c r="RAP122" s="4"/>
      <c r="RAQ122" s="4"/>
      <c r="RAR122" s="4"/>
      <c r="RAS122" s="4"/>
      <c r="RAT122" s="4"/>
      <c r="RAU122" s="4"/>
      <c r="RAV122" s="4"/>
      <c r="RAW122" s="4"/>
      <c r="RAX122" s="4"/>
      <c r="RAY122" s="4"/>
      <c r="RAZ122" s="4"/>
      <c r="RBA122" s="4"/>
      <c r="RBB122" s="4"/>
      <c r="RBC122" s="4"/>
      <c r="RBD122" s="4"/>
      <c r="RBE122" s="4"/>
      <c r="RBF122" s="4"/>
      <c r="RBG122" s="4"/>
      <c r="RBH122" s="4"/>
      <c r="RBI122" s="4"/>
      <c r="RBJ122" s="4"/>
      <c r="RBK122" s="4"/>
      <c r="RBL122" s="4"/>
      <c r="RBM122" s="4"/>
      <c r="RBN122" s="4"/>
      <c r="RBO122" s="4"/>
      <c r="RBP122" s="4"/>
      <c r="RBQ122" s="4"/>
      <c r="RBR122" s="4"/>
      <c r="RBS122" s="4"/>
      <c r="RBT122" s="4"/>
      <c r="RBU122" s="4"/>
      <c r="RBV122" s="4"/>
      <c r="RBW122" s="4"/>
      <c r="RBX122" s="4"/>
      <c r="RBY122" s="4"/>
      <c r="RBZ122" s="4"/>
      <c r="RCA122" s="4"/>
      <c r="RCB122" s="4"/>
      <c r="RCC122" s="4"/>
      <c r="RCD122" s="4"/>
      <c r="RCE122" s="4"/>
      <c r="RCF122" s="4"/>
      <c r="RCG122" s="4"/>
      <c r="RCH122" s="4"/>
      <c r="RCI122" s="4"/>
      <c r="RCJ122" s="4"/>
      <c r="RCK122" s="4"/>
      <c r="RCL122" s="4"/>
      <c r="RCM122" s="4"/>
      <c r="RCN122" s="4"/>
      <c r="RCO122" s="4"/>
      <c r="RCP122" s="4"/>
      <c r="RCQ122" s="4"/>
      <c r="RCR122" s="4"/>
      <c r="RCS122" s="4"/>
      <c r="RCT122" s="4"/>
      <c r="RCU122" s="4"/>
      <c r="RCV122" s="4"/>
      <c r="RCW122" s="4"/>
      <c r="RCX122" s="4"/>
      <c r="RCY122" s="4"/>
      <c r="RCZ122" s="4"/>
      <c r="RDA122" s="4"/>
      <c r="RDB122" s="4"/>
      <c r="RDC122" s="4"/>
      <c r="RDD122" s="4"/>
      <c r="RDE122" s="4"/>
      <c r="RDF122" s="4"/>
      <c r="RDG122" s="4"/>
      <c r="RDH122" s="4"/>
      <c r="RDI122" s="4"/>
      <c r="RDJ122" s="4"/>
      <c r="RDK122" s="4"/>
      <c r="RDL122" s="4"/>
      <c r="RDM122" s="4"/>
      <c r="RDN122" s="4"/>
      <c r="RDO122" s="4"/>
      <c r="RDP122" s="4"/>
      <c r="RDQ122" s="4"/>
      <c r="RDR122" s="4"/>
      <c r="RDS122" s="4"/>
      <c r="RDT122" s="4"/>
      <c r="RDU122" s="4"/>
      <c r="RDV122" s="4"/>
      <c r="RDW122" s="4"/>
      <c r="RDX122" s="4"/>
      <c r="RDY122" s="4"/>
      <c r="RDZ122" s="4"/>
      <c r="REA122" s="4"/>
      <c r="REB122" s="4"/>
      <c r="REC122" s="4"/>
      <c r="RED122" s="4"/>
      <c r="REE122" s="4"/>
      <c r="REF122" s="4"/>
      <c r="REG122" s="4"/>
      <c r="REH122" s="4"/>
      <c r="REI122" s="4"/>
      <c r="REJ122" s="4"/>
      <c r="REK122" s="4"/>
      <c r="REL122" s="4"/>
      <c r="REM122" s="4"/>
      <c r="REN122" s="4"/>
      <c r="REO122" s="4"/>
      <c r="REP122" s="4"/>
      <c r="REQ122" s="4"/>
      <c r="RER122" s="4"/>
      <c r="RES122" s="4"/>
      <c r="RET122" s="4"/>
      <c r="REU122" s="4"/>
      <c r="REV122" s="4"/>
      <c r="REW122" s="4"/>
      <c r="REX122" s="4"/>
      <c r="REY122" s="4"/>
      <c r="REZ122" s="4"/>
      <c r="RFA122" s="4"/>
      <c r="RFB122" s="4"/>
      <c r="RFC122" s="4"/>
      <c r="RFD122" s="4"/>
      <c r="RFE122" s="4"/>
      <c r="RFF122" s="4"/>
      <c r="RFG122" s="4"/>
      <c r="RFH122" s="4"/>
      <c r="RFI122" s="4"/>
      <c r="RFJ122" s="4"/>
      <c r="RFK122" s="4"/>
      <c r="RFL122" s="4"/>
      <c r="RFM122" s="4"/>
      <c r="RFN122" s="4"/>
      <c r="RFO122" s="4"/>
      <c r="RFP122" s="4"/>
      <c r="RFQ122" s="4"/>
      <c r="RFR122" s="4"/>
      <c r="RFS122" s="4"/>
      <c r="RFT122" s="4"/>
      <c r="RFU122" s="4"/>
      <c r="RFV122" s="4"/>
      <c r="RFW122" s="4"/>
      <c r="RFX122" s="4"/>
      <c r="RFY122" s="4"/>
      <c r="RFZ122" s="4"/>
      <c r="RGA122" s="4"/>
      <c r="RGB122" s="4"/>
      <c r="RGC122" s="4"/>
      <c r="RGD122" s="4"/>
      <c r="RGE122" s="4"/>
      <c r="RGF122" s="4"/>
      <c r="RGG122" s="4"/>
      <c r="RGH122" s="4"/>
      <c r="RGI122" s="4"/>
      <c r="RGJ122" s="4"/>
      <c r="RGK122" s="4"/>
      <c r="RGL122" s="4"/>
      <c r="RGM122" s="4"/>
      <c r="RGN122" s="4"/>
      <c r="RGO122" s="4"/>
      <c r="RGP122" s="4"/>
      <c r="RGQ122" s="4"/>
      <c r="RGR122" s="4"/>
      <c r="RGS122" s="4"/>
      <c r="RGT122" s="4"/>
      <c r="RGU122" s="4"/>
      <c r="RGV122" s="4"/>
      <c r="RGW122" s="4"/>
      <c r="RGX122" s="4"/>
      <c r="RGY122" s="4"/>
      <c r="RGZ122" s="4"/>
      <c r="RHA122" s="4"/>
      <c r="RHB122" s="4"/>
      <c r="RHC122" s="4"/>
      <c r="RHD122" s="4"/>
      <c r="RHE122" s="4"/>
      <c r="RHF122" s="4"/>
      <c r="RHG122" s="4"/>
      <c r="RHH122" s="4"/>
      <c r="RHI122" s="4"/>
      <c r="RHJ122" s="4"/>
      <c r="RHK122" s="4"/>
      <c r="RHL122" s="4"/>
      <c r="RHM122" s="4"/>
      <c r="RHN122" s="4"/>
      <c r="RHO122" s="4"/>
      <c r="RHP122" s="4"/>
      <c r="RHQ122" s="4"/>
      <c r="RHR122" s="4"/>
      <c r="RHS122" s="4"/>
      <c r="RHT122" s="4"/>
      <c r="RHU122" s="4"/>
      <c r="RHV122" s="4"/>
      <c r="RHW122" s="4"/>
      <c r="RHX122" s="4"/>
      <c r="RHY122" s="4"/>
      <c r="RHZ122" s="4"/>
      <c r="RIA122" s="4"/>
      <c r="RIB122" s="4"/>
      <c r="RIC122" s="4"/>
      <c r="RID122" s="4"/>
      <c r="RIE122" s="4"/>
      <c r="RIF122" s="4"/>
      <c r="RIG122" s="4"/>
      <c r="RIH122" s="4"/>
      <c r="RII122" s="4"/>
      <c r="RIJ122" s="4"/>
      <c r="RIK122" s="4"/>
      <c r="RIL122" s="4"/>
      <c r="RIM122" s="4"/>
      <c r="RIN122" s="4"/>
      <c r="RIO122" s="4"/>
      <c r="RIP122" s="4"/>
      <c r="RIQ122" s="4"/>
      <c r="RIR122" s="4"/>
      <c r="RIS122" s="4"/>
      <c r="RIT122" s="4"/>
      <c r="RIU122" s="4"/>
      <c r="RIV122" s="4"/>
      <c r="RIW122" s="4"/>
      <c r="RIX122" s="4"/>
      <c r="RIY122" s="4"/>
      <c r="RIZ122" s="4"/>
      <c r="RJA122" s="4"/>
      <c r="RJB122" s="4"/>
      <c r="RJC122" s="4"/>
      <c r="RJD122" s="4"/>
      <c r="RJE122" s="4"/>
      <c r="RJF122" s="4"/>
      <c r="RJG122" s="4"/>
      <c r="RJH122" s="4"/>
      <c r="RJI122" s="4"/>
      <c r="RJJ122" s="4"/>
      <c r="RJK122" s="4"/>
      <c r="RJL122" s="4"/>
      <c r="RJM122" s="4"/>
      <c r="RJN122" s="4"/>
      <c r="RJO122" s="4"/>
      <c r="RJP122" s="4"/>
      <c r="RJQ122" s="4"/>
      <c r="RJR122" s="4"/>
      <c r="RJS122" s="4"/>
      <c r="RJT122" s="4"/>
      <c r="RJU122" s="4"/>
      <c r="RJV122" s="4"/>
      <c r="RJW122" s="4"/>
      <c r="RJX122" s="4"/>
      <c r="RJY122" s="4"/>
      <c r="RJZ122" s="4"/>
      <c r="RKA122" s="4"/>
      <c r="RKB122" s="4"/>
      <c r="RKC122" s="4"/>
      <c r="RKD122" s="4"/>
      <c r="RKE122" s="4"/>
      <c r="RKF122" s="4"/>
      <c r="RKG122" s="4"/>
      <c r="RKH122" s="4"/>
      <c r="RKI122" s="4"/>
      <c r="RKJ122" s="4"/>
      <c r="RKK122" s="4"/>
      <c r="RKL122" s="4"/>
      <c r="RKM122" s="4"/>
      <c r="RKN122" s="4"/>
      <c r="RKO122" s="4"/>
      <c r="RKP122" s="4"/>
      <c r="RKQ122" s="4"/>
      <c r="RKR122" s="4"/>
      <c r="RKS122" s="4"/>
      <c r="RKT122" s="4"/>
      <c r="RKU122" s="4"/>
      <c r="RKV122" s="4"/>
      <c r="RKW122" s="4"/>
      <c r="RKX122" s="4"/>
      <c r="RKY122" s="4"/>
      <c r="RKZ122" s="4"/>
      <c r="RLA122" s="4"/>
      <c r="RLB122" s="4"/>
      <c r="RLC122" s="4"/>
      <c r="RLD122" s="4"/>
      <c r="RLE122" s="4"/>
      <c r="RLF122" s="4"/>
      <c r="RLG122" s="4"/>
      <c r="RLH122" s="4"/>
      <c r="RLI122" s="4"/>
      <c r="RLJ122" s="4"/>
      <c r="RLK122" s="4"/>
      <c r="RLL122" s="4"/>
      <c r="RLM122" s="4"/>
      <c r="RLN122" s="4"/>
      <c r="RLO122" s="4"/>
      <c r="RLP122" s="4"/>
      <c r="RLQ122" s="4"/>
      <c r="RLR122" s="4"/>
      <c r="RLS122" s="4"/>
      <c r="RLT122" s="4"/>
      <c r="RLU122" s="4"/>
      <c r="RLV122" s="4"/>
      <c r="RLW122" s="4"/>
      <c r="RLX122" s="4"/>
      <c r="RLY122" s="4"/>
      <c r="RLZ122" s="4"/>
      <c r="RMA122" s="4"/>
      <c r="RMB122" s="4"/>
      <c r="RMC122" s="4"/>
      <c r="RMD122" s="4"/>
      <c r="RME122" s="4"/>
      <c r="RMF122" s="4"/>
      <c r="RMG122" s="4"/>
      <c r="RMH122" s="4"/>
      <c r="RMI122" s="4"/>
      <c r="RMJ122" s="4"/>
      <c r="RMK122" s="4"/>
      <c r="RML122" s="4"/>
      <c r="RMM122" s="4"/>
      <c r="RMN122" s="4"/>
      <c r="RMO122" s="4"/>
      <c r="RMP122" s="4"/>
      <c r="RMQ122" s="4"/>
      <c r="RMR122" s="4"/>
      <c r="RMS122" s="4"/>
      <c r="RMT122" s="4"/>
      <c r="RMU122" s="4"/>
      <c r="RMV122" s="4"/>
      <c r="RMW122" s="4"/>
      <c r="RMX122" s="4"/>
      <c r="RMY122" s="4"/>
      <c r="RMZ122" s="4"/>
      <c r="RNA122" s="4"/>
      <c r="RNB122" s="4"/>
      <c r="RNC122" s="4"/>
      <c r="RND122" s="4"/>
      <c r="RNE122" s="4"/>
      <c r="RNF122" s="4"/>
      <c r="RNG122" s="4"/>
      <c r="RNH122" s="4"/>
      <c r="RNI122" s="4"/>
      <c r="RNJ122" s="4"/>
      <c r="RNK122" s="4"/>
      <c r="RNL122" s="4"/>
      <c r="RNM122" s="4"/>
      <c r="RNN122" s="4"/>
      <c r="RNO122" s="4"/>
      <c r="RNP122" s="4"/>
      <c r="RNQ122" s="4"/>
      <c r="RNR122" s="4"/>
      <c r="RNS122" s="4"/>
      <c r="RNT122" s="4"/>
      <c r="RNU122" s="4"/>
      <c r="RNV122" s="4"/>
      <c r="RNW122" s="4"/>
      <c r="RNX122" s="4"/>
      <c r="RNY122" s="4"/>
      <c r="RNZ122" s="4"/>
      <c r="ROA122" s="4"/>
      <c r="ROB122" s="4"/>
      <c r="ROC122" s="4"/>
      <c r="ROD122" s="4"/>
      <c r="ROE122" s="4"/>
      <c r="ROF122" s="4"/>
      <c r="ROG122" s="4"/>
      <c r="ROH122" s="4"/>
      <c r="ROI122" s="4"/>
      <c r="ROJ122" s="4"/>
      <c r="ROK122" s="4"/>
      <c r="ROL122" s="4"/>
      <c r="ROM122" s="4"/>
      <c r="RON122" s="4"/>
      <c r="ROO122" s="4"/>
      <c r="ROP122" s="4"/>
      <c r="ROQ122" s="4"/>
      <c r="ROR122" s="4"/>
      <c r="ROS122" s="4"/>
      <c r="ROT122" s="4"/>
      <c r="ROU122" s="4"/>
      <c r="ROV122" s="4"/>
      <c r="ROW122" s="4"/>
      <c r="ROX122" s="4"/>
      <c r="ROY122" s="4"/>
      <c r="ROZ122" s="4"/>
      <c r="RPA122" s="4"/>
      <c r="RPB122" s="4"/>
      <c r="RPC122" s="4"/>
      <c r="RPD122" s="4"/>
      <c r="RPE122" s="4"/>
      <c r="RPF122" s="4"/>
      <c r="RPG122" s="4"/>
      <c r="RPH122" s="4"/>
      <c r="RPI122" s="4"/>
      <c r="RPJ122" s="4"/>
      <c r="RPK122" s="4"/>
      <c r="RPL122" s="4"/>
      <c r="RPM122" s="4"/>
      <c r="RPN122" s="4"/>
      <c r="RPO122" s="4"/>
      <c r="RPP122" s="4"/>
      <c r="RPQ122" s="4"/>
      <c r="RPR122" s="4"/>
      <c r="RPS122" s="4"/>
      <c r="RPT122" s="4"/>
      <c r="RPU122" s="4"/>
      <c r="RPV122" s="4"/>
      <c r="RPW122" s="4"/>
      <c r="RPX122" s="4"/>
      <c r="RPY122" s="4"/>
      <c r="RPZ122" s="4"/>
      <c r="RQA122" s="4"/>
      <c r="RQB122" s="4"/>
      <c r="RQC122" s="4"/>
      <c r="RQD122" s="4"/>
      <c r="RQE122" s="4"/>
      <c r="RQF122" s="4"/>
      <c r="RQG122" s="4"/>
      <c r="RQH122" s="4"/>
      <c r="RQI122" s="4"/>
      <c r="RQJ122" s="4"/>
      <c r="RQK122" s="4"/>
      <c r="RQL122" s="4"/>
      <c r="RQM122" s="4"/>
      <c r="RQN122" s="4"/>
      <c r="RQO122" s="4"/>
      <c r="RQP122" s="4"/>
      <c r="RQQ122" s="4"/>
      <c r="RQR122" s="4"/>
      <c r="RQS122" s="4"/>
      <c r="RQT122" s="4"/>
      <c r="RQU122" s="4"/>
      <c r="RQV122" s="4"/>
      <c r="RQW122" s="4"/>
      <c r="RQX122" s="4"/>
      <c r="RQY122" s="4"/>
      <c r="RQZ122" s="4"/>
      <c r="RRA122" s="4"/>
      <c r="RRB122" s="4"/>
      <c r="RRC122" s="4"/>
      <c r="RRD122" s="4"/>
      <c r="RRE122" s="4"/>
      <c r="RRF122" s="4"/>
      <c r="RRG122" s="4"/>
      <c r="RRH122" s="4"/>
      <c r="RRI122" s="4"/>
      <c r="RRJ122" s="4"/>
      <c r="RRK122" s="4"/>
      <c r="RRL122" s="4"/>
      <c r="RRM122" s="4"/>
      <c r="RRN122" s="4"/>
      <c r="RRO122" s="4"/>
      <c r="RRP122" s="4"/>
      <c r="RRQ122" s="4"/>
      <c r="RRR122" s="4"/>
      <c r="RRS122" s="4"/>
      <c r="RRT122" s="4"/>
      <c r="RRU122" s="4"/>
      <c r="RRV122" s="4"/>
      <c r="RRW122" s="4"/>
      <c r="RRX122" s="4"/>
      <c r="RRY122" s="4"/>
      <c r="RRZ122" s="4"/>
      <c r="RSA122" s="4"/>
      <c r="RSB122" s="4"/>
      <c r="RSC122" s="4"/>
      <c r="RSD122" s="4"/>
      <c r="RSE122" s="4"/>
      <c r="RSF122" s="4"/>
      <c r="RSG122" s="4"/>
      <c r="RSH122" s="4"/>
      <c r="RSI122" s="4"/>
      <c r="RSJ122" s="4"/>
      <c r="RSK122" s="4"/>
      <c r="RSL122" s="4"/>
      <c r="RSM122" s="4"/>
      <c r="RSN122" s="4"/>
      <c r="RSO122" s="4"/>
      <c r="RSP122" s="4"/>
      <c r="RSQ122" s="4"/>
      <c r="RSR122" s="4"/>
      <c r="RSS122" s="4"/>
      <c r="RST122" s="4"/>
      <c r="RSU122" s="4"/>
      <c r="RSV122" s="4"/>
      <c r="RSW122" s="4"/>
      <c r="RSX122" s="4"/>
      <c r="RSY122" s="4"/>
      <c r="RSZ122" s="4"/>
      <c r="RTA122" s="4"/>
      <c r="RTB122" s="4"/>
      <c r="RTC122" s="4"/>
      <c r="RTD122" s="4"/>
      <c r="RTE122" s="4"/>
      <c r="RTF122" s="4"/>
      <c r="RTG122" s="4"/>
      <c r="RTH122" s="4"/>
      <c r="RTI122" s="4"/>
      <c r="RTJ122" s="4"/>
      <c r="RTK122" s="4"/>
      <c r="RTL122" s="4"/>
      <c r="RTM122" s="4"/>
      <c r="RTN122" s="4"/>
      <c r="RTO122" s="4"/>
      <c r="RTP122" s="4"/>
      <c r="RTQ122" s="4"/>
      <c r="RTR122" s="4"/>
      <c r="RTS122" s="4"/>
      <c r="RTT122" s="4"/>
      <c r="RTU122" s="4"/>
      <c r="RTV122" s="4"/>
      <c r="RTW122" s="4"/>
      <c r="RTX122" s="4"/>
      <c r="RTY122" s="4"/>
      <c r="RTZ122" s="4"/>
      <c r="RUA122" s="4"/>
      <c r="RUB122" s="4"/>
      <c r="RUC122" s="4"/>
      <c r="RUD122" s="4"/>
      <c r="RUE122" s="4"/>
      <c r="RUF122" s="4"/>
      <c r="RUG122" s="4"/>
      <c r="RUH122" s="4"/>
      <c r="RUI122" s="4"/>
      <c r="RUJ122" s="4"/>
      <c r="RUK122" s="4"/>
      <c r="RUL122" s="4"/>
      <c r="RUM122" s="4"/>
      <c r="RUN122" s="4"/>
      <c r="RUO122" s="4"/>
      <c r="RUP122" s="4"/>
      <c r="RUQ122" s="4"/>
      <c r="RUR122" s="4"/>
      <c r="RUS122" s="4"/>
      <c r="RUT122" s="4"/>
      <c r="RUU122" s="4"/>
      <c r="RUV122" s="4"/>
      <c r="RUW122" s="4"/>
      <c r="RUX122" s="4"/>
      <c r="RUY122" s="4"/>
      <c r="RUZ122" s="4"/>
      <c r="RVA122" s="4"/>
      <c r="RVB122" s="4"/>
      <c r="RVC122" s="4"/>
      <c r="RVD122" s="4"/>
      <c r="RVE122" s="4"/>
      <c r="RVF122" s="4"/>
      <c r="RVG122" s="4"/>
      <c r="RVH122" s="4"/>
      <c r="RVI122" s="4"/>
      <c r="RVJ122" s="4"/>
      <c r="RVK122" s="4"/>
      <c r="RVL122" s="4"/>
      <c r="RVM122" s="4"/>
      <c r="RVN122" s="4"/>
      <c r="RVO122" s="4"/>
      <c r="RVP122" s="4"/>
      <c r="RVQ122" s="4"/>
      <c r="RVR122" s="4"/>
      <c r="RVS122" s="4"/>
      <c r="RVT122" s="4"/>
      <c r="RVU122" s="4"/>
      <c r="RVV122" s="4"/>
      <c r="RVW122" s="4"/>
      <c r="RVX122" s="4"/>
      <c r="RVY122" s="4"/>
      <c r="RVZ122" s="4"/>
      <c r="RWA122" s="4"/>
      <c r="RWB122" s="4"/>
      <c r="RWC122" s="4"/>
      <c r="RWD122" s="4"/>
      <c r="RWE122" s="4"/>
      <c r="RWF122" s="4"/>
      <c r="RWG122" s="4"/>
      <c r="RWH122" s="4"/>
      <c r="RWI122" s="4"/>
      <c r="RWJ122" s="4"/>
      <c r="RWK122" s="4"/>
      <c r="RWL122" s="4"/>
      <c r="RWM122" s="4"/>
      <c r="RWN122" s="4"/>
      <c r="RWO122" s="4"/>
      <c r="RWP122" s="4"/>
      <c r="RWQ122" s="4"/>
      <c r="RWR122" s="4"/>
      <c r="RWS122" s="4"/>
      <c r="RWT122" s="4"/>
      <c r="RWU122" s="4"/>
      <c r="RWV122" s="4"/>
      <c r="RWW122" s="4"/>
      <c r="RWX122" s="4"/>
      <c r="RWY122" s="4"/>
      <c r="RWZ122" s="4"/>
      <c r="RXA122" s="4"/>
      <c r="RXB122" s="4"/>
      <c r="RXC122" s="4"/>
      <c r="RXD122" s="4"/>
      <c r="RXE122" s="4"/>
      <c r="RXF122" s="4"/>
      <c r="RXG122" s="4"/>
      <c r="RXH122" s="4"/>
      <c r="RXI122" s="4"/>
      <c r="RXJ122" s="4"/>
      <c r="RXK122" s="4"/>
      <c r="RXL122" s="4"/>
      <c r="RXM122" s="4"/>
      <c r="RXN122" s="4"/>
      <c r="RXO122" s="4"/>
      <c r="RXP122" s="4"/>
      <c r="RXQ122" s="4"/>
      <c r="RXR122" s="4"/>
      <c r="RXS122" s="4"/>
      <c r="RXT122" s="4"/>
      <c r="RXU122" s="4"/>
      <c r="RXV122" s="4"/>
      <c r="RXW122" s="4"/>
      <c r="RXX122" s="4"/>
      <c r="RXY122" s="4"/>
      <c r="RXZ122" s="4"/>
      <c r="RYA122" s="4"/>
      <c r="RYB122" s="4"/>
      <c r="RYC122" s="4"/>
      <c r="RYD122" s="4"/>
      <c r="RYE122" s="4"/>
      <c r="RYF122" s="4"/>
      <c r="RYG122" s="4"/>
      <c r="RYH122" s="4"/>
      <c r="RYI122" s="4"/>
      <c r="RYJ122" s="4"/>
      <c r="RYK122" s="4"/>
      <c r="RYL122" s="4"/>
      <c r="RYM122" s="4"/>
      <c r="RYN122" s="4"/>
      <c r="RYO122" s="4"/>
      <c r="RYP122" s="4"/>
      <c r="RYQ122" s="4"/>
      <c r="RYR122" s="4"/>
      <c r="RYS122" s="4"/>
      <c r="RYT122" s="4"/>
      <c r="RYU122" s="4"/>
      <c r="RYV122" s="4"/>
      <c r="RYW122" s="4"/>
      <c r="RYX122" s="4"/>
      <c r="RYY122" s="4"/>
      <c r="RYZ122" s="4"/>
      <c r="RZA122" s="4"/>
      <c r="RZB122" s="4"/>
      <c r="RZC122" s="4"/>
      <c r="RZD122" s="4"/>
      <c r="RZE122" s="4"/>
      <c r="RZF122" s="4"/>
      <c r="RZG122" s="4"/>
      <c r="RZH122" s="4"/>
      <c r="RZI122" s="4"/>
      <c r="RZJ122" s="4"/>
      <c r="RZK122" s="4"/>
      <c r="RZL122" s="4"/>
      <c r="RZM122" s="4"/>
      <c r="RZN122" s="4"/>
      <c r="RZO122" s="4"/>
      <c r="RZP122" s="4"/>
      <c r="RZQ122" s="4"/>
      <c r="RZR122" s="4"/>
      <c r="RZS122" s="4"/>
      <c r="RZT122" s="4"/>
      <c r="RZU122" s="4"/>
      <c r="RZV122" s="4"/>
      <c r="RZW122" s="4"/>
      <c r="RZX122" s="4"/>
      <c r="RZY122" s="4"/>
      <c r="RZZ122" s="4"/>
      <c r="SAA122" s="4"/>
      <c r="SAB122" s="4"/>
      <c r="SAC122" s="4"/>
      <c r="SAD122" s="4"/>
      <c r="SAE122" s="4"/>
      <c r="SAF122" s="4"/>
      <c r="SAG122" s="4"/>
      <c r="SAH122" s="4"/>
      <c r="SAI122" s="4"/>
      <c r="SAJ122" s="4"/>
      <c r="SAK122" s="4"/>
      <c r="SAL122" s="4"/>
      <c r="SAM122" s="4"/>
      <c r="SAN122" s="4"/>
      <c r="SAO122" s="4"/>
      <c r="SAP122" s="4"/>
      <c r="SAQ122" s="4"/>
      <c r="SAR122" s="4"/>
      <c r="SAS122" s="4"/>
      <c r="SAT122" s="4"/>
      <c r="SAU122" s="4"/>
      <c r="SAV122" s="4"/>
      <c r="SAW122" s="4"/>
      <c r="SAX122" s="4"/>
      <c r="SAY122" s="4"/>
      <c r="SAZ122" s="4"/>
      <c r="SBA122" s="4"/>
      <c r="SBB122" s="4"/>
      <c r="SBC122" s="4"/>
      <c r="SBD122" s="4"/>
      <c r="SBE122" s="4"/>
      <c r="SBF122" s="4"/>
      <c r="SBG122" s="4"/>
      <c r="SBH122" s="4"/>
      <c r="SBI122" s="4"/>
      <c r="SBJ122" s="4"/>
      <c r="SBK122" s="4"/>
      <c r="SBL122" s="4"/>
      <c r="SBM122" s="4"/>
      <c r="SBN122" s="4"/>
      <c r="SBO122" s="4"/>
      <c r="SBP122" s="4"/>
      <c r="SBQ122" s="4"/>
      <c r="SBR122" s="4"/>
      <c r="SBS122" s="4"/>
      <c r="SBT122" s="4"/>
      <c r="SBU122" s="4"/>
      <c r="SBV122" s="4"/>
      <c r="SBW122" s="4"/>
      <c r="SBX122" s="4"/>
      <c r="SBY122" s="4"/>
      <c r="SBZ122" s="4"/>
      <c r="SCA122" s="4"/>
      <c r="SCB122" s="4"/>
      <c r="SCC122" s="4"/>
      <c r="SCD122" s="4"/>
      <c r="SCE122" s="4"/>
      <c r="SCF122" s="4"/>
      <c r="SCG122" s="4"/>
      <c r="SCH122" s="4"/>
      <c r="SCI122" s="4"/>
      <c r="SCJ122" s="4"/>
      <c r="SCK122" s="4"/>
      <c r="SCL122" s="4"/>
      <c r="SCM122" s="4"/>
      <c r="SCN122" s="4"/>
      <c r="SCO122" s="4"/>
      <c r="SCP122" s="4"/>
      <c r="SCQ122" s="4"/>
      <c r="SCR122" s="4"/>
      <c r="SCS122" s="4"/>
      <c r="SCT122" s="4"/>
      <c r="SCU122" s="4"/>
      <c r="SCV122" s="4"/>
      <c r="SCW122" s="4"/>
      <c r="SCX122" s="4"/>
      <c r="SCY122" s="4"/>
      <c r="SCZ122" s="4"/>
      <c r="SDA122" s="4"/>
      <c r="SDB122" s="4"/>
      <c r="SDC122" s="4"/>
      <c r="SDD122" s="4"/>
      <c r="SDE122" s="4"/>
      <c r="SDF122" s="4"/>
      <c r="SDG122" s="4"/>
      <c r="SDH122" s="4"/>
      <c r="SDI122" s="4"/>
      <c r="SDJ122" s="4"/>
      <c r="SDK122" s="4"/>
      <c r="SDL122" s="4"/>
      <c r="SDM122" s="4"/>
      <c r="SDN122" s="4"/>
      <c r="SDO122" s="4"/>
      <c r="SDP122" s="4"/>
      <c r="SDQ122" s="4"/>
      <c r="SDR122" s="4"/>
      <c r="SDS122" s="4"/>
      <c r="SDT122" s="4"/>
      <c r="SDU122" s="4"/>
      <c r="SDV122" s="4"/>
      <c r="SDW122" s="4"/>
      <c r="SDX122" s="4"/>
      <c r="SDY122" s="4"/>
      <c r="SDZ122" s="4"/>
      <c r="SEA122" s="4"/>
      <c r="SEB122" s="4"/>
      <c r="SEC122" s="4"/>
      <c r="SED122" s="4"/>
      <c r="SEE122" s="4"/>
      <c r="SEF122" s="4"/>
      <c r="SEG122" s="4"/>
      <c r="SEH122" s="4"/>
      <c r="SEI122" s="4"/>
      <c r="SEJ122" s="4"/>
      <c r="SEK122" s="4"/>
      <c r="SEL122" s="4"/>
      <c r="SEM122" s="4"/>
      <c r="SEN122" s="4"/>
      <c r="SEO122" s="4"/>
      <c r="SEP122" s="4"/>
      <c r="SEQ122" s="4"/>
      <c r="SER122" s="4"/>
      <c r="SES122" s="4"/>
      <c r="SET122" s="4"/>
      <c r="SEU122" s="4"/>
      <c r="SEV122" s="4"/>
      <c r="SEW122" s="4"/>
      <c r="SEX122" s="4"/>
      <c r="SEY122" s="4"/>
      <c r="SEZ122" s="4"/>
      <c r="SFA122" s="4"/>
      <c r="SFB122" s="4"/>
      <c r="SFC122" s="4"/>
      <c r="SFD122" s="4"/>
      <c r="SFE122" s="4"/>
      <c r="SFF122" s="4"/>
      <c r="SFG122" s="4"/>
      <c r="SFH122" s="4"/>
      <c r="SFI122" s="4"/>
      <c r="SFJ122" s="4"/>
      <c r="SFK122" s="4"/>
      <c r="SFL122" s="4"/>
      <c r="SFM122" s="4"/>
      <c r="SFN122" s="4"/>
      <c r="SFO122" s="4"/>
      <c r="SFP122" s="4"/>
      <c r="SFQ122" s="4"/>
      <c r="SFR122" s="4"/>
      <c r="SFS122" s="4"/>
      <c r="SFT122" s="4"/>
      <c r="SFU122" s="4"/>
      <c r="SFV122" s="4"/>
      <c r="SFW122" s="4"/>
      <c r="SFX122" s="4"/>
      <c r="SFY122" s="4"/>
      <c r="SFZ122" s="4"/>
      <c r="SGA122" s="4"/>
      <c r="SGB122" s="4"/>
      <c r="SGC122" s="4"/>
      <c r="SGD122" s="4"/>
      <c r="SGE122" s="4"/>
      <c r="SGF122" s="4"/>
      <c r="SGG122" s="4"/>
      <c r="SGH122" s="4"/>
      <c r="SGI122" s="4"/>
      <c r="SGJ122" s="4"/>
      <c r="SGK122" s="4"/>
      <c r="SGL122" s="4"/>
      <c r="SGM122" s="4"/>
      <c r="SGN122" s="4"/>
      <c r="SGO122" s="4"/>
      <c r="SGP122" s="4"/>
      <c r="SGQ122" s="4"/>
      <c r="SGR122" s="4"/>
      <c r="SGS122" s="4"/>
      <c r="SGT122" s="4"/>
      <c r="SGU122" s="4"/>
      <c r="SGV122" s="4"/>
      <c r="SGW122" s="4"/>
      <c r="SGX122" s="4"/>
      <c r="SGY122" s="4"/>
      <c r="SGZ122" s="4"/>
      <c r="SHA122" s="4"/>
      <c r="SHB122" s="4"/>
      <c r="SHC122" s="4"/>
      <c r="SHD122" s="4"/>
      <c r="SHE122" s="4"/>
      <c r="SHF122" s="4"/>
      <c r="SHG122" s="4"/>
      <c r="SHH122" s="4"/>
      <c r="SHI122" s="4"/>
      <c r="SHJ122" s="4"/>
      <c r="SHK122" s="4"/>
      <c r="SHL122" s="4"/>
      <c r="SHM122" s="4"/>
      <c r="SHN122" s="4"/>
      <c r="SHO122" s="4"/>
      <c r="SHP122" s="4"/>
      <c r="SHQ122" s="4"/>
      <c r="SHR122" s="4"/>
      <c r="SHS122" s="4"/>
      <c r="SHT122" s="4"/>
      <c r="SHU122" s="4"/>
      <c r="SHV122" s="4"/>
      <c r="SHW122" s="4"/>
      <c r="SHX122" s="4"/>
      <c r="SHY122" s="4"/>
      <c r="SHZ122" s="4"/>
      <c r="SIA122" s="4"/>
      <c r="SIB122" s="4"/>
      <c r="SIC122" s="4"/>
      <c r="SID122" s="4"/>
      <c r="SIE122" s="4"/>
      <c r="SIF122" s="4"/>
      <c r="SIG122" s="4"/>
      <c r="SIH122" s="4"/>
      <c r="SII122" s="4"/>
      <c r="SIJ122" s="4"/>
      <c r="SIK122" s="4"/>
      <c r="SIL122" s="4"/>
      <c r="SIM122" s="4"/>
      <c r="SIN122" s="4"/>
      <c r="SIO122" s="4"/>
      <c r="SIP122" s="4"/>
      <c r="SIQ122" s="4"/>
      <c r="SIR122" s="4"/>
      <c r="SIS122" s="4"/>
      <c r="SIT122" s="4"/>
      <c r="SIU122" s="4"/>
      <c r="SIV122" s="4"/>
      <c r="SIW122" s="4"/>
      <c r="SIX122" s="4"/>
      <c r="SIY122" s="4"/>
      <c r="SIZ122" s="4"/>
      <c r="SJA122" s="4"/>
      <c r="SJB122" s="4"/>
      <c r="SJC122" s="4"/>
      <c r="SJD122" s="4"/>
      <c r="SJE122" s="4"/>
      <c r="SJF122" s="4"/>
      <c r="SJG122" s="4"/>
      <c r="SJH122" s="4"/>
      <c r="SJI122" s="4"/>
      <c r="SJJ122" s="4"/>
      <c r="SJK122" s="4"/>
      <c r="SJL122" s="4"/>
      <c r="SJM122" s="4"/>
      <c r="SJN122" s="4"/>
      <c r="SJO122" s="4"/>
      <c r="SJP122" s="4"/>
      <c r="SJQ122" s="4"/>
      <c r="SJR122" s="4"/>
      <c r="SJS122" s="4"/>
      <c r="SJT122" s="4"/>
      <c r="SJU122" s="4"/>
      <c r="SJV122" s="4"/>
      <c r="SJW122" s="4"/>
      <c r="SJX122" s="4"/>
      <c r="SJY122" s="4"/>
      <c r="SJZ122" s="4"/>
      <c r="SKA122" s="4"/>
      <c r="SKB122" s="4"/>
      <c r="SKC122" s="4"/>
      <c r="SKD122" s="4"/>
      <c r="SKE122" s="4"/>
      <c r="SKF122" s="4"/>
      <c r="SKG122" s="4"/>
      <c r="SKH122" s="4"/>
      <c r="SKI122" s="4"/>
      <c r="SKJ122" s="4"/>
      <c r="SKK122" s="4"/>
      <c r="SKL122" s="4"/>
      <c r="SKM122" s="4"/>
      <c r="SKN122" s="4"/>
      <c r="SKO122" s="4"/>
      <c r="SKP122" s="4"/>
      <c r="SKQ122" s="4"/>
      <c r="SKR122" s="4"/>
      <c r="SKS122" s="4"/>
      <c r="SKT122" s="4"/>
      <c r="SKU122" s="4"/>
      <c r="SKV122" s="4"/>
      <c r="SKW122" s="4"/>
      <c r="SKX122" s="4"/>
      <c r="SKY122" s="4"/>
      <c r="SKZ122" s="4"/>
      <c r="SLA122" s="4"/>
      <c r="SLB122" s="4"/>
      <c r="SLC122" s="4"/>
      <c r="SLD122" s="4"/>
      <c r="SLE122" s="4"/>
      <c r="SLF122" s="4"/>
      <c r="SLG122" s="4"/>
      <c r="SLH122" s="4"/>
      <c r="SLI122" s="4"/>
      <c r="SLJ122" s="4"/>
      <c r="SLK122" s="4"/>
      <c r="SLL122" s="4"/>
      <c r="SLM122" s="4"/>
      <c r="SLN122" s="4"/>
      <c r="SLO122" s="4"/>
      <c r="SLP122" s="4"/>
      <c r="SLQ122" s="4"/>
      <c r="SLR122" s="4"/>
      <c r="SLS122" s="4"/>
      <c r="SLT122" s="4"/>
      <c r="SLU122" s="4"/>
      <c r="SLV122" s="4"/>
      <c r="SLW122" s="4"/>
      <c r="SLX122" s="4"/>
      <c r="SLY122" s="4"/>
      <c r="SLZ122" s="4"/>
      <c r="SMA122" s="4"/>
      <c r="SMB122" s="4"/>
      <c r="SMC122" s="4"/>
      <c r="SMD122" s="4"/>
      <c r="SME122" s="4"/>
      <c r="SMF122" s="4"/>
      <c r="SMG122" s="4"/>
      <c r="SMH122" s="4"/>
      <c r="SMI122" s="4"/>
      <c r="SMJ122" s="4"/>
      <c r="SMK122" s="4"/>
      <c r="SML122" s="4"/>
      <c r="SMM122" s="4"/>
      <c r="SMN122" s="4"/>
      <c r="SMO122" s="4"/>
      <c r="SMP122" s="4"/>
      <c r="SMQ122" s="4"/>
      <c r="SMR122" s="4"/>
      <c r="SMS122" s="4"/>
      <c r="SMT122" s="4"/>
      <c r="SMU122" s="4"/>
      <c r="SMV122" s="4"/>
      <c r="SMW122" s="4"/>
      <c r="SMX122" s="4"/>
      <c r="SMY122" s="4"/>
      <c r="SMZ122" s="4"/>
      <c r="SNA122" s="4"/>
      <c r="SNB122" s="4"/>
      <c r="SNC122" s="4"/>
      <c r="SND122" s="4"/>
      <c r="SNE122" s="4"/>
      <c r="SNF122" s="4"/>
      <c r="SNG122" s="4"/>
      <c r="SNH122" s="4"/>
      <c r="SNI122" s="4"/>
      <c r="SNJ122" s="4"/>
      <c r="SNK122" s="4"/>
      <c r="SNL122" s="4"/>
      <c r="SNM122" s="4"/>
      <c r="SNN122" s="4"/>
      <c r="SNO122" s="4"/>
      <c r="SNP122" s="4"/>
      <c r="SNQ122" s="4"/>
      <c r="SNR122" s="4"/>
      <c r="SNS122" s="4"/>
      <c r="SNT122" s="4"/>
      <c r="SNU122" s="4"/>
      <c r="SNV122" s="4"/>
      <c r="SNW122" s="4"/>
      <c r="SNX122" s="4"/>
      <c r="SNY122" s="4"/>
      <c r="SNZ122" s="4"/>
      <c r="SOA122" s="4"/>
      <c r="SOB122" s="4"/>
      <c r="SOC122" s="4"/>
      <c r="SOD122" s="4"/>
      <c r="SOE122" s="4"/>
      <c r="SOF122" s="4"/>
      <c r="SOG122" s="4"/>
      <c r="SOH122" s="4"/>
      <c r="SOI122" s="4"/>
      <c r="SOJ122" s="4"/>
      <c r="SOK122" s="4"/>
      <c r="SOL122" s="4"/>
      <c r="SOM122" s="4"/>
      <c r="SON122" s="4"/>
      <c r="SOO122" s="4"/>
      <c r="SOP122" s="4"/>
      <c r="SOQ122" s="4"/>
      <c r="SOR122" s="4"/>
      <c r="SOS122" s="4"/>
      <c r="SOT122" s="4"/>
      <c r="SOU122" s="4"/>
      <c r="SOV122" s="4"/>
      <c r="SOW122" s="4"/>
      <c r="SOX122" s="4"/>
      <c r="SOY122" s="4"/>
      <c r="SOZ122" s="4"/>
      <c r="SPA122" s="4"/>
      <c r="SPB122" s="4"/>
      <c r="SPC122" s="4"/>
      <c r="SPD122" s="4"/>
      <c r="SPE122" s="4"/>
      <c r="SPF122" s="4"/>
      <c r="SPG122" s="4"/>
      <c r="SPH122" s="4"/>
      <c r="SPI122" s="4"/>
      <c r="SPJ122" s="4"/>
      <c r="SPK122" s="4"/>
      <c r="SPL122" s="4"/>
      <c r="SPM122" s="4"/>
      <c r="SPN122" s="4"/>
      <c r="SPO122" s="4"/>
      <c r="SPP122" s="4"/>
      <c r="SPQ122" s="4"/>
      <c r="SPR122" s="4"/>
      <c r="SPS122" s="4"/>
      <c r="SPT122" s="4"/>
      <c r="SPU122" s="4"/>
      <c r="SPV122" s="4"/>
      <c r="SPW122" s="4"/>
      <c r="SPX122" s="4"/>
      <c r="SPY122" s="4"/>
      <c r="SPZ122" s="4"/>
      <c r="SQA122" s="4"/>
      <c r="SQB122" s="4"/>
      <c r="SQC122" s="4"/>
      <c r="SQD122" s="4"/>
      <c r="SQE122" s="4"/>
      <c r="SQF122" s="4"/>
      <c r="SQG122" s="4"/>
      <c r="SQH122" s="4"/>
      <c r="SQI122" s="4"/>
      <c r="SQJ122" s="4"/>
      <c r="SQK122" s="4"/>
      <c r="SQL122" s="4"/>
      <c r="SQM122" s="4"/>
      <c r="SQN122" s="4"/>
      <c r="SQO122" s="4"/>
      <c r="SQP122" s="4"/>
      <c r="SQQ122" s="4"/>
      <c r="SQR122" s="4"/>
      <c r="SQS122" s="4"/>
      <c r="SQT122" s="4"/>
      <c r="SQU122" s="4"/>
      <c r="SQV122" s="4"/>
      <c r="SQW122" s="4"/>
      <c r="SQX122" s="4"/>
      <c r="SQY122" s="4"/>
      <c r="SQZ122" s="4"/>
      <c r="SRA122" s="4"/>
      <c r="SRB122" s="4"/>
      <c r="SRC122" s="4"/>
      <c r="SRD122" s="4"/>
      <c r="SRE122" s="4"/>
      <c r="SRF122" s="4"/>
      <c r="SRG122" s="4"/>
      <c r="SRH122" s="4"/>
      <c r="SRI122" s="4"/>
      <c r="SRJ122" s="4"/>
      <c r="SRK122" s="4"/>
      <c r="SRL122" s="4"/>
      <c r="SRM122" s="4"/>
      <c r="SRN122" s="4"/>
      <c r="SRO122" s="4"/>
      <c r="SRP122" s="4"/>
      <c r="SRQ122" s="4"/>
      <c r="SRR122" s="4"/>
      <c r="SRS122" s="4"/>
      <c r="SRT122" s="4"/>
      <c r="SRU122" s="4"/>
      <c r="SRV122" s="4"/>
      <c r="SRW122" s="4"/>
      <c r="SRX122" s="4"/>
      <c r="SRY122" s="4"/>
      <c r="SRZ122" s="4"/>
      <c r="SSA122" s="4"/>
      <c r="SSB122" s="4"/>
      <c r="SSC122" s="4"/>
      <c r="SSD122" s="4"/>
      <c r="SSE122" s="4"/>
      <c r="SSF122" s="4"/>
      <c r="SSG122" s="4"/>
      <c r="SSH122" s="4"/>
      <c r="SSI122" s="4"/>
      <c r="SSJ122" s="4"/>
      <c r="SSK122" s="4"/>
      <c r="SSL122" s="4"/>
      <c r="SSM122" s="4"/>
      <c r="SSN122" s="4"/>
      <c r="SSO122" s="4"/>
      <c r="SSP122" s="4"/>
      <c r="SSQ122" s="4"/>
      <c r="SSR122" s="4"/>
      <c r="SSS122" s="4"/>
      <c r="SST122" s="4"/>
      <c r="SSU122" s="4"/>
      <c r="SSV122" s="4"/>
      <c r="SSW122" s="4"/>
      <c r="SSX122" s="4"/>
      <c r="SSY122" s="4"/>
      <c r="SSZ122" s="4"/>
      <c r="STA122" s="4"/>
      <c r="STB122" s="4"/>
      <c r="STC122" s="4"/>
      <c r="STD122" s="4"/>
      <c r="STE122" s="4"/>
      <c r="STF122" s="4"/>
      <c r="STG122" s="4"/>
      <c r="STH122" s="4"/>
      <c r="STI122" s="4"/>
      <c r="STJ122" s="4"/>
      <c r="STK122" s="4"/>
      <c r="STL122" s="4"/>
      <c r="STM122" s="4"/>
      <c r="STN122" s="4"/>
      <c r="STO122" s="4"/>
      <c r="STP122" s="4"/>
      <c r="STQ122" s="4"/>
      <c r="STR122" s="4"/>
      <c r="STS122" s="4"/>
      <c r="STT122" s="4"/>
      <c r="STU122" s="4"/>
      <c r="STV122" s="4"/>
      <c r="STW122" s="4"/>
      <c r="STX122" s="4"/>
      <c r="STY122" s="4"/>
      <c r="STZ122" s="4"/>
      <c r="SUA122" s="4"/>
      <c r="SUB122" s="4"/>
      <c r="SUC122" s="4"/>
      <c r="SUD122" s="4"/>
      <c r="SUE122" s="4"/>
      <c r="SUF122" s="4"/>
      <c r="SUG122" s="4"/>
      <c r="SUH122" s="4"/>
      <c r="SUI122" s="4"/>
      <c r="SUJ122" s="4"/>
      <c r="SUK122" s="4"/>
      <c r="SUL122" s="4"/>
      <c r="SUM122" s="4"/>
      <c r="SUN122" s="4"/>
      <c r="SUO122" s="4"/>
      <c r="SUP122" s="4"/>
      <c r="SUQ122" s="4"/>
      <c r="SUR122" s="4"/>
      <c r="SUS122" s="4"/>
      <c r="SUT122" s="4"/>
      <c r="SUU122" s="4"/>
      <c r="SUV122" s="4"/>
      <c r="SUW122" s="4"/>
      <c r="SUX122" s="4"/>
      <c r="SUY122" s="4"/>
      <c r="SUZ122" s="4"/>
      <c r="SVA122" s="4"/>
      <c r="SVB122" s="4"/>
      <c r="SVC122" s="4"/>
      <c r="SVD122" s="4"/>
      <c r="SVE122" s="4"/>
      <c r="SVF122" s="4"/>
      <c r="SVG122" s="4"/>
      <c r="SVH122" s="4"/>
      <c r="SVI122" s="4"/>
      <c r="SVJ122" s="4"/>
      <c r="SVK122" s="4"/>
      <c r="SVL122" s="4"/>
      <c r="SVM122" s="4"/>
      <c r="SVN122" s="4"/>
      <c r="SVO122" s="4"/>
      <c r="SVP122" s="4"/>
      <c r="SVQ122" s="4"/>
      <c r="SVR122" s="4"/>
      <c r="SVS122" s="4"/>
      <c r="SVT122" s="4"/>
      <c r="SVU122" s="4"/>
      <c r="SVV122" s="4"/>
      <c r="SVW122" s="4"/>
      <c r="SVX122" s="4"/>
      <c r="SVY122" s="4"/>
      <c r="SVZ122" s="4"/>
      <c r="SWA122" s="4"/>
      <c r="SWB122" s="4"/>
      <c r="SWC122" s="4"/>
      <c r="SWD122" s="4"/>
      <c r="SWE122" s="4"/>
      <c r="SWF122" s="4"/>
      <c r="SWG122" s="4"/>
      <c r="SWH122" s="4"/>
      <c r="SWI122" s="4"/>
      <c r="SWJ122" s="4"/>
      <c r="SWK122" s="4"/>
      <c r="SWL122" s="4"/>
      <c r="SWM122" s="4"/>
      <c r="SWN122" s="4"/>
      <c r="SWO122" s="4"/>
      <c r="SWP122" s="4"/>
      <c r="SWQ122" s="4"/>
      <c r="SWR122" s="4"/>
      <c r="SWS122" s="4"/>
      <c r="SWT122" s="4"/>
      <c r="SWU122" s="4"/>
      <c r="SWV122" s="4"/>
      <c r="SWW122" s="4"/>
      <c r="SWX122" s="4"/>
      <c r="SWY122" s="4"/>
      <c r="SWZ122" s="4"/>
      <c r="SXA122" s="4"/>
      <c r="SXB122" s="4"/>
      <c r="SXC122" s="4"/>
      <c r="SXD122" s="4"/>
      <c r="SXE122" s="4"/>
      <c r="SXF122" s="4"/>
      <c r="SXG122" s="4"/>
      <c r="SXH122" s="4"/>
      <c r="SXI122" s="4"/>
      <c r="SXJ122" s="4"/>
      <c r="SXK122" s="4"/>
      <c r="SXL122" s="4"/>
      <c r="SXM122" s="4"/>
      <c r="SXN122" s="4"/>
      <c r="SXO122" s="4"/>
      <c r="SXP122" s="4"/>
      <c r="SXQ122" s="4"/>
      <c r="SXR122" s="4"/>
      <c r="SXS122" s="4"/>
      <c r="SXT122" s="4"/>
      <c r="SXU122" s="4"/>
      <c r="SXV122" s="4"/>
      <c r="SXW122" s="4"/>
      <c r="SXX122" s="4"/>
      <c r="SXY122" s="4"/>
      <c r="SXZ122" s="4"/>
      <c r="SYA122" s="4"/>
      <c r="SYB122" s="4"/>
      <c r="SYC122" s="4"/>
      <c r="SYD122" s="4"/>
      <c r="SYE122" s="4"/>
      <c r="SYF122" s="4"/>
      <c r="SYG122" s="4"/>
      <c r="SYH122" s="4"/>
      <c r="SYI122" s="4"/>
      <c r="SYJ122" s="4"/>
      <c r="SYK122" s="4"/>
      <c r="SYL122" s="4"/>
      <c r="SYM122" s="4"/>
      <c r="SYN122" s="4"/>
      <c r="SYO122" s="4"/>
      <c r="SYP122" s="4"/>
      <c r="SYQ122" s="4"/>
      <c r="SYR122" s="4"/>
      <c r="SYS122" s="4"/>
      <c r="SYT122" s="4"/>
      <c r="SYU122" s="4"/>
      <c r="SYV122" s="4"/>
      <c r="SYW122" s="4"/>
      <c r="SYX122" s="4"/>
      <c r="SYY122" s="4"/>
      <c r="SYZ122" s="4"/>
      <c r="SZA122" s="4"/>
      <c r="SZB122" s="4"/>
      <c r="SZC122" s="4"/>
      <c r="SZD122" s="4"/>
      <c r="SZE122" s="4"/>
      <c r="SZF122" s="4"/>
      <c r="SZG122" s="4"/>
      <c r="SZH122" s="4"/>
      <c r="SZI122" s="4"/>
      <c r="SZJ122" s="4"/>
      <c r="SZK122" s="4"/>
      <c r="SZL122" s="4"/>
      <c r="SZM122" s="4"/>
      <c r="SZN122" s="4"/>
      <c r="SZO122" s="4"/>
      <c r="SZP122" s="4"/>
      <c r="SZQ122" s="4"/>
      <c r="SZR122" s="4"/>
      <c r="SZS122" s="4"/>
      <c r="SZT122" s="4"/>
      <c r="SZU122" s="4"/>
      <c r="SZV122" s="4"/>
      <c r="SZW122" s="4"/>
      <c r="SZX122" s="4"/>
      <c r="SZY122" s="4"/>
      <c r="SZZ122" s="4"/>
      <c r="TAA122" s="4"/>
      <c r="TAB122" s="4"/>
      <c r="TAC122" s="4"/>
      <c r="TAD122" s="4"/>
      <c r="TAE122" s="4"/>
      <c r="TAF122" s="4"/>
      <c r="TAG122" s="4"/>
      <c r="TAH122" s="4"/>
      <c r="TAI122" s="4"/>
      <c r="TAJ122" s="4"/>
      <c r="TAK122" s="4"/>
      <c r="TAL122" s="4"/>
      <c r="TAM122" s="4"/>
      <c r="TAN122" s="4"/>
      <c r="TAO122" s="4"/>
      <c r="TAP122" s="4"/>
      <c r="TAQ122" s="4"/>
      <c r="TAR122" s="4"/>
      <c r="TAS122" s="4"/>
      <c r="TAT122" s="4"/>
      <c r="TAU122" s="4"/>
      <c r="TAV122" s="4"/>
      <c r="TAW122" s="4"/>
      <c r="TAX122" s="4"/>
      <c r="TAY122" s="4"/>
      <c r="TAZ122" s="4"/>
      <c r="TBA122" s="4"/>
      <c r="TBB122" s="4"/>
      <c r="TBC122" s="4"/>
      <c r="TBD122" s="4"/>
      <c r="TBE122" s="4"/>
      <c r="TBF122" s="4"/>
      <c r="TBG122" s="4"/>
      <c r="TBH122" s="4"/>
      <c r="TBI122" s="4"/>
      <c r="TBJ122" s="4"/>
      <c r="TBK122" s="4"/>
      <c r="TBL122" s="4"/>
      <c r="TBM122" s="4"/>
      <c r="TBN122" s="4"/>
      <c r="TBO122" s="4"/>
      <c r="TBP122" s="4"/>
      <c r="TBQ122" s="4"/>
      <c r="TBR122" s="4"/>
      <c r="TBS122" s="4"/>
      <c r="TBT122" s="4"/>
      <c r="TBU122" s="4"/>
      <c r="TBV122" s="4"/>
      <c r="TBW122" s="4"/>
      <c r="TBX122" s="4"/>
      <c r="TBY122" s="4"/>
      <c r="TBZ122" s="4"/>
      <c r="TCA122" s="4"/>
      <c r="TCB122" s="4"/>
      <c r="TCC122" s="4"/>
      <c r="TCD122" s="4"/>
      <c r="TCE122" s="4"/>
      <c r="TCF122" s="4"/>
      <c r="TCG122" s="4"/>
      <c r="TCH122" s="4"/>
      <c r="TCI122" s="4"/>
      <c r="TCJ122" s="4"/>
      <c r="TCK122" s="4"/>
      <c r="TCL122" s="4"/>
      <c r="TCM122" s="4"/>
      <c r="TCN122" s="4"/>
      <c r="TCO122" s="4"/>
      <c r="TCP122" s="4"/>
      <c r="TCQ122" s="4"/>
      <c r="TCR122" s="4"/>
      <c r="TCS122" s="4"/>
      <c r="TCT122" s="4"/>
      <c r="TCU122" s="4"/>
      <c r="TCV122" s="4"/>
      <c r="TCW122" s="4"/>
      <c r="TCX122" s="4"/>
      <c r="TCY122" s="4"/>
      <c r="TCZ122" s="4"/>
      <c r="TDA122" s="4"/>
      <c r="TDB122" s="4"/>
      <c r="TDC122" s="4"/>
      <c r="TDD122" s="4"/>
      <c r="TDE122" s="4"/>
      <c r="TDF122" s="4"/>
      <c r="TDG122" s="4"/>
      <c r="TDH122" s="4"/>
      <c r="TDI122" s="4"/>
      <c r="TDJ122" s="4"/>
      <c r="TDK122" s="4"/>
      <c r="TDL122" s="4"/>
      <c r="TDM122" s="4"/>
      <c r="TDN122" s="4"/>
      <c r="TDO122" s="4"/>
      <c r="TDP122" s="4"/>
      <c r="TDQ122" s="4"/>
      <c r="TDR122" s="4"/>
      <c r="TDS122" s="4"/>
      <c r="TDT122" s="4"/>
      <c r="TDU122" s="4"/>
      <c r="TDV122" s="4"/>
      <c r="TDW122" s="4"/>
      <c r="TDX122" s="4"/>
      <c r="TDY122" s="4"/>
      <c r="TDZ122" s="4"/>
      <c r="TEA122" s="4"/>
      <c r="TEB122" s="4"/>
      <c r="TEC122" s="4"/>
      <c r="TED122" s="4"/>
      <c r="TEE122" s="4"/>
      <c r="TEF122" s="4"/>
      <c r="TEG122" s="4"/>
      <c r="TEH122" s="4"/>
      <c r="TEI122" s="4"/>
      <c r="TEJ122" s="4"/>
      <c r="TEK122" s="4"/>
      <c r="TEL122" s="4"/>
      <c r="TEM122" s="4"/>
      <c r="TEN122" s="4"/>
      <c r="TEO122" s="4"/>
      <c r="TEP122" s="4"/>
      <c r="TEQ122" s="4"/>
      <c r="TER122" s="4"/>
      <c r="TES122" s="4"/>
      <c r="TET122" s="4"/>
      <c r="TEU122" s="4"/>
      <c r="TEV122" s="4"/>
      <c r="TEW122" s="4"/>
      <c r="TEX122" s="4"/>
      <c r="TEY122" s="4"/>
      <c r="TEZ122" s="4"/>
      <c r="TFA122" s="4"/>
      <c r="TFB122" s="4"/>
      <c r="TFC122" s="4"/>
      <c r="TFD122" s="4"/>
      <c r="TFE122" s="4"/>
      <c r="TFF122" s="4"/>
      <c r="TFG122" s="4"/>
      <c r="TFH122" s="4"/>
      <c r="TFI122" s="4"/>
      <c r="TFJ122" s="4"/>
      <c r="TFK122" s="4"/>
      <c r="TFL122" s="4"/>
      <c r="TFM122" s="4"/>
      <c r="TFN122" s="4"/>
      <c r="TFO122" s="4"/>
      <c r="TFP122" s="4"/>
      <c r="TFQ122" s="4"/>
      <c r="TFR122" s="4"/>
      <c r="TFS122" s="4"/>
      <c r="TFT122" s="4"/>
      <c r="TFU122" s="4"/>
      <c r="TFV122" s="4"/>
      <c r="TFW122" s="4"/>
      <c r="TFX122" s="4"/>
      <c r="TFY122" s="4"/>
      <c r="TFZ122" s="4"/>
      <c r="TGA122" s="4"/>
      <c r="TGB122" s="4"/>
      <c r="TGC122" s="4"/>
      <c r="TGD122" s="4"/>
      <c r="TGE122" s="4"/>
      <c r="TGF122" s="4"/>
      <c r="TGG122" s="4"/>
      <c r="TGH122" s="4"/>
      <c r="TGI122" s="4"/>
      <c r="TGJ122" s="4"/>
      <c r="TGK122" s="4"/>
      <c r="TGL122" s="4"/>
      <c r="TGM122" s="4"/>
      <c r="TGN122" s="4"/>
      <c r="TGO122" s="4"/>
      <c r="TGP122" s="4"/>
      <c r="TGQ122" s="4"/>
      <c r="TGR122" s="4"/>
      <c r="TGS122" s="4"/>
      <c r="TGT122" s="4"/>
      <c r="TGU122" s="4"/>
      <c r="TGV122" s="4"/>
      <c r="TGW122" s="4"/>
      <c r="TGX122" s="4"/>
      <c r="TGY122" s="4"/>
      <c r="TGZ122" s="4"/>
      <c r="THA122" s="4"/>
      <c r="THB122" s="4"/>
      <c r="THC122" s="4"/>
      <c r="THD122" s="4"/>
      <c r="THE122" s="4"/>
      <c r="THF122" s="4"/>
      <c r="THG122" s="4"/>
      <c r="THH122" s="4"/>
      <c r="THI122" s="4"/>
      <c r="THJ122" s="4"/>
      <c r="THK122" s="4"/>
      <c r="THL122" s="4"/>
      <c r="THM122" s="4"/>
      <c r="THN122" s="4"/>
      <c r="THO122" s="4"/>
      <c r="THP122" s="4"/>
      <c r="THQ122" s="4"/>
      <c r="THR122" s="4"/>
      <c r="THS122" s="4"/>
      <c r="THT122" s="4"/>
      <c r="THU122" s="4"/>
      <c r="THV122" s="4"/>
      <c r="THW122" s="4"/>
      <c r="THX122" s="4"/>
      <c r="THY122" s="4"/>
      <c r="THZ122" s="4"/>
      <c r="TIA122" s="4"/>
      <c r="TIB122" s="4"/>
      <c r="TIC122" s="4"/>
      <c r="TID122" s="4"/>
      <c r="TIE122" s="4"/>
      <c r="TIF122" s="4"/>
      <c r="TIG122" s="4"/>
      <c r="TIH122" s="4"/>
      <c r="TII122" s="4"/>
      <c r="TIJ122" s="4"/>
      <c r="TIK122" s="4"/>
      <c r="TIL122" s="4"/>
      <c r="TIM122" s="4"/>
      <c r="TIN122" s="4"/>
      <c r="TIO122" s="4"/>
      <c r="TIP122" s="4"/>
      <c r="TIQ122" s="4"/>
      <c r="TIR122" s="4"/>
      <c r="TIS122" s="4"/>
      <c r="TIT122" s="4"/>
      <c r="TIU122" s="4"/>
      <c r="TIV122" s="4"/>
      <c r="TIW122" s="4"/>
      <c r="TIX122" s="4"/>
      <c r="TIY122" s="4"/>
      <c r="TIZ122" s="4"/>
      <c r="TJA122" s="4"/>
      <c r="TJB122" s="4"/>
      <c r="TJC122" s="4"/>
      <c r="TJD122" s="4"/>
      <c r="TJE122" s="4"/>
      <c r="TJF122" s="4"/>
      <c r="TJG122" s="4"/>
      <c r="TJH122" s="4"/>
      <c r="TJI122" s="4"/>
      <c r="TJJ122" s="4"/>
      <c r="TJK122" s="4"/>
      <c r="TJL122" s="4"/>
      <c r="TJM122" s="4"/>
      <c r="TJN122" s="4"/>
      <c r="TJO122" s="4"/>
      <c r="TJP122" s="4"/>
      <c r="TJQ122" s="4"/>
      <c r="TJR122" s="4"/>
      <c r="TJS122" s="4"/>
      <c r="TJT122" s="4"/>
      <c r="TJU122" s="4"/>
      <c r="TJV122" s="4"/>
      <c r="TJW122" s="4"/>
      <c r="TJX122" s="4"/>
      <c r="TJY122" s="4"/>
      <c r="TJZ122" s="4"/>
      <c r="TKA122" s="4"/>
      <c r="TKB122" s="4"/>
      <c r="TKC122" s="4"/>
      <c r="TKD122" s="4"/>
      <c r="TKE122" s="4"/>
      <c r="TKF122" s="4"/>
      <c r="TKG122" s="4"/>
      <c r="TKH122" s="4"/>
      <c r="TKI122" s="4"/>
      <c r="TKJ122" s="4"/>
      <c r="TKK122" s="4"/>
      <c r="TKL122" s="4"/>
      <c r="TKM122" s="4"/>
      <c r="TKN122" s="4"/>
      <c r="TKO122" s="4"/>
      <c r="TKP122" s="4"/>
      <c r="TKQ122" s="4"/>
      <c r="TKR122" s="4"/>
      <c r="TKS122" s="4"/>
      <c r="TKT122" s="4"/>
      <c r="TKU122" s="4"/>
      <c r="TKV122" s="4"/>
      <c r="TKW122" s="4"/>
      <c r="TKX122" s="4"/>
      <c r="TKY122" s="4"/>
      <c r="TKZ122" s="4"/>
      <c r="TLA122" s="4"/>
      <c r="TLB122" s="4"/>
      <c r="TLC122" s="4"/>
      <c r="TLD122" s="4"/>
      <c r="TLE122" s="4"/>
      <c r="TLF122" s="4"/>
      <c r="TLG122" s="4"/>
      <c r="TLH122" s="4"/>
      <c r="TLI122" s="4"/>
      <c r="TLJ122" s="4"/>
      <c r="TLK122" s="4"/>
      <c r="TLL122" s="4"/>
      <c r="TLM122" s="4"/>
      <c r="TLN122" s="4"/>
      <c r="TLO122" s="4"/>
      <c r="TLP122" s="4"/>
      <c r="TLQ122" s="4"/>
      <c r="TLR122" s="4"/>
      <c r="TLS122" s="4"/>
      <c r="TLT122" s="4"/>
      <c r="TLU122" s="4"/>
      <c r="TLV122" s="4"/>
      <c r="TLW122" s="4"/>
      <c r="TLX122" s="4"/>
      <c r="TLY122" s="4"/>
      <c r="TLZ122" s="4"/>
      <c r="TMA122" s="4"/>
      <c r="TMB122" s="4"/>
      <c r="TMC122" s="4"/>
      <c r="TMD122" s="4"/>
      <c r="TME122" s="4"/>
      <c r="TMF122" s="4"/>
      <c r="TMG122" s="4"/>
      <c r="TMH122" s="4"/>
      <c r="TMI122" s="4"/>
      <c r="TMJ122" s="4"/>
      <c r="TMK122" s="4"/>
      <c r="TML122" s="4"/>
      <c r="TMM122" s="4"/>
      <c r="TMN122" s="4"/>
      <c r="TMO122" s="4"/>
      <c r="TMP122" s="4"/>
      <c r="TMQ122" s="4"/>
      <c r="TMR122" s="4"/>
      <c r="TMS122" s="4"/>
      <c r="TMT122" s="4"/>
      <c r="TMU122" s="4"/>
      <c r="TMV122" s="4"/>
      <c r="TMW122" s="4"/>
      <c r="TMX122" s="4"/>
      <c r="TMY122" s="4"/>
      <c r="TMZ122" s="4"/>
      <c r="TNA122" s="4"/>
      <c r="TNB122" s="4"/>
      <c r="TNC122" s="4"/>
      <c r="TND122" s="4"/>
      <c r="TNE122" s="4"/>
      <c r="TNF122" s="4"/>
      <c r="TNG122" s="4"/>
      <c r="TNH122" s="4"/>
      <c r="TNI122" s="4"/>
      <c r="TNJ122" s="4"/>
      <c r="TNK122" s="4"/>
      <c r="TNL122" s="4"/>
      <c r="TNM122" s="4"/>
      <c r="TNN122" s="4"/>
      <c r="TNO122" s="4"/>
      <c r="TNP122" s="4"/>
      <c r="TNQ122" s="4"/>
      <c r="TNR122" s="4"/>
      <c r="TNS122" s="4"/>
      <c r="TNT122" s="4"/>
      <c r="TNU122" s="4"/>
      <c r="TNV122" s="4"/>
      <c r="TNW122" s="4"/>
      <c r="TNX122" s="4"/>
      <c r="TNY122" s="4"/>
      <c r="TNZ122" s="4"/>
      <c r="TOA122" s="4"/>
      <c r="TOB122" s="4"/>
      <c r="TOC122" s="4"/>
      <c r="TOD122" s="4"/>
      <c r="TOE122" s="4"/>
      <c r="TOF122" s="4"/>
      <c r="TOG122" s="4"/>
      <c r="TOH122" s="4"/>
      <c r="TOI122" s="4"/>
      <c r="TOJ122" s="4"/>
      <c r="TOK122" s="4"/>
      <c r="TOL122" s="4"/>
      <c r="TOM122" s="4"/>
      <c r="TON122" s="4"/>
      <c r="TOO122" s="4"/>
      <c r="TOP122" s="4"/>
      <c r="TOQ122" s="4"/>
      <c r="TOR122" s="4"/>
      <c r="TOS122" s="4"/>
      <c r="TOT122" s="4"/>
      <c r="TOU122" s="4"/>
      <c r="TOV122" s="4"/>
      <c r="TOW122" s="4"/>
      <c r="TOX122" s="4"/>
      <c r="TOY122" s="4"/>
      <c r="TOZ122" s="4"/>
      <c r="TPA122" s="4"/>
      <c r="TPB122" s="4"/>
      <c r="TPC122" s="4"/>
      <c r="TPD122" s="4"/>
      <c r="TPE122" s="4"/>
      <c r="TPF122" s="4"/>
      <c r="TPG122" s="4"/>
      <c r="TPH122" s="4"/>
      <c r="TPI122" s="4"/>
      <c r="TPJ122" s="4"/>
      <c r="TPK122" s="4"/>
      <c r="TPL122" s="4"/>
      <c r="TPM122" s="4"/>
      <c r="TPN122" s="4"/>
      <c r="TPO122" s="4"/>
      <c r="TPP122" s="4"/>
      <c r="TPQ122" s="4"/>
      <c r="TPR122" s="4"/>
      <c r="TPS122" s="4"/>
      <c r="TPT122" s="4"/>
      <c r="TPU122" s="4"/>
      <c r="TPV122" s="4"/>
      <c r="TPW122" s="4"/>
      <c r="TPX122" s="4"/>
      <c r="TPY122" s="4"/>
      <c r="TPZ122" s="4"/>
      <c r="TQA122" s="4"/>
      <c r="TQB122" s="4"/>
      <c r="TQC122" s="4"/>
      <c r="TQD122" s="4"/>
      <c r="TQE122" s="4"/>
      <c r="TQF122" s="4"/>
      <c r="TQG122" s="4"/>
      <c r="TQH122" s="4"/>
      <c r="TQI122" s="4"/>
      <c r="TQJ122" s="4"/>
      <c r="TQK122" s="4"/>
      <c r="TQL122" s="4"/>
      <c r="TQM122" s="4"/>
      <c r="TQN122" s="4"/>
      <c r="TQO122" s="4"/>
      <c r="TQP122" s="4"/>
      <c r="TQQ122" s="4"/>
      <c r="TQR122" s="4"/>
      <c r="TQS122" s="4"/>
      <c r="TQT122" s="4"/>
      <c r="TQU122" s="4"/>
      <c r="TQV122" s="4"/>
      <c r="TQW122" s="4"/>
      <c r="TQX122" s="4"/>
      <c r="TQY122" s="4"/>
      <c r="TQZ122" s="4"/>
      <c r="TRA122" s="4"/>
      <c r="TRB122" s="4"/>
      <c r="TRC122" s="4"/>
      <c r="TRD122" s="4"/>
      <c r="TRE122" s="4"/>
      <c r="TRF122" s="4"/>
      <c r="TRG122" s="4"/>
      <c r="TRH122" s="4"/>
      <c r="TRI122" s="4"/>
      <c r="TRJ122" s="4"/>
      <c r="TRK122" s="4"/>
      <c r="TRL122" s="4"/>
      <c r="TRM122" s="4"/>
      <c r="TRN122" s="4"/>
      <c r="TRO122" s="4"/>
      <c r="TRP122" s="4"/>
      <c r="TRQ122" s="4"/>
      <c r="TRR122" s="4"/>
      <c r="TRS122" s="4"/>
      <c r="TRT122" s="4"/>
      <c r="TRU122" s="4"/>
      <c r="TRV122" s="4"/>
      <c r="TRW122" s="4"/>
      <c r="TRX122" s="4"/>
      <c r="TRY122" s="4"/>
      <c r="TRZ122" s="4"/>
      <c r="TSA122" s="4"/>
      <c r="TSB122" s="4"/>
      <c r="TSC122" s="4"/>
      <c r="TSD122" s="4"/>
      <c r="TSE122" s="4"/>
      <c r="TSF122" s="4"/>
      <c r="TSG122" s="4"/>
      <c r="TSH122" s="4"/>
      <c r="TSI122" s="4"/>
      <c r="TSJ122" s="4"/>
      <c r="TSK122" s="4"/>
      <c r="TSL122" s="4"/>
      <c r="TSM122" s="4"/>
      <c r="TSN122" s="4"/>
      <c r="TSO122" s="4"/>
      <c r="TSP122" s="4"/>
      <c r="TSQ122" s="4"/>
      <c r="TSR122" s="4"/>
      <c r="TSS122" s="4"/>
      <c r="TST122" s="4"/>
      <c r="TSU122" s="4"/>
      <c r="TSV122" s="4"/>
      <c r="TSW122" s="4"/>
      <c r="TSX122" s="4"/>
      <c r="TSY122" s="4"/>
      <c r="TSZ122" s="4"/>
      <c r="TTA122" s="4"/>
      <c r="TTB122" s="4"/>
      <c r="TTC122" s="4"/>
      <c r="TTD122" s="4"/>
      <c r="TTE122" s="4"/>
      <c r="TTF122" s="4"/>
      <c r="TTG122" s="4"/>
      <c r="TTH122" s="4"/>
      <c r="TTI122" s="4"/>
      <c r="TTJ122" s="4"/>
      <c r="TTK122" s="4"/>
      <c r="TTL122" s="4"/>
      <c r="TTM122" s="4"/>
      <c r="TTN122" s="4"/>
      <c r="TTO122" s="4"/>
      <c r="TTP122" s="4"/>
      <c r="TTQ122" s="4"/>
      <c r="TTR122" s="4"/>
      <c r="TTS122" s="4"/>
      <c r="TTT122" s="4"/>
      <c r="TTU122" s="4"/>
      <c r="TTV122" s="4"/>
      <c r="TTW122" s="4"/>
      <c r="TTX122" s="4"/>
      <c r="TTY122" s="4"/>
      <c r="TTZ122" s="4"/>
      <c r="TUA122" s="4"/>
      <c r="TUB122" s="4"/>
      <c r="TUC122" s="4"/>
      <c r="TUD122" s="4"/>
      <c r="TUE122" s="4"/>
      <c r="TUF122" s="4"/>
      <c r="TUG122" s="4"/>
      <c r="TUH122" s="4"/>
      <c r="TUI122" s="4"/>
      <c r="TUJ122" s="4"/>
      <c r="TUK122" s="4"/>
      <c r="TUL122" s="4"/>
      <c r="TUM122" s="4"/>
      <c r="TUN122" s="4"/>
      <c r="TUO122" s="4"/>
      <c r="TUP122" s="4"/>
      <c r="TUQ122" s="4"/>
      <c r="TUR122" s="4"/>
      <c r="TUS122" s="4"/>
      <c r="TUT122" s="4"/>
      <c r="TUU122" s="4"/>
      <c r="TUV122" s="4"/>
      <c r="TUW122" s="4"/>
      <c r="TUX122" s="4"/>
      <c r="TUY122" s="4"/>
      <c r="TUZ122" s="4"/>
      <c r="TVA122" s="4"/>
      <c r="TVB122" s="4"/>
      <c r="TVC122" s="4"/>
      <c r="TVD122" s="4"/>
      <c r="TVE122" s="4"/>
      <c r="TVF122" s="4"/>
      <c r="TVG122" s="4"/>
      <c r="TVH122" s="4"/>
      <c r="TVI122" s="4"/>
      <c r="TVJ122" s="4"/>
      <c r="TVK122" s="4"/>
      <c r="TVL122" s="4"/>
      <c r="TVM122" s="4"/>
      <c r="TVN122" s="4"/>
      <c r="TVO122" s="4"/>
      <c r="TVP122" s="4"/>
      <c r="TVQ122" s="4"/>
      <c r="TVR122" s="4"/>
      <c r="TVS122" s="4"/>
      <c r="TVT122" s="4"/>
      <c r="TVU122" s="4"/>
      <c r="TVV122" s="4"/>
      <c r="TVW122" s="4"/>
      <c r="TVX122" s="4"/>
      <c r="TVY122" s="4"/>
      <c r="TVZ122" s="4"/>
      <c r="TWA122" s="4"/>
      <c r="TWB122" s="4"/>
      <c r="TWC122" s="4"/>
      <c r="TWD122" s="4"/>
      <c r="TWE122" s="4"/>
      <c r="TWF122" s="4"/>
      <c r="TWG122" s="4"/>
      <c r="TWH122" s="4"/>
      <c r="TWI122" s="4"/>
      <c r="TWJ122" s="4"/>
      <c r="TWK122" s="4"/>
      <c r="TWL122" s="4"/>
      <c r="TWM122" s="4"/>
      <c r="TWN122" s="4"/>
      <c r="TWO122" s="4"/>
      <c r="TWP122" s="4"/>
      <c r="TWQ122" s="4"/>
      <c r="TWR122" s="4"/>
      <c r="TWS122" s="4"/>
      <c r="TWT122" s="4"/>
      <c r="TWU122" s="4"/>
      <c r="TWV122" s="4"/>
      <c r="TWW122" s="4"/>
      <c r="TWX122" s="4"/>
      <c r="TWY122" s="4"/>
      <c r="TWZ122" s="4"/>
      <c r="TXA122" s="4"/>
      <c r="TXB122" s="4"/>
      <c r="TXC122" s="4"/>
      <c r="TXD122" s="4"/>
      <c r="TXE122" s="4"/>
      <c r="TXF122" s="4"/>
      <c r="TXG122" s="4"/>
      <c r="TXH122" s="4"/>
      <c r="TXI122" s="4"/>
      <c r="TXJ122" s="4"/>
      <c r="TXK122" s="4"/>
      <c r="TXL122" s="4"/>
      <c r="TXM122" s="4"/>
      <c r="TXN122" s="4"/>
      <c r="TXO122" s="4"/>
      <c r="TXP122" s="4"/>
      <c r="TXQ122" s="4"/>
      <c r="TXR122" s="4"/>
      <c r="TXS122" s="4"/>
      <c r="TXT122" s="4"/>
      <c r="TXU122" s="4"/>
      <c r="TXV122" s="4"/>
      <c r="TXW122" s="4"/>
      <c r="TXX122" s="4"/>
      <c r="TXY122" s="4"/>
      <c r="TXZ122" s="4"/>
      <c r="TYA122" s="4"/>
      <c r="TYB122" s="4"/>
      <c r="TYC122" s="4"/>
      <c r="TYD122" s="4"/>
      <c r="TYE122" s="4"/>
      <c r="TYF122" s="4"/>
      <c r="TYG122" s="4"/>
      <c r="TYH122" s="4"/>
      <c r="TYI122" s="4"/>
      <c r="TYJ122" s="4"/>
      <c r="TYK122" s="4"/>
      <c r="TYL122" s="4"/>
      <c r="TYM122" s="4"/>
      <c r="TYN122" s="4"/>
      <c r="TYO122" s="4"/>
      <c r="TYP122" s="4"/>
      <c r="TYQ122" s="4"/>
      <c r="TYR122" s="4"/>
      <c r="TYS122" s="4"/>
      <c r="TYT122" s="4"/>
      <c r="TYU122" s="4"/>
      <c r="TYV122" s="4"/>
      <c r="TYW122" s="4"/>
      <c r="TYX122" s="4"/>
      <c r="TYY122" s="4"/>
      <c r="TYZ122" s="4"/>
      <c r="TZA122" s="4"/>
      <c r="TZB122" s="4"/>
      <c r="TZC122" s="4"/>
      <c r="TZD122" s="4"/>
      <c r="TZE122" s="4"/>
      <c r="TZF122" s="4"/>
      <c r="TZG122" s="4"/>
      <c r="TZH122" s="4"/>
      <c r="TZI122" s="4"/>
      <c r="TZJ122" s="4"/>
      <c r="TZK122" s="4"/>
      <c r="TZL122" s="4"/>
      <c r="TZM122" s="4"/>
      <c r="TZN122" s="4"/>
      <c r="TZO122" s="4"/>
      <c r="TZP122" s="4"/>
      <c r="TZQ122" s="4"/>
      <c r="TZR122" s="4"/>
      <c r="TZS122" s="4"/>
      <c r="TZT122" s="4"/>
      <c r="TZU122" s="4"/>
      <c r="TZV122" s="4"/>
      <c r="TZW122" s="4"/>
      <c r="TZX122" s="4"/>
      <c r="TZY122" s="4"/>
      <c r="TZZ122" s="4"/>
      <c r="UAA122" s="4"/>
      <c r="UAB122" s="4"/>
      <c r="UAC122" s="4"/>
      <c r="UAD122" s="4"/>
      <c r="UAE122" s="4"/>
      <c r="UAF122" s="4"/>
      <c r="UAG122" s="4"/>
      <c r="UAH122" s="4"/>
      <c r="UAI122" s="4"/>
      <c r="UAJ122" s="4"/>
      <c r="UAK122" s="4"/>
      <c r="UAL122" s="4"/>
      <c r="UAM122" s="4"/>
      <c r="UAN122" s="4"/>
      <c r="UAO122" s="4"/>
      <c r="UAP122" s="4"/>
      <c r="UAQ122" s="4"/>
      <c r="UAR122" s="4"/>
      <c r="UAS122" s="4"/>
      <c r="UAT122" s="4"/>
      <c r="UAU122" s="4"/>
      <c r="UAV122" s="4"/>
      <c r="UAW122" s="4"/>
      <c r="UAX122" s="4"/>
      <c r="UAY122" s="4"/>
      <c r="UAZ122" s="4"/>
      <c r="UBA122" s="4"/>
      <c r="UBB122" s="4"/>
      <c r="UBC122" s="4"/>
      <c r="UBD122" s="4"/>
      <c r="UBE122" s="4"/>
      <c r="UBF122" s="4"/>
      <c r="UBG122" s="4"/>
      <c r="UBH122" s="4"/>
      <c r="UBI122" s="4"/>
      <c r="UBJ122" s="4"/>
      <c r="UBK122" s="4"/>
      <c r="UBL122" s="4"/>
      <c r="UBM122" s="4"/>
      <c r="UBN122" s="4"/>
      <c r="UBO122" s="4"/>
      <c r="UBP122" s="4"/>
      <c r="UBQ122" s="4"/>
      <c r="UBR122" s="4"/>
      <c r="UBS122" s="4"/>
      <c r="UBT122" s="4"/>
      <c r="UBU122" s="4"/>
      <c r="UBV122" s="4"/>
      <c r="UBW122" s="4"/>
      <c r="UBX122" s="4"/>
      <c r="UBY122" s="4"/>
      <c r="UBZ122" s="4"/>
      <c r="UCA122" s="4"/>
      <c r="UCB122" s="4"/>
      <c r="UCC122" s="4"/>
      <c r="UCD122" s="4"/>
      <c r="UCE122" s="4"/>
      <c r="UCF122" s="4"/>
      <c r="UCG122" s="4"/>
      <c r="UCH122" s="4"/>
      <c r="UCI122" s="4"/>
      <c r="UCJ122" s="4"/>
      <c r="UCK122" s="4"/>
      <c r="UCL122" s="4"/>
      <c r="UCM122" s="4"/>
      <c r="UCN122" s="4"/>
      <c r="UCO122" s="4"/>
      <c r="UCP122" s="4"/>
      <c r="UCQ122" s="4"/>
      <c r="UCR122" s="4"/>
      <c r="UCS122" s="4"/>
      <c r="UCT122" s="4"/>
      <c r="UCU122" s="4"/>
      <c r="UCV122" s="4"/>
      <c r="UCW122" s="4"/>
      <c r="UCX122" s="4"/>
      <c r="UCY122" s="4"/>
      <c r="UCZ122" s="4"/>
      <c r="UDA122" s="4"/>
      <c r="UDB122" s="4"/>
      <c r="UDC122" s="4"/>
      <c r="UDD122" s="4"/>
      <c r="UDE122" s="4"/>
      <c r="UDF122" s="4"/>
      <c r="UDG122" s="4"/>
      <c r="UDH122" s="4"/>
      <c r="UDI122" s="4"/>
      <c r="UDJ122" s="4"/>
      <c r="UDK122" s="4"/>
      <c r="UDL122" s="4"/>
      <c r="UDM122" s="4"/>
      <c r="UDN122" s="4"/>
      <c r="UDO122" s="4"/>
      <c r="UDP122" s="4"/>
      <c r="UDQ122" s="4"/>
      <c r="UDR122" s="4"/>
      <c r="UDS122" s="4"/>
      <c r="UDT122" s="4"/>
      <c r="UDU122" s="4"/>
      <c r="UDV122" s="4"/>
      <c r="UDW122" s="4"/>
      <c r="UDX122" s="4"/>
      <c r="UDY122" s="4"/>
      <c r="UDZ122" s="4"/>
      <c r="UEA122" s="4"/>
      <c r="UEB122" s="4"/>
      <c r="UEC122" s="4"/>
      <c r="UED122" s="4"/>
      <c r="UEE122" s="4"/>
      <c r="UEF122" s="4"/>
      <c r="UEG122" s="4"/>
      <c r="UEH122" s="4"/>
      <c r="UEI122" s="4"/>
      <c r="UEJ122" s="4"/>
      <c r="UEK122" s="4"/>
      <c r="UEL122" s="4"/>
      <c r="UEM122" s="4"/>
      <c r="UEN122" s="4"/>
      <c r="UEO122" s="4"/>
      <c r="UEP122" s="4"/>
      <c r="UEQ122" s="4"/>
      <c r="UER122" s="4"/>
      <c r="UES122" s="4"/>
      <c r="UET122" s="4"/>
      <c r="UEU122" s="4"/>
      <c r="UEV122" s="4"/>
      <c r="UEW122" s="4"/>
      <c r="UEX122" s="4"/>
      <c r="UEY122" s="4"/>
      <c r="UEZ122" s="4"/>
      <c r="UFA122" s="4"/>
      <c r="UFB122" s="4"/>
      <c r="UFC122" s="4"/>
      <c r="UFD122" s="4"/>
      <c r="UFE122" s="4"/>
      <c r="UFF122" s="4"/>
      <c r="UFG122" s="4"/>
      <c r="UFH122" s="4"/>
      <c r="UFI122" s="4"/>
      <c r="UFJ122" s="4"/>
      <c r="UFK122" s="4"/>
      <c r="UFL122" s="4"/>
      <c r="UFM122" s="4"/>
      <c r="UFN122" s="4"/>
      <c r="UFO122" s="4"/>
      <c r="UFP122" s="4"/>
      <c r="UFQ122" s="4"/>
      <c r="UFR122" s="4"/>
      <c r="UFS122" s="4"/>
      <c r="UFT122" s="4"/>
      <c r="UFU122" s="4"/>
      <c r="UFV122" s="4"/>
      <c r="UFW122" s="4"/>
      <c r="UFX122" s="4"/>
      <c r="UFY122" s="4"/>
      <c r="UFZ122" s="4"/>
      <c r="UGA122" s="4"/>
      <c r="UGB122" s="4"/>
      <c r="UGC122" s="4"/>
      <c r="UGD122" s="4"/>
      <c r="UGE122" s="4"/>
      <c r="UGF122" s="4"/>
      <c r="UGG122" s="4"/>
      <c r="UGH122" s="4"/>
      <c r="UGI122" s="4"/>
      <c r="UGJ122" s="4"/>
      <c r="UGK122" s="4"/>
      <c r="UGL122" s="4"/>
      <c r="UGM122" s="4"/>
      <c r="UGN122" s="4"/>
      <c r="UGO122" s="4"/>
      <c r="UGP122" s="4"/>
      <c r="UGQ122" s="4"/>
      <c r="UGR122" s="4"/>
      <c r="UGS122" s="4"/>
      <c r="UGT122" s="4"/>
      <c r="UGU122" s="4"/>
      <c r="UGV122" s="4"/>
      <c r="UGW122" s="4"/>
      <c r="UGX122" s="4"/>
      <c r="UGY122" s="4"/>
      <c r="UGZ122" s="4"/>
      <c r="UHA122" s="4"/>
      <c r="UHB122" s="4"/>
      <c r="UHC122" s="4"/>
      <c r="UHD122" s="4"/>
      <c r="UHE122" s="4"/>
      <c r="UHF122" s="4"/>
      <c r="UHG122" s="4"/>
      <c r="UHH122" s="4"/>
      <c r="UHI122" s="4"/>
      <c r="UHJ122" s="4"/>
      <c r="UHK122" s="4"/>
      <c r="UHL122" s="4"/>
      <c r="UHM122" s="4"/>
      <c r="UHN122" s="4"/>
      <c r="UHO122" s="4"/>
      <c r="UHP122" s="4"/>
      <c r="UHQ122" s="4"/>
      <c r="UHR122" s="4"/>
      <c r="UHS122" s="4"/>
      <c r="UHT122" s="4"/>
      <c r="UHU122" s="4"/>
      <c r="UHV122" s="4"/>
      <c r="UHW122" s="4"/>
      <c r="UHX122" s="4"/>
      <c r="UHY122" s="4"/>
      <c r="UHZ122" s="4"/>
      <c r="UIA122" s="4"/>
      <c r="UIB122" s="4"/>
      <c r="UIC122" s="4"/>
      <c r="UID122" s="4"/>
      <c r="UIE122" s="4"/>
      <c r="UIF122" s="4"/>
      <c r="UIG122" s="4"/>
      <c r="UIH122" s="4"/>
      <c r="UII122" s="4"/>
      <c r="UIJ122" s="4"/>
      <c r="UIK122" s="4"/>
      <c r="UIL122" s="4"/>
      <c r="UIM122" s="4"/>
      <c r="UIN122" s="4"/>
      <c r="UIO122" s="4"/>
      <c r="UIP122" s="4"/>
      <c r="UIQ122" s="4"/>
      <c r="UIR122" s="4"/>
      <c r="UIS122" s="4"/>
      <c r="UIT122" s="4"/>
      <c r="UIU122" s="4"/>
      <c r="UIV122" s="4"/>
      <c r="UIW122" s="4"/>
      <c r="UIX122" s="4"/>
      <c r="UIY122" s="4"/>
      <c r="UIZ122" s="4"/>
      <c r="UJA122" s="4"/>
      <c r="UJB122" s="4"/>
      <c r="UJC122" s="4"/>
      <c r="UJD122" s="4"/>
      <c r="UJE122" s="4"/>
      <c r="UJF122" s="4"/>
      <c r="UJG122" s="4"/>
      <c r="UJH122" s="4"/>
      <c r="UJI122" s="4"/>
      <c r="UJJ122" s="4"/>
      <c r="UJK122" s="4"/>
      <c r="UJL122" s="4"/>
      <c r="UJM122" s="4"/>
      <c r="UJN122" s="4"/>
      <c r="UJO122" s="4"/>
      <c r="UJP122" s="4"/>
      <c r="UJQ122" s="4"/>
      <c r="UJR122" s="4"/>
      <c r="UJS122" s="4"/>
      <c r="UJT122" s="4"/>
      <c r="UJU122" s="4"/>
      <c r="UJV122" s="4"/>
      <c r="UJW122" s="4"/>
      <c r="UJX122" s="4"/>
      <c r="UJY122" s="4"/>
      <c r="UJZ122" s="4"/>
      <c r="UKA122" s="4"/>
      <c r="UKB122" s="4"/>
      <c r="UKC122" s="4"/>
      <c r="UKD122" s="4"/>
      <c r="UKE122" s="4"/>
      <c r="UKF122" s="4"/>
      <c r="UKG122" s="4"/>
      <c r="UKH122" s="4"/>
      <c r="UKI122" s="4"/>
      <c r="UKJ122" s="4"/>
      <c r="UKK122" s="4"/>
      <c r="UKL122" s="4"/>
      <c r="UKM122" s="4"/>
      <c r="UKN122" s="4"/>
      <c r="UKO122" s="4"/>
      <c r="UKP122" s="4"/>
      <c r="UKQ122" s="4"/>
      <c r="UKR122" s="4"/>
      <c r="UKS122" s="4"/>
      <c r="UKT122" s="4"/>
      <c r="UKU122" s="4"/>
      <c r="UKV122" s="4"/>
      <c r="UKW122" s="4"/>
      <c r="UKX122" s="4"/>
      <c r="UKY122" s="4"/>
      <c r="UKZ122" s="4"/>
      <c r="ULA122" s="4"/>
      <c r="ULB122" s="4"/>
      <c r="ULC122" s="4"/>
      <c r="ULD122" s="4"/>
      <c r="ULE122" s="4"/>
      <c r="ULF122" s="4"/>
      <c r="ULG122" s="4"/>
      <c r="ULH122" s="4"/>
      <c r="ULI122" s="4"/>
      <c r="ULJ122" s="4"/>
      <c r="ULK122" s="4"/>
      <c r="ULL122" s="4"/>
      <c r="ULM122" s="4"/>
      <c r="ULN122" s="4"/>
      <c r="ULO122" s="4"/>
      <c r="ULP122" s="4"/>
      <c r="ULQ122" s="4"/>
      <c r="ULR122" s="4"/>
      <c r="ULS122" s="4"/>
      <c r="ULT122" s="4"/>
      <c r="ULU122" s="4"/>
      <c r="ULV122" s="4"/>
      <c r="ULW122" s="4"/>
      <c r="ULX122" s="4"/>
      <c r="ULY122" s="4"/>
      <c r="ULZ122" s="4"/>
      <c r="UMA122" s="4"/>
      <c r="UMB122" s="4"/>
      <c r="UMC122" s="4"/>
      <c r="UMD122" s="4"/>
      <c r="UME122" s="4"/>
      <c r="UMF122" s="4"/>
      <c r="UMG122" s="4"/>
      <c r="UMH122" s="4"/>
      <c r="UMI122" s="4"/>
      <c r="UMJ122" s="4"/>
      <c r="UMK122" s="4"/>
      <c r="UML122" s="4"/>
      <c r="UMM122" s="4"/>
      <c r="UMN122" s="4"/>
      <c r="UMO122" s="4"/>
      <c r="UMP122" s="4"/>
      <c r="UMQ122" s="4"/>
      <c r="UMR122" s="4"/>
      <c r="UMS122" s="4"/>
      <c r="UMT122" s="4"/>
      <c r="UMU122" s="4"/>
      <c r="UMV122" s="4"/>
      <c r="UMW122" s="4"/>
      <c r="UMX122" s="4"/>
      <c r="UMY122" s="4"/>
      <c r="UMZ122" s="4"/>
      <c r="UNA122" s="4"/>
      <c r="UNB122" s="4"/>
      <c r="UNC122" s="4"/>
      <c r="UND122" s="4"/>
      <c r="UNE122" s="4"/>
      <c r="UNF122" s="4"/>
      <c r="UNG122" s="4"/>
      <c r="UNH122" s="4"/>
      <c r="UNI122" s="4"/>
      <c r="UNJ122" s="4"/>
      <c r="UNK122" s="4"/>
      <c r="UNL122" s="4"/>
      <c r="UNM122" s="4"/>
      <c r="UNN122" s="4"/>
      <c r="UNO122" s="4"/>
      <c r="UNP122" s="4"/>
      <c r="UNQ122" s="4"/>
      <c r="UNR122" s="4"/>
      <c r="UNS122" s="4"/>
      <c r="UNT122" s="4"/>
      <c r="UNU122" s="4"/>
      <c r="UNV122" s="4"/>
      <c r="UNW122" s="4"/>
      <c r="UNX122" s="4"/>
      <c r="UNY122" s="4"/>
      <c r="UNZ122" s="4"/>
      <c r="UOA122" s="4"/>
      <c r="UOB122" s="4"/>
      <c r="UOC122" s="4"/>
      <c r="UOD122" s="4"/>
      <c r="UOE122" s="4"/>
      <c r="UOF122" s="4"/>
      <c r="UOG122" s="4"/>
      <c r="UOH122" s="4"/>
      <c r="UOI122" s="4"/>
      <c r="UOJ122" s="4"/>
      <c r="UOK122" s="4"/>
      <c r="UOL122" s="4"/>
      <c r="UOM122" s="4"/>
      <c r="UON122" s="4"/>
      <c r="UOO122" s="4"/>
      <c r="UOP122" s="4"/>
      <c r="UOQ122" s="4"/>
      <c r="UOR122" s="4"/>
      <c r="UOS122" s="4"/>
      <c r="UOT122" s="4"/>
      <c r="UOU122" s="4"/>
      <c r="UOV122" s="4"/>
      <c r="UOW122" s="4"/>
      <c r="UOX122" s="4"/>
      <c r="UOY122" s="4"/>
      <c r="UOZ122" s="4"/>
      <c r="UPA122" s="4"/>
      <c r="UPB122" s="4"/>
      <c r="UPC122" s="4"/>
      <c r="UPD122" s="4"/>
      <c r="UPE122" s="4"/>
      <c r="UPF122" s="4"/>
      <c r="UPG122" s="4"/>
      <c r="UPH122" s="4"/>
      <c r="UPI122" s="4"/>
      <c r="UPJ122" s="4"/>
      <c r="UPK122" s="4"/>
      <c r="UPL122" s="4"/>
      <c r="UPM122" s="4"/>
      <c r="UPN122" s="4"/>
      <c r="UPO122" s="4"/>
      <c r="UPP122" s="4"/>
      <c r="UPQ122" s="4"/>
      <c r="UPR122" s="4"/>
      <c r="UPS122" s="4"/>
      <c r="UPT122" s="4"/>
      <c r="UPU122" s="4"/>
      <c r="UPV122" s="4"/>
      <c r="UPW122" s="4"/>
      <c r="UPX122" s="4"/>
      <c r="UPY122" s="4"/>
      <c r="UPZ122" s="4"/>
      <c r="UQA122" s="4"/>
      <c r="UQB122" s="4"/>
      <c r="UQC122" s="4"/>
      <c r="UQD122" s="4"/>
      <c r="UQE122" s="4"/>
      <c r="UQF122" s="4"/>
      <c r="UQG122" s="4"/>
      <c r="UQH122" s="4"/>
      <c r="UQI122" s="4"/>
      <c r="UQJ122" s="4"/>
      <c r="UQK122" s="4"/>
      <c r="UQL122" s="4"/>
      <c r="UQM122" s="4"/>
      <c r="UQN122" s="4"/>
      <c r="UQO122" s="4"/>
      <c r="UQP122" s="4"/>
      <c r="UQQ122" s="4"/>
      <c r="UQR122" s="4"/>
      <c r="UQS122" s="4"/>
      <c r="UQT122" s="4"/>
      <c r="UQU122" s="4"/>
      <c r="UQV122" s="4"/>
      <c r="UQW122" s="4"/>
      <c r="UQX122" s="4"/>
      <c r="UQY122" s="4"/>
      <c r="UQZ122" s="4"/>
      <c r="URA122" s="4"/>
      <c r="URB122" s="4"/>
      <c r="URC122" s="4"/>
      <c r="URD122" s="4"/>
      <c r="URE122" s="4"/>
      <c r="URF122" s="4"/>
      <c r="URG122" s="4"/>
      <c r="URH122" s="4"/>
      <c r="URI122" s="4"/>
      <c r="URJ122" s="4"/>
      <c r="URK122" s="4"/>
      <c r="URL122" s="4"/>
      <c r="URM122" s="4"/>
      <c r="URN122" s="4"/>
      <c r="URO122" s="4"/>
      <c r="URP122" s="4"/>
      <c r="URQ122" s="4"/>
      <c r="URR122" s="4"/>
      <c r="URS122" s="4"/>
      <c r="URT122" s="4"/>
      <c r="URU122" s="4"/>
      <c r="URV122" s="4"/>
      <c r="URW122" s="4"/>
      <c r="URX122" s="4"/>
      <c r="URY122" s="4"/>
      <c r="URZ122" s="4"/>
      <c r="USA122" s="4"/>
      <c r="USB122" s="4"/>
      <c r="USC122" s="4"/>
      <c r="USD122" s="4"/>
      <c r="USE122" s="4"/>
      <c r="USF122" s="4"/>
      <c r="USG122" s="4"/>
      <c r="USH122" s="4"/>
      <c r="USI122" s="4"/>
      <c r="USJ122" s="4"/>
      <c r="USK122" s="4"/>
      <c r="USL122" s="4"/>
      <c r="USM122" s="4"/>
      <c r="USN122" s="4"/>
      <c r="USO122" s="4"/>
      <c r="USP122" s="4"/>
      <c r="USQ122" s="4"/>
      <c r="USR122" s="4"/>
      <c r="USS122" s="4"/>
      <c r="UST122" s="4"/>
      <c r="USU122" s="4"/>
      <c r="USV122" s="4"/>
      <c r="USW122" s="4"/>
      <c r="USX122" s="4"/>
      <c r="USY122" s="4"/>
      <c r="USZ122" s="4"/>
      <c r="UTA122" s="4"/>
      <c r="UTB122" s="4"/>
      <c r="UTC122" s="4"/>
      <c r="UTD122" s="4"/>
      <c r="UTE122" s="4"/>
      <c r="UTF122" s="4"/>
      <c r="UTG122" s="4"/>
      <c r="UTH122" s="4"/>
      <c r="UTI122" s="4"/>
      <c r="UTJ122" s="4"/>
      <c r="UTK122" s="4"/>
      <c r="UTL122" s="4"/>
      <c r="UTM122" s="4"/>
      <c r="UTN122" s="4"/>
      <c r="UTO122" s="4"/>
      <c r="UTP122" s="4"/>
      <c r="UTQ122" s="4"/>
      <c r="UTR122" s="4"/>
      <c r="UTS122" s="4"/>
      <c r="UTT122" s="4"/>
      <c r="UTU122" s="4"/>
      <c r="UTV122" s="4"/>
      <c r="UTW122" s="4"/>
      <c r="UTX122" s="4"/>
      <c r="UTY122" s="4"/>
      <c r="UTZ122" s="4"/>
      <c r="UUA122" s="4"/>
      <c r="UUB122" s="4"/>
      <c r="UUC122" s="4"/>
      <c r="UUD122" s="4"/>
      <c r="UUE122" s="4"/>
      <c r="UUF122" s="4"/>
      <c r="UUG122" s="4"/>
      <c r="UUH122" s="4"/>
      <c r="UUI122" s="4"/>
      <c r="UUJ122" s="4"/>
      <c r="UUK122" s="4"/>
      <c r="UUL122" s="4"/>
      <c r="UUM122" s="4"/>
      <c r="UUN122" s="4"/>
      <c r="UUO122" s="4"/>
      <c r="UUP122" s="4"/>
      <c r="UUQ122" s="4"/>
      <c r="UUR122" s="4"/>
      <c r="UUS122" s="4"/>
      <c r="UUT122" s="4"/>
      <c r="UUU122" s="4"/>
      <c r="UUV122" s="4"/>
      <c r="UUW122" s="4"/>
      <c r="UUX122" s="4"/>
      <c r="UUY122" s="4"/>
      <c r="UUZ122" s="4"/>
      <c r="UVA122" s="4"/>
      <c r="UVB122" s="4"/>
      <c r="UVC122" s="4"/>
      <c r="UVD122" s="4"/>
      <c r="UVE122" s="4"/>
      <c r="UVF122" s="4"/>
      <c r="UVG122" s="4"/>
      <c r="UVH122" s="4"/>
      <c r="UVI122" s="4"/>
      <c r="UVJ122" s="4"/>
      <c r="UVK122" s="4"/>
      <c r="UVL122" s="4"/>
      <c r="UVM122" s="4"/>
      <c r="UVN122" s="4"/>
      <c r="UVO122" s="4"/>
      <c r="UVP122" s="4"/>
      <c r="UVQ122" s="4"/>
      <c r="UVR122" s="4"/>
      <c r="UVS122" s="4"/>
      <c r="UVT122" s="4"/>
      <c r="UVU122" s="4"/>
      <c r="UVV122" s="4"/>
      <c r="UVW122" s="4"/>
      <c r="UVX122" s="4"/>
      <c r="UVY122" s="4"/>
      <c r="UVZ122" s="4"/>
      <c r="UWA122" s="4"/>
      <c r="UWB122" s="4"/>
      <c r="UWC122" s="4"/>
      <c r="UWD122" s="4"/>
      <c r="UWE122" s="4"/>
      <c r="UWF122" s="4"/>
      <c r="UWG122" s="4"/>
      <c r="UWH122" s="4"/>
      <c r="UWI122" s="4"/>
      <c r="UWJ122" s="4"/>
      <c r="UWK122" s="4"/>
      <c r="UWL122" s="4"/>
      <c r="UWM122" s="4"/>
      <c r="UWN122" s="4"/>
      <c r="UWO122" s="4"/>
      <c r="UWP122" s="4"/>
      <c r="UWQ122" s="4"/>
      <c r="UWR122" s="4"/>
      <c r="UWS122" s="4"/>
      <c r="UWT122" s="4"/>
      <c r="UWU122" s="4"/>
      <c r="UWV122" s="4"/>
      <c r="UWW122" s="4"/>
      <c r="UWX122" s="4"/>
      <c r="UWY122" s="4"/>
      <c r="UWZ122" s="4"/>
      <c r="UXA122" s="4"/>
      <c r="UXB122" s="4"/>
      <c r="UXC122" s="4"/>
      <c r="UXD122" s="4"/>
      <c r="UXE122" s="4"/>
      <c r="UXF122" s="4"/>
      <c r="UXG122" s="4"/>
      <c r="UXH122" s="4"/>
      <c r="UXI122" s="4"/>
      <c r="UXJ122" s="4"/>
      <c r="UXK122" s="4"/>
      <c r="UXL122" s="4"/>
      <c r="UXM122" s="4"/>
      <c r="UXN122" s="4"/>
      <c r="UXO122" s="4"/>
      <c r="UXP122" s="4"/>
      <c r="UXQ122" s="4"/>
      <c r="UXR122" s="4"/>
      <c r="UXS122" s="4"/>
      <c r="UXT122" s="4"/>
      <c r="UXU122" s="4"/>
      <c r="UXV122" s="4"/>
      <c r="UXW122" s="4"/>
      <c r="UXX122" s="4"/>
      <c r="UXY122" s="4"/>
      <c r="UXZ122" s="4"/>
      <c r="UYA122" s="4"/>
      <c r="UYB122" s="4"/>
      <c r="UYC122" s="4"/>
      <c r="UYD122" s="4"/>
      <c r="UYE122" s="4"/>
      <c r="UYF122" s="4"/>
      <c r="UYG122" s="4"/>
      <c r="UYH122" s="4"/>
      <c r="UYI122" s="4"/>
      <c r="UYJ122" s="4"/>
      <c r="UYK122" s="4"/>
      <c r="UYL122" s="4"/>
      <c r="UYM122" s="4"/>
      <c r="UYN122" s="4"/>
      <c r="UYO122" s="4"/>
      <c r="UYP122" s="4"/>
      <c r="UYQ122" s="4"/>
      <c r="UYR122" s="4"/>
      <c r="UYS122" s="4"/>
      <c r="UYT122" s="4"/>
      <c r="UYU122" s="4"/>
      <c r="UYV122" s="4"/>
      <c r="UYW122" s="4"/>
      <c r="UYX122" s="4"/>
      <c r="UYY122" s="4"/>
      <c r="UYZ122" s="4"/>
      <c r="UZA122" s="4"/>
      <c r="UZB122" s="4"/>
      <c r="UZC122" s="4"/>
      <c r="UZD122" s="4"/>
      <c r="UZE122" s="4"/>
      <c r="UZF122" s="4"/>
      <c r="UZG122" s="4"/>
      <c r="UZH122" s="4"/>
      <c r="UZI122" s="4"/>
      <c r="UZJ122" s="4"/>
      <c r="UZK122" s="4"/>
      <c r="UZL122" s="4"/>
      <c r="UZM122" s="4"/>
      <c r="UZN122" s="4"/>
      <c r="UZO122" s="4"/>
      <c r="UZP122" s="4"/>
      <c r="UZQ122" s="4"/>
      <c r="UZR122" s="4"/>
      <c r="UZS122" s="4"/>
      <c r="UZT122" s="4"/>
      <c r="UZU122" s="4"/>
      <c r="UZV122" s="4"/>
      <c r="UZW122" s="4"/>
      <c r="UZX122" s="4"/>
      <c r="UZY122" s="4"/>
      <c r="UZZ122" s="4"/>
      <c r="VAA122" s="4"/>
      <c r="VAB122" s="4"/>
      <c r="VAC122" s="4"/>
      <c r="VAD122" s="4"/>
      <c r="VAE122" s="4"/>
      <c r="VAF122" s="4"/>
      <c r="VAG122" s="4"/>
      <c r="VAH122" s="4"/>
      <c r="VAI122" s="4"/>
      <c r="VAJ122" s="4"/>
      <c r="VAK122" s="4"/>
      <c r="VAL122" s="4"/>
      <c r="VAM122" s="4"/>
      <c r="VAN122" s="4"/>
      <c r="VAO122" s="4"/>
      <c r="VAP122" s="4"/>
      <c r="VAQ122" s="4"/>
      <c r="VAR122" s="4"/>
      <c r="VAS122" s="4"/>
      <c r="VAT122" s="4"/>
      <c r="VAU122" s="4"/>
      <c r="VAV122" s="4"/>
      <c r="VAW122" s="4"/>
      <c r="VAX122" s="4"/>
      <c r="VAY122" s="4"/>
      <c r="VAZ122" s="4"/>
      <c r="VBA122" s="4"/>
      <c r="VBB122" s="4"/>
      <c r="VBC122" s="4"/>
      <c r="VBD122" s="4"/>
      <c r="VBE122" s="4"/>
      <c r="VBF122" s="4"/>
      <c r="VBG122" s="4"/>
      <c r="VBH122" s="4"/>
      <c r="VBI122" s="4"/>
      <c r="VBJ122" s="4"/>
      <c r="VBK122" s="4"/>
      <c r="VBL122" s="4"/>
      <c r="VBM122" s="4"/>
      <c r="VBN122" s="4"/>
      <c r="VBO122" s="4"/>
      <c r="VBP122" s="4"/>
      <c r="VBQ122" s="4"/>
      <c r="VBR122" s="4"/>
      <c r="VBS122" s="4"/>
      <c r="VBT122" s="4"/>
      <c r="VBU122" s="4"/>
      <c r="VBV122" s="4"/>
      <c r="VBW122" s="4"/>
      <c r="VBX122" s="4"/>
      <c r="VBY122" s="4"/>
      <c r="VBZ122" s="4"/>
      <c r="VCA122" s="4"/>
      <c r="VCB122" s="4"/>
      <c r="VCC122" s="4"/>
      <c r="VCD122" s="4"/>
      <c r="VCE122" s="4"/>
      <c r="VCF122" s="4"/>
      <c r="VCG122" s="4"/>
      <c r="VCH122" s="4"/>
      <c r="VCI122" s="4"/>
      <c r="VCJ122" s="4"/>
      <c r="VCK122" s="4"/>
      <c r="VCL122" s="4"/>
      <c r="VCM122" s="4"/>
      <c r="VCN122" s="4"/>
      <c r="VCO122" s="4"/>
      <c r="VCP122" s="4"/>
      <c r="VCQ122" s="4"/>
      <c r="VCR122" s="4"/>
      <c r="VCS122" s="4"/>
      <c r="VCT122" s="4"/>
      <c r="VCU122" s="4"/>
      <c r="VCV122" s="4"/>
      <c r="VCW122" s="4"/>
      <c r="VCX122" s="4"/>
      <c r="VCY122" s="4"/>
      <c r="VCZ122" s="4"/>
      <c r="VDA122" s="4"/>
      <c r="VDB122" s="4"/>
      <c r="VDC122" s="4"/>
      <c r="VDD122" s="4"/>
      <c r="VDE122" s="4"/>
      <c r="VDF122" s="4"/>
      <c r="VDG122" s="4"/>
      <c r="VDH122" s="4"/>
      <c r="VDI122" s="4"/>
      <c r="VDJ122" s="4"/>
      <c r="VDK122" s="4"/>
      <c r="VDL122" s="4"/>
      <c r="VDM122" s="4"/>
      <c r="VDN122" s="4"/>
      <c r="VDO122" s="4"/>
      <c r="VDP122" s="4"/>
      <c r="VDQ122" s="4"/>
      <c r="VDR122" s="4"/>
      <c r="VDS122" s="4"/>
      <c r="VDT122" s="4"/>
      <c r="VDU122" s="4"/>
      <c r="VDV122" s="4"/>
      <c r="VDW122" s="4"/>
      <c r="VDX122" s="4"/>
      <c r="VDY122" s="4"/>
      <c r="VDZ122" s="4"/>
      <c r="VEA122" s="4"/>
      <c r="VEB122" s="4"/>
      <c r="VEC122" s="4"/>
      <c r="VED122" s="4"/>
      <c r="VEE122" s="4"/>
      <c r="VEF122" s="4"/>
      <c r="VEG122" s="4"/>
      <c r="VEH122" s="4"/>
      <c r="VEI122" s="4"/>
      <c r="VEJ122" s="4"/>
      <c r="VEK122" s="4"/>
      <c r="VEL122" s="4"/>
      <c r="VEM122" s="4"/>
      <c r="VEN122" s="4"/>
      <c r="VEO122" s="4"/>
      <c r="VEP122" s="4"/>
      <c r="VEQ122" s="4"/>
      <c r="VER122" s="4"/>
      <c r="VES122" s="4"/>
      <c r="VET122" s="4"/>
      <c r="VEU122" s="4"/>
      <c r="VEV122" s="4"/>
      <c r="VEW122" s="4"/>
      <c r="VEX122" s="4"/>
      <c r="VEY122" s="4"/>
      <c r="VEZ122" s="4"/>
      <c r="VFA122" s="4"/>
      <c r="VFB122" s="4"/>
      <c r="VFC122" s="4"/>
      <c r="VFD122" s="4"/>
      <c r="VFE122" s="4"/>
      <c r="VFF122" s="4"/>
      <c r="VFG122" s="4"/>
      <c r="VFH122" s="4"/>
      <c r="VFI122" s="4"/>
      <c r="VFJ122" s="4"/>
      <c r="VFK122" s="4"/>
      <c r="VFL122" s="4"/>
      <c r="VFM122" s="4"/>
      <c r="VFN122" s="4"/>
      <c r="VFO122" s="4"/>
      <c r="VFP122" s="4"/>
      <c r="VFQ122" s="4"/>
      <c r="VFR122" s="4"/>
      <c r="VFS122" s="4"/>
      <c r="VFT122" s="4"/>
      <c r="VFU122" s="4"/>
      <c r="VFV122" s="4"/>
      <c r="VFW122" s="4"/>
      <c r="VFX122" s="4"/>
      <c r="VFY122" s="4"/>
      <c r="VFZ122" s="4"/>
      <c r="VGA122" s="4"/>
      <c r="VGB122" s="4"/>
      <c r="VGC122" s="4"/>
      <c r="VGD122" s="4"/>
      <c r="VGE122" s="4"/>
      <c r="VGF122" s="4"/>
      <c r="VGG122" s="4"/>
      <c r="VGH122" s="4"/>
      <c r="VGI122" s="4"/>
      <c r="VGJ122" s="4"/>
      <c r="VGK122" s="4"/>
      <c r="VGL122" s="4"/>
      <c r="VGM122" s="4"/>
      <c r="VGN122" s="4"/>
      <c r="VGO122" s="4"/>
      <c r="VGP122" s="4"/>
      <c r="VGQ122" s="4"/>
      <c r="VGR122" s="4"/>
      <c r="VGS122" s="4"/>
      <c r="VGT122" s="4"/>
      <c r="VGU122" s="4"/>
      <c r="VGV122" s="4"/>
      <c r="VGW122" s="4"/>
      <c r="VGX122" s="4"/>
      <c r="VGY122" s="4"/>
      <c r="VGZ122" s="4"/>
      <c r="VHA122" s="4"/>
      <c r="VHB122" s="4"/>
      <c r="VHC122" s="4"/>
      <c r="VHD122" s="4"/>
      <c r="VHE122" s="4"/>
      <c r="VHF122" s="4"/>
      <c r="VHG122" s="4"/>
      <c r="VHH122" s="4"/>
      <c r="VHI122" s="4"/>
      <c r="VHJ122" s="4"/>
      <c r="VHK122" s="4"/>
      <c r="VHL122" s="4"/>
      <c r="VHM122" s="4"/>
      <c r="VHN122" s="4"/>
      <c r="VHO122" s="4"/>
      <c r="VHP122" s="4"/>
      <c r="VHQ122" s="4"/>
      <c r="VHR122" s="4"/>
      <c r="VHS122" s="4"/>
      <c r="VHT122" s="4"/>
      <c r="VHU122" s="4"/>
      <c r="VHV122" s="4"/>
      <c r="VHW122" s="4"/>
      <c r="VHX122" s="4"/>
      <c r="VHY122" s="4"/>
      <c r="VHZ122" s="4"/>
      <c r="VIA122" s="4"/>
      <c r="VIB122" s="4"/>
      <c r="VIC122" s="4"/>
      <c r="VID122" s="4"/>
      <c r="VIE122" s="4"/>
      <c r="VIF122" s="4"/>
      <c r="VIG122" s="4"/>
      <c r="VIH122" s="4"/>
      <c r="VII122" s="4"/>
      <c r="VIJ122" s="4"/>
      <c r="VIK122" s="4"/>
      <c r="VIL122" s="4"/>
      <c r="VIM122" s="4"/>
      <c r="VIN122" s="4"/>
      <c r="VIO122" s="4"/>
      <c r="VIP122" s="4"/>
      <c r="VIQ122" s="4"/>
      <c r="VIR122" s="4"/>
      <c r="VIS122" s="4"/>
      <c r="VIT122" s="4"/>
      <c r="VIU122" s="4"/>
      <c r="VIV122" s="4"/>
      <c r="VIW122" s="4"/>
      <c r="VIX122" s="4"/>
      <c r="VIY122" s="4"/>
      <c r="VIZ122" s="4"/>
      <c r="VJA122" s="4"/>
      <c r="VJB122" s="4"/>
      <c r="VJC122" s="4"/>
      <c r="VJD122" s="4"/>
      <c r="VJE122" s="4"/>
      <c r="VJF122" s="4"/>
      <c r="VJG122" s="4"/>
      <c r="VJH122" s="4"/>
      <c r="VJI122" s="4"/>
      <c r="VJJ122" s="4"/>
      <c r="VJK122" s="4"/>
      <c r="VJL122" s="4"/>
      <c r="VJM122" s="4"/>
      <c r="VJN122" s="4"/>
      <c r="VJO122" s="4"/>
      <c r="VJP122" s="4"/>
      <c r="VJQ122" s="4"/>
      <c r="VJR122" s="4"/>
      <c r="VJS122" s="4"/>
      <c r="VJT122" s="4"/>
      <c r="VJU122" s="4"/>
      <c r="VJV122" s="4"/>
      <c r="VJW122" s="4"/>
      <c r="VJX122" s="4"/>
      <c r="VJY122" s="4"/>
      <c r="VJZ122" s="4"/>
      <c r="VKA122" s="4"/>
      <c r="VKB122" s="4"/>
      <c r="VKC122" s="4"/>
      <c r="VKD122" s="4"/>
      <c r="VKE122" s="4"/>
      <c r="VKF122" s="4"/>
      <c r="VKG122" s="4"/>
      <c r="VKH122" s="4"/>
      <c r="VKI122" s="4"/>
      <c r="VKJ122" s="4"/>
      <c r="VKK122" s="4"/>
      <c r="VKL122" s="4"/>
      <c r="VKM122" s="4"/>
      <c r="VKN122" s="4"/>
      <c r="VKO122" s="4"/>
      <c r="VKP122" s="4"/>
      <c r="VKQ122" s="4"/>
      <c r="VKR122" s="4"/>
      <c r="VKS122" s="4"/>
      <c r="VKT122" s="4"/>
      <c r="VKU122" s="4"/>
      <c r="VKV122" s="4"/>
      <c r="VKW122" s="4"/>
      <c r="VKX122" s="4"/>
      <c r="VKY122" s="4"/>
      <c r="VKZ122" s="4"/>
      <c r="VLA122" s="4"/>
      <c r="VLB122" s="4"/>
      <c r="VLC122" s="4"/>
      <c r="VLD122" s="4"/>
      <c r="VLE122" s="4"/>
      <c r="VLF122" s="4"/>
      <c r="VLG122" s="4"/>
      <c r="VLH122" s="4"/>
      <c r="VLI122" s="4"/>
      <c r="VLJ122" s="4"/>
      <c r="VLK122" s="4"/>
      <c r="VLL122" s="4"/>
      <c r="VLM122" s="4"/>
      <c r="VLN122" s="4"/>
      <c r="VLO122" s="4"/>
      <c r="VLP122" s="4"/>
      <c r="VLQ122" s="4"/>
      <c r="VLR122" s="4"/>
      <c r="VLS122" s="4"/>
      <c r="VLT122" s="4"/>
      <c r="VLU122" s="4"/>
      <c r="VLV122" s="4"/>
      <c r="VLW122" s="4"/>
      <c r="VLX122" s="4"/>
      <c r="VLY122" s="4"/>
      <c r="VLZ122" s="4"/>
      <c r="VMA122" s="4"/>
      <c r="VMB122" s="4"/>
      <c r="VMC122" s="4"/>
      <c r="VMD122" s="4"/>
      <c r="VME122" s="4"/>
      <c r="VMF122" s="4"/>
      <c r="VMG122" s="4"/>
      <c r="VMH122" s="4"/>
      <c r="VMI122" s="4"/>
      <c r="VMJ122" s="4"/>
      <c r="VMK122" s="4"/>
      <c r="VML122" s="4"/>
      <c r="VMM122" s="4"/>
      <c r="VMN122" s="4"/>
      <c r="VMO122" s="4"/>
      <c r="VMP122" s="4"/>
      <c r="VMQ122" s="4"/>
      <c r="VMR122" s="4"/>
      <c r="VMS122" s="4"/>
      <c r="VMT122" s="4"/>
      <c r="VMU122" s="4"/>
      <c r="VMV122" s="4"/>
      <c r="VMW122" s="4"/>
      <c r="VMX122" s="4"/>
      <c r="VMY122" s="4"/>
      <c r="VMZ122" s="4"/>
      <c r="VNA122" s="4"/>
      <c r="VNB122" s="4"/>
      <c r="VNC122" s="4"/>
      <c r="VND122" s="4"/>
      <c r="VNE122" s="4"/>
      <c r="VNF122" s="4"/>
      <c r="VNG122" s="4"/>
      <c r="VNH122" s="4"/>
      <c r="VNI122" s="4"/>
      <c r="VNJ122" s="4"/>
      <c r="VNK122" s="4"/>
      <c r="VNL122" s="4"/>
      <c r="VNM122" s="4"/>
      <c r="VNN122" s="4"/>
      <c r="VNO122" s="4"/>
      <c r="VNP122" s="4"/>
      <c r="VNQ122" s="4"/>
      <c r="VNR122" s="4"/>
      <c r="VNS122" s="4"/>
      <c r="VNT122" s="4"/>
      <c r="VNU122" s="4"/>
      <c r="VNV122" s="4"/>
      <c r="VNW122" s="4"/>
      <c r="VNX122" s="4"/>
      <c r="VNY122" s="4"/>
      <c r="VNZ122" s="4"/>
      <c r="VOA122" s="4"/>
      <c r="VOB122" s="4"/>
      <c r="VOC122" s="4"/>
      <c r="VOD122" s="4"/>
      <c r="VOE122" s="4"/>
      <c r="VOF122" s="4"/>
      <c r="VOG122" s="4"/>
      <c r="VOH122" s="4"/>
      <c r="VOI122" s="4"/>
      <c r="VOJ122" s="4"/>
      <c r="VOK122" s="4"/>
      <c r="VOL122" s="4"/>
      <c r="VOM122" s="4"/>
      <c r="VON122" s="4"/>
      <c r="VOO122" s="4"/>
      <c r="VOP122" s="4"/>
      <c r="VOQ122" s="4"/>
      <c r="VOR122" s="4"/>
      <c r="VOS122" s="4"/>
      <c r="VOT122" s="4"/>
      <c r="VOU122" s="4"/>
      <c r="VOV122" s="4"/>
      <c r="VOW122" s="4"/>
      <c r="VOX122" s="4"/>
      <c r="VOY122" s="4"/>
      <c r="VOZ122" s="4"/>
      <c r="VPA122" s="4"/>
      <c r="VPB122" s="4"/>
      <c r="VPC122" s="4"/>
      <c r="VPD122" s="4"/>
      <c r="VPE122" s="4"/>
      <c r="VPF122" s="4"/>
      <c r="VPG122" s="4"/>
      <c r="VPH122" s="4"/>
      <c r="VPI122" s="4"/>
      <c r="VPJ122" s="4"/>
      <c r="VPK122" s="4"/>
      <c r="VPL122" s="4"/>
      <c r="VPM122" s="4"/>
      <c r="VPN122" s="4"/>
      <c r="VPO122" s="4"/>
      <c r="VPP122" s="4"/>
      <c r="VPQ122" s="4"/>
      <c r="VPR122" s="4"/>
      <c r="VPS122" s="4"/>
      <c r="VPT122" s="4"/>
      <c r="VPU122" s="4"/>
      <c r="VPV122" s="4"/>
      <c r="VPW122" s="4"/>
      <c r="VPX122" s="4"/>
      <c r="VPY122" s="4"/>
      <c r="VPZ122" s="4"/>
      <c r="VQA122" s="4"/>
      <c r="VQB122" s="4"/>
      <c r="VQC122" s="4"/>
      <c r="VQD122" s="4"/>
      <c r="VQE122" s="4"/>
      <c r="VQF122" s="4"/>
      <c r="VQG122" s="4"/>
      <c r="VQH122" s="4"/>
      <c r="VQI122" s="4"/>
      <c r="VQJ122" s="4"/>
      <c r="VQK122" s="4"/>
      <c r="VQL122" s="4"/>
      <c r="VQM122" s="4"/>
      <c r="VQN122" s="4"/>
      <c r="VQO122" s="4"/>
      <c r="VQP122" s="4"/>
      <c r="VQQ122" s="4"/>
      <c r="VQR122" s="4"/>
      <c r="VQS122" s="4"/>
      <c r="VQT122" s="4"/>
      <c r="VQU122" s="4"/>
      <c r="VQV122" s="4"/>
      <c r="VQW122" s="4"/>
      <c r="VQX122" s="4"/>
      <c r="VQY122" s="4"/>
      <c r="VQZ122" s="4"/>
      <c r="VRA122" s="4"/>
      <c r="VRB122" s="4"/>
      <c r="VRC122" s="4"/>
      <c r="VRD122" s="4"/>
      <c r="VRE122" s="4"/>
      <c r="VRF122" s="4"/>
      <c r="VRG122" s="4"/>
      <c r="VRH122" s="4"/>
      <c r="VRI122" s="4"/>
      <c r="VRJ122" s="4"/>
      <c r="VRK122" s="4"/>
      <c r="VRL122" s="4"/>
      <c r="VRM122" s="4"/>
      <c r="VRN122" s="4"/>
      <c r="VRO122" s="4"/>
      <c r="VRP122" s="4"/>
      <c r="VRQ122" s="4"/>
      <c r="VRR122" s="4"/>
      <c r="VRS122" s="4"/>
      <c r="VRT122" s="4"/>
      <c r="VRU122" s="4"/>
      <c r="VRV122" s="4"/>
      <c r="VRW122" s="4"/>
      <c r="VRX122" s="4"/>
      <c r="VRY122" s="4"/>
      <c r="VRZ122" s="4"/>
      <c r="VSA122" s="4"/>
      <c r="VSB122" s="4"/>
      <c r="VSC122" s="4"/>
      <c r="VSD122" s="4"/>
      <c r="VSE122" s="4"/>
      <c r="VSF122" s="4"/>
      <c r="VSG122" s="4"/>
      <c r="VSH122" s="4"/>
      <c r="VSI122" s="4"/>
      <c r="VSJ122" s="4"/>
      <c r="VSK122" s="4"/>
      <c r="VSL122" s="4"/>
      <c r="VSM122" s="4"/>
      <c r="VSN122" s="4"/>
      <c r="VSO122" s="4"/>
      <c r="VSP122" s="4"/>
      <c r="VSQ122" s="4"/>
      <c r="VSR122" s="4"/>
      <c r="VSS122" s="4"/>
      <c r="VST122" s="4"/>
      <c r="VSU122" s="4"/>
      <c r="VSV122" s="4"/>
      <c r="VSW122" s="4"/>
      <c r="VSX122" s="4"/>
      <c r="VSY122" s="4"/>
      <c r="VSZ122" s="4"/>
      <c r="VTA122" s="4"/>
      <c r="VTB122" s="4"/>
      <c r="VTC122" s="4"/>
      <c r="VTD122" s="4"/>
      <c r="VTE122" s="4"/>
      <c r="VTF122" s="4"/>
      <c r="VTG122" s="4"/>
      <c r="VTH122" s="4"/>
      <c r="VTI122" s="4"/>
      <c r="VTJ122" s="4"/>
      <c r="VTK122" s="4"/>
      <c r="VTL122" s="4"/>
      <c r="VTM122" s="4"/>
      <c r="VTN122" s="4"/>
      <c r="VTO122" s="4"/>
      <c r="VTP122" s="4"/>
      <c r="VTQ122" s="4"/>
      <c r="VTR122" s="4"/>
      <c r="VTS122" s="4"/>
      <c r="VTT122" s="4"/>
      <c r="VTU122" s="4"/>
      <c r="VTV122" s="4"/>
      <c r="VTW122" s="4"/>
      <c r="VTX122" s="4"/>
      <c r="VTY122" s="4"/>
      <c r="VTZ122" s="4"/>
      <c r="VUA122" s="4"/>
      <c r="VUB122" s="4"/>
      <c r="VUC122" s="4"/>
      <c r="VUD122" s="4"/>
      <c r="VUE122" s="4"/>
      <c r="VUF122" s="4"/>
      <c r="VUG122" s="4"/>
      <c r="VUH122" s="4"/>
      <c r="VUI122" s="4"/>
      <c r="VUJ122" s="4"/>
      <c r="VUK122" s="4"/>
      <c r="VUL122" s="4"/>
      <c r="VUM122" s="4"/>
      <c r="VUN122" s="4"/>
      <c r="VUO122" s="4"/>
      <c r="VUP122" s="4"/>
      <c r="VUQ122" s="4"/>
      <c r="VUR122" s="4"/>
      <c r="VUS122" s="4"/>
      <c r="VUT122" s="4"/>
      <c r="VUU122" s="4"/>
      <c r="VUV122" s="4"/>
      <c r="VUW122" s="4"/>
      <c r="VUX122" s="4"/>
      <c r="VUY122" s="4"/>
      <c r="VUZ122" s="4"/>
      <c r="VVA122" s="4"/>
      <c r="VVB122" s="4"/>
      <c r="VVC122" s="4"/>
      <c r="VVD122" s="4"/>
      <c r="VVE122" s="4"/>
      <c r="VVF122" s="4"/>
      <c r="VVG122" s="4"/>
      <c r="VVH122" s="4"/>
      <c r="VVI122" s="4"/>
      <c r="VVJ122" s="4"/>
      <c r="VVK122" s="4"/>
      <c r="VVL122" s="4"/>
      <c r="VVM122" s="4"/>
      <c r="VVN122" s="4"/>
      <c r="VVO122" s="4"/>
      <c r="VVP122" s="4"/>
      <c r="VVQ122" s="4"/>
      <c r="VVR122" s="4"/>
      <c r="VVS122" s="4"/>
      <c r="VVT122" s="4"/>
      <c r="VVU122" s="4"/>
      <c r="VVV122" s="4"/>
      <c r="VVW122" s="4"/>
      <c r="VVX122" s="4"/>
      <c r="VVY122" s="4"/>
      <c r="VVZ122" s="4"/>
      <c r="VWA122" s="4"/>
      <c r="VWB122" s="4"/>
      <c r="VWC122" s="4"/>
      <c r="VWD122" s="4"/>
      <c r="VWE122" s="4"/>
      <c r="VWF122" s="4"/>
      <c r="VWG122" s="4"/>
      <c r="VWH122" s="4"/>
      <c r="VWI122" s="4"/>
      <c r="VWJ122" s="4"/>
      <c r="VWK122" s="4"/>
      <c r="VWL122" s="4"/>
      <c r="VWM122" s="4"/>
      <c r="VWN122" s="4"/>
      <c r="VWO122" s="4"/>
      <c r="VWP122" s="4"/>
      <c r="VWQ122" s="4"/>
      <c r="VWR122" s="4"/>
      <c r="VWS122" s="4"/>
      <c r="VWT122" s="4"/>
      <c r="VWU122" s="4"/>
      <c r="VWV122" s="4"/>
      <c r="VWW122" s="4"/>
      <c r="VWX122" s="4"/>
      <c r="VWY122" s="4"/>
      <c r="VWZ122" s="4"/>
      <c r="VXA122" s="4"/>
      <c r="VXB122" s="4"/>
      <c r="VXC122" s="4"/>
      <c r="VXD122" s="4"/>
      <c r="VXE122" s="4"/>
      <c r="VXF122" s="4"/>
      <c r="VXG122" s="4"/>
      <c r="VXH122" s="4"/>
      <c r="VXI122" s="4"/>
      <c r="VXJ122" s="4"/>
      <c r="VXK122" s="4"/>
      <c r="VXL122" s="4"/>
      <c r="VXM122" s="4"/>
      <c r="VXN122" s="4"/>
      <c r="VXO122" s="4"/>
      <c r="VXP122" s="4"/>
      <c r="VXQ122" s="4"/>
      <c r="VXR122" s="4"/>
      <c r="VXS122" s="4"/>
      <c r="VXT122" s="4"/>
      <c r="VXU122" s="4"/>
      <c r="VXV122" s="4"/>
      <c r="VXW122" s="4"/>
      <c r="VXX122" s="4"/>
      <c r="VXY122" s="4"/>
      <c r="VXZ122" s="4"/>
      <c r="VYA122" s="4"/>
      <c r="VYB122" s="4"/>
      <c r="VYC122" s="4"/>
      <c r="VYD122" s="4"/>
      <c r="VYE122" s="4"/>
      <c r="VYF122" s="4"/>
      <c r="VYG122" s="4"/>
      <c r="VYH122" s="4"/>
      <c r="VYI122" s="4"/>
      <c r="VYJ122" s="4"/>
      <c r="VYK122" s="4"/>
      <c r="VYL122" s="4"/>
      <c r="VYM122" s="4"/>
      <c r="VYN122" s="4"/>
      <c r="VYO122" s="4"/>
      <c r="VYP122" s="4"/>
      <c r="VYQ122" s="4"/>
      <c r="VYR122" s="4"/>
      <c r="VYS122" s="4"/>
      <c r="VYT122" s="4"/>
      <c r="VYU122" s="4"/>
      <c r="VYV122" s="4"/>
      <c r="VYW122" s="4"/>
      <c r="VYX122" s="4"/>
      <c r="VYY122" s="4"/>
      <c r="VYZ122" s="4"/>
      <c r="VZA122" s="4"/>
      <c r="VZB122" s="4"/>
      <c r="VZC122" s="4"/>
      <c r="VZD122" s="4"/>
      <c r="VZE122" s="4"/>
      <c r="VZF122" s="4"/>
      <c r="VZG122" s="4"/>
      <c r="VZH122" s="4"/>
      <c r="VZI122" s="4"/>
      <c r="VZJ122" s="4"/>
      <c r="VZK122" s="4"/>
      <c r="VZL122" s="4"/>
      <c r="VZM122" s="4"/>
      <c r="VZN122" s="4"/>
      <c r="VZO122" s="4"/>
      <c r="VZP122" s="4"/>
      <c r="VZQ122" s="4"/>
      <c r="VZR122" s="4"/>
      <c r="VZS122" s="4"/>
      <c r="VZT122" s="4"/>
      <c r="VZU122" s="4"/>
      <c r="VZV122" s="4"/>
      <c r="VZW122" s="4"/>
      <c r="VZX122" s="4"/>
      <c r="VZY122" s="4"/>
      <c r="VZZ122" s="4"/>
      <c r="WAA122" s="4"/>
      <c r="WAB122" s="4"/>
      <c r="WAC122" s="4"/>
      <c r="WAD122" s="4"/>
      <c r="WAE122" s="4"/>
      <c r="WAF122" s="4"/>
      <c r="WAG122" s="4"/>
      <c r="WAH122" s="4"/>
      <c r="WAI122" s="4"/>
      <c r="WAJ122" s="4"/>
      <c r="WAK122" s="4"/>
      <c r="WAL122" s="4"/>
      <c r="WAM122" s="4"/>
      <c r="WAN122" s="4"/>
      <c r="WAO122" s="4"/>
      <c r="WAP122" s="4"/>
      <c r="WAQ122" s="4"/>
      <c r="WAR122" s="4"/>
      <c r="WAS122" s="4"/>
      <c r="WAT122" s="4"/>
      <c r="WAU122" s="4"/>
      <c r="WAV122" s="4"/>
      <c r="WAW122" s="4"/>
      <c r="WAX122" s="4"/>
      <c r="WAY122" s="4"/>
      <c r="WAZ122" s="4"/>
      <c r="WBA122" s="4"/>
      <c r="WBB122" s="4"/>
      <c r="WBC122" s="4"/>
      <c r="WBD122" s="4"/>
      <c r="WBE122" s="4"/>
      <c r="WBF122" s="4"/>
      <c r="WBG122" s="4"/>
      <c r="WBH122" s="4"/>
      <c r="WBI122" s="4"/>
      <c r="WBJ122" s="4"/>
      <c r="WBK122" s="4"/>
      <c r="WBL122" s="4"/>
      <c r="WBM122" s="4"/>
      <c r="WBN122" s="4"/>
      <c r="WBO122" s="4"/>
      <c r="WBP122" s="4"/>
      <c r="WBQ122" s="4"/>
      <c r="WBR122" s="4"/>
      <c r="WBS122" s="4"/>
      <c r="WBT122" s="4"/>
      <c r="WBU122" s="4"/>
      <c r="WBV122" s="4"/>
      <c r="WBW122" s="4"/>
      <c r="WBX122" s="4"/>
      <c r="WBY122" s="4"/>
      <c r="WBZ122" s="4"/>
      <c r="WCA122" s="4"/>
      <c r="WCB122" s="4"/>
      <c r="WCC122" s="4"/>
      <c r="WCD122" s="4"/>
      <c r="WCE122" s="4"/>
      <c r="WCF122" s="4"/>
      <c r="WCG122" s="4"/>
      <c r="WCH122" s="4"/>
      <c r="WCI122" s="4"/>
      <c r="WCJ122" s="4"/>
      <c r="WCK122" s="4"/>
      <c r="WCL122" s="4"/>
      <c r="WCM122" s="4"/>
      <c r="WCN122" s="4"/>
      <c r="WCO122" s="4"/>
      <c r="WCP122" s="4"/>
      <c r="WCQ122" s="4"/>
      <c r="WCR122" s="4"/>
      <c r="WCS122" s="4"/>
      <c r="WCT122" s="4"/>
      <c r="WCU122" s="4"/>
      <c r="WCV122" s="4"/>
      <c r="WCW122" s="4"/>
      <c r="WCX122" s="4"/>
      <c r="WCY122" s="4"/>
      <c r="WCZ122" s="4"/>
      <c r="WDA122" s="4"/>
      <c r="WDB122" s="4"/>
      <c r="WDC122" s="4"/>
      <c r="WDD122" s="4"/>
      <c r="WDE122" s="4"/>
      <c r="WDF122" s="4"/>
      <c r="WDG122" s="4"/>
      <c r="WDH122" s="4"/>
      <c r="WDI122" s="4"/>
      <c r="WDJ122" s="4"/>
      <c r="WDK122" s="4"/>
      <c r="WDL122" s="4"/>
      <c r="WDM122" s="4"/>
      <c r="WDN122" s="4"/>
      <c r="WDO122" s="4"/>
      <c r="WDP122" s="4"/>
      <c r="WDQ122" s="4"/>
      <c r="WDR122" s="4"/>
      <c r="WDS122" s="4"/>
      <c r="WDT122" s="4"/>
      <c r="WDU122" s="4"/>
      <c r="WDV122" s="4"/>
      <c r="WDW122" s="4"/>
      <c r="WDX122" s="4"/>
      <c r="WDY122" s="4"/>
      <c r="WDZ122" s="4"/>
      <c r="WEA122" s="4"/>
      <c r="WEB122" s="4"/>
      <c r="WEC122" s="4"/>
      <c r="WED122" s="4"/>
      <c r="WEE122" s="4"/>
      <c r="WEF122" s="4"/>
      <c r="WEG122" s="4"/>
      <c r="WEH122" s="4"/>
      <c r="WEI122" s="4"/>
      <c r="WEJ122" s="4"/>
      <c r="WEK122" s="4"/>
      <c r="WEL122" s="4"/>
      <c r="WEM122" s="4"/>
      <c r="WEN122" s="4"/>
      <c r="WEO122" s="4"/>
      <c r="WEP122" s="4"/>
      <c r="WEQ122" s="4"/>
      <c r="WER122" s="4"/>
      <c r="WES122" s="4"/>
      <c r="WET122" s="4"/>
      <c r="WEU122" s="4"/>
      <c r="WEV122" s="4"/>
      <c r="WEW122" s="4"/>
      <c r="WEX122" s="4"/>
      <c r="WEY122" s="4"/>
      <c r="WEZ122" s="4"/>
      <c r="WFA122" s="4"/>
      <c r="WFB122" s="4"/>
      <c r="WFC122" s="4"/>
      <c r="WFD122" s="4"/>
      <c r="WFE122" s="4"/>
      <c r="WFF122" s="4"/>
      <c r="WFG122" s="4"/>
      <c r="WFH122" s="4"/>
      <c r="WFI122" s="4"/>
      <c r="WFJ122" s="4"/>
      <c r="WFK122" s="4"/>
      <c r="WFL122" s="4"/>
      <c r="WFM122" s="4"/>
      <c r="WFN122" s="4"/>
      <c r="WFO122" s="4"/>
      <c r="WFP122" s="4"/>
      <c r="WFQ122" s="4"/>
      <c r="WFR122" s="4"/>
      <c r="WFS122" s="4"/>
      <c r="WFT122" s="4"/>
      <c r="WFU122" s="4"/>
      <c r="WFV122" s="4"/>
      <c r="WFW122" s="4"/>
      <c r="WFX122" s="4"/>
      <c r="WFY122" s="4"/>
      <c r="WFZ122" s="4"/>
      <c r="WGA122" s="4"/>
      <c r="WGB122" s="4"/>
      <c r="WGC122" s="4"/>
      <c r="WGD122" s="4"/>
      <c r="WGE122" s="4"/>
      <c r="WGF122" s="4"/>
      <c r="WGG122" s="4"/>
      <c r="WGH122" s="4"/>
      <c r="WGI122" s="4"/>
      <c r="WGJ122" s="4"/>
      <c r="WGK122" s="4"/>
      <c r="WGL122" s="4"/>
      <c r="WGM122" s="4"/>
      <c r="WGN122" s="4"/>
      <c r="WGO122" s="4"/>
      <c r="WGP122" s="4"/>
      <c r="WGQ122" s="4"/>
      <c r="WGR122" s="4"/>
      <c r="WGS122" s="4"/>
      <c r="WGT122" s="4"/>
      <c r="WGU122" s="4"/>
      <c r="WGV122" s="4"/>
      <c r="WGW122" s="4"/>
      <c r="WGX122" s="4"/>
      <c r="WGY122" s="4"/>
      <c r="WGZ122" s="4"/>
      <c r="WHA122" s="4"/>
      <c r="WHB122" s="4"/>
      <c r="WHC122" s="4"/>
      <c r="WHD122" s="4"/>
      <c r="WHE122" s="4"/>
      <c r="WHF122" s="4"/>
      <c r="WHG122" s="4"/>
      <c r="WHH122" s="4"/>
      <c r="WHI122" s="4"/>
      <c r="WHJ122" s="4"/>
      <c r="WHK122" s="4"/>
      <c r="WHL122" s="4"/>
      <c r="WHM122" s="4"/>
      <c r="WHN122" s="4"/>
      <c r="WHO122" s="4"/>
      <c r="WHP122" s="4"/>
      <c r="WHQ122" s="4"/>
      <c r="WHR122" s="4"/>
      <c r="WHS122" s="4"/>
      <c r="WHT122" s="4"/>
      <c r="WHU122" s="4"/>
      <c r="WHV122" s="4"/>
      <c r="WHW122" s="4"/>
      <c r="WHX122" s="4"/>
      <c r="WHY122" s="4"/>
      <c r="WHZ122" s="4"/>
      <c r="WIA122" s="4"/>
      <c r="WIB122" s="4"/>
      <c r="WIC122" s="4"/>
      <c r="WID122" s="4"/>
      <c r="WIE122" s="4"/>
      <c r="WIF122" s="4"/>
      <c r="WIG122" s="4"/>
      <c r="WIH122" s="4"/>
      <c r="WII122" s="4"/>
      <c r="WIJ122" s="4"/>
      <c r="WIK122" s="4"/>
      <c r="WIL122" s="4"/>
      <c r="WIM122" s="4"/>
      <c r="WIN122" s="4"/>
      <c r="WIO122" s="4"/>
      <c r="WIP122" s="4"/>
      <c r="WIQ122" s="4"/>
      <c r="WIR122" s="4"/>
      <c r="WIS122" s="4"/>
      <c r="WIT122" s="4"/>
      <c r="WIU122" s="4"/>
      <c r="WIV122" s="4"/>
      <c r="WIW122" s="4"/>
      <c r="WIX122" s="4"/>
      <c r="WIY122" s="4"/>
      <c r="WIZ122" s="4"/>
      <c r="WJA122" s="4"/>
      <c r="WJB122" s="4"/>
      <c r="WJC122" s="4"/>
      <c r="WJD122" s="4"/>
      <c r="WJE122" s="4"/>
      <c r="WJF122" s="4"/>
      <c r="WJG122" s="4"/>
      <c r="WJH122" s="4"/>
      <c r="WJI122" s="4"/>
      <c r="WJJ122" s="4"/>
      <c r="WJK122" s="4"/>
      <c r="WJL122" s="4"/>
      <c r="WJM122" s="4"/>
      <c r="WJN122" s="4"/>
      <c r="WJO122" s="4"/>
      <c r="WJP122" s="4"/>
      <c r="WJQ122" s="4"/>
      <c r="WJR122" s="4"/>
      <c r="WJS122" s="4"/>
      <c r="WJT122" s="4"/>
      <c r="WJU122" s="4"/>
      <c r="WJV122" s="4"/>
      <c r="WJW122" s="4"/>
      <c r="WJX122" s="4"/>
      <c r="WJY122" s="4"/>
      <c r="WJZ122" s="4"/>
      <c r="WKA122" s="4"/>
      <c r="WKB122" s="4"/>
      <c r="WKC122" s="4"/>
      <c r="WKD122" s="4"/>
      <c r="WKE122" s="4"/>
      <c r="WKF122" s="4"/>
      <c r="WKG122" s="4"/>
      <c r="WKH122" s="4"/>
      <c r="WKI122" s="4"/>
      <c r="WKJ122" s="4"/>
      <c r="WKK122" s="4"/>
      <c r="WKL122" s="4"/>
      <c r="WKM122" s="4"/>
      <c r="WKN122" s="4"/>
      <c r="WKO122" s="4"/>
      <c r="WKP122" s="4"/>
      <c r="WKQ122" s="4"/>
      <c r="WKR122" s="4"/>
      <c r="WKS122" s="4"/>
      <c r="WKT122" s="4"/>
      <c r="WKU122" s="4"/>
      <c r="WKV122" s="4"/>
      <c r="WKW122" s="4"/>
      <c r="WKX122" s="4"/>
      <c r="WKY122" s="4"/>
      <c r="WKZ122" s="4"/>
      <c r="WLA122" s="4"/>
      <c r="WLB122" s="4"/>
      <c r="WLC122" s="4"/>
      <c r="WLD122" s="4"/>
      <c r="WLE122" s="4"/>
      <c r="WLF122" s="4"/>
      <c r="WLG122" s="4"/>
      <c r="WLH122" s="4"/>
      <c r="WLI122" s="4"/>
      <c r="WLJ122" s="4"/>
      <c r="WLK122" s="4"/>
      <c r="WLL122" s="4"/>
      <c r="WLM122" s="4"/>
      <c r="WLN122" s="4"/>
      <c r="WLO122" s="4"/>
      <c r="WLP122" s="4"/>
      <c r="WLQ122" s="4"/>
      <c r="WLR122" s="4"/>
      <c r="WLS122" s="4"/>
      <c r="WLT122" s="4"/>
      <c r="WLU122" s="4"/>
      <c r="WLV122" s="4"/>
      <c r="WLW122" s="4"/>
      <c r="WLX122" s="4"/>
      <c r="WLY122" s="4"/>
      <c r="WLZ122" s="4"/>
      <c r="WMA122" s="4"/>
      <c r="WMB122" s="4"/>
      <c r="WMC122" s="4"/>
      <c r="WMD122" s="4"/>
      <c r="WME122" s="4"/>
      <c r="WMF122" s="4"/>
      <c r="WMG122" s="4"/>
      <c r="WMH122" s="4"/>
      <c r="WMI122" s="4"/>
      <c r="WMJ122" s="4"/>
      <c r="WMK122" s="4"/>
      <c r="WML122" s="4"/>
      <c r="WMM122" s="4"/>
      <c r="WMN122" s="4"/>
      <c r="WMO122" s="4"/>
      <c r="WMP122" s="4"/>
      <c r="WMQ122" s="4"/>
      <c r="WMR122" s="4"/>
      <c r="WMS122" s="4"/>
      <c r="WMT122" s="4"/>
      <c r="WMU122" s="4"/>
      <c r="WMV122" s="4"/>
      <c r="WMW122" s="4"/>
      <c r="WMX122" s="4"/>
      <c r="WMY122" s="4"/>
      <c r="WMZ122" s="4"/>
      <c r="WNA122" s="4"/>
      <c r="WNB122" s="4"/>
      <c r="WNC122" s="4"/>
      <c r="WND122" s="4"/>
      <c r="WNE122" s="4"/>
      <c r="WNF122" s="4"/>
      <c r="WNG122" s="4"/>
      <c r="WNH122" s="4"/>
      <c r="WNI122" s="4"/>
      <c r="WNJ122" s="4"/>
      <c r="WNK122" s="4"/>
      <c r="WNL122" s="4"/>
      <c r="WNM122" s="4"/>
      <c r="WNN122" s="4"/>
      <c r="WNO122" s="4"/>
      <c r="WNP122" s="4"/>
      <c r="WNQ122" s="4"/>
      <c r="WNR122" s="4"/>
      <c r="WNS122" s="4"/>
      <c r="WNT122" s="4"/>
      <c r="WNU122" s="4"/>
      <c r="WNV122" s="4"/>
      <c r="WNW122" s="4"/>
      <c r="WNX122" s="4"/>
      <c r="WNY122" s="4"/>
      <c r="WNZ122" s="4"/>
      <c r="WOA122" s="4"/>
      <c r="WOB122" s="4"/>
      <c r="WOC122" s="4"/>
      <c r="WOD122" s="4"/>
      <c r="WOE122" s="4"/>
      <c r="WOF122" s="4"/>
      <c r="WOG122" s="4"/>
      <c r="WOH122" s="4"/>
      <c r="WOI122" s="4"/>
      <c r="WOJ122" s="4"/>
      <c r="WOK122" s="4"/>
      <c r="WOL122" s="4"/>
      <c r="WOM122" s="4"/>
      <c r="WON122" s="4"/>
      <c r="WOO122" s="4"/>
      <c r="WOP122" s="4"/>
      <c r="WOQ122" s="4"/>
      <c r="WOR122" s="4"/>
      <c r="WOS122" s="4"/>
      <c r="WOT122" s="4"/>
      <c r="WOU122" s="4"/>
      <c r="WOV122" s="4"/>
      <c r="WOW122" s="4"/>
      <c r="WOX122" s="4"/>
      <c r="WOY122" s="4"/>
      <c r="WOZ122" s="4"/>
      <c r="WPA122" s="4"/>
      <c r="WPB122" s="4"/>
      <c r="WPC122" s="4"/>
      <c r="WPD122" s="4"/>
      <c r="WPE122" s="4"/>
      <c r="WPF122" s="4"/>
      <c r="WPG122" s="4"/>
      <c r="WPH122" s="4"/>
      <c r="WPI122" s="4"/>
      <c r="WPJ122" s="4"/>
      <c r="WPK122" s="4"/>
      <c r="WPL122" s="4"/>
      <c r="WPM122" s="4"/>
      <c r="WPN122" s="4"/>
      <c r="WPO122" s="4"/>
      <c r="WPP122" s="4"/>
      <c r="WPQ122" s="4"/>
      <c r="WPR122" s="4"/>
      <c r="WPS122" s="4"/>
      <c r="WPT122" s="4"/>
      <c r="WPU122" s="4"/>
      <c r="WPV122" s="4"/>
      <c r="WPW122" s="4"/>
      <c r="WPX122" s="4"/>
      <c r="WPY122" s="4"/>
      <c r="WPZ122" s="4"/>
      <c r="WQA122" s="4"/>
      <c r="WQB122" s="4"/>
      <c r="WQC122" s="4"/>
      <c r="WQD122" s="4"/>
      <c r="WQE122" s="4"/>
      <c r="WQF122" s="4"/>
      <c r="WQG122" s="4"/>
      <c r="WQH122" s="4"/>
      <c r="WQI122" s="4"/>
      <c r="WQJ122" s="4"/>
      <c r="WQK122" s="4"/>
      <c r="WQL122" s="4"/>
      <c r="WQM122" s="4"/>
      <c r="WQN122" s="4"/>
      <c r="WQO122" s="4"/>
      <c r="WQP122" s="4"/>
      <c r="WQQ122" s="4"/>
      <c r="WQR122" s="4"/>
      <c r="WQS122" s="4"/>
      <c r="WQT122" s="4"/>
      <c r="WQU122" s="4"/>
      <c r="WQV122" s="4"/>
      <c r="WQW122" s="4"/>
      <c r="WQX122" s="4"/>
      <c r="WQY122" s="4"/>
      <c r="WQZ122" s="4"/>
      <c r="WRA122" s="4"/>
      <c r="WRB122" s="4"/>
      <c r="WRC122" s="4"/>
      <c r="WRD122" s="4"/>
      <c r="WRE122" s="4"/>
      <c r="WRF122" s="4"/>
      <c r="WRG122" s="4"/>
      <c r="WRH122" s="4"/>
      <c r="WRI122" s="4"/>
      <c r="WRJ122" s="4"/>
      <c r="WRK122" s="4"/>
      <c r="WRL122" s="4"/>
      <c r="WRM122" s="4"/>
      <c r="WRN122" s="4"/>
      <c r="WRO122" s="4"/>
      <c r="WRP122" s="4"/>
      <c r="WRQ122" s="4"/>
      <c r="WRR122" s="4"/>
      <c r="WRS122" s="4"/>
      <c r="WRT122" s="4"/>
      <c r="WRU122" s="4"/>
      <c r="WRV122" s="4"/>
      <c r="WRW122" s="4"/>
      <c r="WRX122" s="4"/>
      <c r="WRY122" s="4"/>
      <c r="WRZ122" s="4"/>
      <c r="WSA122" s="4"/>
      <c r="WSB122" s="4"/>
      <c r="WSC122" s="4"/>
      <c r="WSD122" s="4"/>
      <c r="WSE122" s="4"/>
      <c r="WSF122" s="4"/>
      <c r="WSG122" s="4"/>
      <c r="WSH122" s="4"/>
      <c r="WSI122" s="4"/>
      <c r="WSJ122" s="4"/>
      <c r="WSK122" s="4"/>
      <c r="WSL122" s="4"/>
      <c r="WSM122" s="4"/>
      <c r="WSN122" s="4"/>
      <c r="WSO122" s="4"/>
      <c r="WSP122" s="4"/>
      <c r="WSQ122" s="4"/>
      <c r="WSR122" s="4"/>
      <c r="WSS122" s="4"/>
      <c r="WST122" s="4"/>
      <c r="WSU122" s="4"/>
      <c r="WSV122" s="4"/>
      <c r="WSW122" s="4"/>
      <c r="WSX122" s="4"/>
      <c r="WSY122" s="4"/>
      <c r="WSZ122" s="4"/>
      <c r="WTA122" s="4"/>
      <c r="WTB122" s="4"/>
      <c r="WTC122" s="4"/>
      <c r="WTD122" s="4"/>
      <c r="WTE122" s="4"/>
      <c r="WTF122" s="4"/>
      <c r="WTG122" s="4"/>
      <c r="WTH122" s="4"/>
      <c r="WTI122" s="4"/>
      <c r="WTJ122" s="4"/>
      <c r="WTK122" s="4"/>
      <c r="WTL122" s="4"/>
      <c r="WTM122" s="4"/>
      <c r="WTN122" s="4"/>
      <c r="WTO122" s="4"/>
      <c r="WTP122" s="4"/>
      <c r="WTQ122" s="4"/>
      <c r="WTR122" s="4"/>
      <c r="WTS122" s="4"/>
      <c r="WTT122" s="4"/>
      <c r="WTU122" s="4"/>
      <c r="WTV122" s="4"/>
      <c r="WTW122" s="4"/>
      <c r="WTX122" s="4"/>
      <c r="WTY122" s="4"/>
      <c r="WTZ122" s="4"/>
      <c r="WUA122" s="4"/>
      <c r="WUB122" s="4"/>
      <c r="WUC122" s="4"/>
      <c r="WUD122" s="4"/>
      <c r="WUE122" s="4"/>
      <c r="WUF122" s="4"/>
      <c r="WUG122" s="4"/>
      <c r="WUH122" s="4"/>
      <c r="WUI122" s="4"/>
      <c r="WUJ122" s="4"/>
      <c r="WUK122" s="4"/>
      <c r="WUL122" s="4"/>
      <c r="WUM122" s="4"/>
      <c r="WUN122" s="4"/>
      <c r="WUO122" s="4"/>
      <c r="WUP122" s="4"/>
      <c r="WUQ122" s="4"/>
      <c r="WUR122" s="4"/>
      <c r="WUS122" s="4"/>
      <c r="WUT122" s="4"/>
      <c r="WUU122" s="4"/>
      <c r="WUV122" s="4"/>
      <c r="WUW122" s="4"/>
      <c r="WUX122" s="4"/>
      <c r="WUY122" s="4"/>
      <c r="WUZ122" s="4"/>
      <c r="WVA122" s="4"/>
      <c r="WVB122" s="4"/>
      <c r="WVC122" s="4"/>
      <c r="WVD122" s="4"/>
      <c r="WVE122" s="4"/>
      <c r="WVF122" s="4"/>
      <c r="WVG122" s="4"/>
      <c r="WVH122" s="4"/>
      <c r="WVI122" s="4"/>
      <c r="WVJ122" s="4"/>
      <c r="WVK122" s="4"/>
      <c r="WVL122" s="4"/>
      <c r="WVM122" s="4"/>
      <c r="WVN122" s="4"/>
      <c r="WVO122" s="4"/>
      <c r="WVP122" s="4"/>
      <c r="WVQ122" s="4"/>
      <c r="WVR122" s="4"/>
      <c r="WVS122" s="4"/>
      <c r="WVT122" s="4"/>
      <c r="WVU122" s="4"/>
      <c r="WVV122" s="4"/>
      <c r="WVW122" s="4"/>
      <c r="WVX122" s="4"/>
      <c r="WVY122" s="4"/>
      <c r="WVZ122" s="4"/>
      <c r="WWA122" s="4"/>
      <c r="WWB122" s="4"/>
      <c r="WWC122" s="4"/>
      <c r="WWD122" s="4"/>
      <c r="WWE122" s="4"/>
      <c r="WWF122" s="4"/>
      <c r="WWG122" s="4"/>
      <c r="WWH122" s="4"/>
      <c r="WWI122" s="4"/>
      <c r="WWJ122" s="4"/>
      <c r="WWK122" s="4"/>
      <c r="WWL122" s="4"/>
      <c r="WWM122" s="4"/>
      <c r="WWN122" s="4"/>
      <c r="WWO122" s="4"/>
      <c r="WWP122" s="4"/>
      <c r="WWQ122" s="4"/>
      <c r="WWR122" s="4"/>
      <c r="WWS122" s="4"/>
      <c r="WWT122" s="4"/>
      <c r="WWU122" s="4"/>
      <c r="WWV122" s="4"/>
      <c r="WWW122" s="4"/>
      <c r="WWX122" s="4"/>
      <c r="WWY122" s="4"/>
      <c r="WWZ122" s="4"/>
      <c r="WXA122" s="4"/>
      <c r="WXB122" s="4"/>
      <c r="WXC122" s="4"/>
      <c r="WXD122" s="4"/>
      <c r="WXE122" s="4"/>
      <c r="WXF122" s="4"/>
      <c r="WXG122" s="4"/>
      <c r="WXH122" s="4"/>
      <c r="WXI122" s="4"/>
      <c r="WXJ122" s="4"/>
      <c r="WXK122" s="4"/>
      <c r="WXL122" s="4"/>
      <c r="WXM122" s="4"/>
      <c r="WXN122" s="4"/>
      <c r="WXO122" s="4"/>
      <c r="WXP122" s="4"/>
      <c r="WXQ122" s="4"/>
      <c r="WXR122" s="4"/>
      <c r="WXS122" s="4"/>
      <c r="WXT122" s="4"/>
      <c r="WXU122" s="4"/>
      <c r="WXV122" s="4"/>
      <c r="WXW122" s="4"/>
      <c r="WXX122" s="4"/>
      <c r="WXY122" s="4"/>
      <c r="WXZ122" s="4"/>
      <c r="WYA122" s="4"/>
      <c r="WYB122" s="4"/>
      <c r="WYC122" s="4"/>
      <c r="WYD122" s="4"/>
      <c r="WYE122" s="4"/>
      <c r="WYF122" s="4"/>
      <c r="WYG122" s="4"/>
      <c r="WYH122" s="4"/>
      <c r="WYI122" s="4"/>
      <c r="WYJ122" s="4"/>
      <c r="WYK122" s="4"/>
      <c r="WYL122" s="4"/>
      <c r="WYM122" s="4"/>
      <c r="WYN122" s="4"/>
      <c r="WYO122" s="4"/>
      <c r="WYP122" s="4"/>
      <c r="WYQ122" s="4"/>
      <c r="WYR122" s="4"/>
      <c r="WYS122" s="4"/>
      <c r="WYT122" s="4"/>
      <c r="WYU122" s="4"/>
      <c r="WYV122" s="4"/>
      <c r="WYW122" s="4"/>
      <c r="WYX122" s="4"/>
      <c r="WYY122" s="4"/>
      <c r="WYZ122" s="4"/>
      <c r="WZA122" s="4"/>
      <c r="WZB122" s="4"/>
      <c r="WZC122" s="4"/>
      <c r="WZD122" s="4"/>
      <c r="WZE122" s="4"/>
      <c r="WZF122" s="4"/>
      <c r="WZG122" s="4"/>
      <c r="WZH122" s="4"/>
      <c r="WZI122" s="4"/>
      <c r="WZJ122" s="4"/>
      <c r="WZK122" s="4"/>
      <c r="WZL122" s="4"/>
      <c r="WZM122" s="4"/>
      <c r="WZN122" s="4"/>
      <c r="WZO122" s="4"/>
      <c r="WZP122" s="4"/>
      <c r="WZQ122" s="4"/>
      <c r="WZR122" s="4"/>
      <c r="WZS122" s="4"/>
      <c r="WZT122" s="4"/>
      <c r="WZU122" s="4"/>
      <c r="WZV122" s="4"/>
      <c r="WZW122" s="4"/>
      <c r="WZX122" s="4"/>
      <c r="WZY122" s="4"/>
      <c r="WZZ122" s="4"/>
      <c r="XAA122" s="4"/>
      <c r="XAB122" s="4"/>
      <c r="XAC122" s="4"/>
      <c r="XAD122" s="4"/>
      <c r="XAE122" s="4"/>
      <c r="XAF122" s="4"/>
      <c r="XAG122" s="4"/>
      <c r="XAH122" s="4"/>
      <c r="XAI122" s="4"/>
      <c r="XAJ122" s="4"/>
      <c r="XAK122" s="4"/>
      <c r="XAL122" s="4"/>
      <c r="XAM122" s="4"/>
      <c r="XAN122" s="4"/>
      <c r="XAO122" s="4"/>
      <c r="XAP122" s="4"/>
      <c r="XAQ122" s="4"/>
      <c r="XAR122" s="4"/>
      <c r="XAS122" s="4"/>
      <c r="XAT122" s="4"/>
      <c r="XAU122" s="4"/>
      <c r="XAV122" s="4"/>
      <c r="XAW122" s="4"/>
      <c r="XAX122" s="4"/>
      <c r="XAY122" s="4"/>
      <c r="XAZ122" s="4"/>
      <c r="XBA122" s="4"/>
      <c r="XBB122" s="4"/>
      <c r="XBC122" s="4"/>
      <c r="XBD122" s="4"/>
      <c r="XBE122" s="4"/>
      <c r="XBF122" s="4"/>
      <c r="XBG122" s="4"/>
      <c r="XBH122" s="4"/>
      <c r="XBI122" s="4"/>
      <c r="XBJ122" s="4"/>
      <c r="XBK122" s="4"/>
      <c r="XBL122" s="4"/>
      <c r="XBM122" s="4"/>
      <c r="XBN122" s="4"/>
      <c r="XBO122" s="4"/>
      <c r="XBP122" s="4"/>
      <c r="XBQ122" s="4"/>
      <c r="XBR122" s="4"/>
      <c r="XBS122" s="4"/>
      <c r="XBT122" s="4"/>
      <c r="XBU122" s="4"/>
      <c r="XBV122" s="4"/>
      <c r="XBW122" s="4"/>
      <c r="XBX122" s="4"/>
      <c r="XBY122" s="4"/>
      <c r="XBZ122" s="4"/>
      <c r="XCA122" s="4"/>
      <c r="XCB122" s="4"/>
      <c r="XCC122" s="4"/>
      <c r="XCD122" s="4"/>
      <c r="XCE122" s="4"/>
      <c r="XCF122" s="4"/>
      <c r="XCG122" s="4"/>
      <c r="XCH122" s="4"/>
      <c r="XCI122" s="4"/>
      <c r="XCJ122" s="4"/>
      <c r="XCK122" s="4"/>
      <c r="XCL122" s="4"/>
      <c r="XCM122" s="4"/>
      <c r="XCN122" s="4"/>
      <c r="XCO122" s="4"/>
      <c r="XCP122" s="4"/>
      <c r="XCQ122" s="4"/>
      <c r="XCR122" s="4"/>
      <c r="XCS122" s="4"/>
      <c r="XCT122" s="4"/>
      <c r="XCU122" s="4"/>
      <c r="XCV122" s="4"/>
      <c r="XCW122" s="4"/>
      <c r="XCX122" s="4"/>
      <c r="XCY122" s="4"/>
      <c r="XCZ122" s="4"/>
      <c r="XDA122" s="4"/>
      <c r="XDB122" s="4"/>
      <c r="XDC122" s="4"/>
      <c r="XDD122" s="4"/>
      <c r="XDE122" s="4"/>
      <c r="XDF122" s="4"/>
      <c r="XDG122" s="4"/>
      <c r="XDH122" s="4"/>
      <c r="XDI122" s="4"/>
      <c r="XDJ122" s="4"/>
      <c r="XDK122" s="4"/>
      <c r="XDL122" s="4"/>
      <c r="XDM122" s="4"/>
      <c r="XDN122" s="4"/>
      <c r="XDO122" s="4"/>
      <c r="XDP122" s="4"/>
      <c r="XDQ122" s="4"/>
      <c r="XDR122" s="4"/>
      <c r="XDS122" s="4"/>
      <c r="XDT122" s="4"/>
      <c r="XDU122" s="4"/>
      <c r="XDV122" s="4"/>
      <c r="XDW122" s="4"/>
      <c r="XDX122" s="4"/>
      <c r="XDY122" s="4"/>
      <c r="XDZ122" s="4"/>
      <c r="XEA122" s="4"/>
      <c r="XEB122" s="4"/>
      <c r="XEC122" s="4"/>
      <c r="XED122" s="4"/>
      <c r="XEE122" s="4"/>
      <c r="XEF122" s="4"/>
      <c r="XEG122" s="4"/>
      <c r="XEH122" s="4"/>
      <c r="XEI122" s="4"/>
      <c r="XEJ122" s="4"/>
      <c r="XEK122" s="4"/>
      <c r="XEL122" s="4"/>
      <c r="XEM122" s="4"/>
      <c r="XEN122" s="4"/>
      <c r="XEO122" s="4"/>
      <c r="XEP122" s="4"/>
      <c r="XEQ122" s="4"/>
      <c r="XER122" s="4"/>
      <c r="XES122" s="4"/>
      <c r="XET122" s="4"/>
      <c r="XEU122" s="4"/>
      <c r="XEV122" s="4"/>
      <c r="XEW122" s="4"/>
      <c r="XEX122" s="4"/>
      <c r="XEY122" s="4"/>
      <c r="XEZ122" s="4"/>
      <c r="XFA122" s="4"/>
      <c r="XFB122" s="4"/>
      <c r="XFC122" s="70"/>
    </row>
    <row r="123" spans="1:16383" x14ac:dyDescent="0.35">
      <c r="A123" s="8" t="s">
        <v>344</v>
      </c>
      <c r="B123" s="56" t="s">
        <v>1</v>
      </c>
      <c r="C123" s="56"/>
      <c r="E123" s="85"/>
      <c r="F123" s="1" t="s">
        <v>88</v>
      </c>
      <c r="G123" s="1" t="s">
        <v>48</v>
      </c>
      <c r="H123" s="1" t="s">
        <v>345</v>
      </c>
      <c r="I123" s="1" t="s">
        <v>10</v>
      </c>
      <c r="J123" s="6" t="s">
        <v>50</v>
      </c>
      <c r="K123" s="6"/>
      <c r="L123" s="6"/>
      <c r="N123" s="3">
        <v>0.25</v>
      </c>
      <c r="O123" s="9">
        <v>50000</v>
      </c>
      <c r="P123" s="10"/>
      <c r="Q123" s="10">
        <f>+O123*N123</f>
        <v>12500</v>
      </c>
      <c r="R123" s="10"/>
      <c r="S123" s="10"/>
      <c r="T123" s="10">
        <f>+P123+Q123+R123+S123</f>
        <v>12500</v>
      </c>
      <c r="U123" s="10"/>
      <c r="W123" s="4" t="s">
        <v>346</v>
      </c>
      <c r="AA123" s="65"/>
    </row>
    <row r="124" spans="1:16383" s="67" customFormat="1" x14ac:dyDescent="0.35">
      <c r="A124" s="8" t="s">
        <v>460</v>
      </c>
      <c r="B124" s="1" t="s">
        <v>1</v>
      </c>
      <c r="C124" s="1"/>
      <c r="D124" s="8"/>
      <c r="E124" s="8"/>
      <c r="F124" s="1" t="s">
        <v>77</v>
      </c>
      <c r="G124" s="1" t="s">
        <v>48</v>
      </c>
      <c r="H124" s="1" t="s">
        <v>180</v>
      </c>
      <c r="I124" s="1" t="s">
        <v>9</v>
      </c>
      <c r="J124" s="6" t="s">
        <v>50</v>
      </c>
      <c r="K124" s="6"/>
      <c r="L124" s="6"/>
      <c r="M124" s="4"/>
      <c r="N124" s="3">
        <v>0.25</v>
      </c>
      <c r="O124" s="45">
        <v>20000</v>
      </c>
      <c r="P124" s="10"/>
      <c r="Q124" s="10">
        <f>+O124*N124</f>
        <v>5000</v>
      </c>
      <c r="R124" s="10"/>
      <c r="S124" s="10"/>
      <c r="T124" s="10">
        <f>+P124+Q124+R124+S124</f>
        <v>5000</v>
      </c>
      <c r="U124" s="10"/>
      <c r="V124" s="4"/>
      <c r="W124" s="4" t="s">
        <v>461</v>
      </c>
      <c r="X124" s="4"/>
      <c r="Y124" s="4"/>
      <c r="Z124" s="65"/>
    </row>
    <row r="125" spans="1:16383" x14ac:dyDescent="0.35">
      <c r="A125" s="8" t="s">
        <v>17</v>
      </c>
      <c r="B125" s="56" t="s">
        <v>1</v>
      </c>
      <c r="C125" s="56"/>
      <c r="F125" s="1" t="s">
        <v>88</v>
      </c>
      <c r="G125" s="1" t="s">
        <v>48</v>
      </c>
      <c r="H125" s="1" t="s">
        <v>18</v>
      </c>
      <c r="I125" s="1" t="s">
        <v>9</v>
      </c>
      <c r="J125" s="6" t="s">
        <v>50</v>
      </c>
      <c r="K125" s="6"/>
      <c r="L125" s="6"/>
      <c r="N125" s="3">
        <v>0.1</v>
      </c>
      <c r="O125" s="9">
        <v>150000</v>
      </c>
      <c r="P125" s="10"/>
      <c r="Q125" s="10">
        <f>+O125*N125</f>
        <v>15000</v>
      </c>
      <c r="R125" s="10"/>
      <c r="S125" s="10"/>
      <c r="T125" s="10">
        <f>+P125+Q125+R125+S125</f>
        <v>15000</v>
      </c>
      <c r="U125" s="10"/>
      <c r="Y125" s="60"/>
      <c r="AH125" s="80"/>
      <c r="AI125" s="80"/>
    </row>
    <row r="126" spans="1:16383" s="65" customFormat="1" x14ac:dyDescent="0.35">
      <c r="A126" s="8" t="s">
        <v>334</v>
      </c>
      <c r="B126" s="1" t="s">
        <v>1</v>
      </c>
      <c r="C126" s="1"/>
      <c r="D126" s="8"/>
      <c r="E126" s="8"/>
      <c r="F126" s="1" t="s">
        <v>76</v>
      </c>
      <c r="G126" s="1" t="s">
        <v>48</v>
      </c>
      <c r="H126" s="1" t="s">
        <v>38</v>
      </c>
      <c r="I126" s="1" t="s">
        <v>9</v>
      </c>
      <c r="J126" s="6" t="s">
        <v>50</v>
      </c>
      <c r="K126" s="6"/>
      <c r="L126" s="6"/>
      <c r="M126" s="4"/>
      <c r="N126" s="3">
        <v>0.1</v>
      </c>
      <c r="O126" s="9">
        <v>30000</v>
      </c>
      <c r="P126" s="10"/>
      <c r="Q126" s="10">
        <f>+O126*N126</f>
        <v>3000</v>
      </c>
      <c r="R126" s="10"/>
      <c r="S126" s="10"/>
      <c r="T126" s="10">
        <f>+P126+Q126+R126+S126</f>
        <v>3000</v>
      </c>
      <c r="U126" s="10"/>
      <c r="V126" s="4"/>
      <c r="W126" s="4" t="s">
        <v>335</v>
      </c>
      <c r="X126" s="4"/>
      <c r="Y126" s="4"/>
      <c r="Z126" s="4"/>
      <c r="AA126" s="4"/>
      <c r="AB126" s="80"/>
      <c r="AC126" s="80"/>
      <c r="AD126" s="80"/>
      <c r="AE126" s="80"/>
      <c r="AF126" s="80"/>
      <c r="AG126" s="80"/>
      <c r="AH126" s="4"/>
      <c r="AI126" s="4"/>
    </row>
    <row r="127" spans="1:16383" s="65" customFormat="1" x14ac:dyDescent="0.35">
      <c r="A127" s="8" t="s">
        <v>279</v>
      </c>
      <c r="B127" s="1" t="s">
        <v>1</v>
      </c>
      <c r="C127" s="1"/>
      <c r="D127" s="8"/>
      <c r="E127" s="8"/>
      <c r="F127" s="1" t="s">
        <v>76</v>
      </c>
      <c r="G127" s="1" t="s">
        <v>48</v>
      </c>
      <c r="H127" s="1" t="s">
        <v>47</v>
      </c>
      <c r="I127" s="1" t="s">
        <v>116</v>
      </c>
      <c r="J127" s="6" t="s">
        <v>50</v>
      </c>
      <c r="K127" s="6"/>
      <c r="L127" s="6"/>
      <c r="M127" s="4"/>
      <c r="N127" s="3">
        <v>0.1</v>
      </c>
      <c r="O127" s="9">
        <v>30000</v>
      </c>
      <c r="P127" s="10"/>
      <c r="Q127" s="10">
        <f>+O127*N127</f>
        <v>3000</v>
      </c>
      <c r="R127" s="10"/>
      <c r="S127" s="10"/>
      <c r="T127" s="10">
        <f>+P127+Q127+R127+S127</f>
        <v>3000</v>
      </c>
      <c r="U127" s="10"/>
      <c r="V127" s="4"/>
      <c r="W127" s="4" t="s">
        <v>280</v>
      </c>
      <c r="X127" s="4"/>
      <c r="Y127" s="4"/>
      <c r="Z127" s="4"/>
      <c r="AA127" s="4"/>
      <c r="AB127" s="80"/>
      <c r="AC127" s="80"/>
      <c r="AD127" s="80"/>
      <c r="AE127" s="80"/>
      <c r="AF127" s="80"/>
      <c r="AG127" s="80"/>
      <c r="AH127" s="4"/>
      <c r="AI127" s="4"/>
    </row>
    <row r="128" spans="1:16383" s="65" customFormat="1" x14ac:dyDescent="0.35">
      <c r="A128" s="63" t="s">
        <v>483</v>
      </c>
      <c r="B128" s="56" t="s">
        <v>1</v>
      </c>
      <c r="C128" s="56"/>
      <c r="D128" s="8"/>
      <c r="E128" s="8"/>
      <c r="F128" s="1" t="s">
        <v>80</v>
      </c>
      <c r="G128" s="1" t="s">
        <v>48</v>
      </c>
      <c r="H128" s="1" t="s">
        <v>46</v>
      </c>
      <c r="I128" s="1" t="s">
        <v>10</v>
      </c>
      <c r="J128" s="6" t="s">
        <v>50</v>
      </c>
      <c r="K128" s="6"/>
      <c r="L128" s="6"/>
      <c r="M128" s="4"/>
      <c r="N128" s="3">
        <v>0.1</v>
      </c>
      <c r="O128" s="9">
        <v>30000</v>
      </c>
      <c r="P128" s="10"/>
      <c r="Q128" s="10"/>
      <c r="R128" s="10">
        <f>+O128*N128</f>
        <v>3000</v>
      </c>
      <c r="S128" s="10"/>
      <c r="T128" s="10">
        <f>+P128+Q128+R128+S128</f>
        <v>3000</v>
      </c>
      <c r="U128" s="10"/>
      <c r="V128" s="4"/>
      <c r="W128" s="4" t="s">
        <v>484</v>
      </c>
      <c r="X128" s="4"/>
      <c r="Y128" s="4"/>
      <c r="Z128" s="4"/>
      <c r="AA128" s="4"/>
      <c r="AB128" s="80"/>
      <c r="AC128" s="80"/>
      <c r="AD128" s="80"/>
      <c r="AE128" s="80"/>
      <c r="AF128" s="80"/>
      <c r="AG128" s="80"/>
      <c r="AH128" s="4"/>
      <c r="AI128" s="4"/>
    </row>
    <row r="129" spans="1:35" x14ac:dyDescent="0.35">
      <c r="A129" s="8" t="s">
        <v>330</v>
      </c>
      <c r="B129" s="1" t="s">
        <v>1</v>
      </c>
      <c r="F129" s="1" t="s">
        <v>76</v>
      </c>
      <c r="G129" s="1" t="s">
        <v>48</v>
      </c>
      <c r="H129" s="1" t="s">
        <v>47</v>
      </c>
      <c r="I129" s="1" t="s">
        <v>65</v>
      </c>
      <c r="J129" s="6" t="s">
        <v>50</v>
      </c>
      <c r="K129" s="46" t="s">
        <v>26</v>
      </c>
      <c r="L129" s="46"/>
      <c r="N129" s="3">
        <v>0.1</v>
      </c>
      <c r="O129" s="9">
        <v>20000</v>
      </c>
      <c r="P129" s="10"/>
      <c r="Q129" s="10">
        <f>+O129*N129</f>
        <v>2000</v>
      </c>
      <c r="R129" s="10"/>
      <c r="S129" s="10"/>
      <c r="T129" s="10">
        <f>+P129+Q129+R129+S129</f>
        <v>2000</v>
      </c>
      <c r="U129" s="10"/>
      <c r="Y129" s="80"/>
      <c r="Z129" s="80"/>
      <c r="AA129" s="65"/>
      <c r="AH129" s="65"/>
      <c r="AI129" s="65"/>
    </row>
    <row r="130" spans="1:35" s="80" customFormat="1" x14ac:dyDescent="0.35">
      <c r="A130" s="8" t="s">
        <v>302</v>
      </c>
      <c r="B130" s="1" t="s">
        <v>1</v>
      </c>
      <c r="C130" s="1"/>
      <c r="D130" s="8"/>
      <c r="E130" s="8"/>
      <c r="F130" s="1" t="s">
        <v>73</v>
      </c>
      <c r="G130" s="1" t="s">
        <v>48</v>
      </c>
      <c r="H130" s="1" t="s">
        <v>172</v>
      </c>
      <c r="I130" s="1" t="s">
        <v>70</v>
      </c>
      <c r="J130" s="1" t="s">
        <v>50</v>
      </c>
      <c r="K130" s="6"/>
      <c r="L130" s="6"/>
      <c r="M130" s="4"/>
      <c r="N130" s="3">
        <v>0.1</v>
      </c>
      <c r="O130" s="9">
        <v>10000</v>
      </c>
      <c r="P130" s="13"/>
      <c r="Q130" s="10">
        <f>+O130*N130</f>
        <v>1000</v>
      </c>
      <c r="R130" s="10"/>
      <c r="S130" s="10"/>
      <c r="T130" s="10">
        <f>+P130+Q130+R130+S130</f>
        <v>1000</v>
      </c>
      <c r="U130" s="10"/>
      <c r="V130" s="4"/>
      <c r="W130" s="4" t="s">
        <v>487</v>
      </c>
      <c r="X130" s="4"/>
      <c r="Y130" s="41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x14ac:dyDescent="0.35">
      <c r="A131" s="8" t="s">
        <v>542</v>
      </c>
      <c r="B131" s="1" t="s">
        <v>1</v>
      </c>
      <c r="F131" s="1" t="s">
        <v>88</v>
      </c>
      <c r="G131" s="1" t="s">
        <v>48</v>
      </c>
      <c r="H131" s="1" t="s">
        <v>46</v>
      </c>
      <c r="I131" s="1" t="s">
        <v>45</v>
      </c>
      <c r="J131" s="6" t="s">
        <v>51</v>
      </c>
      <c r="K131" s="6"/>
      <c r="L131" s="6"/>
      <c r="N131" s="3">
        <v>0.5</v>
      </c>
      <c r="O131" s="9">
        <f>1400*140</f>
        <v>196000</v>
      </c>
      <c r="P131" s="10"/>
      <c r="Q131" s="10">
        <f>+O131*N131</f>
        <v>98000</v>
      </c>
      <c r="R131" s="10"/>
      <c r="S131" s="10"/>
      <c r="T131" s="10">
        <f>+P131+Q131+R131+S131</f>
        <v>98000</v>
      </c>
      <c r="U131" s="10"/>
      <c r="W131" s="4" t="s">
        <v>543</v>
      </c>
      <c r="Z131" s="65"/>
      <c r="AA131" s="41"/>
      <c r="AH131" s="65"/>
      <c r="AI131" s="65"/>
    </row>
    <row r="132" spans="1:35" x14ac:dyDescent="0.35">
      <c r="A132" s="63" t="s">
        <v>196</v>
      </c>
      <c r="B132" s="56" t="s">
        <v>1</v>
      </c>
      <c r="C132" s="56"/>
      <c r="D132" s="63"/>
      <c r="E132" s="63"/>
      <c r="F132" s="56" t="s">
        <v>80</v>
      </c>
      <c r="G132" s="56" t="s">
        <v>48</v>
      </c>
      <c r="H132" s="56" t="s">
        <v>46</v>
      </c>
      <c r="I132" s="56" t="s">
        <v>10</v>
      </c>
      <c r="J132" s="66" t="s">
        <v>51</v>
      </c>
      <c r="K132" s="66" t="s">
        <v>25</v>
      </c>
      <c r="L132" s="66" t="s">
        <v>10</v>
      </c>
      <c r="M132" s="67"/>
      <c r="N132" s="68">
        <v>0.5</v>
      </c>
      <c r="O132" s="26">
        <v>136829.76000000001</v>
      </c>
      <c r="P132" s="69"/>
      <c r="Q132" s="69">
        <f>+O132*N132</f>
        <v>68414.880000000005</v>
      </c>
      <c r="R132" s="69"/>
      <c r="S132" s="69"/>
      <c r="T132" s="26">
        <f>+P132+Q132+R132+S132</f>
        <v>68414.880000000005</v>
      </c>
      <c r="U132" s="26">
        <f>+T132*0.05</f>
        <v>3420.7440000000006</v>
      </c>
      <c r="V132" s="67"/>
      <c r="W132" s="67" t="s">
        <v>472</v>
      </c>
      <c r="X132" s="67"/>
      <c r="Z132" s="65"/>
      <c r="AA132" s="41"/>
      <c r="AH132" s="65"/>
      <c r="AI132" s="65"/>
    </row>
    <row r="133" spans="1:35" x14ac:dyDescent="0.35">
      <c r="A133" s="8" t="s">
        <v>540</v>
      </c>
      <c r="B133" s="1" t="s">
        <v>1</v>
      </c>
      <c r="F133" s="1" t="s">
        <v>88</v>
      </c>
      <c r="G133" s="1" t="s">
        <v>48</v>
      </c>
      <c r="H133" s="1" t="s">
        <v>47</v>
      </c>
      <c r="I133" s="1" t="s">
        <v>9</v>
      </c>
      <c r="J133" s="6" t="s">
        <v>51</v>
      </c>
      <c r="K133" s="6"/>
      <c r="L133" s="6"/>
      <c r="N133" s="3">
        <v>0.5</v>
      </c>
      <c r="O133" s="9">
        <v>120000</v>
      </c>
      <c r="P133" s="10"/>
      <c r="Q133" s="10">
        <f>+O133*N133</f>
        <v>60000</v>
      </c>
      <c r="R133" s="10"/>
      <c r="S133" s="10"/>
      <c r="T133" s="10">
        <f>+P133+Q133+R133+S133</f>
        <v>60000</v>
      </c>
      <c r="U133" s="10"/>
      <c r="W133" s="4" t="s">
        <v>503</v>
      </c>
      <c r="Z133" s="65"/>
      <c r="AA133" s="41"/>
      <c r="AH133" s="65"/>
      <c r="AI133" s="65"/>
    </row>
    <row r="134" spans="1:35" x14ac:dyDescent="0.35">
      <c r="A134" s="70" t="s">
        <v>226</v>
      </c>
      <c r="B134" s="78" t="s">
        <v>1</v>
      </c>
      <c r="C134" s="78"/>
      <c r="D134" s="78"/>
      <c r="E134" s="78"/>
      <c r="F134" s="78" t="s">
        <v>77</v>
      </c>
      <c r="G134" s="78" t="s">
        <v>48</v>
      </c>
      <c r="H134" s="79" t="s">
        <v>46</v>
      </c>
      <c r="I134" s="79" t="s">
        <v>10</v>
      </c>
      <c r="J134" s="79" t="s">
        <v>51</v>
      </c>
      <c r="K134" s="80"/>
      <c r="L134" s="81"/>
      <c r="M134" s="82"/>
      <c r="N134" s="81">
        <v>0.5</v>
      </c>
      <c r="O134" s="83">
        <v>113400</v>
      </c>
      <c r="P134" s="83"/>
      <c r="Q134" s="83">
        <f>+O134*N134</f>
        <v>56700</v>
      </c>
      <c r="R134" s="82"/>
      <c r="S134" s="80"/>
      <c r="T134" s="82">
        <f>+P134+Q134+R134+S134</f>
        <v>56700</v>
      </c>
      <c r="U134" s="80"/>
      <c r="W134" s="4" t="s">
        <v>320</v>
      </c>
      <c r="Z134" s="65"/>
      <c r="AA134" s="41"/>
      <c r="AH134" s="65"/>
      <c r="AI134" s="65"/>
    </row>
    <row r="135" spans="1:35" s="80" customFormat="1" x14ac:dyDescent="0.35">
      <c r="A135" s="8" t="s">
        <v>42</v>
      </c>
      <c r="B135" s="1" t="s">
        <v>1</v>
      </c>
      <c r="C135" s="1"/>
      <c r="D135" s="8"/>
      <c r="E135" s="8"/>
      <c r="F135" s="1" t="s">
        <v>76</v>
      </c>
      <c r="G135" s="1" t="s">
        <v>48</v>
      </c>
      <c r="H135" s="1" t="s">
        <v>38</v>
      </c>
      <c r="I135" s="1" t="s">
        <v>9</v>
      </c>
      <c r="J135" s="6" t="s">
        <v>51</v>
      </c>
      <c r="K135" s="46" t="s">
        <v>26</v>
      </c>
      <c r="L135" s="46"/>
      <c r="M135" s="4"/>
      <c r="N135" s="3">
        <v>0.5</v>
      </c>
      <c r="O135" s="9">
        <v>30000</v>
      </c>
      <c r="P135" s="10"/>
      <c r="Q135" s="10">
        <f>+O135*N135</f>
        <v>15000</v>
      </c>
      <c r="R135" s="10"/>
      <c r="S135" s="10"/>
      <c r="T135" s="10">
        <f>+P135+Q135+R135+S135</f>
        <v>15000</v>
      </c>
      <c r="U135" s="10"/>
      <c r="V135" s="4"/>
      <c r="W135" s="4" t="s">
        <v>538</v>
      </c>
      <c r="X135" s="4"/>
      <c r="Y135" s="41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35">
      <c r="A136" s="8" t="s">
        <v>269</v>
      </c>
      <c r="B136" s="1" t="s">
        <v>1</v>
      </c>
      <c r="F136" s="1" t="s">
        <v>174</v>
      </c>
      <c r="G136" s="1" t="s">
        <v>48</v>
      </c>
      <c r="H136" s="1" t="s">
        <v>46</v>
      </c>
      <c r="I136" s="1" t="s">
        <v>10</v>
      </c>
      <c r="J136" s="1" t="s">
        <v>51</v>
      </c>
      <c r="K136" s="6"/>
      <c r="L136" s="6"/>
      <c r="N136" s="3">
        <v>0.25</v>
      </c>
      <c r="O136" s="9">
        <v>300000</v>
      </c>
      <c r="P136" s="10"/>
      <c r="Q136" s="10">
        <f>+O136*N136</f>
        <v>75000</v>
      </c>
      <c r="R136" s="10"/>
      <c r="S136" s="10"/>
      <c r="T136" s="10">
        <f>+P136+Q136+R136+S136</f>
        <v>75000</v>
      </c>
      <c r="AA136" s="65"/>
    </row>
    <row r="137" spans="1:35" x14ac:dyDescent="0.35">
      <c r="A137" s="8" t="s">
        <v>401</v>
      </c>
      <c r="B137" s="1" t="s">
        <v>1</v>
      </c>
      <c r="F137" s="1" t="s">
        <v>74</v>
      </c>
      <c r="G137" s="1" t="s">
        <v>48</v>
      </c>
      <c r="H137" s="1" t="s">
        <v>46</v>
      </c>
      <c r="I137" s="1" t="s">
        <v>10</v>
      </c>
      <c r="J137" s="6" t="s">
        <v>51</v>
      </c>
      <c r="K137" s="46"/>
      <c r="L137" s="46"/>
      <c r="N137" s="3">
        <v>0.25</v>
      </c>
      <c r="O137" s="9">
        <v>120000</v>
      </c>
      <c r="P137" s="10"/>
      <c r="Q137" s="10">
        <f>+O137*N137</f>
        <v>30000</v>
      </c>
      <c r="R137" s="10"/>
      <c r="S137" s="10"/>
      <c r="T137" s="10">
        <f>+P137+Q137+R137+S137</f>
        <v>30000</v>
      </c>
      <c r="W137" s="4" t="s">
        <v>402</v>
      </c>
    </row>
    <row r="138" spans="1:35" ht="15.5" customHeight="1" x14ac:dyDescent="0.35">
      <c r="A138" s="70" t="s">
        <v>199</v>
      </c>
      <c r="B138" s="78" t="s">
        <v>1</v>
      </c>
      <c r="C138" s="78"/>
      <c r="D138" s="78"/>
      <c r="E138" s="78"/>
      <c r="F138" s="78" t="s">
        <v>80</v>
      </c>
      <c r="G138" s="78" t="s">
        <v>48</v>
      </c>
      <c r="H138" s="78" t="s">
        <v>177</v>
      </c>
      <c r="I138" s="78" t="s">
        <v>10</v>
      </c>
      <c r="J138" s="78" t="s">
        <v>51</v>
      </c>
      <c r="K138" s="79"/>
      <c r="L138" s="79"/>
      <c r="M138" s="80"/>
      <c r="N138" s="81">
        <v>0.25</v>
      </c>
      <c r="O138" s="97">
        <v>50000</v>
      </c>
      <c r="P138" s="82"/>
      <c r="Q138" s="82">
        <f>+O138*N138</f>
        <v>12500</v>
      </c>
      <c r="R138" s="82"/>
      <c r="S138" s="82"/>
      <c r="T138" s="82">
        <f>+P138+Q138+R138+S138</f>
        <v>12500</v>
      </c>
      <c r="U138" s="10"/>
      <c r="W138" s="80" t="s">
        <v>544</v>
      </c>
      <c r="X138" s="80"/>
    </row>
    <row r="139" spans="1:35" x14ac:dyDescent="0.35">
      <c r="A139" s="8" t="s">
        <v>509</v>
      </c>
      <c r="B139" s="1" t="s">
        <v>1</v>
      </c>
      <c r="F139" s="1" t="s">
        <v>76</v>
      </c>
      <c r="G139" s="1" t="s">
        <v>48</v>
      </c>
      <c r="H139" s="1" t="s">
        <v>180</v>
      </c>
      <c r="I139" s="1" t="s">
        <v>9</v>
      </c>
      <c r="J139" s="6" t="s">
        <v>51</v>
      </c>
      <c r="K139" s="6"/>
      <c r="L139" s="6"/>
      <c r="N139" s="3">
        <v>0.25</v>
      </c>
      <c r="O139" s="9">
        <v>50000</v>
      </c>
      <c r="P139" s="10"/>
      <c r="Q139" s="10">
        <f>+O139*N139</f>
        <v>12500</v>
      </c>
      <c r="R139" s="10"/>
      <c r="S139" s="10"/>
      <c r="T139" s="10">
        <f>+P139+Q139+R139+S139</f>
        <v>12500</v>
      </c>
      <c r="W139" s="4" t="s">
        <v>547</v>
      </c>
    </row>
    <row r="140" spans="1:35" x14ac:dyDescent="0.35">
      <c r="A140" s="8" t="s">
        <v>400</v>
      </c>
      <c r="B140" s="1" t="s">
        <v>1</v>
      </c>
      <c r="F140" s="1" t="s">
        <v>74</v>
      </c>
      <c r="G140" s="1" t="s">
        <v>48</v>
      </c>
      <c r="H140" s="1" t="s">
        <v>38</v>
      </c>
      <c r="I140" s="1" t="s">
        <v>9</v>
      </c>
      <c r="J140" s="6" t="s">
        <v>51</v>
      </c>
      <c r="K140" s="46"/>
      <c r="L140" s="46"/>
      <c r="N140" s="3">
        <v>0.25</v>
      </c>
      <c r="O140" s="9">
        <v>35000</v>
      </c>
      <c r="P140" s="10"/>
      <c r="Q140" s="10">
        <f>+O140*N140</f>
        <v>8750</v>
      </c>
      <c r="R140" s="10"/>
      <c r="S140" s="10"/>
      <c r="T140" s="10">
        <f>+P140+Q140+R140+S140</f>
        <v>8750</v>
      </c>
      <c r="W140" s="4" t="s">
        <v>402</v>
      </c>
    </row>
    <row r="141" spans="1:35" x14ac:dyDescent="0.35">
      <c r="A141" s="63" t="s">
        <v>205</v>
      </c>
      <c r="B141" s="1" t="s">
        <v>1</v>
      </c>
      <c r="F141" s="1" t="s">
        <v>80</v>
      </c>
      <c r="G141" s="1" t="s">
        <v>48</v>
      </c>
      <c r="H141" s="1" t="s">
        <v>46</v>
      </c>
      <c r="I141" s="1" t="s">
        <v>10</v>
      </c>
      <c r="J141" s="6" t="s">
        <v>51</v>
      </c>
      <c r="K141" s="6"/>
      <c r="L141" s="6"/>
      <c r="N141" s="3">
        <v>0.25</v>
      </c>
      <c r="O141" s="9">
        <v>10000</v>
      </c>
      <c r="P141" s="10"/>
      <c r="Q141" s="10">
        <f>+O141*N141</f>
        <v>2500</v>
      </c>
      <c r="R141" s="10"/>
      <c r="S141" s="10"/>
      <c r="T141" s="10">
        <f>+P141+Q141+R141+S141</f>
        <v>2500</v>
      </c>
      <c r="U141" s="10"/>
      <c r="W141" s="4" t="s">
        <v>394</v>
      </c>
      <c r="Z141" s="60"/>
    </row>
    <row r="142" spans="1:35" x14ac:dyDescent="0.35">
      <c r="A142" s="8" t="s">
        <v>539</v>
      </c>
      <c r="B142" s="1" t="s">
        <v>1</v>
      </c>
      <c r="F142" s="1" t="s">
        <v>88</v>
      </c>
      <c r="G142" s="1" t="s">
        <v>48</v>
      </c>
      <c r="H142" s="1" t="s">
        <v>47</v>
      </c>
      <c r="I142" s="1" t="s">
        <v>9</v>
      </c>
      <c r="J142" s="6" t="s">
        <v>51</v>
      </c>
      <c r="K142" s="6"/>
      <c r="L142" s="6"/>
      <c r="N142" s="3">
        <v>0.25</v>
      </c>
      <c r="O142" s="9">
        <v>5000</v>
      </c>
      <c r="P142" s="10"/>
      <c r="Q142" s="10">
        <f>+O142*N142</f>
        <v>1250</v>
      </c>
      <c r="R142" s="10"/>
      <c r="S142" s="10"/>
      <c r="T142" s="10">
        <f>+P142+Q142+R142+S142</f>
        <v>1250</v>
      </c>
      <c r="U142" s="10"/>
      <c r="W142" s="4" t="s">
        <v>541</v>
      </c>
    </row>
    <row r="143" spans="1:35" x14ac:dyDescent="0.35">
      <c r="A143" s="8" t="s">
        <v>247</v>
      </c>
      <c r="B143" s="1" t="s">
        <v>1</v>
      </c>
      <c r="F143" s="1" t="s">
        <v>76</v>
      </c>
      <c r="G143" s="1" t="s">
        <v>48</v>
      </c>
      <c r="H143" s="1" t="s">
        <v>46</v>
      </c>
      <c r="I143" s="1" t="s">
        <v>10</v>
      </c>
      <c r="J143" s="1" t="s">
        <v>51</v>
      </c>
      <c r="K143" s="6"/>
      <c r="L143" s="6"/>
      <c r="N143" s="3">
        <v>0.25</v>
      </c>
      <c r="O143" s="9">
        <v>5000</v>
      </c>
      <c r="P143" s="13"/>
      <c r="Q143" s="10">
        <f>+O143*N143</f>
        <v>1250</v>
      </c>
      <c r="R143" s="10"/>
      <c r="S143" s="10"/>
      <c r="T143" s="10">
        <f>+P143+Q143+R143+S143</f>
        <v>1250</v>
      </c>
      <c r="U143" s="10"/>
      <c r="W143" s="4" t="s">
        <v>548</v>
      </c>
      <c r="AA143" s="60"/>
    </row>
    <row r="144" spans="1:35" s="60" customFormat="1" x14ac:dyDescent="0.35">
      <c r="A144" s="63" t="s">
        <v>392</v>
      </c>
      <c r="B144" s="1" t="s">
        <v>1</v>
      </c>
      <c r="C144" s="1"/>
      <c r="D144" s="63"/>
      <c r="E144" s="63"/>
      <c r="F144" s="56" t="s">
        <v>73</v>
      </c>
      <c r="G144" s="56" t="s">
        <v>48</v>
      </c>
      <c r="H144" s="56" t="s">
        <v>116</v>
      </c>
      <c r="I144" s="56" t="s">
        <v>116</v>
      </c>
      <c r="J144" s="66" t="s">
        <v>51</v>
      </c>
      <c r="K144" s="66"/>
      <c r="L144" s="66"/>
      <c r="M144" s="67"/>
      <c r="N144" s="68">
        <v>0.25</v>
      </c>
      <c r="O144" s="26">
        <v>3000</v>
      </c>
      <c r="P144" s="69"/>
      <c r="Q144" s="10">
        <f>+O144*N144</f>
        <v>750</v>
      </c>
      <c r="R144" s="10"/>
      <c r="S144" s="69"/>
      <c r="T144" s="10">
        <f>+P144+Q144+R144+S144</f>
        <v>750</v>
      </c>
      <c r="U144" s="67"/>
      <c r="V144" s="67"/>
      <c r="W144" s="67" t="s">
        <v>298</v>
      </c>
      <c r="X144" s="67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16384" s="60" customFormat="1" x14ac:dyDescent="0.35">
      <c r="A145" s="8" t="s">
        <v>458</v>
      </c>
      <c r="B145" s="1" t="s">
        <v>1</v>
      </c>
      <c r="C145" s="1"/>
      <c r="D145" s="8"/>
      <c r="E145" s="8"/>
      <c r="F145" s="56" t="s">
        <v>73</v>
      </c>
      <c r="G145" s="1" t="s">
        <v>48</v>
      </c>
      <c r="H145" s="1" t="s">
        <v>71</v>
      </c>
      <c r="I145" s="1" t="s">
        <v>173</v>
      </c>
      <c r="J145" s="6" t="s">
        <v>51</v>
      </c>
      <c r="K145" s="46"/>
      <c r="L145" s="46"/>
      <c r="M145" s="4"/>
      <c r="N145" s="3">
        <v>0.25</v>
      </c>
      <c r="O145" s="9">
        <v>3000</v>
      </c>
      <c r="P145" s="10">
        <f>+O145*N145</f>
        <v>750</v>
      </c>
      <c r="Q145" s="10"/>
      <c r="R145" s="10"/>
      <c r="S145" s="10"/>
      <c r="T145" s="10">
        <f>+P145+Q145+R145+S145</f>
        <v>750</v>
      </c>
      <c r="U145" s="10"/>
      <c r="V145" s="4"/>
      <c r="W145" s="4" t="s">
        <v>459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41"/>
      <c r="DE145" s="41"/>
      <c r="DF145" s="41"/>
      <c r="DG145" s="41"/>
      <c r="DH145" s="41"/>
      <c r="DI145" s="41"/>
      <c r="DJ145" s="41"/>
      <c r="DK145" s="41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  <c r="IY145" s="41"/>
      <c r="IZ145" s="41"/>
      <c r="JA145" s="41"/>
      <c r="JB145" s="41"/>
      <c r="JC145" s="41"/>
      <c r="JD145" s="41"/>
      <c r="JE145" s="41"/>
      <c r="JF145" s="41"/>
      <c r="JG145" s="41"/>
      <c r="JH145" s="41"/>
      <c r="JI145" s="41"/>
      <c r="JJ145" s="41"/>
      <c r="JK145" s="41"/>
      <c r="JL145" s="41"/>
      <c r="JM145" s="41"/>
      <c r="JN145" s="41"/>
      <c r="JO145" s="41"/>
      <c r="JP145" s="41"/>
      <c r="JQ145" s="41"/>
      <c r="JR145" s="41"/>
      <c r="JS145" s="41"/>
      <c r="JT145" s="41"/>
      <c r="JU145" s="41"/>
      <c r="JV145" s="41"/>
      <c r="JW145" s="41"/>
      <c r="JX145" s="41"/>
      <c r="JY145" s="41"/>
      <c r="JZ145" s="41"/>
      <c r="KA145" s="41"/>
      <c r="KB145" s="41"/>
      <c r="KC145" s="41"/>
      <c r="KD145" s="41"/>
      <c r="KE145" s="41"/>
      <c r="KF145" s="41"/>
      <c r="KG145" s="41"/>
      <c r="KH145" s="41"/>
      <c r="KI145" s="41"/>
      <c r="KJ145" s="41"/>
      <c r="KK145" s="41"/>
      <c r="KL145" s="41"/>
      <c r="KM145" s="41"/>
      <c r="KN145" s="41"/>
      <c r="KO145" s="41"/>
      <c r="KP145" s="41"/>
      <c r="KQ145" s="41"/>
      <c r="KR145" s="41"/>
      <c r="KS145" s="41"/>
      <c r="KT145" s="41"/>
      <c r="KU145" s="41"/>
      <c r="KV145" s="41"/>
      <c r="KW145" s="41"/>
      <c r="KX145" s="41"/>
      <c r="KY145" s="41"/>
      <c r="KZ145" s="41"/>
      <c r="LA145" s="41"/>
      <c r="LB145" s="41"/>
      <c r="LC145" s="41"/>
      <c r="LD145" s="41"/>
      <c r="LE145" s="41"/>
      <c r="LF145" s="41"/>
      <c r="LG145" s="41"/>
      <c r="LH145" s="41"/>
      <c r="LI145" s="41"/>
      <c r="LJ145" s="41"/>
      <c r="LK145" s="41"/>
      <c r="LL145" s="41"/>
      <c r="LM145" s="41"/>
      <c r="LN145" s="41"/>
      <c r="LO145" s="41"/>
      <c r="LP145" s="41"/>
      <c r="LQ145" s="41"/>
      <c r="LR145" s="41"/>
      <c r="LS145" s="41"/>
      <c r="LT145" s="41"/>
      <c r="LU145" s="41"/>
      <c r="LV145" s="41"/>
      <c r="LW145" s="41"/>
      <c r="LX145" s="41"/>
      <c r="LY145" s="41"/>
      <c r="LZ145" s="41"/>
      <c r="MA145" s="41"/>
      <c r="MB145" s="41"/>
      <c r="MC145" s="41"/>
      <c r="MD145" s="41"/>
      <c r="ME145" s="41"/>
      <c r="MF145" s="41"/>
      <c r="MG145" s="41"/>
      <c r="MH145" s="41"/>
      <c r="MI145" s="41"/>
      <c r="MJ145" s="41"/>
      <c r="MK145" s="41"/>
      <c r="ML145" s="41"/>
      <c r="MM145" s="41"/>
      <c r="MN145" s="41"/>
      <c r="MO145" s="41"/>
      <c r="MP145" s="41"/>
      <c r="MQ145" s="41"/>
      <c r="MR145" s="41"/>
      <c r="MS145" s="41"/>
      <c r="MT145" s="41"/>
      <c r="MU145" s="41"/>
      <c r="MV145" s="41"/>
      <c r="MW145" s="41"/>
      <c r="MX145" s="41"/>
      <c r="MY145" s="41"/>
      <c r="MZ145" s="41"/>
      <c r="NA145" s="41"/>
      <c r="NB145" s="41"/>
      <c r="NC145" s="41"/>
      <c r="ND145" s="41"/>
      <c r="NE145" s="41"/>
      <c r="NF145" s="41"/>
      <c r="NG145" s="41"/>
      <c r="NH145" s="41"/>
      <c r="NI145" s="41"/>
      <c r="NJ145" s="41"/>
      <c r="NK145" s="41"/>
      <c r="NL145" s="41"/>
      <c r="NM145" s="41"/>
      <c r="NN145" s="41"/>
      <c r="NO145" s="41"/>
      <c r="NP145" s="41"/>
      <c r="NQ145" s="41"/>
      <c r="NR145" s="41"/>
      <c r="NS145" s="41"/>
      <c r="NT145" s="41"/>
      <c r="NU145" s="41"/>
      <c r="NV145" s="41"/>
      <c r="NW145" s="41"/>
      <c r="NX145" s="41"/>
      <c r="NY145" s="41"/>
      <c r="NZ145" s="41"/>
      <c r="OA145" s="41"/>
      <c r="OB145" s="41"/>
      <c r="OC145" s="41"/>
      <c r="OD145" s="41"/>
      <c r="OE145" s="41"/>
      <c r="OF145" s="41"/>
      <c r="OG145" s="41"/>
      <c r="OH145" s="41"/>
      <c r="OI145" s="41"/>
      <c r="OJ145" s="41"/>
      <c r="OK145" s="41"/>
      <c r="OL145" s="41"/>
      <c r="OM145" s="41"/>
      <c r="ON145" s="41"/>
      <c r="OO145" s="41"/>
      <c r="OP145" s="41"/>
      <c r="OQ145" s="41"/>
      <c r="OR145" s="41"/>
      <c r="OS145" s="41"/>
      <c r="OT145" s="41"/>
      <c r="OU145" s="41"/>
      <c r="OV145" s="41"/>
      <c r="OW145" s="41"/>
      <c r="OX145" s="41"/>
      <c r="OY145" s="41"/>
      <c r="OZ145" s="41"/>
      <c r="PA145" s="41"/>
      <c r="PB145" s="41"/>
      <c r="PC145" s="41"/>
      <c r="PD145" s="41"/>
      <c r="PE145" s="41"/>
      <c r="PF145" s="41"/>
      <c r="PG145" s="41"/>
      <c r="PH145" s="41"/>
      <c r="PI145" s="41"/>
      <c r="PJ145" s="41"/>
      <c r="PK145" s="41"/>
      <c r="PL145" s="41"/>
      <c r="PM145" s="41"/>
      <c r="PN145" s="41"/>
      <c r="PO145" s="41"/>
      <c r="PP145" s="41"/>
      <c r="PQ145" s="41"/>
      <c r="PR145" s="41"/>
      <c r="PS145" s="41"/>
      <c r="PT145" s="41"/>
      <c r="PU145" s="41"/>
      <c r="PV145" s="41"/>
      <c r="PW145" s="41"/>
      <c r="PX145" s="41"/>
      <c r="PY145" s="41"/>
      <c r="PZ145" s="41"/>
      <c r="QA145" s="41"/>
      <c r="QB145" s="41"/>
      <c r="QC145" s="41"/>
      <c r="QD145" s="41"/>
      <c r="QE145" s="41"/>
      <c r="QF145" s="41"/>
      <c r="QG145" s="41"/>
      <c r="QH145" s="41"/>
      <c r="QI145" s="41"/>
      <c r="QJ145" s="41"/>
      <c r="QK145" s="41"/>
      <c r="QL145" s="41"/>
      <c r="QM145" s="41"/>
      <c r="QN145" s="41"/>
      <c r="QO145" s="41"/>
      <c r="QP145" s="41"/>
      <c r="QQ145" s="41"/>
      <c r="QR145" s="41"/>
      <c r="QS145" s="41"/>
      <c r="QT145" s="41"/>
      <c r="QU145" s="41"/>
      <c r="QV145" s="41"/>
      <c r="QW145" s="41"/>
      <c r="QX145" s="41"/>
      <c r="QY145" s="41"/>
      <c r="QZ145" s="41"/>
      <c r="RA145" s="41"/>
      <c r="RB145" s="41"/>
      <c r="RC145" s="41"/>
      <c r="RD145" s="41"/>
      <c r="RE145" s="41"/>
      <c r="RF145" s="41"/>
      <c r="RG145" s="41"/>
      <c r="RH145" s="41"/>
      <c r="RI145" s="41"/>
      <c r="RJ145" s="41"/>
      <c r="RK145" s="41"/>
      <c r="RL145" s="41"/>
      <c r="RM145" s="41"/>
      <c r="RN145" s="41"/>
      <c r="RO145" s="41"/>
      <c r="RP145" s="41"/>
      <c r="RQ145" s="41"/>
      <c r="RR145" s="41"/>
      <c r="RS145" s="41"/>
      <c r="RT145" s="41"/>
      <c r="RU145" s="41"/>
      <c r="RV145" s="41"/>
      <c r="RW145" s="41"/>
      <c r="RX145" s="41"/>
      <c r="RY145" s="41"/>
      <c r="RZ145" s="41"/>
      <c r="SA145" s="41"/>
      <c r="SB145" s="41"/>
      <c r="SC145" s="41"/>
      <c r="SD145" s="41"/>
      <c r="SE145" s="41"/>
      <c r="SF145" s="41"/>
      <c r="SG145" s="41"/>
      <c r="SH145" s="41"/>
      <c r="SI145" s="41"/>
      <c r="SJ145" s="41"/>
      <c r="SK145" s="41"/>
      <c r="SL145" s="41"/>
      <c r="SM145" s="41"/>
      <c r="SN145" s="41"/>
      <c r="SO145" s="41"/>
      <c r="SP145" s="41"/>
      <c r="SQ145" s="41"/>
      <c r="SR145" s="41"/>
      <c r="SS145" s="41"/>
      <c r="ST145" s="41"/>
      <c r="SU145" s="41"/>
      <c r="SV145" s="41"/>
      <c r="SW145" s="41"/>
      <c r="SX145" s="41"/>
      <c r="SY145" s="41"/>
      <c r="SZ145" s="41"/>
      <c r="TA145" s="41"/>
      <c r="TB145" s="41"/>
      <c r="TC145" s="41"/>
      <c r="TD145" s="41"/>
      <c r="TE145" s="41"/>
      <c r="TF145" s="41"/>
      <c r="TG145" s="41"/>
      <c r="TH145" s="41"/>
      <c r="TI145" s="41"/>
      <c r="TJ145" s="41"/>
      <c r="TK145" s="41"/>
      <c r="TL145" s="41"/>
      <c r="TM145" s="41"/>
      <c r="TN145" s="41"/>
      <c r="TO145" s="41"/>
      <c r="TP145" s="41"/>
      <c r="TQ145" s="41"/>
      <c r="TR145" s="41"/>
      <c r="TS145" s="41"/>
      <c r="TT145" s="41"/>
      <c r="TU145" s="41"/>
      <c r="TV145" s="41"/>
      <c r="TW145" s="41"/>
      <c r="TX145" s="41"/>
      <c r="TY145" s="41"/>
      <c r="TZ145" s="41"/>
      <c r="UA145" s="41"/>
      <c r="UB145" s="41"/>
      <c r="UC145" s="41"/>
      <c r="UD145" s="41"/>
      <c r="UE145" s="41"/>
      <c r="UF145" s="41"/>
      <c r="UG145" s="41"/>
      <c r="UH145" s="41"/>
      <c r="UI145" s="41"/>
      <c r="UJ145" s="41"/>
      <c r="UK145" s="41"/>
      <c r="UL145" s="41"/>
      <c r="UM145" s="41"/>
      <c r="UN145" s="41"/>
      <c r="UO145" s="41"/>
      <c r="UP145" s="41"/>
      <c r="UQ145" s="41"/>
      <c r="UR145" s="41"/>
      <c r="US145" s="41"/>
      <c r="UT145" s="41"/>
      <c r="UU145" s="41"/>
      <c r="UV145" s="41"/>
      <c r="UW145" s="41"/>
      <c r="UX145" s="41"/>
      <c r="UY145" s="41"/>
      <c r="UZ145" s="41"/>
      <c r="VA145" s="41"/>
      <c r="VB145" s="41"/>
      <c r="VC145" s="41"/>
      <c r="VD145" s="41"/>
      <c r="VE145" s="41"/>
      <c r="VF145" s="41"/>
      <c r="VG145" s="41"/>
      <c r="VH145" s="41"/>
      <c r="VI145" s="41"/>
      <c r="VJ145" s="41"/>
      <c r="VK145" s="41"/>
      <c r="VL145" s="41"/>
      <c r="VM145" s="41"/>
      <c r="VN145" s="41"/>
      <c r="VO145" s="41"/>
      <c r="VP145" s="41"/>
      <c r="VQ145" s="41"/>
      <c r="VR145" s="41"/>
      <c r="VS145" s="41"/>
      <c r="VT145" s="41"/>
      <c r="VU145" s="41"/>
      <c r="VV145" s="41"/>
      <c r="VW145" s="41"/>
      <c r="VX145" s="41"/>
      <c r="VY145" s="41"/>
      <c r="VZ145" s="41"/>
      <c r="WA145" s="41"/>
      <c r="WB145" s="41"/>
      <c r="WC145" s="41"/>
      <c r="WD145" s="41"/>
      <c r="WE145" s="41"/>
      <c r="WF145" s="41"/>
      <c r="WG145" s="41"/>
      <c r="WH145" s="41"/>
      <c r="WI145" s="41"/>
      <c r="WJ145" s="41"/>
      <c r="WK145" s="41"/>
      <c r="WL145" s="41"/>
      <c r="WM145" s="41"/>
      <c r="WN145" s="41"/>
      <c r="WO145" s="41"/>
      <c r="WP145" s="41"/>
      <c r="WQ145" s="41"/>
      <c r="WR145" s="41"/>
      <c r="WS145" s="41"/>
      <c r="WT145" s="41"/>
      <c r="WU145" s="41"/>
      <c r="WV145" s="41"/>
      <c r="WW145" s="41"/>
      <c r="WX145" s="41"/>
      <c r="WY145" s="41"/>
      <c r="WZ145" s="41"/>
      <c r="XA145" s="41"/>
      <c r="XB145" s="41"/>
      <c r="XC145" s="41"/>
      <c r="XD145" s="41"/>
      <c r="XE145" s="41"/>
      <c r="XF145" s="41"/>
      <c r="XG145" s="41"/>
      <c r="XH145" s="41"/>
      <c r="XI145" s="41"/>
      <c r="XJ145" s="41"/>
      <c r="XK145" s="41"/>
      <c r="XL145" s="41"/>
      <c r="XM145" s="41"/>
      <c r="XN145" s="41"/>
      <c r="XO145" s="41"/>
      <c r="XP145" s="41"/>
      <c r="XQ145" s="41"/>
      <c r="XR145" s="41"/>
      <c r="XS145" s="41"/>
      <c r="XT145" s="41"/>
      <c r="XU145" s="41"/>
      <c r="XV145" s="41"/>
      <c r="XW145" s="41"/>
      <c r="XX145" s="41"/>
      <c r="XY145" s="41"/>
      <c r="XZ145" s="41"/>
      <c r="YA145" s="41"/>
      <c r="YB145" s="41"/>
      <c r="YC145" s="41"/>
      <c r="YD145" s="41"/>
      <c r="YE145" s="41"/>
      <c r="YF145" s="41"/>
      <c r="YG145" s="41"/>
      <c r="YH145" s="41"/>
      <c r="YI145" s="41"/>
      <c r="YJ145" s="41"/>
      <c r="YK145" s="41"/>
      <c r="YL145" s="41"/>
      <c r="YM145" s="41"/>
      <c r="YN145" s="41"/>
      <c r="YO145" s="41"/>
      <c r="YP145" s="41"/>
      <c r="YQ145" s="41"/>
      <c r="YR145" s="41"/>
      <c r="YS145" s="41"/>
      <c r="YT145" s="41"/>
      <c r="YU145" s="41"/>
      <c r="YV145" s="41"/>
      <c r="YW145" s="41"/>
      <c r="YX145" s="41"/>
      <c r="YY145" s="41"/>
      <c r="YZ145" s="41"/>
      <c r="ZA145" s="41"/>
      <c r="ZB145" s="41"/>
      <c r="ZC145" s="41"/>
      <c r="ZD145" s="41"/>
      <c r="ZE145" s="41"/>
      <c r="ZF145" s="41"/>
      <c r="ZG145" s="41"/>
      <c r="ZH145" s="41"/>
      <c r="ZI145" s="41"/>
      <c r="ZJ145" s="41"/>
      <c r="ZK145" s="41"/>
      <c r="ZL145" s="41"/>
      <c r="ZM145" s="41"/>
      <c r="ZN145" s="41"/>
      <c r="ZO145" s="41"/>
      <c r="ZP145" s="41"/>
      <c r="ZQ145" s="41"/>
      <c r="ZR145" s="41"/>
      <c r="ZS145" s="41"/>
      <c r="ZT145" s="41"/>
      <c r="ZU145" s="41"/>
      <c r="ZV145" s="41"/>
      <c r="ZW145" s="41"/>
      <c r="ZX145" s="41"/>
      <c r="ZY145" s="41"/>
      <c r="ZZ145" s="41"/>
      <c r="AAA145" s="41"/>
      <c r="AAB145" s="41"/>
      <c r="AAC145" s="41"/>
      <c r="AAD145" s="41"/>
      <c r="AAE145" s="41"/>
      <c r="AAF145" s="41"/>
      <c r="AAG145" s="41"/>
      <c r="AAH145" s="41"/>
      <c r="AAI145" s="41"/>
      <c r="AAJ145" s="41"/>
      <c r="AAK145" s="41"/>
      <c r="AAL145" s="41"/>
      <c r="AAM145" s="41"/>
      <c r="AAN145" s="41"/>
      <c r="AAO145" s="41"/>
      <c r="AAP145" s="41"/>
      <c r="AAQ145" s="41"/>
      <c r="AAR145" s="41"/>
      <c r="AAS145" s="41"/>
      <c r="AAT145" s="41"/>
      <c r="AAU145" s="41"/>
      <c r="AAV145" s="41"/>
      <c r="AAW145" s="41"/>
      <c r="AAX145" s="41"/>
      <c r="AAY145" s="41"/>
      <c r="AAZ145" s="41"/>
      <c r="ABA145" s="41"/>
      <c r="ABB145" s="41"/>
      <c r="ABC145" s="41"/>
      <c r="ABD145" s="41"/>
      <c r="ABE145" s="41"/>
      <c r="ABF145" s="41"/>
      <c r="ABG145" s="41"/>
      <c r="ABH145" s="41"/>
      <c r="ABI145" s="41"/>
      <c r="ABJ145" s="41"/>
      <c r="ABK145" s="41"/>
      <c r="ABL145" s="41"/>
      <c r="ABM145" s="41"/>
      <c r="ABN145" s="41"/>
      <c r="ABO145" s="41"/>
      <c r="ABP145" s="41"/>
      <c r="ABQ145" s="41"/>
      <c r="ABR145" s="41"/>
      <c r="ABS145" s="41"/>
      <c r="ABT145" s="41"/>
      <c r="ABU145" s="41"/>
      <c r="ABV145" s="41"/>
      <c r="ABW145" s="41"/>
      <c r="ABX145" s="41"/>
      <c r="ABY145" s="41"/>
      <c r="ABZ145" s="41"/>
      <c r="ACA145" s="41"/>
      <c r="ACB145" s="41"/>
      <c r="ACC145" s="41"/>
      <c r="ACD145" s="41"/>
      <c r="ACE145" s="41"/>
      <c r="ACF145" s="41"/>
      <c r="ACG145" s="41"/>
      <c r="ACH145" s="41"/>
      <c r="ACI145" s="41"/>
      <c r="ACJ145" s="41"/>
      <c r="ACK145" s="41"/>
      <c r="ACL145" s="41"/>
      <c r="ACM145" s="41"/>
      <c r="ACN145" s="41"/>
      <c r="ACO145" s="41"/>
      <c r="ACP145" s="41"/>
      <c r="ACQ145" s="41"/>
      <c r="ACR145" s="41"/>
      <c r="ACS145" s="41"/>
      <c r="ACT145" s="41"/>
      <c r="ACU145" s="41"/>
      <c r="ACV145" s="41"/>
      <c r="ACW145" s="41"/>
      <c r="ACX145" s="41"/>
      <c r="ACY145" s="41"/>
      <c r="ACZ145" s="41"/>
      <c r="ADA145" s="41"/>
      <c r="ADB145" s="41"/>
      <c r="ADC145" s="41"/>
      <c r="ADD145" s="41"/>
      <c r="ADE145" s="41"/>
      <c r="ADF145" s="41"/>
      <c r="ADG145" s="41"/>
      <c r="ADH145" s="41"/>
      <c r="ADI145" s="41"/>
      <c r="ADJ145" s="41"/>
      <c r="ADK145" s="41"/>
      <c r="ADL145" s="41"/>
      <c r="ADM145" s="41"/>
      <c r="ADN145" s="41"/>
      <c r="ADO145" s="41"/>
      <c r="ADP145" s="41"/>
      <c r="ADQ145" s="41"/>
      <c r="ADR145" s="41"/>
      <c r="ADS145" s="41"/>
      <c r="ADT145" s="41"/>
      <c r="ADU145" s="41"/>
      <c r="ADV145" s="41"/>
      <c r="ADW145" s="41"/>
      <c r="ADX145" s="41"/>
      <c r="ADY145" s="41"/>
      <c r="ADZ145" s="41"/>
      <c r="AEA145" s="41"/>
      <c r="AEB145" s="41"/>
      <c r="AEC145" s="41"/>
      <c r="AED145" s="41"/>
      <c r="AEE145" s="41"/>
      <c r="AEF145" s="41"/>
      <c r="AEG145" s="41"/>
      <c r="AEH145" s="41"/>
      <c r="AEI145" s="41"/>
      <c r="AEJ145" s="41"/>
      <c r="AEK145" s="41"/>
      <c r="AEL145" s="41"/>
      <c r="AEM145" s="41"/>
      <c r="AEN145" s="41"/>
      <c r="AEO145" s="41"/>
      <c r="AEP145" s="41"/>
      <c r="AEQ145" s="41"/>
      <c r="AER145" s="41"/>
      <c r="AES145" s="41"/>
      <c r="AET145" s="41"/>
      <c r="AEU145" s="41"/>
      <c r="AEV145" s="41"/>
      <c r="AEW145" s="41"/>
      <c r="AEX145" s="41"/>
      <c r="AEY145" s="41"/>
      <c r="AEZ145" s="41"/>
      <c r="AFA145" s="41"/>
      <c r="AFB145" s="41"/>
      <c r="AFC145" s="41"/>
      <c r="AFD145" s="41"/>
      <c r="AFE145" s="41"/>
      <c r="AFF145" s="41"/>
      <c r="AFG145" s="41"/>
      <c r="AFH145" s="41"/>
      <c r="AFI145" s="41"/>
      <c r="AFJ145" s="41"/>
      <c r="AFK145" s="41"/>
      <c r="AFL145" s="41"/>
      <c r="AFM145" s="41"/>
      <c r="AFN145" s="41"/>
      <c r="AFO145" s="41"/>
      <c r="AFP145" s="41"/>
      <c r="AFQ145" s="41"/>
      <c r="AFR145" s="41"/>
      <c r="AFS145" s="41"/>
      <c r="AFT145" s="41"/>
      <c r="AFU145" s="41"/>
      <c r="AFV145" s="41"/>
      <c r="AFW145" s="41"/>
      <c r="AFX145" s="41"/>
      <c r="AFY145" s="41"/>
      <c r="AFZ145" s="41"/>
      <c r="AGA145" s="41"/>
      <c r="AGB145" s="41"/>
      <c r="AGC145" s="41"/>
      <c r="AGD145" s="41"/>
      <c r="AGE145" s="41"/>
      <c r="AGF145" s="41"/>
      <c r="AGG145" s="41"/>
      <c r="AGH145" s="41"/>
      <c r="AGI145" s="41"/>
      <c r="AGJ145" s="41"/>
      <c r="AGK145" s="41"/>
      <c r="AGL145" s="41"/>
      <c r="AGM145" s="41"/>
      <c r="AGN145" s="41"/>
      <c r="AGO145" s="41"/>
      <c r="AGP145" s="41"/>
      <c r="AGQ145" s="41"/>
      <c r="AGR145" s="41"/>
      <c r="AGS145" s="41"/>
      <c r="AGT145" s="41"/>
      <c r="AGU145" s="41"/>
      <c r="AGV145" s="41"/>
      <c r="AGW145" s="41"/>
      <c r="AGX145" s="41"/>
      <c r="AGY145" s="41"/>
      <c r="AGZ145" s="41"/>
      <c r="AHA145" s="41"/>
      <c r="AHB145" s="41"/>
      <c r="AHC145" s="41"/>
      <c r="AHD145" s="41"/>
      <c r="AHE145" s="41"/>
      <c r="AHF145" s="41"/>
      <c r="AHG145" s="41"/>
      <c r="AHH145" s="41"/>
      <c r="AHI145" s="41"/>
      <c r="AHJ145" s="41"/>
      <c r="AHK145" s="41"/>
      <c r="AHL145" s="41"/>
      <c r="AHM145" s="41"/>
      <c r="AHN145" s="41"/>
      <c r="AHO145" s="41"/>
      <c r="AHP145" s="41"/>
      <c r="AHQ145" s="41"/>
      <c r="AHR145" s="41"/>
      <c r="AHS145" s="41"/>
      <c r="AHT145" s="41"/>
      <c r="AHU145" s="41"/>
      <c r="AHV145" s="41"/>
      <c r="AHW145" s="41"/>
      <c r="AHX145" s="41"/>
      <c r="AHY145" s="41"/>
      <c r="AHZ145" s="41"/>
      <c r="AIA145" s="41"/>
      <c r="AIB145" s="41"/>
      <c r="AIC145" s="41"/>
      <c r="AID145" s="41"/>
      <c r="AIE145" s="41"/>
      <c r="AIF145" s="41"/>
      <c r="AIG145" s="41"/>
      <c r="AIH145" s="41"/>
      <c r="AII145" s="41"/>
      <c r="AIJ145" s="41"/>
      <c r="AIK145" s="41"/>
      <c r="AIL145" s="41"/>
      <c r="AIM145" s="41"/>
      <c r="AIN145" s="41"/>
      <c r="AIO145" s="41"/>
      <c r="AIP145" s="41"/>
      <c r="AIQ145" s="41"/>
      <c r="AIR145" s="41"/>
      <c r="AIS145" s="41"/>
      <c r="AIT145" s="41"/>
      <c r="AIU145" s="41"/>
      <c r="AIV145" s="41"/>
      <c r="AIW145" s="41"/>
      <c r="AIX145" s="41"/>
      <c r="AIY145" s="41"/>
      <c r="AIZ145" s="41"/>
      <c r="AJA145" s="41"/>
      <c r="AJB145" s="41"/>
      <c r="AJC145" s="41"/>
      <c r="AJD145" s="41"/>
      <c r="AJE145" s="41"/>
      <c r="AJF145" s="41"/>
      <c r="AJG145" s="41"/>
      <c r="AJH145" s="41"/>
      <c r="AJI145" s="41"/>
      <c r="AJJ145" s="41"/>
      <c r="AJK145" s="41"/>
      <c r="AJL145" s="41"/>
      <c r="AJM145" s="41"/>
      <c r="AJN145" s="41"/>
      <c r="AJO145" s="41"/>
      <c r="AJP145" s="41"/>
      <c r="AJQ145" s="41"/>
      <c r="AJR145" s="41"/>
      <c r="AJS145" s="41"/>
      <c r="AJT145" s="41"/>
      <c r="AJU145" s="41"/>
      <c r="AJV145" s="41"/>
      <c r="AJW145" s="41"/>
      <c r="AJX145" s="41"/>
      <c r="AJY145" s="41"/>
      <c r="AJZ145" s="41"/>
      <c r="AKA145" s="41"/>
      <c r="AKB145" s="41"/>
      <c r="AKC145" s="41"/>
      <c r="AKD145" s="41"/>
      <c r="AKE145" s="41"/>
      <c r="AKF145" s="41"/>
      <c r="AKG145" s="41"/>
      <c r="AKH145" s="41"/>
      <c r="AKI145" s="41"/>
      <c r="AKJ145" s="41"/>
      <c r="AKK145" s="41"/>
      <c r="AKL145" s="41"/>
      <c r="AKM145" s="41"/>
      <c r="AKN145" s="41"/>
      <c r="AKO145" s="41"/>
      <c r="AKP145" s="41"/>
      <c r="AKQ145" s="41"/>
      <c r="AKR145" s="41"/>
      <c r="AKS145" s="41"/>
      <c r="AKT145" s="41"/>
      <c r="AKU145" s="41"/>
      <c r="AKV145" s="41"/>
      <c r="AKW145" s="41"/>
      <c r="AKX145" s="41"/>
      <c r="AKY145" s="41"/>
      <c r="AKZ145" s="41"/>
      <c r="ALA145" s="41"/>
      <c r="ALB145" s="41"/>
      <c r="ALC145" s="41"/>
      <c r="ALD145" s="41"/>
      <c r="ALE145" s="41"/>
      <c r="ALF145" s="41"/>
      <c r="ALG145" s="41"/>
      <c r="ALH145" s="41"/>
      <c r="ALI145" s="41"/>
      <c r="ALJ145" s="41"/>
      <c r="ALK145" s="41"/>
      <c r="ALL145" s="41"/>
      <c r="ALM145" s="41"/>
      <c r="ALN145" s="41"/>
      <c r="ALO145" s="41"/>
      <c r="ALP145" s="41"/>
      <c r="ALQ145" s="41"/>
      <c r="ALR145" s="41"/>
      <c r="ALS145" s="41"/>
      <c r="ALT145" s="41"/>
      <c r="ALU145" s="41"/>
      <c r="ALV145" s="41"/>
      <c r="ALW145" s="41"/>
      <c r="ALX145" s="41"/>
      <c r="ALY145" s="41"/>
      <c r="ALZ145" s="41"/>
      <c r="AMA145" s="41"/>
      <c r="AMB145" s="41"/>
      <c r="AMC145" s="41"/>
      <c r="AMD145" s="41"/>
      <c r="AME145" s="41"/>
      <c r="AMF145" s="41"/>
      <c r="AMG145" s="41"/>
      <c r="AMH145" s="41"/>
      <c r="AMI145" s="41"/>
      <c r="AMJ145" s="41"/>
      <c r="AMK145" s="41"/>
      <c r="AML145" s="41"/>
      <c r="AMM145" s="41"/>
      <c r="AMN145" s="41"/>
      <c r="AMO145" s="41"/>
      <c r="AMP145" s="41"/>
      <c r="AMQ145" s="41"/>
      <c r="AMR145" s="41"/>
      <c r="AMS145" s="41"/>
      <c r="AMT145" s="41"/>
      <c r="AMU145" s="41"/>
      <c r="AMV145" s="41"/>
      <c r="AMW145" s="41"/>
      <c r="AMX145" s="41"/>
      <c r="AMY145" s="41"/>
      <c r="AMZ145" s="41"/>
      <c r="ANA145" s="41"/>
      <c r="ANB145" s="41"/>
      <c r="ANC145" s="41"/>
      <c r="AND145" s="41"/>
      <c r="ANE145" s="41"/>
      <c r="ANF145" s="41"/>
      <c r="ANG145" s="41"/>
      <c r="ANH145" s="41"/>
      <c r="ANI145" s="41"/>
      <c r="ANJ145" s="41"/>
      <c r="ANK145" s="41"/>
      <c r="ANL145" s="41"/>
      <c r="ANM145" s="41"/>
      <c r="ANN145" s="41"/>
      <c r="ANO145" s="41"/>
      <c r="ANP145" s="41"/>
      <c r="ANQ145" s="41"/>
      <c r="ANR145" s="41"/>
      <c r="ANS145" s="41"/>
      <c r="ANT145" s="41"/>
      <c r="ANU145" s="41"/>
      <c r="ANV145" s="41"/>
      <c r="ANW145" s="41"/>
      <c r="ANX145" s="41"/>
      <c r="ANY145" s="41"/>
      <c r="ANZ145" s="41"/>
      <c r="AOA145" s="41"/>
      <c r="AOB145" s="41"/>
      <c r="AOC145" s="41"/>
      <c r="AOD145" s="41"/>
      <c r="AOE145" s="41"/>
      <c r="AOF145" s="41"/>
      <c r="AOG145" s="41"/>
      <c r="AOH145" s="41"/>
      <c r="AOI145" s="41"/>
      <c r="AOJ145" s="41"/>
      <c r="AOK145" s="41"/>
      <c r="AOL145" s="41"/>
      <c r="AOM145" s="41"/>
      <c r="AON145" s="41"/>
      <c r="AOO145" s="41"/>
      <c r="AOP145" s="41"/>
      <c r="AOQ145" s="41"/>
      <c r="AOR145" s="41"/>
      <c r="AOS145" s="41"/>
      <c r="AOT145" s="41"/>
      <c r="AOU145" s="41"/>
      <c r="AOV145" s="41"/>
      <c r="AOW145" s="41"/>
      <c r="AOX145" s="41"/>
      <c r="AOY145" s="41"/>
      <c r="AOZ145" s="41"/>
      <c r="APA145" s="41"/>
      <c r="APB145" s="41"/>
      <c r="APC145" s="41"/>
      <c r="APD145" s="41"/>
      <c r="APE145" s="41"/>
      <c r="APF145" s="41"/>
      <c r="APG145" s="41"/>
      <c r="APH145" s="41"/>
      <c r="API145" s="41"/>
      <c r="APJ145" s="41"/>
      <c r="APK145" s="41"/>
      <c r="APL145" s="41"/>
      <c r="APM145" s="41"/>
      <c r="APN145" s="41"/>
      <c r="APO145" s="41"/>
      <c r="APP145" s="41"/>
      <c r="APQ145" s="41"/>
      <c r="APR145" s="41"/>
      <c r="APS145" s="41"/>
      <c r="APT145" s="41"/>
      <c r="APU145" s="41"/>
      <c r="APV145" s="41"/>
      <c r="APW145" s="41"/>
      <c r="APX145" s="41"/>
      <c r="APY145" s="41"/>
      <c r="APZ145" s="41"/>
      <c r="AQA145" s="41"/>
      <c r="AQB145" s="41"/>
      <c r="AQC145" s="41"/>
      <c r="AQD145" s="41"/>
      <c r="AQE145" s="41"/>
      <c r="AQF145" s="41"/>
      <c r="AQG145" s="41"/>
      <c r="AQH145" s="41"/>
      <c r="AQI145" s="41"/>
      <c r="AQJ145" s="41"/>
      <c r="AQK145" s="41"/>
      <c r="AQL145" s="41"/>
      <c r="AQM145" s="41"/>
      <c r="AQN145" s="41"/>
      <c r="AQO145" s="41"/>
      <c r="AQP145" s="41"/>
      <c r="AQQ145" s="41"/>
      <c r="AQR145" s="41"/>
      <c r="AQS145" s="41"/>
      <c r="AQT145" s="41"/>
      <c r="AQU145" s="41"/>
      <c r="AQV145" s="41"/>
      <c r="AQW145" s="41"/>
      <c r="AQX145" s="41"/>
      <c r="AQY145" s="41"/>
      <c r="AQZ145" s="41"/>
      <c r="ARA145" s="41"/>
      <c r="ARB145" s="41"/>
      <c r="ARC145" s="41"/>
      <c r="ARD145" s="41"/>
      <c r="ARE145" s="41"/>
      <c r="ARF145" s="41"/>
      <c r="ARG145" s="41"/>
      <c r="ARH145" s="41"/>
      <c r="ARI145" s="41"/>
      <c r="ARJ145" s="41"/>
      <c r="ARK145" s="41"/>
      <c r="ARL145" s="41"/>
      <c r="ARM145" s="41"/>
      <c r="ARN145" s="41"/>
      <c r="ARO145" s="41"/>
      <c r="ARP145" s="41"/>
      <c r="ARQ145" s="41"/>
      <c r="ARR145" s="41"/>
      <c r="ARS145" s="41"/>
      <c r="ART145" s="41"/>
      <c r="ARU145" s="41"/>
      <c r="ARV145" s="41"/>
      <c r="ARW145" s="41"/>
      <c r="ARX145" s="41"/>
      <c r="ARY145" s="41"/>
      <c r="ARZ145" s="41"/>
      <c r="ASA145" s="41"/>
      <c r="ASB145" s="41"/>
      <c r="ASC145" s="41"/>
      <c r="ASD145" s="41"/>
      <c r="ASE145" s="41"/>
      <c r="ASF145" s="41"/>
      <c r="ASG145" s="41"/>
      <c r="ASH145" s="41"/>
      <c r="ASI145" s="41"/>
      <c r="ASJ145" s="41"/>
      <c r="ASK145" s="41"/>
      <c r="ASL145" s="41"/>
      <c r="ASM145" s="41"/>
      <c r="ASN145" s="41"/>
      <c r="ASO145" s="41"/>
      <c r="ASP145" s="41"/>
      <c r="ASQ145" s="41"/>
      <c r="ASR145" s="41"/>
      <c r="ASS145" s="41"/>
      <c r="AST145" s="41"/>
      <c r="ASU145" s="41"/>
      <c r="ASV145" s="41"/>
      <c r="ASW145" s="41"/>
      <c r="ASX145" s="41"/>
      <c r="ASY145" s="41"/>
      <c r="ASZ145" s="41"/>
      <c r="ATA145" s="41"/>
      <c r="ATB145" s="41"/>
      <c r="ATC145" s="41"/>
      <c r="ATD145" s="41"/>
      <c r="ATE145" s="41"/>
      <c r="ATF145" s="41"/>
      <c r="ATG145" s="41"/>
      <c r="ATH145" s="41"/>
      <c r="ATI145" s="41"/>
      <c r="ATJ145" s="41"/>
      <c r="ATK145" s="41"/>
      <c r="ATL145" s="41"/>
      <c r="ATM145" s="41"/>
      <c r="ATN145" s="41"/>
      <c r="ATO145" s="41"/>
      <c r="ATP145" s="41"/>
      <c r="ATQ145" s="41"/>
      <c r="ATR145" s="41"/>
      <c r="ATS145" s="41"/>
      <c r="ATT145" s="41"/>
      <c r="ATU145" s="41"/>
      <c r="ATV145" s="41"/>
      <c r="ATW145" s="41"/>
      <c r="ATX145" s="41"/>
      <c r="ATY145" s="41"/>
      <c r="ATZ145" s="41"/>
      <c r="AUA145" s="41"/>
      <c r="AUB145" s="41"/>
      <c r="AUC145" s="41"/>
      <c r="AUD145" s="41"/>
      <c r="AUE145" s="41"/>
      <c r="AUF145" s="41"/>
      <c r="AUG145" s="41"/>
      <c r="AUH145" s="41"/>
      <c r="AUI145" s="41"/>
      <c r="AUJ145" s="41"/>
      <c r="AUK145" s="41"/>
      <c r="AUL145" s="41"/>
      <c r="AUM145" s="41"/>
      <c r="AUN145" s="41"/>
      <c r="AUO145" s="41"/>
      <c r="AUP145" s="41"/>
      <c r="AUQ145" s="41"/>
      <c r="AUR145" s="41"/>
      <c r="AUS145" s="41"/>
      <c r="AUT145" s="41"/>
      <c r="AUU145" s="41"/>
      <c r="AUV145" s="41"/>
      <c r="AUW145" s="41"/>
      <c r="AUX145" s="41"/>
      <c r="AUY145" s="41"/>
      <c r="AUZ145" s="41"/>
      <c r="AVA145" s="41"/>
      <c r="AVB145" s="41"/>
      <c r="AVC145" s="41"/>
      <c r="AVD145" s="41"/>
      <c r="AVE145" s="41"/>
      <c r="AVF145" s="41"/>
      <c r="AVG145" s="41"/>
      <c r="AVH145" s="41"/>
      <c r="AVI145" s="41"/>
      <c r="AVJ145" s="41"/>
      <c r="AVK145" s="41"/>
      <c r="AVL145" s="41"/>
      <c r="AVM145" s="41"/>
      <c r="AVN145" s="41"/>
      <c r="AVO145" s="41"/>
      <c r="AVP145" s="41"/>
      <c r="AVQ145" s="41"/>
      <c r="AVR145" s="41"/>
      <c r="AVS145" s="41"/>
      <c r="AVT145" s="41"/>
      <c r="AVU145" s="41"/>
      <c r="AVV145" s="41"/>
      <c r="AVW145" s="41"/>
      <c r="AVX145" s="41"/>
      <c r="AVY145" s="41"/>
      <c r="AVZ145" s="41"/>
      <c r="AWA145" s="41"/>
      <c r="AWB145" s="41"/>
      <c r="AWC145" s="41"/>
      <c r="AWD145" s="41"/>
      <c r="AWE145" s="41"/>
      <c r="AWF145" s="41"/>
      <c r="AWG145" s="41"/>
      <c r="AWH145" s="41"/>
      <c r="AWI145" s="41"/>
      <c r="AWJ145" s="41"/>
      <c r="AWK145" s="41"/>
      <c r="AWL145" s="41"/>
      <c r="AWM145" s="41"/>
      <c r="AWN145" s="41"/>
      <c r="AWO145" s="41"/>
      <c r="AWP145" s="41"/>
      <c r="AWQ145" s="41"/>
      <c r="AWR145" s="41"/>
      <c r="AWS145" s="41"/>
      <c r="AWT145" s="41"/>
      <c r="AWU145" s="41"/>
      <c r="AWV145" s="41"/>
      <c r="AWW145" s="41"/>
      <c r="AWX145" s="41"/>
      <c r="AWY145" s="41"/>
      <c r="AWZ145" s="41"/>
      <c r="AXA145" s="41"/>
      <c r="AXB145" s="41"/>
      <c r="AXC145" s="41"/>
      <c r="AXD145" s="41"/>
      <c r="AXE145" s="41"/>
      <c r="AXF145" s="41"/>
      <c r="AXG145" s="41"/>
      <c r="AXH145" s="41"/>
      <c r="AXI145" s="41"/>
      <c r="AXJ145" s="41"/>
      <c r="AXK145" s="41"/>
      <c r="AXL145" s="41"/>
      <c r="AXM145" s="41"/>
      <c r="AXN145" s="41"/>
      <c r="AXO145" s="41"/>
      <c r="AXP145" s="41"/>
      <c r="AXQ145" s="41"/>
      <c r="AXR145" s="41"/>
      <c r="AXS145" s="41"/>
      <c r="AXT145" s="41"/>
      <c r="AXU145" s="41"/>
      <c r="AXV145" s="41"/>
      <c r="AXW145" s="41"/>
      <c r="AXX145" s="41"/>
      <c r="AXY145" s="41"/>
      <c r="AXZ145" s="41"/>
      <c r="AYA145" s="41"/>
      <c r="AYB145" s="41"/>
      <c r="AYC145" s="41"/>
      <c r="AYD145" s="41"/>
      <c r="AYE145" s="41"/>
      <c r="AYF145" s="41"/>
      <c r="AYG145" s="41"/>
      <c r="AYH145" s="41"/>
      <c r="AYI145" s="41"/>
      <c r="AYJ145" s="41"/>
      <c r="AYK145" s="41"/>
      <c r="AYL145" s="41"/>
      <c r="AYM145" s="41"/>
      <c r="AYN145" s="41"/>
      <c r="AYO145" s="41"/>
      <c r="AYP145" s="41"/>
      <c r="AYQ145" s="41"/>
      <c r="AYR145" s="41"/>
      <c r="AYS145" s="41"/>
      <c r="AYT145" s="41"/>
      <c r="AYU145" s="41"/>
      <c r="AYV145" s="41"/>
      <c r="AYW145" s="41"/>
      <c r="AYX145" s="41"/>
      <c r="AYY145" s="41"/>
      <c r="AYZ145" s="41"/>
      <c r="AZA145" s="41"/>
      <c r="AZB145" s="41"/>
      <c r="AZC145" s="41"/>
      <c r="AZD145" s="41"/>
      <c r="AZE145" s="41"/>
      <c r="AZF145" s="41"/>
      <c r="AZG145" s="41"/>
      <c r="AZH145" s="41"/>
      <c r="AZI145" s="41"/>
      <c r="AZJ145" s="41"/>
      <c r="AZK145" s="41"/>
      <c r="AZL145" s="41"/>
      <c r="AZM145" s="41"/>
      <c r="AZN145" s="41"/>
      <c r="AZO145" s="41"/>
      <c r="AZP145" s="41"/>
      <c r="AZQ145" s="41"/>
      <c r="AZR145" s="41"/>
      <c r="AZS145" s="41"/>
      <c r="AZT145" s="41"/>
      <c r="AZU145" s="41"/>
      <c r="AZV145" s="41"/>
      <c r="AZW145" s="41"/>
      <c r="AZX145" s="41"/>
      <c r="AZY145" s="41"/>
      <c r="AZZ145" s="41"/>
      <c r="BAA145" s="41"/>
      <c r="BAB145" s="41"/>
      <c r="BAC145" s="41"/>
      <c r="BAD145" s="41"/>
      <c r="BAE145" s="41"/>
      <c r="BAF145" s="41"/>
      <c r="BAG145" s="41"/>
      <c r="BAH145" s="41"/>
      <c r="BAI145" s="41"/>
      <c r="BAJ145" s="41"/>
      <c r="BAK145" s="41"/>
      <c r="BAL145" s="41"/>
      <c r="BAM145" s="41"/>
      <c r="BAN145" s="41"/>
      <c r="BAO145" s="41"/>
      <c r="BAP145" s="41"/>
      <c r="BAQ145" s="41"/>
      <c r="BAR145" s="41"/>
      <c r="BAS145" s="41"/>
      <c r="BAT145" s="41"/>
      <c r="BAU145" s="41"/>
      <c r="BAV145" s="41"/>
      <c r="BAW145" s="41"/>
      <c r="BAX145" s="41"/>
      <c r="BAY145" s="41"/>
      <c r="BAZ145" s="41"/>
      <c r="BBA145" s="41"/>
      <c r="BBB145" s="41"/>
      <c r="BBC145" s="41"/>
      <c r="BBD145" s="41"/>
      <c r="BBE145" s="41"/>
      <c r="BBF145" s="41"/>
      <c r="BBG145" s="41"/>
      <c r="BBH145" s="41"/>
      <c r="BBI145" s="41"/>
      <c r="BBJ145" s="41"/>
      <c r="BBK145" s="41"/>
      <c r="BBL145" s="41"/>
      <c r="BBM145" s="41"/>
      <c r="BBN145" s="41"/>
      <c r="BBO145" s="41"/>
      <c r="BBP145" s="41"/>
      <c r="BBQ145" s="41"/>
      <c r="BBR145" s="41"/>
      <c r="BBS145" s="41"/>
      <c r="BBT145" s="41"/>
      <c r="BBU145" s="41"/>
      <c r="BBV145" s="41"/>
      <c r="BBW145" s="41"/>
      <c r="BBX145" s="41"/>
      <c r="BBY145" s="41"/>
      <c r="BBZ145" s="41"/>
      <c r="BCA145" s="41"/>
      <c r="BCB145" s="41"/>
      <c r="BCC145" s="41"/>
      <c r="BCD145" s="41"/>
      <c r="BCE145" s="41"/>
      <c r="BCF145" s="41"/>
      <c r="BCG145" s="41"/>
      <c r="BCH145" s="41"/>
      <c r="BCI145" s="41"/>
      <c r="BCJ145" s="41"/>
      <c r="BCK145" s="41"/>
      <c r="BCL145" s="41"/>
      <c r="BCM145" s="41"/>
      <c r="BCN145" s="41"/>
      <c r="BCO145" s="41"/>
      <c r="BCP145" s="41"/>
      <c r="BCQ145" s="41"/>
      <c r="BCR145" s="41"/>
      <c r="BCS145" s="41"/>
      <c r="BCT145" s="41"/>
      <c r="BCU145" s="41"/>
      <c r="BCV145" s="41"/>
      <c r="BCW145" s="41"/>
      <c r="BCX145" s="41"/>
      <c r="BCY145" s="41"/>
      <c r="BCZ145" s="41"/>
      <c r="BDA145" s="41"/>
      <c r="BDB145" s="41"/>
      <c r="BDC145" s="41"/>
      <c r="BDD145" s="41"/>
      <c r="BDE145" s="41"/>
      <c r="BDF145" s="41"/>
      <c r="BDG145" s="41"/>
      <c r="BDH145" s="41"/>
      <c r="BDI145" s="41"/>
      <c r="BDJ145" s="41"/>
      <c r="BDK145" s="41"/>
      <c r="BDL145" s="41"/>
      <c r="BDM145" s="41"/>
      <c r="BDN145" s="41"/>
      <c r="BDO145" s="41"/>
      <c r="BDP145" s="41"/>
      <c r="BDQ145" s="41"/>
      <c r="BDR145" s="41"/>
      <c r="BDS145" s="41"/>
      <c r="BDT145" s="41"/>
      <c r="BDU145" s="41"/>
      <c r="BDV145" s="41"/>
      <c r="BDW145" s="41"/>
      <c r="BDX145" s="41"/>
      <c r="BDY145" s="41"/>
      <c r="BDZ145" s="41"/>
      <c r="BEA145" s="41"/>
      <c r="BEB145" s="41"/>
      <c r="BEC145" s="41"/>
      <c r="BED145" s="41"/>
      <c r="BEE145" s="41"/>
      <c r="BEF145" s="41"/>
      <c r="BEG145" s="41"/>
      <c r="BEH145" s="41"/>
      <c r="BEI145" s="41"/>
      <c r="BEJ145" s="41"/>
      <c r="BEK145" s="41"/>
      <c r="BEL145" s="41"/>
      <c r="BEM145" s="41"/>
      <c r="BEN145" s="41"/>
      <c r="BEO145" s="41"/>
      <c r="BEP145" s="41"/>
      <c r="BEQ145" s="41"/>
      <c r="BER145" s="41"/>
      <c r="BES145" s="41"/>
      <c r="BET145" s="41"/>
      <c r="BEU145" s="41"/>
      <c r="BEV145" s="41"/>
      <c r="BEW145" s="41"/>
      <c r="BEX145" s="41"/>
      <c r="BEY145" s="41"/>
      <c r="BEZ145" s="41"/>
      <c r="BFA145" s="41"/>
      <c r="BFB145" s="41"/>
      <c r="BFC145" s="41"/>
      <c r="BFD145" s="41"/>
      <c r="BFE145" s="41"/>
      <c r="BFF145" s="41"/>
      <c r="BFG145" s="41"/>
      <c r="BFH145" s="41"/>
      <c r="BFI145" s="41"/>
      <c r="BFJ145" s="41"/>
      <c r="BFK145" s="41"/>
      <c r="BFL145" s="41"/>
      <c r="BFM145" s="41"/>
      <c r="BFN145" s="41"/>
      <c r="BFO145" s="41"/>
      <c r="BFP145" s="41"/>
      <c r="BFQ145" s="41"/>
      <c r="BFR145" s="41"/>
      <c r="BFS145" s="41"/>
      <c r="BFT145" s="41"/>
      <c r="BFU145" s="41"/>
      <c r="BFV145" s="41"/>
      <c r="BFW145" s="41"/>
      <c r="BFX145" s="41"/>
      <c r="BFY145" s="41"/>
      <c r="BFZ145" s="41"/>
      <c r="BGA145" s="41"/>
      <c r="BGB145" s="41"/>
      <c r="BGC145" s="41"/>
      <c r="BGD145" s="41"/>
      <c r="BGE145" s="41"/>
      <c r="BGF145" s="41"/>
      <c r="BGG145" s="41"/>
      <c r="BGH145" s="41"/>
      <c r="BGI145" s="41"/>
      <c r="BGJ145" s="41"/>
      <c r="BGK145" s="41"/>
      <c r="BGL145" s="41"/>
      <c r="BGM145" s="41"/>
      <c r="BGN145" s="41"/>
      <c r="BGO145" s="41"/>
      <c r="BGP145" s="41"/>
      <c r="BGQ145" s="41"/>
      <c r="BGR145" s="41"/>
      <c r="BGS145" s="41"/>
      <c r="BGT145" s="41"/>
      <c r="BGU145" s="41"/>
      <c r="BGV145" s="41"/>
      <c r="BGW145" s="41"/>
      <c r="BGX145" s="41"/>
      <c r="BGY145" s="41"/>
      <c r="BGZ145" s="41"/>
      <c r="BHA145" s="41"/>
      <c r="BHB145" s="41"/>
      <c r="BHC145" s="41"/>
      <c r="BHD145" s="41"/>
      <c r="BHE145" s="41"/>
      <c r="BHF145" s="41"/>
      <c r="BHG145" s="41"/>
      <c r="BHH145" s="41"/>
      <c r="BHI145" s="41"/>
      <c r="BHJ145" s="41"/>
      <c r="BHK145" s="41"/>
      <c r="BHL145" s="41"/>
      <c r="BHM145" s="41"/>
      <c r="BHN145" s="41"/>
      <c r="BHO145" s="41"/>
      <c r="BHP145" s="41"/>
      <c r="BHQ145" s="41"/>
      <c r="BHR145" s="41"/>
      <c r="BHS145" s="41"/>
      <c r="BHT145" s="41"/>
      <c r="BHU145" s="41"/>
      <c r="BHV145" s="41"/>
      <c r="BHW145" s="41"/>
      <c r="BHX145" s="41"/>
      <c r="BHY145" s="41"/>
      <c r="BHZ145" s="41"/>
      <c r="BIA145" s="41"/>
      <c r="BIB145" s="41"/>
      <c r="BIC145" s="41"/>
      <c r="BID145" s="41"/>
      <c r="BIE145" s="41"/>
      <c r="BIF145" s="41"/>
      <c r="BIG145" s="41"/>
      <c r="BIH145" s="41"/>
      <c r="BII145" s="41"/>
      <c r="BIJ145" s="41"/>
      <c r="BIK145" s="41"/>
      <c r="BIL145" s="41"/>
      <c r="BIM145" s="41"/>
      <c r="BIN145" s="41"/>
      <c r="BIO145" s="41"/>
      <c r="BIP145" s="41"/>
      <c r="BIQ145" s="41"/>
      <c r="BIR145" s="41"/>
      <c r="BIS145" s="41"/>
      <c r="BIT145" s="41"/>
      <c r="BIU145" s="41"/>
      <c r="BIV145" s="41"/>
      <c r="BIW145" s="41"/>
      <c r="BIX145" s="41"/>
      <c r="BIY145" s="41"/>
      <c r="BIZ145" s="41"/>
      <c r="BJA145" s="41"/>
      <c r="BJB145" s="41"/>
      <c r="BJC145" s="41"/>
      <c r="BJD145" s="41"/>
      <c r="BJE145" s="41"/>
      <c r="BJF145" s="41"/>
      <c r="BJG145" s="41"/>
      <c r="BJH145" s="41"/>
      <c r="BJI145" s="41"/>
      <c r="BJJ145" s="41"/>
      <c r="BJK145" s="41"/>
      <c r="BJL145" s="41"/>
      <c r="BJM145" s="41"/>
      <c r="BJN145" s="41"/>
      <c r="BJO145" s="41"/>
      <c r="BJP145" s="41"/>
      <c r="BJQ145" s="41"/>
      <c r="BJR145" s="41"/>
      <c r="BJS145" s="41"/>
      <c r="BJT145" s="41"/>
      <c r="BJU145" s="41"/>
      <c r="BJV145" s="41"/>
      <c r="BJW145" s="41"/>
      <c r="BJX145" s="41"/>
      <c r="BJY145" s="41"/>
      <c r="BJZ145" s="41"/>
      <c r="BKA145" s="41"/>
      <c r="BKB145" s="41"/>
      <c r="BKC145" s="41"/>
      <c r="BKD145" s="41"/>
      <c r="BKE145" s="41"/>
      <c r="BKF145" s="41"/>
      <c r="BKG145" s="41"/>
      <c r="BKH145" s="41"/>
      <c r="BKI145" s="41"/>
      <c r="BKJ145" s="41"/>
      <c r="BKK145" s="41"/>
      <c r="BKL145" s="41"/>
      <c r="BKM145" s="41"/>
      <c r="BKN145" s="41"/>
      <c r="BKO145" s="41"/>
      <c r="BKP145" s="41"/>
      <c r="BKQ145" s="41"/>
      <c r="BKR145" s="41"/>
      <c r="BKS145" s="41"/>
      <c r="BKT145" s="41"/>
      <c r="BKU145" s="41"/>
      <c r="BKV145" s="41"/>
      <c r="BKW145" s="41"/>
      <c r="BKX145" s="41"/>
      <c r="BKY145" s="41"/>
      <c r="BKZ145" s="41"/>
      <c r="BLA145" s="41"/>
      <c r="BLB145" s="41"/>
      <c r="BLC145" s="41"/>
      <c r="BLD145" s="41"/>
      <c r="BLE145" s="41"/>
      <c r="BLF145" s="41"/>
      <c r="BLG145" s="41"/>
      <c r="BLH145" s="41"/>
      <c r="BLI145" s="41"/>
      <c r="BLJ145" s="41"/>
      <c r="BLK145" s="41"/>
      <c r="BLL145" s="41"/>
      <c r="BLM145" s="41"/>
      <c r="BLN145" s="41"/>
      <c r="BLO145" s="41"/>
      <c r="BLP145" s="41"/>
      <c r="BLQ145" s="41"/>
      <c r="BLR145" s="41"/>
      <c r="BLS145" s="41"/>
      <c r="BLT145" s="41"/>
      <c r="BLU145" s="41"/>
      <c r="BLV145" s="41"/>
      <c r="BLW145" s="41"/>
      <c r="BLX145" s="41"/>
      <c r="BLY145" s="41"/>
      <c r="BLZ145" s="41"/>
      <c r="BMA145" s="41"/>
      <c r="BMB145" s="41"/>
      <c r="BMC145" s="41"/>
      <c r="BMD145" s="41"/>
      <c r="BME145" s="41"/>
      <c r="BMF145" s="41"/>
      <c r="BMG145" s="41"/>
      <c r="BMH145" s="41"/>
      <c r="BMI145" s="41"/>
      <c r="BMJ145" s="41"/>
      <c r="BMK145" s="41"/>
      <c r="BML145" s="41"/>
      <c r="BMM145" s="41"/>
      <c r="BMN145" s="41"/>
      <c r="BMO145" s="41"/>
      <c r="BMP145" s="41"/>
      <c r="BMQ145" s="41"/>
      <c r="BMR145" s="41"/>
      <c r="BMS145" s="41"/>
      <c r="BMT145" s="41"/>
      <c r="BMU145" s="41"/>
      <c r="BMV145" s="41"/>
      <c r="BMW145" s="41"/>
      <c r="BMX145" s="41"/>
      <c r="BMY145" s="41"/>
      <c r="BMZ145" s="41"/>
      <c r="BNA145" s="41"/>
      <c r="BNB145" s="41"/>
      <c r="BNC145" s="41"/>
      <c r="BND145" s="41"/>
      <c r="BNE145" s="41"/>
      <c r="BNF145" s="41"/>
      <c r="BNG145" s="41"/>
      <c r="BNH145" s="41"/>
      <c r="BNI145" s="41"/>
      <c r="BNJ145" s="41"/>
      <c r="BNK145" s="41"/>
      <c r="BNL145" s="41"/>
      <c r="BNM145" s="41"/>
      <c r="BNN145" s="41"/>
      <c r="BNO145" s="41"/>
      <c r="BNP145" s="41"/>
      <c r="BNQ145" s="41"/>
      <c r="BNR145" s="41"/>
      <c r="BNS145" s="41"/>
      <c r="BNT145" s="41"/>
      <c r="BNU145" s="41"/>
      <c r="BNV145" s="41"/>
      <c r="BNW145" s="41"/>
      <c r="BNX145" s="41"/>
      <c r="BNY145" s="41"/>
      <c r="BNZ145" s="41"/>
      <c r="BOA145" s="41"/>
      <c r="BOB145" s="41"/>
      <c r="BOC145" s="41"/>
      <c r="BOD145" s="41"/>
      <c r="BOE145" s="41"/>
      <c r="BOF145" s="41"/>
      <c r="BOG145" s="41"/>
      <c r="BOH145" s="41"/>
      <c r="BOI145" s="41"/>
      <c r="BOJ145" s="41"/>
      <c r="BOK145" s="41"/>
      <c r="BOL145" s="41"/>
      <c r="BOM145" s="41"/>
      <c r="BON145" s="41"/>
      <c r="BOO145" s="41"/>
      <c r="BOP145" s="41"/>
      <c r="BOQ145" s="41"/>
      <c r="BOR145" s="41"/>
      <c r="BOS145" s="41"/>
      <c r="BOT145" s="41"/>
      <c r="BOU145" s="41"/>
      <c r="BOV145" s="41"/>
      <c r="BOW145" s="41"/>
      <c r="BOX145" s="41"/>
      <c r="BOY145" s="41"/>
      <c r="BOZ145" s="41"/>
      <c r="BPA145" s="41"/>
      <c r="BPB145" s="41"/>
      <c r="BPC145" s="41"/>
      <c r="BPD145" s="41"/>
      <c r="BPE145" s="41"/>
      <c r="BPF145" s="41"/>
      <c r="BPG145" s="41"/>
      <c r="BPH145" s="41"/>
      <c r="BPI145" s="41"/>
      <c r="BPJ145" s="41"/>
      <c r="BPK145" s="41"/>
      <c r="BPL145" s="41"/>
      <c r="BPM145" s="41"/>
      <c r="BPN145" s="41"/>
      <c r="BPO145" s="41"/>
      <c r="BPP145" s="41"/>
      <c r="BPQ145" s="41"/>
      <c r="BPR145" s="41"/>
      <c r="BPS145" s="41"/>
      <c r="BPT145" s="41"/>
      <c r="BPU145" s="41"/>
      <c r="BPV145" s="41"/>
      <c r="BPW145" s="41"/>
      <c r="BPX145" s="41"/>
      <c r="BPY145" s="41"/>
      <c r="BPZ145" s="41"/>
      <c r="BQA145" s="41"/>
      <c r="BQB145" s="41"/>
      <c r="BQC145" s="41"/>
      <c r="BQD145" s="41"/>
      <c r="BQE145" s="41"/>
      <c r="BQF145" s="41"/>
      <c r="BQG145" s="41"/>
      <c r="BQH145" s="41"/>
      <c r="BQI145" s="41"/>
      <c r="BQJ145" s="41"/>
      <c r="BQK145" s="41"/>
      <c r="BQL145" s="41"/>
      <c r="BQM145" s="41"/>
      <c r="BQN145" s="41"/>
      <c r="BQO145" s="41"/>
      <c r="BQP145" s="41"/>
      <c r="BQQ145" s="41"/>
      <c r="BQR145" s="41"/>
      <c r="BQS145" s="41"/>
      <c r="BQT145" s="41"/>
      <c r="BQU145" s="41"/>
      <c r="BQV145" s="41"/>
      <c r="BQW145" s="41"/>
      <c r="BQX145" s="41"/>
      <c r="BQY145" s="41"/>
      <c r="BQZ145" s="41"/>
      <c r="BRA145" s="41"/>
      <c r="BRB145" s="41"/>
      <c r="BRC145" s="41"/>
      <c r="BRD145" s="41"/>
      <c r="BRE145" s="41"/>
      <c r="BRF145" s="41"/>
      <c r="BRG145" s="41"/>
      <c r="BRH145" s="41"/>
      <c r="BRI145" s="41"/>
      <c r="BRJ145" s="41"/>
      <c r="BRK145" s="41"/>
      <c r="BRL145" s="41"/>
      <c r="BRM145" s="41"/>
      <c r="BRN145" s="41"/>
      <c r="BRO145" s="41"/>
      <c r="BRP145" s="41"/>
      <c r="BRQ145" s="41"/>
      <c r="BRR145" s="41"/>
      <c r="BRS145" s="41"/>
      <c r="BRT145" s="41"/>
      <c r="BRU145" s="41"/>
      <c r="BRV145" s="41"/>
      <c r="BRW145" s="41"/>
      <c r="BRX145" s="41"/>
      <c r="BRY145" s="41"/>
      <c r="BRZ145" s="41"/>
      <c r="BSA145" s="41"/>
      <c r="BSB145" s="41"/>
      <c r="BSC145" s="41"/>
      <c r="BSD145" s="41"/>
      <c r="BSE145" s="41"/>
      <c r="BSF145" s="41"/>
      <c r="BSG145" s="41"/>
      <c r="BSH145" s="41"/>
      <c r="BSI145" s="41"/>
      <c r="BSJ145" s="41"/>
      <c r="BSK145" s="41"/>
      <c r="BSL145" s="41"/>
      <c r="BSM145" s="41"/>
      <c r="BSN145" s="41"/>
      <c r="BSO145" s="41"/>
      <c r="BSP145" s="41"/>
      <c r="BSQ145" s="41"/>
      <c r="BSR145" s="41"/>
      <c r="BSS145" s="41"/>
      <c r="BST145" s="41"/>
      <c r="BSU145" s="41"/>
      <c r="BSV145" s="41"/>
      <c r="BSW145" s="41"/>
      <c r="BSX145" s="41"/>
      <c r="BSY145" s="41"/>
      <c r="BSZ145" s="41"/>
      <c r="BTA145" s="41"/>
      <c r="BTB145" s="41"/>
      <c r="BTC145" s="41"/>
      <c r="BTD145" s="41"/>
      <c r="BTE145" s="41"/>
      <c r="BTF145" s="41"/>
      <c r="BTG145" s="41"/>
      <c r="BTH145" s="41"/>
      <c r="BTI145" s="41"/>
      <c r="BTJ145" s="41"/>
      <c r="BTK145" s="41"/>
      <c r="BTL145" s="41"/>
      <c r="BTM145" s="41"/>
      <c r="BTN145" s="41"/>
      <c r="BTO145" s="41"/>
      <c r="BTP145" s="41"/>
      <c r="BTQ145" s="41"/>
      <c r="BTR145" s="41"/>
      <c r="BTS145" s="41"/>
      <c r="BTT145" s="41"/>
      <c r="BTU145" s="41"/>
      <c r="BTV145" s="41"/>
      <c r="BTW145" s="41"/>
      <c r="BTX145" s="41"/>
      <c r="BTY145" s="41"/>
      <c r="BTZ145" s="41"/>
      <c r="BUA145" s="41"/>
      <c r="BUB145" s="41"/>
      <c r="BUC145" s="41"/>
      <c r="BUD145" s="41"/>
      <c r="BUE145" s="41"/>
      <c r="BUF145" s="41"/>
      <c r="BUG145" s="41"/>
      <c r="BUH145" s="41"/>
      <c r="BUI145" s="41"/>
      <c r="BUJ145" s="41"/>
      <c r="BUK145" s="41"/>
      <c r="BUL145" s="41"/>
      <c r="BUM145" s="41"/>
      <c r="BUN145" s="41"/>
      <c r="BUO145" s="41"/>
      <c r="BUP145" s="41"/>
      <c r="BUQ145" s="41"/>
      <c r="BUR145" s="41"/>
      <c r="BUS145" s="41"/>
      <c r="BUT145" s="41"/>
      <c r="BUU145" s="41"/>
      <c r="BUV145" s="41"/>
      <c r="BUW145" s="41"/>
      <c r="BUX145" s="41"/>
      <c r="BUY145" s="41"/>
      <c r="BUZ145" s="41"/>
      <c r="BVA145" s="41"/>
      <c r="BVB145" s="41"/>
      <c r="BVC145" s="41"/>
      <c r="BVD145" s="41"/>
      <c r="BVE145" s="41"/>
      <c r="BVF145" s="41"/>
      <c r="BVG145" s="41"/>
      <c r="BVH145" s="41"/>
      <c r="BVI145" s="41"/>
      <c r="BVJ145" s="41"/>
      <c r="BVK145" s="41"/>
      <c r="BVL145" s="41"/>
      <c r="BVM145" s="41"/>
      <c r="BVN145" s="41"/>
      <c r="BVO145" s="41"/>
      <c r="BVP145" s="41"/>
      <c r="BVQ145" s="41"/>
      <c r="BVR145" s="41"/>
      <c r="BVS145" s="41"/>
      <c r="BVT145" s="41"/>
      <c r="BVU145" s="41"/>
      <c r="BVV145" s="41"/>
      <c r="BVW145" s="41"/>
      <c r="BVX145" s="41"/>
      <c r="BVY145" s="41"/>
      <c r="BVZ145" s="41"/>
      <c r="BWA145" s="41"/>
      <c r="BWB145" s="41"/>
      <c r="BWC145" s="41"/>
      <c r="BWD145" s="41"/>
      <c r="BWE145" s="41"/>
      <c r="BWF145" s="41"/>
      <c r="BWG145" s="41"/>
      <c r="BWH145" s="41"/>
      <c r="BWI145" s="41"/>
      <c r="BWJ145" s="41"/>
      <c r="BWK145" s="41"/>
      <c r="BWL145" s="41"/>
      <c r="BWM145" s="41"/>
      <c r="BWN145" s="41"/>
      <c r="BWO145" s="41"/>
      <c r="BWP145" s="41"/>
      <c r="BWQ145" s="41"/>
      <c r="BWR145" s="41"/>
      <c r="BWS145" s="41"/>
      <c r="BWT145" s="41"/>
      <c r="BWU145" s="41"/>
      <c r="BWV145" s="41"/>
      <c r="BWW145" s="41"/>
      <c r="BWX145" s="41"/>
      <c r="BWY145" s="41"/>
      <c r="BWZ145" s="41"/>
      <c r="BXA145" s="41"/>
      <c r="BXB145" s="41"/>
      <c r="BXC145" s="41"/>
      <c r="BXD145" s="41"/>
      <c r="BXE145" s="41"/>
      <c r="BXF145" s="41"/>
      <c r="BXG145" s="41"/>
      <c r="BXH145" s="41"/>
      <c r="BXI145" s="41"/>
      <c r="BXJ145" s="41"/>
      <c r="BXK145" s="41"/>
      <c r="BXL145" s="41"/>
      <c r="BXM145" s="41"/>
      <c r="BXN145" s="41"/>
      <c r="BXO145" s="41"/>
      <c r="BXP145" s="41"/>
      <c r="BXQ145" s="41"/>
      <c r="BXR145" s="41"/>
      <c r="BXS145" s="41"/>
      <c r="BXT145" s="41"/>
      <c r="BXU145" s="41"/>
      <c r="BXV145" s="41"/>
      <c r="BXW145" s="41"/>
      <c r="BXX145" s="41"/>
      <c r="BXY145" s="41"/>
      <c r="BXZ145" s="41"/>
      <c r="BYA145" s="41"/>
      <c r="BYB145" s="41"/>
      <c r="BYC145" s="41"/>
      <c r="BYD145" s="41"/>
      <c r="BYE145" s="41"/>
      <c r="BYF145" s="41"/>
      <c r="BYG145" s="41"/>
      <c r="BYH145" s="41"/>
      <c r="BYI145" s="41"/>
      <c r="BYJ145" s="41"/>
      <c r="BYK145" s="41"/>
      <c r="BYL145" s="41"/>
      <c r="BYM145" s="41"/>
      <c r="BYN145" s="41"/>
      <c r="BYO145" s="41"/>
      <c r="BYP145" s="41"/>
      <c r="BYQ145" s="41"/>
      <c r="BYR145" s="41"/>
      <c r="BYS145" s="41"/>
      <c r="BYT145" s="41"/>
      <c r="BYU145" s="41"/>
      <c r="BYV145" s="41"/>
      <c r="BYW145" s="41"/>
      <c r="BYX145" s="41"/>
      <c r="BYY145" s="41"/>
      <c r="BYZ145" s="41"/>
      <c r="BZA145" s="41"/>
      <c r="BZB145" s="41"/>
      <c r="BZC145" s="41"/>
      <c r="BZD145" s="41"/>
      <c r="BZE145" s="41"/>
      <c r="BZF145" s="41"/>
      <c r="BZG145" s="41"/>
      <c r="BZH145" s="41"/>
      <c r="BZI145" s="41"/>
      <c r="BZJ145" s="41"/>
      <c r="BZK145" s="41"/>
      <c r="BZL145" s="41"/>
      <c r="BZM145" s="41"/>
      <c r="BZN145" s="41"/>
      <c r="BZO145" s="41"/>
      <c r="BZP145" s="41"/>
      <c r="BZQ145" s="41"/>
      <c r="BZR145" s="41"/>
      <c r="BZS145" s="41"/>
      <c r="BZT145" s="41"/>
      <c r="BZU145" s="41"/>
      <c r="BZV145" s="41"/>
      <c r="BZW145" s="41"/>
      <c r="BZX145" s="41"/>
      <c r="BZY145" s="41"/>
      <c r="BZZ145" s="41"/>
      <c r="CAA145" s="41"/>
      <c r="CAB145" s="41"/>
      <c r="CAC145" s="41"/>
      <c r="CAD145" s="41"/>
      <c r="CAE145" s="41"/>
      <c r="CAF145" s="41"/>
      <c r="CAG145" s="41"/>
      <c r="CAH145" s="41"/>
      <c r="CAI145" s="41"/>
      <c r="CAJ145" s="41"/>
      <c r="CAK145" s="41"/>
      <c r="CAL145" s="41"/>
      <c r="CAM145" s="41"/>
      <c r="CAN145" s="41"/>
      <c r="CAO145" s="41"/>
      <c r="CAP145" s="41"/>
      <c r="CAQ145" s="41"/>
      <c r="CAR145" s="41"/>
      <c r="CAS145" s="41"/>
      <c r="CAT145" s="41"/>
      <c r="CAU145" s="41"/>
      <c r="CAV145" s="41"/>
      <c r="CAW145" s="41"/>
      <c r="CAX145" s="41"/>
      <c r="CAY145" s="41"/>
      <c r="CAZ145" s="41"/>
      <c r="CBA145" s="41"/>
      <c r="CBB145" s="41"/>
      <c r="CBC145" s="41"/>
      <c r="CBD145" s="41"/>
      <c r="CBE145" s="41"/>
      <c r="CBF145" s="41"/>
      <c r="CBG145" s="41"/>
      <c r="CBH145" s="41"/>
      <c r="CBI145" s="41"/>
      <c r="CBJ145" s="41"/>
      <c r="CBK145" s="41"/>
      <c r="CBL145" s="41"/>
      <c r="CBM145" s="41"/>
      <c r="CBN145" s="41"/>
      <c r="CBO145" s="41"/>
      <c r="CBP145" s="41"/>
      <c r="CBQ145" s="41"/>
      <c r="CBR145" s="41"/>
      <c r="CBS145" s="41"/>
      <c r="CBT145" s="41"/>
      <c r="CBU145" s="41"/>
      <c r="CBV145" s="41"/>
      <c r="CBW145" s="41"/>
      <c r="CBX145" s="41"/>
      <c r="CBY145" s="41"/>
      <c r="CBZ145" s="41"/>
      <c r="CCA145" s="41"/>
      <c r="CCB145" s="41"/>
      <c r="CCC145" s="41"/>
      <c r="CCD145" s="41"/>
      <c r="CCE145" s="41"/>
      <c r="CCF145" s="41"/>
      <c r="CCG145" s="41"/>
      <c r="CCH145" s="41"/>
      <c r="CCI145" s="41"/>
      <c r="CCJ145" s="41"/>
      <c r="CCK145" s="41"/>
      <c r="CCL145" s="41"/>
      <c r="CCM145" s="41"/>
      <c r="CCN145" s="41"/>
      <c r="CCO145" s="41"/>
      <c r="CCP145" s="41"/>
      <c r="CCQ145" s="41"/>
      <c r="CCR145" s="41"/>
      <c r="CCS145" s="41"/>
      <c r="CCT145" s="41"/>
      <c r="CCU145" s="41"/>
      <c r="CCV145" s="41"/>
      <c r="CCW145" s="41"/>
      <c r="CCX145" s="41"/>
      <c r="CCY145" s="41"/>
      <c r="CCZ145" s="41"/>
      <c r="CDA145" s="41"/>
      <c r="CDB145" s="41"/>
      <c r="CDC145" s="41"/>
      <c r="CDD145" s="41"/>
      <c r="CDE145" s="41"/>
      <c r="CDF145" s="41"/>
      <c r="CDG145" s="41"/>
      <c r="CDH145" s="41"/>
      <c r="CDI145" s="41"/>
      <c r="CDJ145" s="41"/>
      <c r="CDK145" s="41"/>
      <c r="CDL145" s="41"/>
      <c r="CDM145" s="41"/>
      <c r="CDN145" s="41"/>
      <c r="CDO145" s="41"/>
      <c r="CDP145" s="41"/>
      <c r="CDQ145" s="41"/>
      <c r="CDR145" s="41"/>
      <c r="CDS145" s="41"/>
      <c r="CDT145" s="41"/>
      <c r="CDU145" s="41"/>
      <c r="CDV145" s="41"/>
      <c r="CDW145" s="41"/>
      <c r="CDX145" s="41"/>
      <c r="CDY145" s="41"/>
      <c r="CDZ145" s="41"/>
      <c r="CEA145" s="41"/>
      <c r="CEB145" s="41"/>
      <c r="CEC145" s="41"/>
      <c r="CED145" s="41"/>
      <c r="CEE145" s="41"/>
      <c r="CEF145" s="41"/>
      <c r="CEG145" s="41"/>
      <c r="CEH145" s="41"/>
      <c r="CEI145" s="41"/>
      <c r="CEJ145" s="41"/>
      <c r="CEK145" s="41"/>
      <c r="CEL145" s="41"/>
      <c r="CEM145" s="41"/>
      <c r="CEN145" s="41"/>
      <c r="CEO145" s="41"/>
      <c r="CEP145" s="41"/>
      <c r="CEQ145" s="41"/>
      <c r="CER145" s="41"/>
      <c r="CES145" s="41"/>
      <c r="CET145" s="41"/>
      <c r="CEU145" s="41"/>
      <c r="CEV145" s="41"/>
      <c r="CEW145" s="41"/>
      <c r="CEX145" s="41"/>
      <c r="CEY145" s="41"/>
      <c r="CEZ145" s="41"/>
      <c r="CFA145" s="41"/>
      <c r="CFB145" s="41"/>
      <c r="CFC145" s="41"/>
      <c r="CFD145" s="41"/>
      <c r="CFE145" s="41"/>
      <c r="CFF145" s="41"/>
      <c r="CFG145" s="41"/>
      <c r="CFH145" s="41"/>
      <c r="CFI145" s="41"/>
      <c r="CFJ145" s="41"/>
      <c r="CFK145" s="41"/>
      <c r="CFL145" s="41"/>
      <c r="CFM145" s="41"/>
      <c r="CFN145" s="41"/>
      <c r="CFO145" s="41"/>
      <c r="CFP145" s="41"/>
      <c r="CFQ145" s="41"/>
      <c r="CFR145" s="41"/>
      <c r="CFS145" s="41"/>
      <c r="CFT145" s="41"/>
      <c r="CFU145" s="41"/>
      <c r="CFV145" s="41"/>
      <c r="CFW145" s="41"/>
      <c r="CFX145" s="41"/>
      <c r="CFY145" s="41"/>
      <c r="CFZ145" s="41"/>
      <c r="CGA145" s="41"/>
      <c r="CGB145" s="41"/>
      <c r="CGC145" s="41"/>
      <c r="CGD145" s="41"/>
      <c r="CGE145" s="41"/>
      <c r="CGF145" s="41"/>
      <c r="CGG145" s="41"/>
      <c r="CGH145" s="41"/>
      <c r="CGI145" s="41"/>
      <c r="CGJ145" s="41"/>
      <c r="CGK145" s="41"/>
      <c r="CGL145" s="41"/>
      <c r="CGM145" s="41"/>
      <c r="CGN145" s="41"/>
      <c r="CGO145" s="41"/>
      <c r="CGP145" s="41"/>
      <c r="CGQ145" s="41"/>
      <c r="CGR145" s="41"/>
      <c r="CGS145" s="41"/>
      <c r="CGT145" s="41"/>
      <c r="CGU145" s="41"/>
      <c r="CGV145" s="41"/>
      <c r="CGW145" s="41"/>
      <c r="CGX145" s="41"/>
      <c r="CGY145" s="41"/>
      <c r="CGZ145" s="41"/>
      <c r="CHA145" s="41"/>
      <c r="CHB145" s="41"/>
      <c r="CHC145" s="41"/>
      <c r="CHD145" s="41"/>
      <c r="CHE145" s="41"/>
      <c r="CHF145" s="41"/>
      <c r="CHG145" s="41"/>
      <c r="CHH145" s="41"/>
      <c r="CHI145" s="41"/>
      <c r="CHJ145" s="41"/>
      <c r="CHK145" s="41"/>
      <c r="CHL145" s="41"/>
      <c r="CHM145" s="41"/>
      <c r="CHN145" s="41"/>
      <c r="CHO145" s="41"/>
      <c r="CHP145" s="41"/>
      <c r="CHQ145" s="41"/>
      <c r="CHR145" s="41"/>
      <c r="CHS145" s="41"/>
      <c r="CHT145" s="41"/>
      <c r="CHU145" s="41"/>
      <c r="CHV145" s="41"/>
      <c r="CHW145" s="41"/>
      <c r="CHX145" s="41"/>
      <c r="CHY145" s="41"/>
      <c r="CHZ145" s="41"/>
      <c r="CIA145" s="41"/>
      <c r="CIB145" s="41"/>
      <c r="CIC145" s="41"/>
      <c r="CID145" s="41"/>
      <c r="CIE145" s="41"/>
      <c r="CIF145" s="41"/>
      <c r="CIG145" s="41"/>
      <c r="CIH145" s="41"/>
      <c r="CII145" s="41"/>
      <c r="CIJ145" s="41"/>
      <c r="CIK145" s="41"/>
      <c r="CIL145" s="41"/>
      <c r="CIM145" s="41"/>
      <c r="CIN145" s="41"/>
      <c r="CIO145" s="41"/>
      <c r="CIP145" s="41"/>
      <c r="CIQ145" s="41"/>
      <c r="CIR145" s="41"/>
      <c r="CIS145" s="41"/>
      <c r="CIT145" s="41"/>
      <c r="CIU145" s="41"/>
      <c r="CIV145" s="41"/>
      <c r="CIW145" s="41"/>
      <c r="CIX145" s="41"/>
      <c r="CIY145" s="41"/>
      <c r="CIZ145" s="41"/>
      <c r="CJA145" s="41"/>
      <c r="CJB145" s="41"/>
      <c r="CJC145" s="41"/>
      <c r="CJD145" s="41"/>
      <c r="CJE145" s="41"/>
      <c r="CJF145" s="41"/>
      <c r="CJG145" s="41"/>
      <c r="CJH145" s="41"/>
      <c r="CJI145" s="41"/>
      <c r="CJJ145" s="41"/>
      <c r="CJK145" s="41"/>
      <c r="CJL145" s="41"/>
      <c r="CJM145" s="41"/>
      <c r="CJN145" s="41"/>
      <c r="CJO145" s="41"/>
      <c r="CJP145" s="41"/>
      <c r="CJQ145" s="41"/>
      <c r="CJR145" s="41"/>
      <c r="CJS145" s="41"/>
      <c r="CJT145" s="41"/>
      <c r="CJU145" s="41"/>
      <c r="CJV145" s="41"/>
      <c r="CJW145" s="41"/>
      <c r="CJX145" s="41"/>
      <c r="CJY145" s="41"/>
      <c r="CJZ145" s="41"/>
      <c r="CKA145" s="41"/>
      <c r="CKB145" s="41"/>
      <c r="CKC145" s="41"/>
      <c r="CKD145" s="41"/>
      <c r="CKE145" s="41"/>
      <c r="CKF145" s="41"/>
      <c r="CKG145" s="41"/>
      <c r="CKH145" s="41"/>
      <c r="CKI145" s="41"/>
      <c r="CKJ145" s="41"/>
      <c r="CKK145" s="41"/>
      <c r="CKL145" s="41"/>
      <c r="CKM145" s="41"/>
      <c r="CKN145" s="41"/>
      <c r="CKO145" s="41"/>
      <c r="CKP145" s="41"/>
      <c r="CKQ145" s="41"/>
      <c r="CKR145" s="41"/>
      <c r="CKS145" s="41"/>
      <c r="CKT145" s="41"/>
      <c r="CKU145" s="41"/>
      <c r="CKV145" s="41"/>
      <c r="CKW145" s="41"/>
      <c r="CKX145" s="41"/>
      <c r="CKY145" s="41"/>
      <c r="CKZ145" s="41"/>
      <c r="CLA145" s="41"/>
      <c r="CLB145" s="41"/>
      <c r="CLC145" s="41"/>
      <c r="CLD145" s="41"/>
      <c r="CLE145" s="41"/>
      <c r="CLF145" s="41"/>
      <c r="CLG145" s="41"/>
      <c r="CLH145" s="41"/>
      <c r="CLI145" s="41"/>
      <c r="CLJ145" s="41"/>
      <c r="CLK145" s="41"/>
      <c r="CLL145" s="41"/>
      <c r="CLM145" s="41"/>
      <c r="CLN145" s="41"/>
      <c r="CLO145" s="41"/>
      <c r="CLP145" s="41"/>
      <c r="CLQ145" s="41"/>
      <c r="CLR145" s="41"/>
      <c r="CLS145" s="41"/>
      <c r="CLT145" s="41"/>
      <c r="CLU145" s="41"/>
      <c r="CLV145" s="41"/>
      <c r="CLW145" s="41"/>
      <c r="CLX145" s="41"/>
      <c r="CLY145" s="41"/>
      <c r="CLZ145" s="41"/>
      <c r="CMA145" s="41"/>
      <c r="CMB145" s="41"/>
      <c r="CMC145" s="41"/>
      <c r="CMD145" s="41"/>
      <c r="CME145" s="41"/>
      <c r="CMF145" s="41"/>
      <c r="CMG145" s="41"/>
      <c r="CMH145" s="41"/>
      <c r="CMI145" s="41"/>
      <c r="CMJ145" s="41"/>
      <c r="CMK145" s="41"/>
      <c r="CML145" s="41"/>
      <c r="CMM145" s="41"/>
      <c r="CMN145" s="41"/>
      <c r="CMO145" s="41"/>
      <c r="CMP145" s="41"/>
      <c r="CMQ145" s="41"/>
      <c r="CMR145" s="41"/>
      <c r="CMS145" s="41"/>
      <c r="CMT145" s="41"/>
      <c r="CMU145" s="41"/>
      <c r="CMV145" s="41"/>
      <c r="CMW145" s="41"/>
      <c r="CMX145" s="41"/>
      <c r="CMY145" s="41"/>
      <c r="CMZ145" s="41"/>
      <c r="CNA145" s="41"/>
      <c r="CNB145" s="41"/>
      <c r="CNC145" s="41"/>
      <c r="CND145" s="41"/>
      <c r="CNE145" s="41"/>
      <c r="CNF145" s="41"/>
      <c r="CNG145" s="41"/>
      <c r="CNH145" s="41"/>
      <c r="CNI145" s="41"/>
      <c r="CNJ145" s="41"/>
      <c r="CNK145" s="41"/>
      <c r="CNL145" s="41"/>
      <c r="CNM145" s="41"/>
      <c r="CNN145" s="41"/>
      <c r="CNO145" s="41"/>
      <c r="CNP145" s="41"/>
      <c r="CNQ145" s="41"/>
      <c r="CNR145" s="41"/>
      <c r="CNS145" s="41"/>
      <c r="CNT145" s="41"/>
      <c r="CNU145" s="41"/>
      <c r="CNV145" s="41"/>
      <c r="CNW145" s="41"/>
      <c r="CNX145" s="41"/>
      <c r="CNY145" s="41"/>
      <c r="CNZ145" s="41"/>
      <c r="COA145" s="41"/>
      <c r="COB145" s="41"/>
      <c r="COC145" s="41"/>
      <c r="COD145" s="41"/>
      <c r="COE145" s="41"/>
      <c r="COF145" s="41"/>
      <c r="COG145" s="41"/>
      <c r="COH145" s="41"/>
      <c r="COI145" s="41"/>
      <c r="COJ145" s="41"/>
      <c r="COK145" s="41"/>
      <c r="COL145" s="41"/>
      <c r="COM145" s="41"/>
      <c r="CON145" s="41"/>
      <c r="COO145" s="41"/>
      <c r="COP145" s="41"/>
      <c r="COQ145" s="41"/>
      <c r="COR145" s="41"/>
      <c r="COS145" s="41"/>
      <c r="COT145" s="41"/>
      <c r="COU145" s="41"/>
      <c r="COV145" s="41"/>
      <c r="COW145" s="41"/>
      <c r="COX145" s="41"/>
      <c r="COY145" s="41"/>
      <c r="COZ145" s="41"/>
      <c r="CPA145" s="41"/>
      <c r="CPB145" s="41"/>
      <c r="CPC145" s="41"/>
      <c r="CPD145" s="41"/>
      <c r="CPE145" s="41"/>
      <c r="CPF145" s="41"/>
      <c r="CPG145" s="41"/>
      <c r="CPH145" s="41"/>
      <c r="CPI145" s="41"/>
      <c r="CPJ145" s="41"/>
      <c r="CPK145" s="41"/>
      <c r="CPL145" s="41"/>
      <c r="CPM145" s="41"/>
      <c r="CPN145" s="41"/>
      <c r="CPO145" s="41"/>
      <c r="CPP145" s="41"/>
      <c r="CPQ145" s="41"/>
      <c r="CPR145" s="41"/>
      <c r="CPS145" s="41"/>
      <c r="CPT145" s="41"/>
      <c r="CPU145" s="41"/>
      <c r="CPV145" s="41"/>
      <c r="CPW145" s="41"/>
      <c r="CPX145" s="41"/>
      <c r="CPY145" s="41"/>
      <c r="CPZ145" s="41"/>
      <c r="CQA145" s="41"/>
      <c r="CQB145" s="41"/>
      <c r="CQC145" s="41"/>
      <c r="CQD145" s="41"/>
      <c r="CQE145" s="41"/>
      <c r="CQF145" s="41"/>
      <c r="CQG145" s="41"/>
      <c r="CQH145" s="41"/>
      <c r="CQI145" s="41"/>
      <c r="CQJ145" s="41"/>
      <c r="CQK145" s="41"/>
      <c r="CQL145" s="41"/>
      <c r="CQM145" s="41"/>
      <c r="CQN145" s="41"/>
      <c r="CQO145" s="41"/>
      <c r="CQP145" s="41"/>
      <c r="CQQ145" s="41"/>
      <c r="CQR145" s="41"/>
      <c r="CQS145" s="41"/>
      <c r="CQT145" s="41"/>
      <c r="CQU145" s="41"/>
      <c r="CQV145" s="41"/>
      <c r="CQW145" s="41"/>
      <c r="CQX145" s="41"/>
      <c r="CQY145" s="41"/>
      <c r="CQZ145" s="41"/>
      <c r="CRA145" s="41"/>
      <c r="CRB145" s="41"/>
      <c r="CRC145" s="41"/>
      <c r="CRD145" s="41"/>
      <c r="CRE145" s="41"/>
      <c r="CRF145" s="41"/>
      <c r="CRG145" s="41"/>
      <c r="CRH145" s="41"/>
      <c r="CRI145" s="41"/>
      <c r="CRJ145" s="41"/>
      <c r="CRK145" s="41"/>
      <c r="CRL145" s="41"/>
      <c r="CRM145" s="41"/>
      <c r="CRN145" s="41"/>
      <c r="CRO145" s="41"/>
      <c r="CRP145" s="41"/>
      <c r="CRQ145" s="41"/>
      <c r="CRR145" s="41"/>
      <c r="CRS145" s="41"/>
      <c r="CRT145" s="41"/>
      <c r="CRU145" s="41"/>
      <c r="CRV145" s="41"/>
      <c r="CRW145" s="41"/>
      <c r="CRX145" s="41"/>
      <c r="CRY145" s="41"/>
      <c r="CRZ145" s="41"/>
      <c r="CSA145" s="41"/>
      <c r="CSB145" s="41"/>
      <c r="CSC145" s="41"/>
      <c r="CSD145" s="41"/>
      <c r="CSE145" s="41"/>
      <c r="CSF145" s="41"/>
      <c r="CSG145" s="41"/>
      <c r="CSH145" s="41"/>
      <c r="CSI145" s="41"/>
      <c r="CSJ145" s="41"/>
      <c r="CSK145" s="41"/>
      <c r="CSL145" s="41"/>
      <c r="CSM145" s="41"/>
      <c r="CSN145" s="41"/>
      <c r="CSO145" s="41"/>
      <c r="CSP145" s="41"/>
      <c r="CSQ145" s="41"/>
      <c r="CSR145" s="41"/>
      <c r="CSS145" s="41"/>
      <c r="CST145" s="41"/>
      <c r="CSU145" s="41"/>
      <c r="CSV145" s="41"/>
      <c r="CSW145" s="41"/>
      <c r="CSX145" s="41"/>
      <c r="CSY145" s="41"/>
      <c r="CSZ145" s="41"/>
      <c r="CTA145" s="41"/>
      <c r="CTB145" s="41"/>
      <c r="CTC145" s="41"/>
      <c r="CTD145" s="41"/>
      <c r="CTE145" s="41"/>
      <c r="CTF145" s="41"/>
      <c r="CTG145" s="41"/>
      <c r="CTH145" s="41"/>
      <c r="CTI145" s="41"/>
      <c r="CTJ145" s="41"/>
      <c r="CTK145" s="41"/>
      <c r="CTL145" s="41"/>
      <c r="CTM145" s="41"/>
      <c r="CTN145" s="41"/>
      <c r="CTO145" s="41"/>
      <c r="CTP145" s="41"/>
      <c r="CTQ145" s="41"/>
      <c r="CTR145" s="41"/>
      <c r="CTS145" s="41"/>
      <c r="CTT145" s="41"/>
      <c r="CTU145" s="41"/>
      <c r="CTV145" s="41"/>
      <c r="CTW145" s="41"/>
      <c r="CTX145" s="41"/>
      <c r="CTY145" s="41"/>
      <c r="CTZ145" s="41"/>
      <c r="CUA145" s="41"/>
      <c r="CUB145" s="41"/>
      <c r="CUC145" s="41"/>
      <c r="CUD145" s="41"/>
      <c r="CUE145" s="41"/>
      <c r="CUF145" s="41"/>
      <c r="CUG145" s="41"/>
      <c r="CUH145" s="41"/>
      <c r="CUI145" s="41"/>
      <c r="CUJ145" s="41"/>
      <c r="CUK145" s="41"/>
      <c r="CUL145" s="41"/>
      <c r="CUM145" s="41"/>
      <c r="CUN145" s="41"/>
      <c r="CUO145" s="41"/>
      <c r="CUP145" s="41"/>
      <c r="CUQ145" s="41"/>
      <c r="CUR145" s="41"/>
      <c r="CUS145" s="41"/>
      <c r="CUT145" s="41"/>
      <c r="CUU145" s="41"/>
      <c r="CUV145" s="41"/>
      <c r="CUW145" s="41"/>
      <c r="CUX145" s="41"/>
      <c r="CUY145" s="41"/>
      <c r="CUZ145" s="41"/>
      <c r="CVA145" s="41"/>
      <c r="CVB145" s="41"/>
      <c r="CVC145" s="41"/>
      <c r="CVD145" s="41"/>
      <c r="CVE145" s="41"/>
      <c r="CVF145" s="41"/>
      <c r="CVG145" s="41"/>
      <c r="CVH145" s="41"/>
      <c r="CVI145" s="41"/>
      <c r="CVJ145" s="41"/>
      <c r="CVK145" s="41"/>
      <c r="CVL145" s="41"/>
      <c r="CVM145" s="41"/>
      <c r="CVN145" s="41"/>
      <c r="CVO145" s="41"/>
      <c r="CVP145" s="41"/>
      <c r="CVQ145" s="41"/>
      <c r="CVR145" s="41"/>
      <c r="CVS145" s="41"/>
      <c r="CVT145" s="41"/>
      <c r="CVU145" s="41"/>
      <c r="CVV145" s="41"/>
      <c r="CVW145" s="41"/>
      <c r="CVX145" s="41"/>
      <c r="CVY145" s="41"/>
      <c r="CVZ145" s="41"/>
      <c r="CWA145" s="41"/>
      <c r="CWB145" s="41"/>
      <c r="CWC145" s="41"/>
      <c r="CWD145" s="41"/>
      <c r="CWE145" s="41"/>
      <c r="CWF145" s="41"/>
      <c r="CWG145" s="41"/>
      <c r="CWH145" s="41"/>
      <c r="CWI145" s="41"/>
      <c r="CWJ145" s="41"/>
      <c r="CWK145" s="41"/>
      <c r="CWL145" s="41"/>
      <c r="CWM145" s="41"/>
      <c r="CWN145" s="41"/>
      <c r="CWO145" s="41"/>
      <c r="CWP145" s="41"/>
      <c r="CWQ145" s="41"/>
      <c r="CWR145" s="41"/>
      <c r="CWS145" s="41"/>
      <c r="CWT145" s="41"/>
      <c r="CWU145" s="41"/>
      <c r="CWV145" s="41"/>
      <c r="CWW145" s="41"/>
      <c r="CWX145" s="41"/>
      <c r="CWY145" s="41"/>
      <c r="CWZ145" s="41"/>
      <c r="CXA145" s="41"/>
      <c r="CXB145" s="41"/>
      <c r="CXC145" s="41"/>
      <c r="CXD145" s="41"/>
      <c r="CXE145" s="41"/>
      <c r="CXF145" s="41"/>
      <c r="CXG145" s="41"/>
      <c r="CXH145" s="41"/>
      <c r="CXI145" s="41"/>
      <c r="CXJ145" s="41"/>
      <c r="CXK145" s="41"/>
      <c r="CXL145" s="41"/>
      <c r="CXM145" s="41"/>
      <c r="CXN145" s="41"/>
      <c r="CXO145" s="41"/>
      <c r="CXP145" s="41"/>
      <c r="CXQ145" s="41"/>
      <c r="CXR145" s="41"/>
      <c r="CXS145" s="41"/>
      <c r="CXT145" s="41"/>
      <c r="CXU145" s="41"/>
      <c r="CXV145" s="41"/>
      <c r="CXW145" s="41"/>
      <c r="CXX145" s="41"/>
      <c r="CXY145" s="41"/>
      <c r="CXZ145" s="41"/>
      <c r="CYA145" s="41"/>
      <c r="CYB145" s="41"/>
      <c r="CYC145" s="41"/>
      <c r="CYD145" s="41"/>
      <c r="CYE145" s="41"/>
      <c r="CYF145" s="41"/>
      <c r="CYG145" s="41"/>
      <c r="CYH145" s="41"/>
      <c r="CYI145" s="41"/>
      <c r="CYJ145" s="41"/>
      <c r="CYK145" s="41"/>
      <c r="CYL145" s="41"/>
      <c r="CYM145" s="41"/>
      <c r="CYN145" s="41"/>
      <c r="CYO145" s="41"/>
      <c r="CYP145" s="41"/>
      <c r="CYQ145" s="41"/>
      <c r="CYR145" s="41"/>
      <c r="CYS145" s="41"/>
      <c r="CYT145" s="41"/>
      <c r="CYU145" s="41"/>
      <c r="CYV145" s="41"/>
      <c r="CYW145" s="41"/>
      <c r="CYX145" s="41"/>
      <c r="CYY145" s="41"/>
      <c r="CYZ145" s="41"/>
      <c r="CZA145" s="41"/>
      <c r="CZB145" s="41"/>
      <c r="CZC145" s="41"/>
      <c r="CZD145" s="41"/>
      <c r="CZE145" s="41"/>
      <c r="CZF145" s="41"/>
      <c r="CZG145" s="41"/>
      <c r="CZH145" s="41"/>
      <c r="CZI145" s="41"/>
      <c r="CZJ145" s="41"/>
      <c r="CZK145" s="41"/>
      <c r="CZL145" s="41"/>
      <c r="CZM145" s="41"/>
      <c r="CZN145" s="41"/>
      <c r="CZO145" s="41"/>
      <c r="CZP145" s="41"/>
      <c r="CZQ145" s="41"/>
      <c r="CZR145" s="41"/>
      <c r="CZS145" s="41"/>
      <c r="CZT145" s="41"/>
      <c r="CZU145" s="41"/>
      <c r="CZV145" s="41"/>
      <c r="CZW145" s="41"/>
      <c r="CZX145" s="41"/>
      <c r="CZY145" s="41"/>
      <c r="CZZ145" s="41"/>
      <c r="DAA145" s="41"/>
      <c r="DAB145" s="41"/>
      <c r="DAC145" s="41"/>
      <c r="DAD145" s="41"/>
      <c r="DAE145" s="41"/>
      <c r="DAF145" s="41"/>
      <c r="DAG145" s="41"/>
      <c r="DAH145" s="41"/>
      <c r="DAI145" s="41"/>
      <c r="DAJ145" s="41"/>
      <c r="DAK145" s="41"/>
      <c r="DAL145" s="41"/>
      <c r="DAM145" s="41"/>
      <c r="DAN145" s="41"/>
      <c r="DAO145" s="41"/>
      <c r="DAP145" s="41"/>
      <c r="DAQ145" s="41"/>
      <c r="DAR145" s="41"/>
      <c r="DAS145" s="41"/>
      <c r="DAT145" s="41"/>
      <c r="DAU145" s="41"/>
      <c r="DAV145" s="41"/>
      <c r="DAW145" s="41"/>
      <c r="DAX145" s="41"/>
      <c r="DAY145" s="41"/>
      <c r="DAZ145" s="41"/>
      <c r="DBA145" s="41"/>
      <c r="DBB145" s="41"/>
      <c r="DBC145" s="41"/>
      <c r="DBD145" s="41"/>
      <c r="DBE145" s="41"/>
      <c r="DBF145" s="41"/>
      <c r="DBG145" s="41"/>
      <c r="DBH145" s="41"/>
      <c r="DBI145" s="41"/>
      <c r="DBJ145" s="41"/>
      <c r="DBK145" s="41"/>
      <c r="DBL145" s="41"/>
      <c r="DBM145" s="41"/>
      <c r="DBN145" s="41"/>
      <c r="DBO145" s="41"/>
      <c r="DBP145" s="41"/>
      <c r="DBQ145" s="41"/>
      <c r="DBR145" s="41"/>
      <c r="DBS145" s="41"/>
      <c r="DBT145" s="41"/>
      <c r="DBU145" s="41"/>
      <c r="DBV145" s="41"/>
      <c r="DBW145" s="41"/>
      <c r="DBX145" s="41"/>
      <c r="DBY145" s="41"/>
      <c r="DBZ145" s="41"/>
      <c r="DCA145" s="41"/>
      <c r="DCB145" s="41"/>
      <c r="DCC145" s="41"/>
      <c r="DCD145" s="41"/>
      <c r="DCE145" s="41"/>
      <c r="DCF145" s="41"/>
      <c r="DCG145" s="41"/>
      <c r="DCH145" s="41"/>
      <c r="DCI145" s="41"/>
      <c r="DCJ145" s="41"/>
      <c r="DCK145" s="41"/>
      <c r="DCL145" s="41"/>
      <c r="DCM145" s="41"/>
      <c r="DCN145" s="41"/>
      <c r="DCO145" s="41"/>
      <c r="DCP145" s="41"/>
      <c r="DCQ145" s="41"/>
      <c r="DCR145" s="41"/>
      <c r="DCS145" s="41"/>
      <c r="DCT145" s="41"/>
      <c r="DCU145" s="41"/>
      <c r="DCV145" s="41"/>
      <c r="DCW145" s="41"/>
      <c r="DCX145" s="41"/>
      <c r="DCY145" s="41"/>
      <c r="DCZ145" s="41"/>
      <c r="DDA145" s="41"/>
      <c r="DDB145" s="41"/>
      <c r="DDC145" s="41"/>
      <c r="DDD145" s="41"/>
      <c r="DDE145" s="41"/>
      <c r="DDF145" s="41"/>
      <c r="DDG145" s="41"/>
      <c r="DDH145" s="41"/>
      <c r="DDI145" s="41"/>
      <c r="DDJ145" s="41"/>
      <c r="DDK145" s="41"/>
      <c r="DDL145" s="41"/>
      <c r="DDM145" s="41"/>
      <c r="DDN145" s="41"/>
      <c r="DDO145" s="41"/>
      <c r="DDP145" s="41"/>
      <c r="DDQ145" s="41"/>
      <c r="DDR145" s="41"/>
      <c r="DDS145" s="41"/>
      <c r="DDT145" s="41"/>
      <c r="DDU145" s="41"/>
      <c r="DDV145" s="41"/>
      <c r="DDW145" s="41"/>
      <c r="DDX145" s="41"/>
      <c r="DDY145" s="41"/>
      <c r="DDZ145" s="41"/>
      <c r="DEA145" s="41"/>
      <c r="DEB145" s="41"/>
      <c r="DEC145" s="41"/>
      <c r="DED145" s="41"/>
      <c r="DEE145" s="41"/>
      <c r="DEF145" s="41"/>
      <c r="DEG145" s="41"/>
      <c r="DEH145" s="41"/>
      <c r="DEI145" s="41"/>
      <c r="DEJ145" s="41"/>
      <c r="DEK145" s="41"/>
      <c r="DEL145" s="41"/>
      <c r="DEM145" s="41"/>
      <c r="DEN145" s="41"/>
      <c r="DEO145" s="41"/>
      <c r="DEP145" s="41"/>
      <c r="DEQ145" s="41"/>
      <c r="DER145" s="41"/>
      <c r="DES145" s="41"/>
      <c r="DET145" s="41"/>
      <c r="DEU145" s="41"/>
      <c r="DEV145" s="41"/>
      <c r="DEW145" s="41"/>
      <c r="DEX145" s="41"/>
      <c r="DEY145" s="41"/>
      <c r="DEZ145" s="41"/>
      <c r="DFA145" s="41"/>
      <c r="DFB145" s="41"/>
      <c r="DFC145" s="41"/>
      <c r="DFD145" s="41"/>
      <c r="DFE145" s="41"/>
      <c r="DFF145" s="41"/>
      <c r="DFG145" s="41"/>
      <c r="DFH145" s="41"/>
      <c r="DFI145" s="41"/>
      <c r="DFJ145" s="41"/>
      <c r="DFK145" s="41"/>
      <c r="DFL145" s="41"/>
      <c r="DFM145" s="41"/>
      <c r="DFN145" s="41"/>
      <c r="DFO145" s="41"/>
      <c r="DFP145" s="41"/>
      <c r="DFQ145" s="41"/>
      <c r="DFR145" s="41"/>
      <c r="DFS145" s="41"/>
      <c r="DFT145" s="41"/>
      <c r="DFU145" s="41"/>
      <c r="DFV145" s="41"/>
      <c r="DFW145" s="41"/>
      <c r="DFX145" s="41"/>
      <c r="DFY145" s="41"/>
      <c r="DFZ145" s="41"/>
      <c r="DGA145" s="41"/>
      <c r="DGB145" s="41"/>
      <c r="DGC145" s="41"/>
      <c r="DGD145" s="41"/>
      <c r="DGE145" s="41"/>
      <c r="DGF145" s="41"/>
      <c r="DGG145" s="41"/>
      <c r="DGH145" s="41"/>
      <c r="DGI145" s="41"/>
      <c r="DGJ145" s="41"/>
      <c r="DGK145" s="41"/>
      <c r="DGL145" s="41"/>
      <c r="DGM145" s="41"/>
      <c r="DGN145" s="41"/>
      <c r="DGO145" s="41"/>
      <c r="DGP145" s="41"/>
      <c r="DGQ145" s="41"/>
      <c r="DGR145" s="41"/>
      <c r="DGS145" s="41"/>
      <c r="DGT145" s="41"/>
      <c r="DGU145" s="41"/>
      <c r="DGV145" s="41"/>
      <c r="DGW145" s="41"/>
      <c r="DGX145" s="41"/>
      <c r="DGY145" s="41"/>
      <c r="DGZ145" s="41"/>
      <c r="DHA145" s="41"/>
      <c r="DHB145" s="41"/>
      <c r="DHC145" s="41"/>
      <c r="DHD145" s="41"/>
      <c r="DHE145" s="41"/>
      <c r="DHF145" s="41"/>
      <c r="DHG145" s="41"/>
      <c r="DHH145" s="41"/>
      <c r="DHI145" s="41"/>
      <c r="DHJ145" s="41"/>
      <c r="DHK145" s="41"/>
      <c r="DHL145" s="41"/>
      <c r="DHM145" s="41"/>
      <c r="DHN145" s="41"/>
      <c r="DHO145" s="41"/>
      <c r="DHP145" s="41"/>
      <c r="DHQ145" s="41"/>
      <c r="DHR145" s="41"/>
      <c r="DHS145" s="41"/>
      <c r="DHT145" s="41"/>
      <c r="DHU145" s="41"/>
      <c r="DHV145" s="41"/>
      <c r="DHW145" s="41"/>
      <c r="DHX145" s="41"/>
      <c r="DHY145" s="41"/>
      <c r="DHZ145" s="41"/>
      <c r="DIA145" s="41"/>
      <c r="DIB145" s="41"/>
      <c r="DIC145" s="41"/>
      <c r="DID145" s="41"/>
      <c r="DIE145" s="41"/>
      <c r="DIF145" s="41"/>
      <c r="DIG145" s="41"/>
      <c r="DIH145" s="41"/>
      <c r="DII145" s="41"/>
      <c r="DIJ145" s="41"/>
      <c r="DIK145" s="41"/>
      <c r="DIL145" s="41"/>
      <c r="DIM145" s="41"/>
      <c r="DIN145" s="41"/>
      <c r="DIO145" s="41"/>
      <c r="DIP145" s="41"/>
      <c r="DIQ145" s="41"/>
      <c r="DIR145" s="41"/>
      <c r="DIS145" s="41"/>
      <c r="DIT145" s="41"/>
      <c r="DIU145" s="41"/>
      <c r="DIV145" s="41"/>
      <c r="DIW145" s="41"/>
      <c r="DIX145" s="41"/>
      <c r="DIY145" s="41"/>
      <c r="DIZ145" s="41"/>
      <c r="DJA145" s="41"/>
      <c r="DJB145" s="41"/>
      <c r="DJC145" s="41"/>
      <c r="DJD145" s="41"/>
      <c r="DJE145" s="41"/>
      <c r="DJF145" s="41"/>
      <c r="DJG145" s="41"/>
      <c r="DJH145" s="41"/>
      <c r="DJI145" s="41"/>
      <c r="DJJ145" s="41"/>
      <c r="DJK145" s="41"/>
      <c r="DJL145" s="41"/>
      <c r="DJM145" s="41"/>
      <c r="DJN145" s="41"/>
      <c r="DJO145" s="41"/>
      <c r="DJP145" s="41"/>
      <c r="DJQ145" s="41"/>
      <c r="DJR145" s="41"/>
      <c r="DJS145" s="41"/>
      <c r="DJT145" s="41"/>
      <c r="DJU145" s="41"/>
      <c r="DJV145" s="41"/>
      <c r="DJW145" s="41"/>
      <c r="DJX145" s="41"/>
      <c r="DJY145" s="41"/>
      <c r="DJZ145" s="41"/>
      <c r="DKA145" s="41"/>
      <c r="DKB145" s="41"/>
      <c r="DKC145" s="41"/>
      <c r="DKD145" s="41"/>
      <c r="DKE145" s="41"/>
      <c r="DKF145" s="41"/>
      <c r="DKG145" s="41"/>
      <c r="DKH145" s="41"/>
      <c r="DKI145" s="41"/>
      <c r="DKJ145" s="41"/>
      <c r="DKK145" s="41"/>
      <c r="DKL145" s="41"/>
      <c r="DKM145" s="41"/>
      <c r="DKN145" s="41"/>
      <c r="DKO145" s="41"/>
      <c r="DKP145" s="41"/>
      <c r="DKQ145" s="41"/>
      <c r="DKR145" s="41"/>
      <c r="DKS145" s="41"/>
      <c r="DKT145" s="41"/>
      <c r="DKU145" s="41"/>
      <c r="DKV145" s="41"/>
      <c r="DKW145" s="41"/>
      <c r="DKX145" s="41"/>
      <c r="DKY145" s="41"/>
      <c r="DKZ145" s="41"/>
      <c r="DLA145" s="41"/>
      <c r="DLB145" s="41"/>
      <c r="DLC145" s="41"/>
      <c r="DLD145" s="41"/>
      <c r="DLE145" s="41"/>
      <c r="DLF145" s="41"/>
      <c r="DLG145" s="41"/>
      <c r="DLH145" s="41"/>
      <c r="DLI145" s="41"/>
      <c r="DLJ145" s="41"/>
      <c r="DLK145" s="41"/>
      <c r="DLL145" s="41"/>
      <c r="DLM145" s="41"/>
      <c r="DLN145" s="41"/>
      <c r="DLO145" s="41"/>
      <c r="DLP145" s="41"/>
      <c r="DLQ145" s="41"/>
      <c r="DLR145" s="41"/>
      <c r="DLS145" s="41"/>
      <c r="DLT145" s="41"/>
      <c r="DLU145" s="41"/>
      <c r="DLV145" s="41"/>
      <c r="DLW145" s="41"/>
      <c r="DLX145" s="41"/>
      <c r="DLY145" s="41"/>
      <c r="DLZ145" s="41"/>
      <c r="DMA145" s="41"/>
      <c r="DMB145" s="41"/>
      <c r="DMC145" s="41"/>
      <c r="DMD145" s="41"/>
      <c r="DME145" s="41"/>
      <c r="DMF145" s="41"/>
      <c r="DMG145" s="41"/>
      <c r="DMH145" s="41"/>
      <c r="DMI145" s="41"/>
      <c r="DMJ145" s="41"/>
      <c r="DMK145" s="41"/>
      <c r="DML145" s="41"/>
      <c r="DMM145" s="41"/>
      <c r="DMN145" s="41"/>
      <c r="DMO145" s="41"/>
      <c r="DMP145" s="41"/>
      <c r="DMQ145" s="41"/>
      <c r="DMR145" s="41"/>
      <c r="DMS145" s="41"/>
      <c r="DMT145" s="41"/>
      <c r="DMU145" s="41"/>
      <c r="DMV145" s="41"/>
      <c r="DMW145" s="41"/>
      <c r="DMX145" s="41"/>
      <c r="DMY145" s="41"/>
      <c r="DMZ145" s="41"/>
      <c r="DNA145" s="41"/>
      <c r="DNB145" s="41"/>
      <c r="DNC145" s="41"/>
      <c r="DND145" s="41"/>
      <c r="DNE145" s="41"/>
      <c r="DNF145" s="41"/>
      <c r="DNG145" s="41"/>
      <c r="DNH145" s="41"/>
      <c r="DNI145" s="41"/>
      <c r="DNJ145" s="41"/>
      <c r="DNK145" s="41"/>
      <c r="DNL145" s="41"/>
      <c r="DNM145" s="41"/>
      <c r="DNN145" s="41"/>
      <c r="DNO145" s="41"/>
      <c r="DNP145" s="41"/>
      <c r="DNQ145" s="41"/>
      <c r="DNR145" s="41"/>
      <c r="DNS145" s="41"/>
      <c r="DNT145" s="41"/>
      <c r="DNU145" s="41"/>
      <c r="DNV145" s="41"/>
      <c r="DNW145" s="41"/>
      <c r="DNX145" s="41"/>
      <c r="DNY145" s="41"/>
      <c r="DNZ145" s="41"/>
      <c r="DOA145" s="41"/>
      <c r="DOB145" s="41"/>
      <c r="DOC145" s="41"/>
      <c r="DOD145" s="41"/>
      <c r="DOE145" s="41"/>
      <c r="DOF145" s="41"/>
      <c r="DOG145" s="41"/>
      <c r="DOH145" s="41"/>
      <c r="DOI145" s="41"/>
      <c r="DOJ145" s="41"/>
      <c r="DOK145" s="41"/>
      <c r="DOL145" s="41"/>
      <c r="DOM145" s="41"/>
      <c r="DON145" s="41"/>
      <c r="DOO145" s="41"/>
      <c r="DOP145" s="41"/>
      <c r="DOQ145" s="41"/>
      <c r="DOR145" s="41"/>
      <c r="DOS145" s="41"/>
      <c r="DOT145" s="41"/>
      <c r="DOU145" s="41"/>
      <c r="DOV145" s="41"/>
      <c r="DOW145" s="41"/>
      <c r="DOX145" s="41"/>
      <c r="DOY145" s="41"/>
      <c r="DOZ145" s="41"/>
      <c r="DPA145" s="41"/>
      <c r="DPB145" s="41"/>
      <c r="DPC145" s="41"/>
      <c r="DPD145" s="41"/>
      <c r="DPE145" s="41"/>
      <c r="DPF145" s="41"/>
      <c r="DPG145" s="41"/>
      <c r="DPH145" s="41"/>
      <c r="DPI145" s="41"/>
      <c r="DPJ145" s="41"/>
      <c r="DPK145" s="41"/>
      <c r="DPL145" s="41"/>
      <c r="DPM145" s="41"/>
      <c r="DPN145" s="41"/>
      <c r="DPO145" s="41"/>
      <c r="DPP145" s="41"/>
      <c r="DPQ145" s="41"/>
      <c r="DPR145" s="41"/>
      <c r="DPS145" s="41"/>
      <c r="DPT145" s="41"/>
      <c r="DPU145" s="41"/>
      <c r="DPV145" s="41"/>
      <c r="DPW145" s="41"/>
      <c r="DPX145" s="41"/>
      <c r="DPY145" s="41"/>
      <c r="DPZ145" s="41"/>
      <c r="DQA145" s="41"/>
      <c r="DQB145" s="41"/>
      <c r="DQC145" s="41"/>
      <c r="DQD145" s="41"/>
      <c r="DQE145" s="41"/>
      <c r="DQF145" s="41"/>
      <c r="DQG145" s="41"/>
      <c r="DQH145" s="41"/>
      <c r="DQI145" s="41"/>
      <c r="DQJ145" s="41"/>
      <c r="DQK145" s="41"/>
      <c r="DQL145" s="41"/>
      <c r="DQM145" s="41"/>
      <c r="DQN145" s="41"/>
      <c r="DQO145" s="41"/>
      <c r="DQP145" s="41"/>
      <c r="DQQ145" s="41"/>
      <c r="DQR145" s="41"/>
      <c r="DQS145" s="41"/>
      <c r="DQT145" s="41"/>
      <c r="DQU145" s="41"/>
      <c r="DQV145" s="41"/>
      <c r="DQW145" s="41"/>
      <c r="DQX145" s="41"/>
      <c r="DQY145" s="41"/>
      <c r="DQZ145" s="41"/>
      <c r="DRA145" s="41"/>
      <c r="DRB145" s="41"/>
      <c r="DRC145" s="41"/>
      <c r="DRD145" s="41"/>
      <c r="DRE145" s="41"/>
      <c r="DRF145" s="41"/>
      <c r="DRG145" s="41"/>
      <c r="DRH145" s="41"/>
      <c r="DRI145" s="41"/>
      <c r="DRJ145" s="41"/>
      <c r="DRK145" s="41"/>
      <c r="DRL145" s="41"/>
      <c r="DRM145" s="41"/>
      <c r="DRN145" s="41"/>
      <c r="DRO145" s="41"/>
      <c r="DRP145" s="41"/>
      <c r="DRQ145" s="41"/>
      <c r="DRR145" s="41"/>
      <c r="DRS145" s="41"/>
      <c r="DRT145" s="41"/>
      <c r="DRU145" s="41"/>
      <c r="DRV145" s="41"/>
      <c r="DRW145" s="41"/>
      <c r="DRX145" s="41"/>
      <c r="DRY145" s="41"/>
      <c r="DRZ145" s="41"/>
      <c r="DSA145" s="41"/>
      <c r="DSB145" s="41"/>
      <c r="DSC145" s="41"/>
      <c r="DSD145" s="41"/>
      <c r="DSE145" s="41"/>
      <c r="DSF145" s="41"/>
      <c r="DSG145" s="41"/>
      <c r="DSH145" s="41"/>
      <c r="DSI145" s="41"/>
      <c r="DSJ145" s="41"/>
      <c r="DSK145" s="41"/>
      <c r="DSL145" s="41"/>
      <c r="DSM145" s="41"/>
      <c r="DSN145" s="41"/>
      <c r="DSO145" s="41"/>
      <c r="DSP145" s="41"/>
      <c r="DSQ145" s="41"/>
      <c r="DSR145" s="41"/>
      <c r="DSS145" s="41"/>
      <c r="DST145" s="41"/>
      <c r="DSU145" s="41"/>
      <c r="DSV145" s="41"/>
      <c r="DSW145" s="41"/>
      <c r="DSX145" s="41"/>
      <c r="DSY145" s="41"/>
      <c r="DSZ145" s="41"/>
      <c r="DTA145" s="41"/>
      <c r="DTB145" s="41"/>
      <c r="DTC145" s="41"/>
      <c r="DTD145" s="41"/>
      <c r="DTE145" s="41"/>
      <c r="DTF145" s="41"/>
      <c r="DTG145" s="41"/>
      <c r="DTH145" s="41"/>
      <c r="DTI145" s="41"/>
      <c r="DTJ145" s="41"/>
      <c r="DTK145" s="41"/>
      <c r="DTL145" s="41"/>
      <c r="DTM145" s="41"/>
      <c r="DTN145" s="41"/>
      <c r="DTO145" s="41"/>
      <c r="DTP145" s="41"/>
      <c r="DTQ145" s="41"/>
      <c r="DTR145" s="41"/>
      <c r="DTS145" s="41"/>
      <c r="DTT145" s="41"/>
      <c r="DTU145" s="41"/>
      <c r="DTV145" s="41"/>
      <c r="DTW145" s="41"/>
      <c r="DTX145" s="41"/>
      <c r="DTY145" s="41"/>
      <c r="DTZ145" s="41"/>
      <c r="DUA145" s="41"/>
      <c r="DUB145" s="41"/>
      <c r="DUC145" s="41"/>
      <c r="DUD145" s="41"/>
      <c r="DUE145" s="41"/>
      <c r="DUF145" s="41"/>
      <c r="DUG145" s="41"/>
      <c r="DUH145" s="41"/>
      <c r="DUI145" s="41"/>
      <c r="DUJ145" s="41"/>
      <c r="DUK145" s="41"/>
      <c r="DUL145" s="41"/>
      <c r="DUM145" s="41"/>
      <c r="DUN145" s="41"/>
      <c r="DUO145" s="41"/>
      <c r="DUP145" s="41"/>
      <c r="DUQ145" s="41"/>
      <c r="DUR145" s="41"/>
      <c r="DUS145" s="41"/>
      <c r="DUT145" s="41"/>
      <c r="DUU145" s="41"/>
      <c r="DUV145" s="41"/>
      <c r="DUW145" s="41"/>
      <c r="DUX145" s="41"/>
      <c r="DUY145" s="41"/>
      <c r="DUZ145" s="41"/>
      <c r="DVA145" s="41"/>
      <c r="DVB145" s="41"/>
      <c r="DVC145" s="41"/>
      <c r="DVD145" s="41"/>
      <c r="DVE145" s="41"/>
      <c r="DVF145" s="41"/>
      <c r="DVG145" s="41"/>
      <c r="DVH145" s="41"/>
      <c r="DVI145" s="41"/>
      <c r="DVJ145" s="41"/>
      <c r="DVK145" s="41"/>
      <c r="DVL145" s="41"/>
      <c r="DVM145" s="41"/>
      <c r="DVN145" s="41"/>
      <c r="DVO145" s="41"/>
      <c r="DVP145" s="41"/>
      <c r="DVQ145" s="41"/>
      <c r="DVR145" s="41"/>
      <c r="DVS145" s="41"/>
      <c r="DVT145" s="41"/>
      <c r="DVU145" s="41"/>
      <c r="DVV145" s="41"/>
      <c r="DVW145" s="41"/>
      <c r="DVX145" s="41"/>
      <c r="DVY145" s="41"/>
      <c r="DVZ145" s="41"/>
      <c r="DWA145" s="41"/>
      <c r="DWB145" s="41"/>
      <c r="DWC145" s="41"/>
      <c r="DWD145" s="41"/>
      <c r="DWE145" s="41"/>
      <c r="DWF145" s="41"/>
      <c r="DWG145" s="41"/>
      <c r="DWH145" s="41"/>
      <c r="DWI145" s="41"/>
      <c r="DWJ145" s="41"/>
      <c r="DWK145" s="41"/>
      <c r="DWL145" s="41"/>
      <c r="DWM145" s="41"/>
      <c r="DWN145" s="41"/>
      <c r="DWO145" s="41"/>
      <c r="DWP145" s="41"/>
      <c r="DWQ145" s="41"/>
      <c r="DWR145" s="41"/>
      <c r="DWS145" s="41"/>
      <c r="DWT145" s="41"/>
      <c r="DWU145" s="41"/>
      <c r="DWV145" s="41"/>
      <c r="DWW145" s="41"/>
      <c r="DWX145" s="41"/>
      <c r="DWY145" s="41"/>
      <c r="DWZ145" s="41"/>
      <c r="DXA145" s="41"/>
      <c r="DXB145" s="41"/>
      <c r="DXC145" s="41"/>
      <c r="DXD145" s="41"/>
      <c r="DXE145" s="41"/>
      <c r="DXF145" s="41"/>
      <c r="DXG145" s="41"/>
      <c r="DXH145" s="41"/>
      <c r="DXI145" s="41"/>
      <c r="DXJ145" s="41"/>
      <c r="DXK145" s="41"/>
      <c r="DXL145" s="41"/>
      <c r="DXM145" s="41"/>
      <c r="DXN145" s="41"/>
      <c r="DXO145" s="41"/>
      <c r="DXP145" s="41"/>
      <c r="DXQ145" s="41"/>
      <c r="DXR145" s="41"/>
      <c r="DXS145" s="41"/>
      <c r="DXT145" s="41"/>
      <c r="DXU145" s="41"/>
      <c r="DXV145" s="41"/>
      <c r="DXW145" s="41"/>
      <c r="DXX145" s="41"/>
      <c r="DXY145" s="41"/>
      <c r="DXZ145" s="41"/>
      <c r="DYA145" s="41"/>
      <c r="DYB145" s="41"/>
      <c r="DYC145" s="41"/>
      <c r="DYD145" s="41"/>
      <c r="DYE145" s="41"/>
      <c r="DYF145" s="41"/>
      <c r="DYG145" s="41"/>
      <c r="DYH145" s="41"/>
      <c r="DYI145" s="41"/>
      <c r="DYJ145" s="41"/>
      <c r="DYK145" s="41"/>
      <c r="DYL145" s="41"/>
      <c r="DYM145" s="41"/>
      <c r="DYN145" s="41"/>
      <c r="DYO145" s="41"/>
      <c r="DYP145" s="41"/>
      <c r="DYQ145" s="41"/>
      <c r="DYR145" s="41"/>
      <c r="DYS145" s="41"/>
      <c r="DYT145" s="41"/>
      <c r="DYU145" s="41"/>
      <c r="DYV145" s="41"/>
      <c r="DYW145" s="41"/>
      <c r="DYX145" s="41"/>
      <c r="DYY145" s="41"/>
      <c r="DYZ145" s="41"/>
      <c r="DZA145" s="41"/>
      <c r="DZB145" s="41"/>
      <c r="DZC145" s="41"/>
      <c r="DZD145" s="41"/>
      <c r="DZE145" s="41"/>
      <c r="DZF145" s="41"/>
      <c r="DZG145" s="41"/>
      <c r="DZH145" s="41"/>
      <c r="DZI145" s="41"/>
      <c r="DZJ145" s="41"/>
      <c r="DZK145" s="41"/>
      <c r="DZL145" s="41"/>
      <c r="DZM145" s="41"/>
      <c r="DZN145" s="41"/>
      <c r="DZO145" s="41"/>
      <c r="DZP145" s="41"/>
      <c r="DZQ145" s="41"/>
      <c r="DZR145" s="41"/>
      <c r="DZS145" s="41"/>
      <c r="DZT145" s="41"/>
      <c r="DZU145" s="41"/>
      <c r="DZV145" s="41"/>
      <c r="DZW145" s="41"/>
      <c r="DZX145" s="41"/>
      <c r="DZY145" s="41"/>
      <c r="DZZ145" s="41"/>
      <c r="EAA145" s="41"/>
      <c r="EAB145" s="41"/>
      <c r="EAC145" s="41"/>
      <c r="EAD145" s="41"/>
      <c r="EAE145" s="41"/>
      <c r="EAF145" s="41"/>
      <c r="EAG145" s="41"/>
      <c r="EAH145" s="41"/>
      <c r="EAI145" s="41"/>
      <c r="EAJ145" s="41"/>
      <c r="EAK145" s="41"/>
      <c r="EAL145" s="41"/>
      <c r="EAM145" s="41"/>
      <c r="EAN145" s="41"/>
      <c r="EAO145" s="41"/>
      <c r="EAP145" s="41"/>
      <c r="EAQ145" s="41"/>
      <c r="EAR145" s="41"/>
      <c r="EAS145" s="41"/>
      <c r="EAT145" s="41"/>
      <c r="EAU145" s="41"/>
      <c r="EAV145" s="41"/>
      <c r="EAW145" s="41"/>
      <c r="EAX145" s="41"/>
      <c r="EAY145" s="41"/>
      <c r="EAZ145" s="41"/>
      <c r="EBA145" s="41"/>
      <c r="EBB145" s="41"/>
      <c r="EBC145" s="41"/>
      <c r="EBD145" s="41"/>
      <c r="EBE145" s="41"/>
      <c r="EBF145" s="41"/>
      <c r="EBG145" s="41"/>
      <c r="EBH145" s="41"/>
      <c r="EBI145" s="41"/>
      <c r="EBJ145" s="41"/>
      <c r="EBK145" s="41"/>
      <c r="EBL145" s="41"/>
      <c r="EBM145" s="41"/>
      <c r="EBN145" s="41"/>
      <c r="EBO145" s="41"/>
      <c r="EBP145" s="41"/>
      <c r="EBQ145" s="41"/>
      <c r="EBR145" s="41"/>
      <c r="EBS145" s="41"/>
      <c r="EBT145" s="41"/>
      <c r="EBU145" s="41"/>
      <c r="EBV145" s="41"/>
      <c r="EBW145" s="41"/>
      <c r="EBX145" s="41"/>
      <c r="EBY145" s="41"/>
      <c r="EBZ145" s="41"/>
      <c r="ECA145" s="41"/>
      <c r="ECB145" s="41"/>
      <c r="ECC145" s="41"/>
      <c r="ECD145" s="41"/>
      <c r="ECE145" s="41"/>
      <c r="ECF145" s="41"/>
      <c r="ECG145" s="41"/>
      <c r="ECH145" s="41"/>
      <c r="ECI145" s="41"/>
      <c r="ECJ145" s="41"/>
      <c r="ECK145" s="41"/>
      <c r="ECL145" s="41"/>
      <c r="ECM145" s="41"/>
      <c r="ECN145" s="41"/>
      <c r="ECO145" s="41"/>
      <c r="ECP145" s="41"/>
      <c r="ECQ145" s="41"/>
      <c r="ECR145" s="41"/>
      <c r="ECS145" s="41"/>
      <c r="ECT145" s="41"/>
      <c r="ECU145" s="41"/>
      <c r="ECV145" s="41"/>
      <c r="ECW145" s="41"/>
      <c r="ECX145" s="41"/>
      <c r="ECY145" s="41"/>
      <c r="ECZ145" s="41"/>
      <c r="EDA145" s="41"/>
      <c r="EDB145" s="41"/>
      <c r="EDC145" s="41"/>
      <c r="EDD145" s="41"/>
      <c r="EDE145" s="41"/>
      <c r="EDF145" s="41"/>
      <c r="EDG145" s="41"/>
      <c r="EDH145" s="41"/>
      <c r="EDI145" s="41"/>
      <c r="EDJ145" s="41"/>
      <c r="EDK145" s="41"/>
      <c r="EDL145" s="41"/>
      <c r="EDM145" s="41"/>
      <c r="EDN145" s="41"/>
      <c r="EDO145" s="41"/>
      <c r="EDP145" s="41"/>
      <c r="EDQ145" s="41"/>
      <c r="EDR145" s="41"/>
      <c r="EDS145" s="41"/>
      <c r="EDT145" s="41"/>
      <c r="EDU145" s="41"/>
      <c r="EDV145" s="41"/>
      <c r="EDW145" s="41"/>
      <c r="EDX145" s="41"/>
      <c r="EDY145" s="41"/>
      <c r="EDZ145" s="41"/>
      <c r="EEA145" s="41"/>
      <c r="EEB145" s="41"/>
      <c r="EEC145" s="41"/>
      <c r="EED145" s="41"/>
      <c r="EEE145" s="41"/>
      <c r="EEF145" s="41"/>
      <c r="EEG145" s="41"/>
      <c r="EEH145" s="41"/>
      <c r="EEI145" s="41"/>
      <c r="EEJ145" s="41"/>
      <c r="EEK145" s="41"/>
      <c r="EEL145" s="41"/>
      <c r="EEM145" s="41"/>
      <c r="EEN145" s="41"/>
      <c r="EEO145" s="41"/>
      <c r="EEP145" s="41"/>
      <c r="EEQ145" s="41"/>
      <c r="EER145" s="41"/>
      <c r="EES145" s="41"/>
      <c r="EET145" s="41"/>
      <c r="EEU145" s="41"/>
      <c r="EEV145" s="41"/>
      <c r="EEW145" s="41"/>
      <c r="EEX145" s="41"/>
      <c r="EEY145" s="41"/>
      <c r="EEZ145" s="41"/>
      <c r="EFA145" s="41"/>
      <c r="EFB145" s="41"/>
      <c r="EFC145" s="41"/>
      <c r="EFD145" s="41"/>
      <c r="EFE145" s="41"/>
      <c r="EFF145" s="41"/>
      <c r="EFG145" s="41"/>
      <c r="EFH145" s="41"/>
      <c r="EFI145" s="41"/>
      <c r="EFJ145" s="41"/>
      <c r="EFK145" s="41"/>
      <c r="EFL145" s="41"/>
      <c r="EFM145" s="41"/>
      <c r="EFN145" s="41"/>
      <c r="EFO145" s="41"/>
      <c r="EFP145" s="41"/>
      <c r="EFQ145" s="41"/>
      <c r="EFR145" s="41"/>
      <c r="EFS145" s="41"/>
      <c r="EFT145" s="41"/>
      <c r="EFU145" s="41"/>
      <c r="EFV145" s="41"/>
      <c r="EFW145" s="41"/>
      <c r="EFX145" s="41"/>
      <c r="EFY145" s="41"/>
      <c r="EFZ145" s="41"/>
      <c r="EGA145" s="41"/>
      <c r="EGB145" s="41"/>
      <c r="EGC145" s="41"/>
      <c r="EGD145" s="41"/>
      <c r="EGE145" s="41"/>
      <c r="EGF145" s="41"/>
      <c r="EGG145" s="41"/>
      <c r="EGH145" s="41"/>
      <c r="EGI145" s="41"/>
      <c r="EGJ145" s="41"/>
      <c r="EGK145" s="41"/>
      <c r="EGL145" s="41"/>
      <c r="EGM145" s="41"/>
      <c r="EGN145" s="41"/>
      <c r="EGO145" s="41"/>
      <c r="EGP145" s="41"/>
      <c r="EGQ145" s="41"/>
      <c r="EGR145" s="41"/>
      <c r="EGS145" s="41"/>
      <c r="EGT145" s="41"/>
      <c r="EGU145" s="41"/>
      <c r="EGV145" s="41"/>
      <c r="EGW145" s="41"/>
      <c r="EGX145" s="41"/>
      <c r="EGY145" s="41"/>
      <c r="EGZ145" s="41"/>
      <c r="EHA145" s="41"/>
      <c r="EHB145" s="41"/>
      <c r="EHC145" s="41"/>
      <c r="EHD145" s="41"/>
      <c r="EHE145" s="41"/>
      <c r="EHF145" s="41"/>
      <c r="EHG145" s="41"/>
      <c r="EHH145" s="41"/>
      <c r="EHI145" s="41"/>
      <c r="EHJ145" s="41"/>
      <c r="EHK145" s="41"/>
      <c r="EHL145" s="41"/>
      <c r="EHM145" s="41"/>
      <c r="EHN145" s="41"/>
      <c r="EHO145" s="41"/>
      <c r="EHP145" s="41"/>
      <c r="EHQ145" s="41"/>
      <c r="EHR145" s="41"/>
      <c r="EHS145" s="41"/>
      <c r="EHT145" s="41"/>
      <c r="EHU145" s="41"/>
      <c r="EHV145" s="41"/>
      <c r="EHW145" s="41"/>
      <c r="EHX145" s="41"/>
      <c r="EHY145" s="41"/>
      <c r="EHZ145" s="41"/>
      <c r="EIA145" s="41"/>
      <c r="EIB145" s="41"/>
      <c r="EIC145" s="41"/>
      <c r="EID145" s="41"/>
      <c r="EIE145" s="41"/>
      <c r="EIF145" s="41"/>
      <c r="EIG145" s="41"/>
      <c r="EIH145" s="41"/>
      <c r="EII145" s="41"/>
      <c r="EIJ145" s="41"/>
      <c r="EIK145" s="41"/>
      <c r="EIL145" s="41"/>
      <c r="EIM145" s="41"/>
      <c r="EIN145" s="41"/>
      <c r="EIO145" s="41"/>
      <c r="EIP145" s="41"/>
      <c r="EIQ145" s="41"/>
      <c r="EIR145" s="41"/>
      <c r="EIS145" s="41"/>
      <c r="EIT145" s="41"/>
      <c r="EIU145" s="41"/>
      <c r="EIV145" s="41"/>
      <c r="EIW145" s="41"/>
      <c r="EIX145" s="41"/>
      <c r="EIY145" s="41"/>
      <c r="EIZ145" s="41"/>
      <c r="EJA145" s="41"/>
      <c r="EJB145" s="41"/>
      <c r="EJC145" s="41"/>
      <c r="EJD145" s="41"/>
      <c r="EJE145" s="41"/>
      <c r="EJF145" s="41"/>
      <c r="EJG145" s="41"/>
      <c r="EJH145" s="41"/>
      <c r="EJI145" s="41"/>
      <c r="EJJ145" s="41"/>
      <c r="EJK145" s="41"/>
      <c r="EJL145" s="41"/>
      <c r="EJM145" s="41"/>
      <c r="EJN145" s="41"/>
      <c r="EJO145" s="41"/>
      <c r="EJP145" s="41"/>
      <c r="EJQ145" s="41"/>
      <c r="EJR145" s="41"/>
      <c r="EJS145" s="41"/>
      <c r="EJT145" s="41"/>
      <c r="EJU145" s="41"/>
      <c r="EJV145" s="41"/>
      <c r="EJW145" s="41"/>
      <c r="EJX145" s="41"/>
      <c r="EJY145" s="41"/>
      <c r="EJZ145" s="41"/>
      <c r="EKA145" s="41"/>
      <c r="EKB145" s="41"/>
      <c r="EKC145" s="41"/>
      <c r="EKD145" s="41"/>
      <c r="EKE145" s="41"/>
      <c r="EKF145" s="41"/>
      <c r="EKG145" s="41"/>
      <c r="EKH145" s="41"/>
      <c r="EKI145" s="41"/>
      <c r="EKJ145" s="41"/>
      <c r="EKK145" s="41"/>
      <c r="EKL145" s="41"/>
      <c r="EKM145" s="41"/>
      <c r="EKN145" s="41"/>
      <c r="EKO145" s="41"/>
      <c r="EKP145" s="41"/>
      <c r="EKQ145" s="41"/>
      <c r="EKR145" s="41"/>
      <c r="EKS145" s="41"/>
      <c r="EKT145" s="41"/>
      <c r="EKU145" s="41"/>
      <c r="EKV145" s="41"/>
      <c r="EKW145" s="41"/>
      <c r="EKX145" s="41"/>
      <c r="EKY145" s="41"/>
      <c r="EKZ145" s="41"/>
      <c r="ELA145" s="41"/>
      <c r="ELB145" s="41"/>
      <c r="ELC145" s="41"/>
      <c r="ELD145" s="41"/>
      <c r="ELE145" s="41"/>
      <c r="ELF145" s="41"/>
      <c r="ELG145" s="41"/>
      <c r="ELH145" s="41"/>
      <c r="ELI145" s="41"/>
      <c r="ELJ145" s="41"/>
      <c r="ELK145" s="41"/>
      <c r="ELL145" s="41"/>
      <c r="ELM145" s="41"/>
      <c r="ELN145" s="41"/>
      <c r="ELO145" s="41"/>
      <c r="ELP145" s="41"/>
      <c r="ELQ145" s="41"/>
      <c r="ELR145" s="41"/>
      <c r="ELS145" s="41"/>
      <c r="ELT145" s="41"/>
      <c r="ELU145" s="41"/>
      <c r="ELV145" s="41"/>
      <c r="ELW145" s="41"/>
      <c r="ELX145" s="41"/>
      <c r="ELY145" s="41"/>
      <c r="ELZ145" s="41"/>
      <c r="EMA145" s="41"/>
      <c r="EMB145" s="41"/>
      <c r="EMC145" s="41"/>
      <c r="EMD145" s="41"/>
      <c r="EME145" s="41"/>
      <c r="EMF145" s="41"/>
      <c r="EMG145" s="41"/>
      <c r="EMH145" s="41"/>
      <c r="EMI145" s="41"/>
      <c r="EMJ145" s="41"/>
      <c r="EMK145" s="41"/>
      <c r="EML145" s="41"/>
      <c r="EMM145" s="41"/>
      <c r="EMN145" s="41"/>
      <c r="EMO145" s="41"/>
      <c r="EMP145" s="41"/>
      <c r="EMQ145" s="41"/>
      <c r="EMR145" s="41"/>
      <c r="EMS145" s="41"/>
      <c r="EMT145" s="41"/>
      <c r="EMU145" s="41"/>
      <c r="EMV145" s="41"/>
      <c r="EMW145" s="41"/>
      <c r="EMX145" s="41"/>
      <c r="EMY145" s="41"/>
      <c r="EMZ145" s="41"/>
      <c r="ENA145" s="41"/>
      <c r="ENB145" s="41"/>
      <c r="ENC145" s="41"/>
      <c r="END145" s="41"/>
      <c r="ENE145" s="41"/>
      <c r="ENF145" s="41"/>
      <c r="ENG145" s="41"/>
      <c r="ENH145" s="41"/>
      <c r="ENI145" s="41"/>
      <c r="ENJ145" s="41"/>
      <c r="ENK145" s="41"/>
      <c r="ENL145" s="41"/>
      <c r="ENM145" s="41"/>
      <c r="ENN145" s="41"/>
      <c r="ENO145" s="41"/>
      <c r="ENP145" s="41"/>
      <c r="ENQ145" s="41"/>
      <c r="ENR145" s="41"/>
      <c r="ENS145" s="41"/>
      <c r="ENT145" s="41"/>
      <c r="ENU145" s="41"/>
      <c r="ENV145" s="41"/>
      <c r="ENW145" s="41"/>
      <c r="ENX145" s="41"/>
      <c r="ENY145" s="41"/>
      <c r="ENZ145" s="41"/>
      <c r="EOA145" s="41"/>
      <c r="EOB145" s="41"/>
      <c r="EOC145" s="41"/>
      <c r="EOD145" s="41"/>
      <c r="EOE145" s="41"/>
      <c r="EOF145" s="41"/>
      <c r="EOG145" s="41"/>
      <c r="EOH145" s="41"/>
      <c r="EOI145" s="41"/>
      <c r="EOJ145" s="41"/>
      <c r="EOK145" s="41"/>
      <c r="EOL145" s="41"/>
      <c r="EOM145" s="41"/>
      <c r="EON145" s="41"/>
      <c r="EOO145" s="41"/>
      <c r="EOP145" s="41"/>
      <c r="EOQ145" s="41"/>
      <c r="EOR145" s="41"/>
      <c r="EOS145" s="41"/>
      <c r="EOT145" s="41"/>
      <c r="EOU145" s="41"/>
      <c r="EOV145" s="41"/>
      <c r="EOW145" s="41"/>
      <c r="EOX145" s="41"/>
      <c r="EOY145" s="41"/>
      <c r="EOZ145" s="41"/>
      <c r="EPA145" s="41"/>
      <c r="EPB145" s="41"/>
      <c r="EPC145" s="41"/>
      <c r="EPD145" s="41"/>
      <c r="EPE145" s="41"/>
      <c r="EPF145" s="41"/>
      <c r="EPG145" s="41"/>
      <c r="EPH145" s="41"/>
      <c r="EPI145" s="41"/>
      <c r="EPJ145" s="41"/>
      <c r="EPK145" s="41"/>
      <c r="EPL145" s="41"/>
      <c r="EPM145" s="41"/>
      <c r="EPN145" s="41"/>
      <c r="EPO145" s="41"/>
      <c r="EPP145" s="41"/>
      <c r="EPQ145" s="41"/>
      <c r="EPR145" s="41"/>
      <c r="EPS145" s="41"/>
      <c r="EPT145" s="41"/>
      <c r="EPU145" s="41"/>
      <c r="EPV145" s="41"/>
      <c r="EPW145" s="41"/>
      <c r="EPX145" s="41"/>
      <c r="EPY145" s="41"/>
      <c r="EPZ145" s="41"/>
      <c r="EQA145" s="41"/>
      <c r="EQB145" s="41"/>
      <c r="EQC145" s="41"/>
      <c r="EQD145" s="41"/>
      <c r="EQE145" s="41"/>
      <c r="EQF145" s="41"/>
      <c r="EQG145" s="41"/>
      <c r="EQH145" s="41"/>
      <c r="EQI145" s="41"/>
      <c r="EQJ145" s="41"/>
      <c r="EQK145" s="41"/>
      <c r="EQL145" s="41"/>
      <c r="EQM145" s="41"/>
      <c r="EQN145" s="41"/>
      <c r="EQO145" s="41"/>
      <c r="EQP145" s="41"/>
      <c r="EQQ145" s="41"/>
      <c r="EQR145" s="41"/>
      <c r="EQS145" s="41"/>
      <c r="EQT145" s="41"/>
      <c r="EQU145" s="41"/>
      <c r="EQV145" s="41"/>
      <c r="EQW145" s="41"/>
      <c r="EQX145" s="41"/>
      <c r="EQY145" s="41"/>
      <c r="EQZ145" s="41"/>
      <c r="ERA145" s="41"/>
      <c r="ERB145" s="41"/>
      <c r="ERC145" s="41"/>
      <c r="ERD145" s="41"/>
      <c r="ERE145" s="41"/>
      <c r="ERF145" s="41"/>
      <c r="ERG145" s="41"/>
      <c r="ERH145" s="41"/>
      <c r="ERI145" s="41"/>
      <c r="ERJ145" s="41"/>
      <c r="ERK145" s="41"/>
      <c r="ERL145" s="41"/>
      <c r="ERM145" s="41"/>
      <c r="ERN145" s="41"/>
      <c r="ERO145" s="41"/>
      <c r="ERP145" s="41"/>
      <c r="ERQ145" s="41"/>
      <c r="ERR145" s="41"/>
      <c r="ERS145" s="41"/>
      <c r="ERT145" s="41"/>
      <c r="ERU145" s="41"/>
      <c r="ERV145" s="41"/>
      <c r="ERW145" s="41"/>
      <c r="ERX145" s="41"/>
      <c r="ERY145" s="41"/>
      <c r="ERZ145" s="41"/>
      <c r="ESA145" s="41"/>
      <c r="ESB145" s="41"/>
      <c r="ESC145" s="41"/>
      <c r="ESD145" s="41"/>
      <c r="ESE145" s="41"/>
      <c r="ESF145" s="41"/>
      <c r="ESG145" s="41"/>
      <c r="ESH145" s="41"/>
      <c r="ESI145" s="41"/>
      <c r="ESJ145" s="41"/>
      <c r="ESK145" s="41"/>
      <c r="ESL145" s="41"/>
      <c r="ESM145" s="41"/>
      <c r="ESN145" s="41"/>
      <c r="ESO145" s="41"/>
      <c r="ESP145" s="41"/>
      <c r="ESQ145" s="41"/>
      <c r="ESR145" s="41"/>
      <c r="ESS145" s="41"/>
      <c r="EST145" s="41"/>
      <c r="ESU145" s="41"/>
      <c r="ESV145" s="41"/>
      <c r="ESW145" s="41"/>
      <c r="ESX145" s="41"/>
      <c r="ESY145" s="41"/>
      <c r="ESZ145" s="41"/>
      <c r="ETA145" s="41"/>
      <c r="ETB145" s="41"/>
      <c r="ETC145" s="41"/>
      <c r="ETD145" s="41"/>
      <c r="ETE145" s="41"/>
      <c r="ETF145" s="41"/>
      <c r="ETG145" s="41"/>
      <c r="ETH145" s="41"/>
      <c r="ETI145" s="41"/>
      <c r="ETJ145" s="41"/>
      <c r="ETK145" s="41"/>
      <c r="ETL145" s="41"/>
      <c r="ETM145" s="41"/>
      <c r="ETN145" s="41"/>
      <c r="ETO145" s="41"/>
      <c r="ETP145" s="41"/>
      <c r="ETQ145" s="41"/>
      <c r="ETR145" s="41"/>
      <c r="ETS145" s="41"/>
      <c r="ETT145" s="41"/>
      <c r="ETU145" s="41"/>
      <c r="ETV145" s="41"/>
      <c r="ETW145" s="41"/>
      <c r="ETX145" s="41"/>
      <c r="ETY145" s="41"/>
      <c r="ETZ145" s="41"/>
      <c r="EUA145" s="41"/>
      <c r="EUB145" s="41"/>
      <c r="EUC145" s="41"/>
      <c r="EUD145" s="41"/>
      <c r="EUE145" s="41"/>
      <c r="EUF145" s="41"/>
      <c r="EUG145" s="41"/>
      <c r="EUH145" s="41"/>
      <c r="EUI145" s="41"/>
      <c r="EUJ145" s="41"/>
      <c r="EUK145" s="41"/>
      <c r="EUL145" s="41"/>
      <c r="EUM145" s="41"/>
      <c r="EUN145" s="41"/>
      <c r="EUO145" s="41"/>
      <c r="EUP145" s="41"/>
      <c r="EUQ145" s="41"/>
      <c r="EUR145" s="41"/>
      <c r="EUS145" s="41"/>
      <c r="EUT145" s="41"/>
      <c r="EUU145" s="41"/>
      <c r="EUV145" s="41"/>
      <c r="EUW145" s="41"/>
      <c r="EUX145" s="41"/>
      <c r="EUY145" s="41"/>
      <c r="EUZ145" s="41"/>
      <c r="EVA145" s="41"/>
      <c r="EVB145" s="41"/>
      <c r="EVC145" s="41"/>
      <c r="EVD145" s="41"/>
      <c r="EVE145" s="41"/>
      <c r="EVF145" s="41"/>
      <c r="EVG145" s="41"/>
      <c r="EVH145" s="41"/>
      <c r="EVI145" s="41"/>
      <c r="EVJ145" s="41"/>
      <c r="EVK145" s="41"/>
      <c r="EVL145" s="41"/>
      <c r="EVM145" s="41"/>
      <c r="EVN145" s="41"/>
      <c r="EVO145" s="41"/>
      <c r="EVP145" s="41"/>
      <c r="EVQ145" s="41"/>
      <c r="EVR145" s="41"/>
      <c r="EVS145" s="41"/>
      <c r="EVT145" s="41"/>
      <c r="EVU145" s="41"/>
      <c r="EVV145" s="41"/>
      <c r="EVW145" s="41"/>
      <c r="EVX145" s="41"/>
      <c r="EVY145" s="41"/>
      <c r="EVZ145" s="41"/>
      <c r="EWA145" s="41"/>
      <c r="EWB145" s="41"/>
      <c r="EWC145" s="41"/>
      <c r="EWD145" s="41"/>
      <c r="EWE145" s="41"/>
      <c r="EWF145" s="41"/>
      <c r="EWG145" s="41"/>
      <c r="EWH145" s="41"/>
      <c r="EWI145" s="41"/>
      <c r="EWJ145" s="41"/>
      <c r="EWK145" s="41"/>
      <c r="EWL145" s="41"/>
      <c r="EWM145" s="41"/>
      <c r="EWN145" s="41"/>
      <c r="EWO145" s="41"/>
      <c r="EWP145" s="41"/>
      <c r="EWQ145" s="41"/>
      <c r="EWR145" s="41"/>
      <c r="EWS145" s="41"/>
      <c r="EWT145" s="41"/>
      <c r="EWU145" s="41"/>
      <c r="EWV145" s="41"/>
      <c r="EWW145" s="41"/>
      <c r="EWX145" s="41"/>
      <c r="EWY145" s="41"/>
      <c r="EWZ145" s="41"/>
      <c r="EXA145" s="41"/>
      <c r="EXB145" s="41"/>
      <c r="EXC145" s="41"/>
      <c r="EXD145" s="41"/>
      <c r="EXE145" s="41"/>
      <c r="EXF145" s="41"/>
      <c r="EXG145" s="41"/>
      <c r="EXH145" s="41"/>
      <c r="EXI145" s="41"/>
      <c r="EXJ145" s="41"/>
      <c r="EXK145" s="41"/>
      <c r="EXL145" s="41"/>
      <c r="EXM145" s="41"/>
      <c r="EXN145" s="41"/>
      <c r="EXO145" s="41"/>
      <c r="EXP145" s="41"/>
      <c r="EXQ145" s="41"/>
      <c r="EXR145" s="41"/>
      <c r="EXS145" s="41"/>
      <c r="EXT145" s="41"/>
      <c r="EXU145" s="41"/>
      <c r="EXV145" s="41"/>
      <c r="EXW145" s="41"/>
      <c r="EXX145" s="41"/>
      <c r="EXY145" s="41"/>
      <c r="EXZ145" s="41"/>
      <c r="EYA145" s="41"/>
      <c r="EYB145" s="41"/>
      <c r="EYC145" s="41"/>
      <c r="EYD145" s="41"/>
      <c r="EYE145" s="41"/>
      <c r="EYF145" s="41"/>
      <c r="EYG145" s="41"/>
      <c r="EYH145" s="41"/>
      <c r="EYI145" s="41"/>
      <c r="EYJ145" s="41"/>
      <c r="EYK145" s="41"/>
      <c r="EYL145" s="41"/>
      <c r="EYM145" s="41"/>
      <c r="EYN145" s="41"/>
      <c r="EYO145" s="41"/>
      <c r="EYP145" s="41"/>
      <c r="EYQ145" s="41"/>
      <c r="EYR145" s="41"/>
      <c r="EYS145" s="41"/>
      <c r="EYT145" s="41"/>
      <c r="EYU145" s="41"/>
      <c r="EYV145" s="41"/>
      <c r="EYW145" s="41"/>
      <c r="EYX145" s="41"/>
      <c r="EYY145" s="41"/>
      <c r="EYZ145" s="41"/>
      <c r="EZA145" s="41"/>
      <c r="EZB145" s="41"/>
      <c r="EZC145" s="41"/>
      <c r="EZD145" s="41"/>
      <c r="EZE145" s="41"/>
      <c r="EZF145" s="41"/>
      <c r="EZG145" s="41"/>
      <c r="EZH145" s="41"/>
      <c r="EZI145" s="41"/>
      <c r="EZJ145" s="41"/>
      <c r="EZK145" s="41"/>
      <c r="EZL145" s="41"/>
      <c r="EZM145" s="41"/>
      <c r="EZN145" s="41"/>
      <c r="EZO145" s="41"/>
      <c r="EZP145" s="41"/>
      <c r="EZQ145" s="41"/>
      <c r="EZR145" s="41"/>
      <c r="EZS145" s="41"/>
      <c r="EZT145" s="41"/>
      <c r="EZU145" s="41"/>
      <c r="EZV145" s="41"/>
      <c r="EZW145" s="41"/>
      <c r="EZX145" s="41"/>
      <c r="EZY145" s="41"/>
      <c r="EZZ145" s="41"/>
      <c r="FAA145" s="41"/>
      <c r="FAB145" s="41"/>
      <c r="FAC145" s="41"/>
      <c r="FAD145" s="41"/>
      <c r="FAE145" s="41"/>
      <c r="FAF145" s="41"/>
      <c r="FAG145" s="41"/>
      <c r="FAH145" s="41"/>
      <c r="FAI145" s="41"/>
      <c r="FAJ145" s="41"/>
      <c r="FAK145" s="41"/>
      <c r="FAL145" s="41"/>
      <c r="FAM145" s="41"/>
      <c r="FAN145" s="41"/>
      <c r="FAO145" s="41"/>
      <c r="FAP145" s="41"/>
      <c r="FAQ145" s="41"/>
      <c r="FAR145" s="41"/>
      <c r="FAS145" s="41"/>
      <c r="FAT145" s="41"/>
      <c r="FAU145" s="41"/>
      <c r="FAV145" s="41"/>
      <c r="FAW145" s="41"/>
      <c r="FAX145" s="41"/>
      <c r="FAY145" s="41"/>
      <c r="FAZ145" s="41"/>
      <c r="FBA145" s="41"/>
      <c r="FBB145" s="41"/>
      <c r="FBC145" s="41"/>
      <c r="FBD145" s="41"/>
      <c r="FBE145" s="41"/>
      <c r="FBF145" s="41"/>
      <c r="FBG145" s="41"/>
      <c r="FBH145" s="41"/>
      <c r="FBI145" s="41"/>
      <c r="FBJ145" s="41"/>
      <c r="FBK145" s="41"/>
      <c r="FBL145" s="41"/>
      <c r="FBM145" s="41"/>
      <c r="FBN145" s="41"/>
      <c r="FBO145" s="41"/>
      <c r="FBP145" s="41"/>
      <c r="FBQ145" s="41"/>
      <c r="FBR145" s="41"/>
      <c r="FBS145" s="41"/>
      <c r="FBT145" s="41"/>
      <c r="FBU145" s="41"/>
      <c r="FBV145" s="41"/>
      <c r="FBW145" s="41"/>
      <c r="FBX145" s="41"/>
      <c r="FBY145" s="41"/>
      <c r="FBZ145" s="41"/>
      <c r="FCA145" s="41"/>
      <c r="FCB145" s="41"/>
      <c r="FCC145" s="41"/>
      <c r="FCD145" s="41"/>
      <c r="FCE145" s="41"/>
      <c r="FCF145" s="41"/>
      <c r="FCG145" s="41"/>
      <c r="FCH145" s="41"/>
      <c r="FCI145" s="41"/>
      <c r="FCJ145" s="41"/>
      <c r="FCK145" s="41"/>
      <c r="FCL145" s="41"/>
      <c r="FCM145" s="41"/>
      <c r="FCN145" s="41"/>
      <c r="FCO145" s="41"/>
      <c r="FCP145" s="41"/>
      <c r="FCQ145" s="41"/>
      <c r="FCR145" s="41"/>
      <c r="FCS145" s="41"/>
      <c r="FCT145" s="41"/>
      <c r="FCU145" s="41"/>
      <c r="FCV145" s="41"/>
      <c r="FCW145" s="41"/>
      <c r="FCX145" s="41"/>
      <c r="FCY145" s="41"/>
      <c r="FCZ145" s="41"/>
      <c r="FDA145" s="41"/>
      <c r="FDB145" s="41"/>
      <c r="FDC145" s="41"/>
      <c r="FDD145" s="41"/>
      <c r="FDE145" s="41"/>
      <c r="FDF145" s="41"/>
      <c r="FDG145" s="41"/>
      <c r="FDH145" s="41"/>
      <c r="FDI145" s="41"/>
      <c r="FDJ145" s="41"/>
      <c r="FDK145" s="41"/>
      <c r="FDL145" s="41"/>
      <c r="FDM145" s="41"/>
      <c r="FDN145" s="41"/>
      <c r="FDO145" s="41"/>
      <c r="FDP145" s="41"/>
      <c r="FDQ145" s="41"/>
      <c r="FDR145" s="41"/>
      <c r="FDS145" s="41"/>
      <c r="FDT145" s="41"/>
      <c r="FDU145" s="41"/>
      <c r="FDV145" s="41"/>
      <c r="FDW145" s="41"/>
      <c r="FDX145" s="41"/>
      <c r="FDY145" s="41"/>
      <c r="FDZ145" s="41"/>
      <c r="FEA145" s="41"/>
      <c r="FEB145" s="41"/>
      <c r="FEC145" s="41"/>
      <c r="FED145" s="41"/>
      <c r="FEE145" s="41"/>
      <c r="FEF145" s="41"/>
      <c r="FEG145" s="41"/>
      <c r="FEH145" s="41"/>
      <c r="FEI145" s="41"/>
      <c r="FEJ145" s="41"/>
      <c r="FEK145" s="41"/>
      <c r="FEL145" s="41"/>
      <c r="FEM145" s="41"/>
      <c r="FEN145" s="41"/>
      <c r="FEO145" s="41"/>
      <c r="FEP145" s="41"/>
      <c r="FEQ145" s="41"/>
      <c r="FER145" s="41"/>
      <c r="FES145" s="41"/>
      <c r="FET145" s="41"/>
      <c r="FEU145" s="41"/>
      <c r="FEV145" s="41"/>
      <c r="FEW145" s="41"/>
      <c r="FEX145" s="41"/>
      <c r="FEY145" s="41"/>
      <c r="FEZ145" s="41"/>
      <c r="FFA145" s="41"/>
      <c r="FFB145" s="41"/>
      <c r="FFC145" s="41"/>
      <c r="FFD145" s="41"/>
      <c r="FFE145" s="41"/>
      <c r="FFF145" s="41"/>
      <c r="FFG145" s="41"/>
      <c r="FFH145" s="41"/>
      <c r="FFI145" s="41"/>
      <c r="FFJ145" s="41"/>
      <c r="FFK145" s="41"/>
      <c r="FFL145" s="41"/>
      <c r="FFM145" s="41"/>
      <c r="FFN145" s="41"/>
      <c r="FFO145" s="41"/>
      <c r="FFP145" s="41"/>
      <c r="FFQ145" s="41"/>
      <c r="FFR145" s="41"/>
      <c r="FFS145" s="41"/>
      <c r="FFT145" s="41"/>
      <c r="FFU145" s="41"/>
      <c r="FFV145" s="41"/>
      <c r="FFW145" s="41"/>
      <c r="FFX145" s="41"/>
      <c r="FFY145" s="41"/>
      <c r="FFZ145" s="41"/>
      <c r="FGA145" s="41"/>
      <c r="FGB145" s="41"/>
      <c r="FGC145" s="41"/>
      <c r="FGD145" s="41"/>
      <c r="FGE145" s="41"/>
      <c r="FGF145" s="41"/>
      <c r="FGG145" s="41"/>
      <c r="FGH145" s="41"/>
      <c r="FGI145" s="41"/>
      <c r="FGJ145" s="41"/>
      <c r="FGK145" s="41"/>
      <c r="FGL145" s="41"/>
      <c r="FGM145" s="41"/>
      <c r="FGN145" s="41"/>
      <c r="FGO145" s="41"/>
      <c r="FGP145" s="41"/>
      <c r="FGQ145" s="41"/>
      <c r="FGR145" s="41"/>
      <c r="FGS145" s="41"/>
      <c r="FGT145" s="41"/>
      <c r="FGU145" s="41"/>
      <c r="FGV145" s="41"/>
      <c r="FGW145" s="41"/>
      <c r="FGX145" s="41"/>
      <c r="FGY145" s="41"/>
      <c r="FGZ145" s="41"/>
      <c r="FHA145" s="41"/>
      <c r="FHB145" s="41"/>
      <c r="FHC145" s="41"/>
      <c r="FHD145" s="41"/>
      <c r="FHE145" s="41"/>
      <c r="FHF145" s="41"/>
      <c r="FHG145" s="41"/>
      <c r="FHH145" s="41"/>
      <c r="FHI145" s="41"/>
      <c r="FHJ145" s="41"/>
      <c r="FHK145" s="41"/>
      <c r="FHL145" s="41"/>
      <c r="FHM145" s="41"/>
      <c r="FHN145" s="41"/>
      <c r="FHO145" s="41"/>
      <c r="FHP145" s="41"/>
      <c r="FHQ145" s="41"/>
      <c r="FHR145" s="41"/>
      <c r="FHS145" s="41"/>
      <c r="FHT145" s="41"/>
      <c r="FHU145" s="41"/>
      <c r="FHV145" s="41"/>
      <c r="FHW145" s="41"/>
      <c r="FHX145" s="41"/>
      <c r="FHY145" s="41"/>
      <c r="FHZ145" s="41"/>
      <c r="FIA145" s="41"/>
      <c r="FIB145" s="41"/>
      <c r="FIC145" s="41"/>
      <c r="FID145" s="41"/>
      <c r="FIE145" s="41"/>
      <c r="FIF145" s="41"/>
      <c r="FIG145" s="41"/>
      <c r="FIH145" s="41"/>
      <c r="FII145" s="41"/>
      <c r="FIJ145" s="41"/>
      <c r="FIK145" s="41"/>
      <c r="FIL145" s="41"/>
      <c r="FIM145" s="41"/>
      <c r="FIN145" s="41"/>
      <c r="FIO145" s="41"/>
      <c r="FIP145" s="41"/>
      <c r="FIQ145" s="41"/>
      <c r="FIR145" s="41"/>
      <c r="FIS145" s="41"/>
      <c r="FIT145" s="41"/>
      <c r="FIU145" s="41"/>
      <c r="FIV145" s="41"/>
      <c r="FIW145" s="41"/>
      <c r="FIX145" s="41"/>
      <c r="FIY145" s="41"/>
      <c r="FIZ145" s="41"/>
      <c r="FJA145" s="41"/>
      <c r="FJB145" s="41"/>
      <c r="FJC145" s="41"/>
      <c r="FJD145" s="41"/>
      <c r="FJE145" s="41"/>
      <c r="FJF145" s="41"/>
      <c r="FJG145" s="41"/>
      <c r="FJH145" s="41"/>
      <c r="FJI145" s="41"/>
      <c r="FJJ145" s="41"/>
      <c r="FJK145" s="41"/>
      <c r="FJL145" s="41"/>
      <c r="FJM145" s="41"/>
      <c r="FJN145" s="41"/>
      <c r="FJO145" s="41"/>
      <c r="FJP145" s="41"/>
      <c r="FJQ145" s="41"/>
      <c r="FJR145" s="41"/>
      <c r="FJS145" s="41"/>
      <c r="FJT145" s="41"/>
      <c r="FJU145" s="41"/>
      <c r="FJV145" s="41"/>
      <c r="FJW145" s="41"/>
      <c r="FJX145" s="41"/>
      <c r="FJY145" s="41"/>
      <c r="FJZ145" s="41"/>
      <c r="FKA145" s="41"/>
      <c r="FKB145" s="41"/>
      <c r="FKC145" s="41"/>
      <c r="FKD145" s="41"/>
      <c r="FKE145" s="41"/>
      <c r="FKF145" s="41"/>
      <c r="FKG145" s="41"/>
      <c r="FKH145" s="41"/>
      <c r="FKI145" s="41"/>
      <c r="FKJ145" s="41"/>
      <c r="FKK145" s="41"/>
      <c r="FKL145" s="41"/>
      <c r="FKM145" s="41"/>
      <c r="FKN145" s="41"/>
      <c r="FKO145" s="41"/>
      <c r="FKP145" s="41"/>
      <c r="FKQ145" s="41"/>
      <c r="FKR145" s="41"/>
      <c r="FKS145" s="41"/>
      <c r="FKT145" s="41"/>
      <c r="FKU145" s="41"/>
      <c r="FKV145" s="41"/>
      <c r="FKW145" s="41"/>
      <c r="FKX145" s="41"/>
      <c r="FKY145" s="41"/>
      <c r="FKZ145" s="41"/>
      <c r="FLA145" s="41"/>
      <c r="FLB145" s="41"/>
      <c r="FLC145" s="41"/>
      <c r="FLD145" s="41"/>
      <c r="FLE145" s="41"/>
      <c r="FLF145" s="41"/>
      <c r="FLG145" s="41"/>
      <c r="FLH145" s="41"/>
      <c r="FLI145" s="41"/>
      <c r="FLJ145" s="41"/>
      <c r="FLK145" s="41"/>
      <c r="FLL145" s="41"/>
      <c r="FLM145" s="41"/>
      <c r="FLN145" s="41"/>
      <c r="FLO145" s="41"/>
      <c r="FLP145" s="41"/>
      <c r="FLQ145" s="41"/>
      <c r="FLR145" s="41"/>
      <c r="FLS145" s="41"/>
      <c r="FLT145" s="41"/>
      <c r="FLU145" s="41"/>
      <c r="FLV145" s="41"/>
      <c r="FLW145" s="41"/>
      <c r="FLX145" s="41"/>
      <c r="FLY145" s="41"/>
      <c r="FLZ145" s="41"/>
      <c r="FMA145" s="41"/>
      <c r="FMB145" s="41"/>
      <c r="FMC145" s="41"/>
      <c r="FMD145" s="41"/>
      <c r="FME145" s="41"/>
      <c r="FMF145" s="41"/>
      <c r="FMG145" s="41"/>
      <c r="FMH145" s="41"/>
      <c r="FMI145" s="41"/>
      <c r="FMJ145" s="41"/>
      <c r="FMK145" s="41"/>
      <c r="FML145" s="41"/>
      <c r="FMM145" s="41"/>
      <c r="FMN145" s="41"/>
      <c r="FMO145" s="41"/>
      <c r="FMP145" s="41"/>
      <c r="FMQ145" s="41"/>
      <c r="FMR145" s="41"/>
      <c r="FMS145" s="41"/>
      <c r="FMT145" s="41"/>
      <c r="FMU145" s="41"/>
      <c r="FMV145" s="41"/>
      <c r="FMW145" s="41"/>
      <c r="FMX145" s="41"/>
      <c r="FMY145" s="41"/>
      <c r="FMZ145" s="41"/>
      <c r="FNA145" s="41"/>
      <c r="FNB145" s="41"/>
      <c r="FNC145" s="41"/>
      <c r="FND145" s="41"/>
      <c r="FNE145" s="41"/>
      <c r="FNF145" s="41"/>
      <c r="FNG145" s="41"/>
      <c r="FNH145" s="41"/>
      <c r="FNI145" s="41"/>
      <c r="FNJ145" s="41"/>
      <c r="FNK145" s="41"/>
      <c r="FNL145" s="41"/>
      <c r="FNM145" s="41"/>
      <c r="FNN145" s="41"/>
      <c r="FNO145" s="41"/>
      <c r="FNP145" s="41"/>
      <c r="FNQ145" s="41"/>
      <c r="FNR145" s="41"/>
      <c r="FNS145" s="41"/>
      <c r="FNT145" s="41"/>
      <c r="FNU145" s="41"/>
      <c r="FNV145" s="41"/>
      <c r="FNW145" s="41"/>
      <c r="FNX145" s="41"/>
      <c r="FNY145" s="41"/>
      <c r="FNZ145" s="41"/>
      <c r="FOA145" s="41"/>
      <c r="FOB145" s="41"/>
      <c r="FOC145" s="41"/>
      <c r="FOD145" s="41"/>
      <c r="FOE145" s="41"/>
      <c r="FOF145" s="41"/>
      <c r="FOG145" s="41"/>
      <c r="FOH145" s="41"/>
      <c r="FOI145" s="41"/>
      <c r="FOJ145" s="41"/>
      <c r="FOK145" s="41"/>
      <c r="FOL145" s="41"/>
      <c r="FOM145" s="41"/>
      <c r="FON145" s="41"/>
      <c r="FOO145" s="41"/>
      <c r="FOP145" s="41"/>
      <c r="FOQ145" s="41"/>
      <c r="FOR145" s="41"/>
      <c r="FOS145" s="41"/>
      <c r="FOT145" s="41"/>
      <c r="FOU145" s="41"/>
      <c r="FOV145" s="41"/>
      <c r="FOW145" s="41"/>
      <c r="FOX145" s="41"/>
      <c r="FOY145" s="41"/>
      <c r="FOZ145" s="41"/>
      <c r="FPA145" s="41"/>
      <c r="FPB145" s="41"/>
      <c r="FPC145" s="41"/>
      <c r="FPD145" s="41"/>
      <c r="FPE145" s="41"/>
      <c r="FPF145" s="41"/>
      <c r="FPG145" s="41"/>
      <c r="FPH145" s="41"/>
      <c r="FPI145" s="41"/>
      <c r="FPJ145" s="41"/>
      <c r="FPK145" s="41"/>
      <c r="FPL145" s="41"/>
      <c r="FPM145" s="41"/>
      <c r="FPN145" s="41"/>
      <c r="FPO145" s="41"/>
      <c r="FPP145" s="41"/>
      <c r="FPQ145" s="41"/>
      <c r="FPR145" s="41"/>
      <c r="FPS145" s="41"/>
      <c r="FPT145" s="41"/>
      <c r="FPU145" s="41"/>
      <c r="FPV145" s="41"/>
      <c r="FPW145" s="41"/>
      <c r="FPX145" s="41"/>
      <c r="FPY145" s="41"/>
      <c r="FPZ145" s="41"/>
      <c r="FQA145" s="41"/>
      <c r="FQB145" s="41"/>
      <c r="FQC145" s="41"/>
      <c r="FQD145" s="41"/>
      <c r="FQE145" s="41"/>
      <c r="FQF145" s="41"/>
      <c r="FQG145" s="41"/>
      <c r="FQH145" s="41"/>
      <c r="FQI145" s="41"/>
      <c r="FQJ145" s="41"/>
      <c r="FQK145" s="41"/>
      <c r="FQL145" s="41"/>
      <c r="FQM145" s="41"/>
      <c r="FQN145" s="41"/>
      <c r="FQO145" s="41"/>
      <c r="FQP145" s="41"/>
      <c r="FQQ145" s="41"/>
      <c r="FQR145" s="41"/>
      <c r="FQS145" s="41"/>
      <c r="FQT145" s="41"/>
      <c r="FQU145" s="41"/>
      <c r="FQV145" s="41"/>
      <c r="FQW145" s="41"/>
      <c r="FQX145" s="41"/>
      <c r="FQY145" s="41"/>
      <c r="FQZ145" s="41"/>
      <c r="FRA145" s="41"/>
      <c r="FRB145" s="41"/>
      <c r="FRC145" s="41"/>
      <c r="FRD145" s="41"/>
      <c r="FRE145" s="41"/>
      <c r="FRF145" s="41"/>
      <c r="FRG145" s="41"/>
      <c r="FRH145" s="41"/>
      <c r="FRI145" s="41"/>
      <c r="FRJ145" s="41"/>
      <c r="FRK145" s="41"/>
      <c r="FRL145" s="41"/>
      <c r="FRM145" s="41"/>
      <c r="FRN145" s="41"/>
      <c r="FRO145" s="41"/>
      <c r="FRP145" s="41"/>
      <c r="FRQ145" s="41"/>
      <c r="FRR145" s="41"/>
      <c r="FRS145" s="41"/>
      <c r="FRT145" s="41"/>
      <c r="FRU145" s="41"/>
      <c r="FRV145" s="41"/>
      <c r="FRW145" s="41"/>
      <c r="FRX145" s="41"/>
      <c r="FRY145" s="41"/>
      <c r="FRZ145" s="41"/>
      <c r="FSA145" s="41"/>
      <c r="FSB145" s="41"/>
      <c r="FSC145" s="41"/>
      <c r="FSD145" s="41"/>
      <c r="FSE145" s="41"/>
      <c r="FSF145" s="41"/>
      <c r="FSG145" s="41"/>
      <c r="FSH145" s="41"/>
      <c r="FSI145" s="41"/>
      <c r="FSJ145" s="41"/>
      <c r="FSK145" s="41"/>
      <c r="FSL145" s="41"/>
      <c r="FSM145" s="41"/>
      <c r="FSN145" s="41"/>
      <c r="FSO145" s="41"/>
      <c r="FSP145" s="41"/>
      <c r="FSQ145" s="41"/>
      <c r="FSR145" s="41"/>
      <c r="FSS145" s="41"/>
      <c r="FST145" s="41"/>
      <c r="FSU145" s="41"/>
      <c r="FSV145" s="41"/>
      <c r="FSW145" s="41"/>
      <c r="FSX145" s="41"/>
      <c r="FSY145" s="41"/>
      <c r="FSZ145" s="41"/>
      <c r="FTA145" s="41"/>
      <c r="FTB145" s="41"/>
      <c r="FTC145" s="41"/>
      <c r="FTD145" s="41"/>
      <c r="FTE145" s="41"/>
      <c r="FTF145" s="41"/>
      <c r="FTG145" s="41"/>
      <c r="FTH145" s="41"/>
      <c r="FTI145" s="41"/>
      <c r="FTJ145" s="41"/>
      <c r="FTK145" s="41"/>
      <c r="FTL145" s="41"/>
      <c r="FTM145" s="41"/>
      <c r="FTN145" s="41"/>
      <c r="FTO145" s="41"/>
      <c r="FTP145" s="41"/>
      <c r="FTQ145" s="41"/>
      <c r="FTR145" s="41"/>
      <c r="FTS145" s="41"/>
      <c r="FTT145" s="41"/>
      <c r="FTU145" s="41"/>
      <c r="FTV145" s="41"/>
      <c r="FTW145" s="41"/>
      <c r="FTX145" s="41"/>
      <c r="FTY145" s="41"/>
      <c r="FTZ145" s="41"/>
      <c r="FUA145" s="41"/>
      <c r="FUB145" s="41"/>
      <c r="FUC145" s="41"/>
      <c r="FUD145" s="41"/>
      <c r="FUE145" s="41"/>
      <c r="FUF145" s="41"/>
      <c r="FUG145" s="41"/>
      <c r="FUH145" s="41"/>
      <c r="FUI145" s="41"/>
      <c r="FUJ145" s="41"/>
      <c r="FUK145" s="41"/>
      <c r="FUL145" s="41"/>
      <c r="FUM145" s="41"/>
      <c r="FUN145" s="41"/>
      <c r="FUO145" s="41"/>
      <c r="FUP145" s="41"/>
      <c r="FUQ145" s="41"/>
      <c r="FUR145" s="41"/>
      <c r="FUS145" s="41"/>
      <c r="FUT145" s="41"/>
      <c r="FUU145" s="41"/>
      <c r="FUV145" s="41"/>
      <c r="FUW145" s="41"/>
      <c r="FUX145" s="41"/>
      <c r="FUY145" s="41"/>
      <c r="FUZ145" s="41"/>
      <c r="FVA145" s="41"/>
      <c r="FVB145" s="41"/>
      <c r="FVC145" s="41"/>
      <c r="FVD145" s="41"/>
      <c r="FVE145" s="41"/>
      <c r="FVF145" s="41"/>
      <c r="FVG145" s="41"/>
      <c r="FVH145" s="41"/>
      <c r="FVI145" s="41"/>
      <c r="FVJ145" s="41"/>
      <c r="FVK145" s="41"/>
      <c r="FVL145" s="41"/>
      <c r="FVM145" s="41"/>
      <c r="FVN145" s="41"/>
      <c r="FVO145" s="41"/>
      <c r="FVP145" s="41"/>
      <c r="FVQ145" s="41"/>
      <c r="FVR145" s="41"/>
      <c r="FVS145" s="41"/>
      <c r="FVT145" s="41"/>
      <c r="FVU145" s="41"/>
      <c r="FVV145" s="41"/>
      <c r="FVW145" s="41"/>
      <c r="FVX145" s="41"/>
      <c r="FVY145" s="41"/>
      <c r="FVZ145" s="41"/>
      <c r="FWA145" s="41"/>
      <c r="FWB145" s="41"/>
      <c r="FWC145" s="41"/>
      <c r="FWD145" s="41"/>
      <c r="FWE145" s="41"/>
      <c r="FWF145" s="41"/>
      <c r="FWG145" s="41"/>
      <c r="FWH145" s="41"/>
      <c r="FWI145" s="41"/>
      <c r="FWJ145" s="41"/>
      <c r="FWK145" s="41"/>
      <c r="FWL145" s="41"/>
      <c r="FWM145" s="41"/>
      <c r="FWN145" s="41"/>
      <c r="FWO145" s="41"/>
      <c r="FWP145" s="41"/>
      <c r="FWQ145" s="41"/>
      <c r="FWR145" s="41"/>
      <c r="FWS145" s="41"/>
      <c r="FWT145" s="41"/>
      <c r="FWU145" s="41"/>
      <c r="FWV145" s="41"/>
      <c r="FWW145" s="41"/>
      <c r="FWX145" s="41"/>
      <c r="FWY145" s="41"/>
      <c r="FWZ145" s="41"/>
      <c r="FXA145" s="41"/>
      <c r="FXB145" s="41"/>
      <c r="FXC145" s="41"/>
      <c r="FXD145" s="41"/>
      <c r="FXE145" s="41"/>
      <c r="FXF145" s="41"/>
      <c r="FXG145" s="41"/>
      <c r="FXH145" s="41"/>
      <c r="FXI145" s="41"/>
      <c r="FXJ145" s="41"/>
      <c r="FXK145" s="41"/>
      <c r="FXL145" s="41"/>
      <c r="FXM145" s="41"/>
      <c r="FXN145" s="41"/>
      <c r="FXO145" s="41"/>
      <c r="FXP145" s="41"/>
      <c r="FXQ145" s="41"/>
      <c r="FXR145" s="41"/>
      <c r="FXS145" s="41"/>
      <c r="FXT145" s="41"/>
      <c r="FXU145" s="41"/>
      <c r="FXV145" s="41"/>
      <c r="FXW145" s="41"/>
      <c r="FXX145" s="41"/>
      <c r="FXY145" s="41"/>
      <c r="FXZ145" s="41"/>
      <c r="FYA145" s="41"/>
      <c r="FYB145" s="41"/>
      <c r="FYC145" s="41"/>
      <c r="FYD145" s="41"/>
      <c r="FYE145" s="41"/>
      <c r="FYF145" s="41"/>
      <c r="FYG145" s="41"/>
      <c r="FYH145" s="41"/>
      <c r="FYI145" s="41"/>
      <c r="FYJ145" s="41"/>
      <c r="FYK145" s="41"/>
      <c r="FYL145" s="41"/>
      <c r="FYM145" s="41"/>
      <c r="FYN145" s="41"/>
      <c r="FYO145" s="41"/>
      <c r="FYP145" s="41"/>
      <c r="FYQ145" s="41"/>
      <c r="FYR145" s="41"/>
      <c r="FYS145" s="41"/>
      <c r="FYT145" s="41"/>
      <c r="FYU145" s="41"/>
      <c r="FYV145" s="41"/>
      <c r="FYW145" s="41"/>
      <c r="FYX145" s="41"/>
      <c r="FYY145" s="41"/>
      <c r="FYZ145" s="41"/>
      <c r="FZA145" s="41"/>
      <c r="FZB145" s="41"/>
      <c r="FZC145" s="41"/>
      <c r="FZD145" s="41"/>
      <c r="FZE145" s="41"/>
      <c r="FZF145" s="41"/>
      <c r="FZG145" s="41"/>
      <c r="FZH145" s="41"/>
      <c r="FZI145" s="41"/>
      <c r="FZJ145" s="41"/>
      <c r="FZK145" s="41"/>
      <c r="FZL145" s="41"/>
      <c r="FZM145" s="41"/>
      <c r="FZN145" s="41"/>
      <c r="FZO145" s="41"/>
      <c r="FZP145" s="41"/>
      <c r="FZQ145" s="41"/>
      <c r="FZR145" s="41"/>
      <c r="FZS145" s="41"/>
      <c r="FZT145" s="41"/>
      <c r="FZU145" s="41"/>
      <c r="FZV145" s="41"/>
      <c r="FZW145" s="41"/>
      <c r="FZX145" s="41"/>
      <c r="FZY145" s="41"/>
      <c r="FZZ145" s="41"/>
      <c r="GAA145" s="41"/>
      <c r="GAB145" s="41"/>
      <c r="GAC145" s="41"/>
      <c r="GAD145" s="41"/>
      <c r="GAE145" s="41"/>
      <c r="GAF145" s="41"/>
      <c r="GAG145" s="41"/>
      <c r="GAH145" s="41"/>
      <c r="GAI145" s="41"/>
      <c r="GAJ145" s="41"/>
      <c r="GAK145" s="41"/>
      <c r="GAL145" s="41"/>
      <c r="GAM145" s="41"/>
      <c r="GAN145" s="41"/>
      <c r="GAO145" s="41"/>
      <c r="GAP145" s="41"/>
      <c r="GAQ145" s="41"/>
      <c r="GAR145" s="41"/>
      <c r="GAS145" s="41"/>
      <c r="GAT145" s="41"/>
      <c r="GAU145" s="41"/>
      <c r="GAV145" s="41"/>
      <c r="GAW145" s="41"/>
      <c r="GAX145" s="41"/>
      <c r="GAY145" s="41"/>
      <c r="GAZ145" s="41"/>
      <c r="GBA145" s="41"/>
      <c r="GBB145" s="41"/>
      <c r="GBC145" s="41"/>
      <c r="GBD145" s="41"/>
      <c r="GBE145" s="41"/>
      <c r="GBF145" s="41"/>
      <c r="GBG145" s="41"/>
      <c r="GBH145" s="41"/>
      <c r="GBI145" s="41"/>
      <c r="GBJ145" s="41"/>
      <c r="GBK145" s="41"/>
      <c r="GBL145" s="41"/>
      <c r="GBM145" s="41"/>
      <c r="GBN145" s="41"/>
      <c r="GBO145" s="41"/>
      <c r="GBP145" s="41"/>
      <c r="GBQ145" s="41"/>
      <c r="GBR145" s="41"/>
      <c r="GBS145" s="41"/>
      <c r="GBT145" s="41"/>
      <c r="GBU145" s="41"/>
      <c r="GBV145" s="41"/>
      <c r="GBW145" s="41"/>
      <c r="GBX145" s="41"/>
      <c r="GBY145" s="41"/>
      <c r="GBZ145" s="41"/>
      <c r="GCA145" s="41"/>
      <c r="GCB145" s="41"/>
      <c r="GCC145" s="41"/>
      <c r="GCD145" s="41"/>
      <c r="GCE145" s="41"/>
      <c r="GCF145" s="41"/>
      <c r="GCG145" s="41"/>
      <c r="GCH145" s="41"/>
      <c r="GCI145" s="41"/>
      <c r="GCJ145" s="41"/>
      <c r="GCK145" s="41"/>
      <c r="GCL145" s="41"/>
      <c r="GCM145" s="41"/>
      <c r="GCN145" s="41"/>
      <c r="GCO145" s="41"/>
      <c r="GCP145" s="41"/>
      <c r="GCQ145" s="41"/>
      <c r="GCR145" s="41"/>
      <c r="GCS145" s="41"/>
      <c r="GCT145" s="41"/>
      <c r="GCU145" s="41"/>
      <c r="GCV145" s="41"/>
      <c r="GCW145" s="41"/>
      <c r="GCX145" s="41"/>
      <c r="GCY145" s="41"/>
      <c r="GCZ145" s="41"/>
      <c r="GDA145" s="41"/>
      <c r="GDB145" s="41"/>
      <c r="GDC145" s="41"/>
      <c r="GDD145" s="41"/>
      <c r="GDE145" s="41"/>
      <c r="GDF145" s="41"/>
      <c r="GDG145" s="41"/>
      <c r="GDH145" s="41"/>
      <c r="GDI145" s="41"/>
      <c r="GDJ145" s="41"/>
      <c r="GDK145" s="41"/>
      <c r="GDL145" s="41"/>
      <c r="GDM145" s="41"/>
      <c r="GDN145" s="41"/>
      <c r="GDO145" s="41"/>
      <c r="GDP145" s="41"/>
      <c r="GDQ145" s="41"/>
      <c r="GDR145" s="41"/>
      <c r="GDS145" s="41"/>
      <c r="GDT145" s="41"/>
      <c r="GDU145" s="41"/>
      <c r="GDV145" s="41"/>
      <c r="GDW145" s="41"/>
      <c r="GDX145" s="41"/>
      <c r="GDY145" s="41"/>
      <c r="GDZ145" s="41"/>
      <c r="GEA145" s="41"/>
      <c r="GEB145" s="41"/>
      <c r="GEC145" s="41"/>
      <c r="GED145" s="41"/>
      <c r="GEE145" s="41"/>
      <c r="GEF145" s="41"/>
      <c r="GEG145" s="41"/>
      <c r="GEH145" s="41"/>
      <c r="GEI145" s="41"/>
      <c r="GEJ145" s="41"/>
      <c r="GEK145" s="41"/>
      <c r="GEL145" s="41"/>
      <c r="GEM145" s="41"/>
      <c r="GEN145" s="41"/>
      <c r="GEO145" s="41"/>
      <c r="GEP145" s="41"/>
      <c r="GEQ145" s="41"/>
      <c r="GER145" s="41"/>
      <c r="GES145" s="41"/>
      <c r="GET145" s="41"/>
      <c r="GEU145" s="41"/>
      <c r="GEV145" s="41"/>
      <c r="GEW145" s="41"/>
      <c r="GEX145" s="41"/>
      <c r="GEY145" s="41"/>
      <c r="GEZ145" s="41"/>
      <c r="GFA145" s="41"/>
      <c r="GFB145" s="41"/>
      <c r="GFC145" s="41"/>
      <c r="GFD145" s="41"/>
      <c r="GFE145" s="41"/>
      <c r="GFF145" s="41"/>
      <c r="GFG145" s="41"/>
      <c r="GFH145" s="41"/>
      <c r="GFI145" s="41"/>
      <c r="GFJ145" s="41"/>
      <c r="GFK145" s="41"/>
      <c r="GFL145" s="41"/>
      <c r="GFM145" s="41"/>
      <c r="GFN145" s="41"/>
      <c r="GFO145" s="41"/>
      <c r="GFP145" s="41"/>
      <c r="GFQ145" s="41"/>
      <c r="GFR145" s="41"/>
      <c r="GFS145" s="41"/>
      <c r="GFT145" s="41"/>
      <c r="GFU145" s="41"/>
      <c r="GFV145" s="41"/>
      <c r="GFW145" s="41"/>
      <c r="GFX145" s="41"/>
      <c r="GFY145" s="41"/>
      <c r="GFZ145" s="41"/>
      <c r="GGA145" s="41"/>
      <c r="GGB145" s="41"/>
      <c r="GGC145" s="41"/>
      <c r="GGD145" s="41"/>
      <c r="GGE145" s="41"/>
      <c r="GGF145" s="41"/>
      <c r="GGG145" s="41"/>
      <c r="GGH145" s="41"/>
      <c r="GGI145" s="41"/>
      <c r="GGJ145" s="41"/>
      <c r="GGK145" s="41"/>
      <c r="GGL145" s="41"/>
      <c r="GGM145" s="41"/>
      <c r="GGN145" s="41"/>
      <c r="GGO145" s="41"/>
      <c r="GGP145" s="41"/>
      <c r="GGQ145" s="41"/>
      <c r="GGR145" s="41"/>
      <c r="GGS145" s="41"/>
      <c r="GGT145" s="41"/>
      <c r="GGU145" s="41"/>
      <c r="GGV145" s="41"/>
      <c r="GGW145" s="41"/>
      <c r="GGX145" s="41"/>
      <c r="GGY145" s="41"/>
      <c r="GGZ145" s="41"/>
      <c r="GHA145" s="41"/>
      <c r="GHB145" s="41"/>
      <c r="GHC145" s="41"/>
      <c r="GHD145" s="41"/>
      <c r="GHE145" s="41"/>
      <c r="GHF145" s="41"/>
      <c r="GHG145" s="41"/>
      <c r="GHH145" s="41"/>
      <c r="GHI145" s="41"/>
      <c r="GHJ145" s="41"/>
      <c r="GHK145" s="41"/>
      <c r="GHL145" s="41"/>
      <c r="GHM145" s="41"/>
      <c r="GHN145" s="41"/>
      <c r="GHO145" s="41"/>
      <c r="GHP145" s="41"/>
      <c r="GHQ145" s="41"/>
      <c r="GHR145" s="41"/>
      <c r="GHS145" s="41"/>
      <c r="GHT145" s="41"/>
      <c r="GHU145" s="41"/>
      <c r="GHV145" s="41"/>
      <c r="GHW145" s="41"/>
      <c r="GHX145" s="41"/>
      <c r="GHY145" s="41"/>
      <c r="GHZ145" s="41"/>
      <c r="GIA145" s="41"/>
      <c r="GIB145" s="41"/>
      <c r="GIC145" s="41"/>
      <c r="GID145" s="41"/>
      <c r="GIE145" s="41"/>
      <c r="GIF145" s="41"/>
      <c r="GIG145" s="41"/>
      <c r="GIH145" s="41"/>
      <c r="GII145" s="41"/>
      <c r="GIJ145" s="41"/>
      <c r="GIK145" s="41"/>
      <c r="GIL145" s="41"/>
      <c r="GIM145" s="41"/>
      <c r="GIN145" s="41"/>
      <c r="GIO145" s="41"/>
      <c r="GIP145" s="41"/>
      <c r="GIQ145" s="41"/>
      <c r="GIR145" s="41"/>
      <c r="GIS145" s="41"/>
      <c r="GIT145" s="41"/>
      <c r="GIU145" s="41"/>
      <c r="GIV145" s="41"/>
      <c r="GIW145" s="41"/>
      <c r="GIX145" s="41"/>
      <c r="GIY145" s="41"/>
      <c r="GIZ145" s="41"/>
      <c r="GJA145" s="41"/>
      <c r="GJB145" s="41"/>
      <c r="GJC145" s="41"/>
      <c r="GJD145" s="41"/>
      <c r="GJE145" s="41"/>
      <c r="GJF145" s="41"/>
      <c r="GJG145" s="41"/>
      <c r="GJH145" s="41"/>
      <c r="GJI145" s="41"/>
      <c r="GJJ145" s="41"/>
      <c r="GJK145" s="41"/>
      <c r="GJL145" s="41"/>
      <c r="GJM145" s="41"/>
      <c r="GJN145" s="41"/>
      <c r="GJO145" s="41"/>
      <c r="GJP145" s="41"/>
      <c r="GJQ145" s="41"/>
      <c r="GJR145" s="41"/>
      <c r="GJS145" s="41"/>
      <c r="GJT145" s="41"/>
      <c r="GJU145" s="41"/>
      <c r="GJV145" s="41"/>
      <c r="GJW145" s="41"/>
      <c r="GJX145" s="41"/>
      <c r="GJY145" s="41"/>
      <c r="GJZ145" s="41"/>
      <c r="GKA145" s="41"/>
      <c r="GKB145" s="41"/>
      <c r="GKC145" s="41"/>
      <c r="GKD145" s="41"/>
      <c r="GKE145" s="41"/>
      <c r="GKF145" s="41"/>
      <c r="GKG145" s="41"/>
      <c r="GKH145" s="41"/>
      <c r="GKI145" s="41"/>
      <c r="GKJ145" s="41"/>
      <c r="GKK145" s="41"/>
      <c r="GKL145" s="41"/>
      <c r="GKM145" s="41"/>
      <c r="GKN145" s="41"/>
      <c r="GKO145" s="41"/>
      <c r="GKP145" s="41"/>
      <c r="GKQ145" s="41"/>
      <c r="GKR145" s="41"/>
      <c r="GKS145" s="41"/>
      <c r="GKT145" s="41"/>
      <c r="GKU145" s="41"/>
      <c r="GKV145" s="41"/>
      <c r="GKW145" s="41"/>
      <c r="GKX145" s="41"/>
      <c r="GKY145" s="41"/>
      <c r="GKZ145" s="41"/>
      <c r="GLA145" s="41"/>
      <c r="GLB145" s="41"/>
      <c r="GLC145" s="41"/>
      <c r="GLD145" s="41"/>
      <c r="GLE145" s="41"/>
      <c r="GLF145" s="41"/>
      <c r="GLG145" s="41"/>
      <c r="GLH145" s="41"/>
      <c r="GLI145" s="41"/>
      <c r="GLJ145" s="41"/>
      <c r="GLK145" s="41"/>
      <c r="GLL145" s="41"/>
      <c r="GLM145" s="41"/>
      <c r="GLN145" s="41"/>
      <c r="GLO145" s="41"/>
      <c r="GLP145" s="41"/>
      <c r="GLQ145" s="41"/>
      <c r="GLR145" s="41"/>
      <c r="GLS145" s="41"/>
      <c r="GLT145" s="41"/>
      <c r="GLU145" s="41"/>
      <c r="GLV145" s="41"/>
      <c r="GLW145" s="41"/>
      <c r="GLX145" s="41"/>
      <c r="GLY145" s="41"/>
      <c r="GLZ145" s="41"/>
      <c r="GMA145" s="41"/>
      <c r="GMB145" s="41"/>
      <c r="GMC145" s="41"/>
      <c r="GMD145" s="41"/>
      <c r="GME145" s="41"/>
      <c r="GMF145" s="41"/>
      <c r="GMG145" s="41"/>
      <c r="GMH145" s="41"/>
      <c r="GMI145" s="41"/>
      <c r="GMJ145" s="41"/>
      <c r="GMK145" s="41"/>
      <c r="GML145" s="41"/>
      <c r="GMM145" s="41"/>
      <c r="GMN145" s="41"/>
      <c r="GMO145" s="41"/>
      <c r="GMP145" s="41"/>
      <c r="GMQ145" s="41"/>
      <c r="GMR145" s="41"/>
      <c r="GMS145" s="41"/>
      <c r="GMT145" s="41"/>
      <c r="GMU145" s="41"/>
      <c r="GMV145" s="41"/>
      <c r="GMW145" s="41"/>
      <c r="GMX145" s="41"/>
      <c r="GMY145" s="41"/>
      <c r="GMZ145" s="41"/>
      <c r="GNA145" s="41"/>
      <c r="GNB145" s="41"/>
      <c r="GNC145" s="41"/>
      <c r="GND145" s="41"/>
      <c r="GNE145" s="41"/>
      <c r="GNF145" s="41"/>
      <c r="GNG145" s="41"/>
      <c r="GNH145" s="41"/>
      <c r="GNI145" s="41"/>
      <c r="GNJ145" s="41"/>
      <c r="GNK145" s="41"/>
      <c r="GNL145" s="41"/>
      <c r="GNM145" s="41"/>
      <c r="GNN145" s="41"/>
      <c r="GNO145" s="41"/>
      <c r="GNP145" s="41"/>
      <c r="GNQ145" s="41"/>
      <c r="GNR145" s="41"/>
      <c r="GNS145" s="41"/>
      <c r="GNT145" s="41"/>
      <c r="GNU145" s="41"/>
      <c r="GNV145" s="41"/>
      <c r="GNW145" s="41"/>
      <c r="GNX145" s="41"/>
      <c r="GNY145" s="41"/>
      <c r="GNZ145" s="41"/>
      <c r="GOA145" s="41"/>
      <c r="GOB145" s="41"/>
      <c r="GOC145" s="41"/>
      <c r="GOD145" s="41"/>
      <c r="GOE145" s="41"/>
      <c r="GOF145" s="41"/>
      <c r="GOG145" s="41"/>
      <c r="GOH145" s="41"/>
      <c r="GOI145" s="41"/>
      <c r="GOJ145" s="41"/>
      <c r="GOK145" s="41"/>
      <c r="GOL145" s="41"/>
      <c r="GOM145" s="41"/>
      <c r="GON145" s="41"/>
      <c r="GOO145" s="41"/>
      <c r="GOP145" s="41"/>
      <c r="GOQ145" s="41"/>
      <c r="GOR145" s="41"/>
      <c r="GOS145" s="41"/>
      <c r="GOT145" s="41"/>
      <c r="GOU145" s="41"/>
      <c r="GOV145" s="41"/>
      <c r="GOW145" s="41"/>
      <c r="GOX145" s="41"/>
      <c r="GOY145" s="41"/>
      <c r="GOZ145" s="41"/>
      <c r="GPA145" s="41"/>
      <c r="GPB145" s="41"/>
      <c r="GPC145" s="41"/>
      <c r="GPD145" s="41"/>
      <c r="GPE145" s="41"/>
      <c r="GPF145" s="41"/>
      <c r="GPG145" s="41"/>
      <c r="GPH145" s="41"/>
      <c r="GPI145" s="41"/>
      <c r="GPJ145" s="41"/>
      <c r="GPK145" s="41"/>
      <c r="GPL145" s="41"/>
      <c r="GPM145" s="41"/>
      <c r="GPN145" s="41"/>
      <c r="GPO145" s="41"/>
      <c r="GPP145" s="41"/>
      <c r="GPQ145" s="41"/>
      <c r="GPR145" s="41"/>
      <c r="GPS145" s="41"/>
      <c r="GPT145" s="41"/>
      <c r="GPU145" s="41"/>
      <c r="GPV145" s="41"/>
      <c r="GPW145" s="41"/>
      <c r="GPX145" s="41"/>
      <c r="GPY145" s="41"/>
      <c r="GPZ145" s="41"/>
      <c r="GQA145" s="41"/>
      <c r="GQB145" s="41"/>
      <c r="GQC145" s="41"/>
      <c r="GQD145" s="41"/>
      <c r="GQE145" s="41"/>
      <c r="GQF145" s="41"/>
      <c r="GQG145" s="41"/>
      <c r="GQH145" s="41"/>
      <c r="GQI145" s="41"/>
      <c r="GQJ145" s="41"/>
      <c r="GQK145" s="41"/>
      <c r="GQL145" s="41"/>
      <c r="GQM145" s="41"/>
      <c r="GQN145" s="41"/>
      <c r="GQO145" s="41"/>
      <c r="GQP145" s="41"/>
      <c r="GQQ145" s="41"/>
      <c r="GQR145" s="41"/>
      <c r="GQS145" s="41"/>
      <c r="GQT145" s="41"/>
      <c r="GQU145" s="41"/>
      <c r="GQV145" s="41"/>
      <c r="GQW145" s="41"/>
      <c r="GQX145" s="41"/>
      <c r="GQY145" s="41"/>
      <c r="GQZ145" s="41"/>
      <c r="GRA145" s="41"/>
      <c r="GRB145" s="41"/>
      <c r="GRC145" s="41"/>
      <c r="GRD145" s="41"/>
      <c r="GRE145" s="41"/>
      <c r="GRF145" s="41"/>
      <c r="GRG145" s="41"/>
      <c r="GRH145" s="41"/>
      <c r="GRI145" s="41"/>
      <c r="GRJ145" s="41"/>
      <c r="GRK145" s="41"/>
      <c r="GRL145" s="41"/>
      <c r="GRM145" s="41"/>
      <c r="GRN145" s="41"/>
      <c r="GRO145" s="41"/>
      <c r="GRP145" s="41"/>
      <c r="GRQ145" s="41"/>
      <c r="GRR145" s="41"/>
      <c r="GRS145" s="41"/>
      <c r="GRT145" s="41"/>
      <c r="GRU145" s="41"/>
      <c r="GRV145" s="41"/>
      <c r="GRW145" s="41"/>
      <c r="GRX145" s="41"/>
      <c r="GRY145" s="41"/>
      <c r="GRZ145" s="41"/>
      <c r="GSA145" s="41"/>
      <c r="GSB145" s="41"/>
      <c r="GSC145" s="41"/>
      <c r="GSD145" s="41"/>
      <c r="GSE145" s="41"/>
      <c r="GSF145" s="41"/>
      <c r="GSG145" s="41"/>
      <c r="GSH145" s="41"/>
      <c r="GSI145" s="41"/>
      <c r="GSJ145" s="41"/>
      <c r="GSK145" s="41"/>
      <c r="GSL145" s="41"/>
      <c r="GSM145" s="41"/>
      <c r="GSN145" s="41"/>
      <c r="GSO145" s="41"/>
      <c r="GSP145" s="41"/>
      <c r="GSQ145" s="41"/>
      <c r="GSR145" s="41"/>
      <c r="GSS145" s="41"/>
      <c r="GST145" s="41"/>
      <c r="GSU145" s="41"/>
      <c r="GSV145" s="41"/>
      <c r="GSW145" s="41"/>
      <c r="GSX145" s="41"/>
      <c r="GSY145" s="41"/>
      <c r="GSZ145" s="41"/>
      <c r="GTA145" s="41"/>
      <c r="GTB145" s="41"/>
      <c r="GTC145" s="41"/>
      <c r="GTD145" s="41"/>
      <c r="GTE145" s="41"/>
      <c r="GTF145" s="41"/>
      <c r="GTG145" s="41"/>
      <c r="GTH145" s="41"/>
      <c r="GTI145" s="41"/>
      <c r="GTJ145" s="41"/>
      <c r="GTK145" s="41"/>
      <c r="GTL145" s="41"/>
      <c r="GTM145" s="41"/>
      <c r="GTN145" s="41"/>
      <c r="GTO145" s="41"/>
      <c r="GTP145" s="41"/>
      <c r="GTQ145" s="41"/>
      <c r="GTR145" s="41"/>
      <c r="GTS145" s="41"/>
      <c r="GTT145" s="41"/>
      <c r="GTU145" s="41"/>
      <c r="GTV145" s="41"/>
      <c r="GTW145" s="41"/>
      <c r="GTX145" s="41"/>
      <c r="GTY145" s="41"/>
      <c r="GTZ145" s="41"/>
      <c r="GUA145" s="41"/>
      <c r="GUB145" s="41"/>
      <c r="GUC145" s="41"/>
      <c r="GUD145" s="41"/>
      <c r="GUE145" s="41"/>
      <c r="GUF145" s="41"/>
      <c r="GUG145" s="41"/>
      <c r="GUH145" s="41"/>
      <c r="GUI145" s="41"/>
      <c r="GUJ145" s="41"/>
      <c r="GUK145" s="41"/>
      <c r="GUL145" s="41"/>
      <c r="GUM145" s="41"/>
      <c r="GUN145" s="41"/>
      <c r="GUO145" s="41"/>
      <c r="GUP145" s="41"/>
      <c r="GUQ145" s="41"/>
      <c r="GUR145" s="41"/>
      <c r="GUS145" s="41"/>
      <c r="GUT145" s="41"/>
      <c r="GUU145" s="41"/>
      <c r="GUV145" s="41"/>
      <c r="GUW145" s="41"/>
      <c r="GUX145" s="41"/>
      <c r="GUY145" s="41"/>
      <c r="GUZ145" s="41"/>
      <c r="GVA145" s="41"/>
      <c r="GVB145" s="41"/>
      <c r="GVC145" s="41"/>
      <c r="GVD145" s="41"/>
      <c r="GVE145" s="41"/>
      <c r="GVF145" s="41"/>
      <c r="GVG145" s="41"/>
      <c r="GVH145" s="41"/>
      <c r="GVI145" s="41"/>
      <c r="GVJ145" s="41"/>
      <c r="GVK145" s="41"/>
      <c r="GVL145" s="41"/>
      <c r="GVM145" s="41"/>
      <c r="GVN145" s="41"/>
      <c r="GVO145" s="41"/>
      <c r="GVP145" s="41"/>
      <c r="GVQ145" s="41"/>
      <c r="GVR145" s="41"/>
      <c r="GVS145" s="41"/>
      <c r="GVT145" s="41"/>
      <c r="GVU145" s="41"/>
      <c r="GVV145" s="41"/>
      <c r="GVW145" s="41"/>
      <c r="GVX145" s="41"/>
      <c r="GVY145" s="41"/>
      <c r="GVZ145" s="41"/>
      <c r="GWA145" s="41"/>
      <c r="GWB145" s="41"/>
      <c r="GWC145" s="41"/>
      <c r="GWD145" s="41"/>
      <c r="GWE145" s="41"/>
      <c r="GWF145" s="41"/>
      <c r="GWG145" s="41"/>
      <c r="GWH145" s="41"/>
      <c r="GWI145" s="41"/>
      <c r="GWJ145" s="41"/>
      <c r="GWK145" s="41"/>
      <c r="GWL145" s="41"/>
      <c r="GWM145" s="41"/>
      <c r="GWN145" s="41"/>
      <c r="GWO145" s="41"/>
      <c r="GWP145" s="41"/>
      <c r="GWQ145" s="41"/>
      <c r="GWR145" s="41"/>
      <c r="GWS145" s="41"/>
      <c r="GWT145" s="41"/>
      <c r="GWU145" s="41"/>
      <c r="GWV145" s="41"/>
      <c r="GWW145" s="41"/>
      <c r="GWX145" s="41"/>
      <c r="GWY145" s="41"/>
      <c r="GWZ145" s="41"/>
      <c r="GXA145" s="41"/>
      <c r="GXB145" s="41"/>
      <c r="GXC145" s="41"/>
      <c r="GXD145" s="41"/>
      <c r="GXE145" s="41"/>
      <c r="GXF145" s="41"/>
      <c r="GXG145" s="41"/>
      <c r="GXH145" s="41"/>
      <c r="GXI145" s="41"/>
      <c r="GXJ145" s="41"/>
      <c r="GXK145" s="41"/>
      <c r="GXL145" s="41"/>
      <c r="GXM145" s="41"/>
      <c r="GXN145" s="41"/>
      <c r="GXO145" s="41"/>
      <c r="GXP145" s="41"/>
      <c r="GXQ145" s="41"/>
      <c r="GXR145" s="41"/>
      <c r="GXS145" s="41"/>
      <c r="GXT145" s="41"/>
      <c r="GXU145" s="41"/>
      <c r="GXV145" s="41"/>
      <c r="GXW145" s="41"/>
      <c r="GXX145" s="41"/>
      <c r="GXY145" s="41"/>
      <c r="GXZ145" s="41"/>
      <c r="GYA145" s="41"/>
      <c r="GYB145" s="41"/>
      <c r="GYC145" s="41"/>
      <c r="GYD145" s="41"/>
      <c r="GYE145" s="41"/>
      <c r="GYF145" s="41"/>
      <c r="GYG145" s="41"/>
      <c r="GYH145" s="41"/>
      <c r="GYI145" s="41"/>
      <c r="GYJ145" s="41"/>
      <c r="GYK145" s="41"/>
      <c r="GYL145" s="41"/>
      <c r="GYM145" s="41"/>
      <c r="GYN145" s="41"/>
      <c r="GYO145" s="41"/>
      <c r="GYP145" s="41"/>
      <c r="GYQ145" s="41"/>
      <c r="GYR145" s="41"/>
      <c r="GYS145" s="41"/>
      <c r="GYT145" s="41"/>
      <c r="GYU145" s="41"/>
      <c r="GYV145" s="41"/>
      <c r="GYW145" s="41"/>
      <c r="GYX145" s="41"/>
      <c r="GYY145" s="41"/>
      <c r="GYZ145" s="41"/>
      <c r="GZA145" s="41"/>
      <c r="GZB145" s="41"/>
      <c r="GZC145" s="41"/>
      <c r="GZD145" s="41"/>
      <c r="GZE145" s="41"/>
      <c r="GZF145" s="41"/>
      <c r="GZG145" s="41"/>
      <c r="GZH145" s="41"/>
      <c r="GZI145" s="41"/>
      <c r="GZJ145" s="41"/>
      <c r="GZK145" s="41"/>
      <c r="GZL145" s="41"/>
      <c r="GZM145" s="41"/>
      <c r="GZN145" s="41"/>
      <c r="GZO145" s="41"/>
      <c r="GZP145" s="41"/>
      <c r="GZQ145" s="41"/>
      <c r="GZR145" s="41"/>
      <c r="GZS145" s="41"/>
      <c r="GZT145" s="41"/>
      <c r="GZU145" s="41"/>
      <c r="GZV145" s="41"/>
      <c r="GZW145" s="41"/>
      <c r="GZX145" s="41"/>
      <c r="GZY145" s="41"/>
      <c r="GZZ145" s="41"/>
      <c r="HAA145" s="41"/>
      <c r="HAB145" s="41"/>
      <c r="HAC145" s="41"/>
      <c r="HAD145" s="41"/>
      <c r="HAE145" s="41"/>
      <c r="HAF145" s="41"/>
      <c r="HAG145" s="41"/>
      <c r="HAH145" s="41"/>
      <c r="HAI145" s="41"/>
      <c r="HAJ145" s="41"/>
      <c r="HAK145" s="41"/>
      <c r="HAL145" s="41"/>
      <c r="HAM145" s="41"/>
      <c r="HAN145" s="41"/>
      <c r="HAO145" s="41"/>
      <c r="HAP145" s="41"/>
      <c r="HAQ145" s="41"/>
      <c r="HAR145" s="41"/>
      <c r="HAS145" s="41"/>
      <c r="HAT145" s="41"/>
      <c r="HAU145" s="41"/>
      <c r="HAV145" s="41"/>
      <c r="HAW145" s="41"/>
      <c r="HAX145" s="41"/>
      <c r="HAY145" s="41"/>
      <c r="HAZ145" s="41"/>
      <c r="HBA145" s="41"/>
      <c r="HBB145" s="41"/>
      <c r="HBC145" s="41"/>
      <c r="HBD145" s="41"/>
      <c r="HBE145" s="41"/>
      <c r="HBF145" s="41"/>
      <c r="HBG145" s="41"/>
      <c r="HBH145" s="41"/>
      <c r="HBI145" s="41"/>
      <c r="HBJ145" s="41"/>
      <c r="HBK145" s="41"/>
      <c r="HBL145" s="41"/>
      <c r="HBM145" s="41"/>
      <c r="HBN145" s="41"/>
      <c r="HBO145" s="41"/>
      <c r="HBP145" s="41"/>
      <c r="HBQ145" s="41"/>
      <c r="HBR145" s="41"/>
      <c r="HBS145" s="41"/>
      <c r="HBT145" s="41"/>
      <c r="HBU145" s="41"/>
      <c r="HBV145" s="41"/>
      <c r="HBW145" s="41"/>
      <c r="HBX145" s="41"/>
      <c r="HBY145" s="41"/>
      <c r="HBZ145" s="41"/>
      <c r="HCA145" s="41"/>
      <c r="HCB145" s="41"/>
      <c r="HCC145" s="41"/>
      <c r="HCD145" s="41"/>
      <c r="HCE145" s="41"/>
      <c r="HCF145" s="41"/>
      <c r="HCG145" s="41"/>
      <c r="HCH145" s="41"/>
      <c r="HCI145" s="41"/>
      <c r="HCJ145" s="41"/>
      <c r="HCK145" s="41"/>
      <c r="HCL145" s="41"/>
      <c r="HCM145" s="41"/>
      <c r="HCN145" s="41"/>
      <c r="HCO145" s="41"/>
      <c r="HCP145" s="41"/>
      <c r="HCQ145" s="41"/>
      <c r="HCR145" s="41"/>
      <c r="HCS145" s="41"/>
      <c r="HCT145" s="41"/>
      <c r="HCU145" s="41"/>
      <c r="HCV145" s="41"/>
      <c r="HCW145" s="41"/>
      <c r="HCX145" s="41"/>
      <c r="HCY145" s="41"/>
      <c r="HCZ145" s="41"/>
      <c r="HDA145" s="41"/>
      <c r="HDB145" s="41"/>
      <c r="HDC145" s="41"/>
      <c r="HDD145" s="41"/>
      <c r="HDE145" s="41"/>
      <c r="HDF145" s="41"/>
      <c r="HDG145" s="41"/>
      <c r="HDH145" s="41"/>
      <c r="HDI145" s="41"/>
      <c r="HDJ145" s="41"/>
      <c r="HDK145" s="41"/>
      <c r="HDL145" s="41"/>
      <c r="HDM145" s="41"/>
      <c r="HDN145" s="41"/>
      <c r="HDO145" s="41"/>
      <c r="HDP145" s="41"/>
      <c r="HDQ145" s="41"/>
      <c r="HDR145" s="41"/>
      <c r="HDS145" s="41"/>
      <c r="HDT145" s="41"/>
      <c r="HDU145" s="41"/>
      <c r="HDV145" s="41"/>
      <c r="HDW145" s="41"/>
      <c r="HDX145" s="41"/>
      <c r="HDY145" s="41"/>
      <c r="HDZ145" s="41"/>
      <c r="HEA145" s="41"/>
      <c r="HEB145" s="41"/>
      <c r="HEC145" s="41"/>
      <c r="HED145" s="41"/>
      <c r="HEE145" s="41"/>
      <c r="HEF145" s="41"/>
      <c r="HEG145" s="41"/>
      <c r="HEH145" s="41"/>
      <c r="HEI145" s="41"/>
      <c r="HEJ145" s="41"/>
      <c r="HEK145" s="41"/>
      <c r="HEL145" s="41"/>
      <c r="HEM145" s="41"/>
      <c r="HEN145" s="41"/>
      <c r="HEO145" s="41"/>
      <c r="HEP145" s="41"/>
      <c r="HEQ145" s="41"/>
      <c r="HER145" s="41"/>
      <c r="HES145" s="41"/>
      <c r="HET145" s="41"/>
      <c r="HEU145" s="41"/>
      <c r="HEV145" s="41"/>
      <c r="HEW145" s="41"/>
      <c r="HEX145" s="41"/>
      <c r="HEY145" s="41"/>
      <c r="HEZ145" s="41"/>
      <c r="HFA145" s="41"/>
      <c r="HFB145" s="41"/>
      <c r="HFC145" s="41"/>
      <c r="HFD145" s="41"/>
      <c r="HFE145" s="41"/>
      <c r="HFF145" s="41"/>
      <c r="HFG145" s="41"/>
      <c r="HFH145" s="41"/>
      <c r="HFI145" s="41"/>
      <c r="HFJ145" s="41"/>
      <c r="HFK145" s="41"/>
      <c r="HFL145" s="41"/>
      <c r="HFM145" s="41"/>
      <c r="HFN145" s="41"/>
      <c r="HFO145" s="41"/>
      <c r="HFP145" s="41"/>
      <c r="HFQ145" s="41"/>
      <c r="HFR145" s="41"/>
      <c r="HFS145" s="41"/>
      <c r="HFT145" s="41"/>
      <c r="HFU145" s="41"/>
      <c r="HFV145" s="41"/>
      <c r="HFW145" s="41"/>
      <c r="HFX145" s="41"/>
      <c r="HFY145" s="41"/>
      <c r="HFZ145" s="41"/>
      <c r="HGA145" s="41"/>
      <c r="HGB145" s="41"/>
      <c r="HGC145" s="41"/>
      <c r="HGD145" s="41"/>
      <c r="HGE145" s="41"/>
      <c r="HGF145" s="41"/>
      <c r="HGG145" s="41"/>
      <c r="HGH145" s="41"/>
      <c r="HGI145" s="41"/>
      <c r="HGJ145" s="41"/>
      <c r="HGK145" s="41"/>
      <c r="HGL145" s="41"/>
      <c r="HGM145" s="41"/>
      <c r="HGN145" s="41"/>
      <c r="HGO145" s="41"/>
      <c r="HGP145" s="41"/>
      <c r="HGQ145" s="41"/>
      <c r="HGR145" s="41"/>
      <c r="HGS145" s="41"/>
      <c r="HGT145" s="41"/>
      <c r="HGU145" s="41"/>
      <c r="HGV145" s="41"/>
      <c r="HGW145" s="41"/>
      <c r="HGX145" s="41"/>
      <c r="HGY145" s="41"/>
      <c r="HGZ145" s="41"/>
      <c r="HHA145" s="41"/>
      <c r="HHB145" s="41"/>
      <c r="HHC145" s="41"/>
      <c r="HHD145" s="41"/>
      <c r="HHE145" s="41"/>
      <c r="HHF145" s="41"/>
      <c r="HHG145" s="41"/>
      <c r="HHH145" s="41"/>
      <c r="HHI145" s="41"/>
      <c r="HHJ145" s="41"/>
      <c r="HHK145" s="41"/>
      <c r="HHL145" s="41"/>
      <c r="HHM145" s="41"/>
      <c r="HHN145" s="41"/>
      <c r="HHO145" s="41"/>
      <c r="HHP145" s="41"/>
      <c r="HHQ145" s="41"/>
      <c r="HHR145" s="41"/>
      <c r="HHS145" s="41"/>
      <c r="HHT145" s="41"/>
      <c r="HHU145" s="41"/>
      <c r="HHV145" s="41"/>
      <c r="HHW145" s="41"/>
      <c r="HHX145" s="41"/>
      <c r="HHY145" s="41"/>
      <c r="HHZ145" s="41"/>
      <c r="HIA145" s="41"/>
      <c r="HIB145" s="41"/>
      <c r="HIC145" s="41"/>
      <c r="HID145" s="41"/>
      <c r="HIE145" s="41"/>
      <c r="HIF145" s="41"/>
      <c r="HIG145" s="41"/>
      <c r="HIH145" s="41"/>
      <c r="HII145" s="41"/>
      <c r="HIJ145" s="41"/>
      <c r="HIK145" s="41"/>
      <c r="HIL145" s="41"/>
      <c r="HIM145" s="41"/>
      <c r="HIN145" s="41"/>
      <c r="HIO145" s="41"/>
      <c r="HIP145" s="41"/>
      <c r="HIQ145" s="41"/>
      <c r="HIR145" s="41"/>
      <c r="HIS145" s="41"/>
      <c r="HIT145" s="41"/>
      <c r="HIU145" s="41"/>
      <c r="HIV145" s="41"/>
      <c r="HIW145" s="41"/>
      <c r="HIX145" s="41"/>
      <c r="HIY145" s="41"/>
      <c r="HIZ145" s="41"/>
      <c r="HJA145" s="41"/>
      <c r="HJB145" s="41"/>
      <c r="HJC145" s="41"/>
      <c r="HJD145" s="41"/>
      <c r="HJE145" s="41"/>
      <c r="HJF145" s="41"/>
      <c r="HJG145" s="41"/>
      <c r="HJH145" s="41"/>
      <c r="HJI145" s="41"/>
      <c r="HJJ145" s="41"/>
      <c r="HJK145" s="41"/>
      <c r="HJL145" s="41"/>
      <c r="HJM145" s="41"/>
      <c r="HJN145" s="41"/>
      <c r="HJO145" s="41"/>
      <c r="HJP145" s="41"/>
      <c r="HJQ145" s="41"/>
      <c r="HJR145" s="41"/>
      <c r="HJS145" s="41"/>
      <c r="HJT145" s="41"/>
      <c r="HJU145" s="41"/>
      <c r="HJV145" s="41"/>
      <c r="HJW145" s="41"/>
      <c r="HJX145" s="41"/>
      <c r="HJY145" s="41"/>
      <c r="HJZ145" s="41"/>
      <c r="HKA145" s="41"/>
      <c r="HKB145" s="41"/>
      <c r="HKC145" s="41"/>
      <c r="HKD145" s="41"/>
      <c r="HKE145" s="41"/>
      <c r="HKF145" s="41"/>
      <c r="HKG145" s="41"/>
      <c r="HKH145" s="41"/>
      <c r="HKI145" s="41"/>
      <c r="HKJ145" s="41"/>
      <c r="HKK145" s="41"/>
      <c r="HKL145" s="41"/>
      <c r="HKM145" s="41"/>
      <c r="HKN145" s="41"/>
      <c r="HKO145" s="41"/>
      <c r="HKP145" s="41"/>
      <c r="HKQ145" s="41"/>
      <c r="HKR145" s="41"/>
      <c r="HKS145" s="41"/>
      <c r="HKT145" s="41"/>
      <c r="HKU145" s="41"/>
      <c r="HKV145" s="41"/>
      <c r="HKW145" s="41"/>
      <c r="HKX145" s="41"/>
      <c r="HKY145" s="41"/>
      <c r="HKZ145" s="41"/>
      <c r="HLA145" s="41"/>
      <c r="HLB145" s="41"/>
      <c r="HLC145" s="41"/>
      <c r="HLD145" s="41"/>
      <c r="HLE145" s="41"/>
      <c r="HLF145" s="41"/>
      <c r="HLG145" s="41"/>
      <c r="HLH145" s="41"/>
      <c r="HLI145" s="41"/>
      <c r="HLJ145" s="41"/>
      <c r="HLK145" s="41"/>
      <c r="HLL145" s="41"/>
      <c r="HLM145" s="41"/>
      <c r="HLN145" s="41"/>
      <c r="HLO145" s="41"/>
      <c r="HLP145" s="41"/>
      <c r="HLQ145" s="41"/>
      <c r="HLR145" s="41"/>
      <c r="HLS145" s="41"/>
      <c r="HLT145" s="41"/>
      <c r="HLU145" s="41"/>
      <c r="HLV145" s="41"/>
      <c r="HLW145" s="41"/>
      <c r="HLX145" s="41"/>
      <c r="HLY145" s="41"/>
      <c r="HLZ145" s="41"/>
      <c r="HMA145" s="41"/>
      <c r="HMB145" s="41"/>
      <c r="HMC145" s="41"/>
      <c r="HMD145" s="41"/>
      <c r="HME145" s="41"/>
      <c r="HMF145" s="41"/>
      <c r="HMG145" s="41"/>
      <c r="HMH145" s="41"/>
      <c r="HMI145" s="41"/>
      <c r="HMJ145" s="41"/>
      <c r="HMK145" s="41"/>
      <c r="HML145" s="41"/>
      <c r="HMM145" s="41"/>
      <c r="HMN145" s="41"/>
      <c r="HMO145" s="41"/>
      <c r="HMP145" s="41"/>
      <c r="HMQ145" s="41"/>
      <c r="HMR145" s="41"/>
      <c r="HMS145" s="41"/>
      <c r="HMT145" s="41"/>
      <c r="HMU145" s="41"/>
      <c r="HMV145" s="41"/>
      <c r="HMW145" s="41"/>
      <c r="HMX145" s="41"/>
      <c r="HMY145" s="41"/>
      <c r="HMZ145" s="41"/>
      <c r="HNA145" s="41"/>
      <c r="HNB145" s="41"/>
      <c r="HNC145" s="41"/>
      <c r="HND145" s="41"/>
      <c r="HNE145" s="41"/>
      <c r="HNF145" s="41"/>
      <c r="HNG145" s="41"/>
      <c r="HNH145" s="41"/>
      <c r="HNI145" s="41"/>
      <c r="HNJ145" s="41"/>
      <c r="HNK145" s="41"/>
      <c r="HNL145" s="41"/>
      <c r="HNM145" s="41"/>
      <c r="HNN145" s="41"/>
      <c r="HNO145" s="41"/>
      <c r="HNP145" s="41"/>
      <c r="HNQ145" s="41"/>
      <c r="HNR145" s="41"/>
      <c r="HNS145" s="41"/>
      <c r="HNT145" s="41"/>
      <c r="HNU145" s="41"/>
      <c r="HNV145" s="41"/>
      <c r="HNW145" s="41"/>
      <c r="HNX145" s="41"/>
      <c r="HNY145" s="41"/>
      <c r="HNZ145" s="41"/>
      <c r="HOA145" s="41"/>
      <c r="HOB145" s="41"/>
      <c r="HOC145" s="41"/>
      <c r="HOD145" s="41"/>
      <c r="HOE145" s="41"/>
      <c r="HOF145" s="41"/>
      <c r="HOG145" s="41"/>
      <c r="HOH145" s="41"/>
      <c r="HOI145" s="41"/>
      <c r="HOJ145" s="41"/>
      <c r="HOK145" s="41"/>
      <c r="HOL145" s="41"/>
      <c r="HOM145" s="41"/>
      <c r="HON145" s="41"/>
      <c r="HOO145" s="41"/>
      <c r="HOP145" s="41"/>
      <c r="HOQ145" s="41"/>
      <c r="HOR145" s="41"/>
      <c r="HOS145" s="41"/>
      <c r="HOT145" s="41"/>
      <c r="HOU145" s="41"/>
      <c r="HOV145" s="41"/>
      <c r="HOW145" s="41"/>
      <c r="HOX145" s="41"/>
      <c r="HOY145" s="41"/>
      <c r="HOZ145" s="41"/>
      <c r="HPA145" s="41"/>
      <c r="HPB145" s="41"/>
      <c r="HPC145" s="41"/>
      <c r="HPD145" s="41"/>
      <c r="HPE145" s="41"/>
      <c r="HPF145" s="41"/>
      <c r="HPG145" s="41"/>
      <c r="HPH145" s="41"/>
      <c r="HPI145" s="41"/>
      <c r="HPJ145" s="41"/>
      <c r="HPK145" s="41"/>
      <c r="HPL145" s="41"/>
      <c r="HPM145" s="41"/>
      <c r="HPN145" s="41"/>
      <c r="HPO145" s="41"/>
      <c r="HPP145" s="41"/>
      <c r="HPQ145" s="41"/>
      <c r="HPR145" s="41"/>
      <c r="HPS145" s="41"/>
      <c r="HPT145" s="41"/>
      <c r="HPU145" s="41"/>
      <c r="HPV145" s="41"/>
      <c r="HPW145" s="41"/>
      <c r="HPX145" s="41"/>
      <c r="HPY145" s="41"/>
      <c r="HPZ145" s="41"/>
      <c r="HQA145" s="41"/>
      <c r="HQB145" s="41"/>
      <c r="HQC145" s="41"/>
      <c r="HQD145" s="41"/>
      <c r="HQE145" s="41"/>
      <c r="HQF145" s="41"/>
      <c r="HQG145" s="41"/>
      <c r="HQH145" s="41"/>
      <c r="HQI145" s="41"/>
      <c r="HQJ145" s="41"/>
      <c r="HQK145" s="41"/>
      <c r="HQL145" s="41"/>
      <c r="HQM145" s="41"/>
      <c r="HQN145" s="41"/>
      <c r="HQO145" s="41"/>
      <c r="HQP145" s="41"/>
      <c r="HQQ145" s="41"/>
      <c r="HQR145" s="41"/>
      <c r="HQS145" s="41"/>
      <c r="HQT145" s="41"/>
      <c r="HQU145" s="41"/>
      <c r="HQV145" s="41"/>
      <c r="HQW145" s="41"/>
      <c r="HQX145" s="41"/>
      <c r="HQY145" s="41"/>
      <c r="HQZ145" s="41"/>
      <c r="HRA145" s="41"/>
      <c r="HRB145" s="41"/>
      <c r="HRC145" s="41"/>
      <c r="HRD145" s="41"/>
      <c r="HRE145" s="41"/>
      <c r="HRF145" s="41"/>
      <c r="HRG145" s="41"/>
      <c r="HRH145" s="41"/>
      <c r="HRI145" s="41"/>
      <c r="HRJ145" s="41"/>
      <c r="HRK145" s="41"/>
      <c r="HRL145" s="41"/>
      <c r="HRM145" s="41"/>
      <c r="HRN145" s="41"/>
      <c r="HRO145" s="41"/>
      <c r="HRP145" s="41"/>
      <c r="HRQ145" s="41"/>
      <c r="HRR145" s="41"/>
      <c r="HRS145" s="41"/>
      <c r="HRT145" s="41"/>
      <c r="HRU145" s="41"/>
      <c r="HRV145" s="41"/>
      <c r="HRW145" s="41"/>
      <c r="HRX145" s="41"/>
      <c r="HRY145" s="41"/>
      <c r="HRZ145" s="41"/>
      <c r="HSA145" s="41"/>
      <c r="HSB145" s="41"/>
      <c r="HSC145" s="41"/>
      <c r="HSD145" s="41"/>
      <c r="HSE145" s="41"/>
      <c r="HSF145" s="41"/>
      <c r="HSG145" s="41"/>
      <c r="HSH145" s="41"/>
      <c r="HSI145" s="41"/>
      <c r="HSJ145" s="41"/>
      <c r="HSK145" s="41"/>
      <c r="HSL145" s="41"/>
      <c r="HSM145" s="41"/>
      <c r="HSN145" s="41"/>
      <c r="HSO145" s="41"/>
      <c r="HSP145" s="41"/>
      <c r="HSQ145" s="41"/>
      <c r="HSR145" s="41"/>
      <c r="HSS145" s="41"/>
      <c r="HST145" s="41"/>
      <c r="HSU145" s="41"/>
      <c r="HSV145" s="41"/>
      <c r="HSW145" s="41"/>
      <c r="HSX145" s="41"/>
      <c r="HSY145" s="41"/>
      <c r="HSZ145" s="41"/>
      <c r="HTA145" s="41"/>
      <c r="HTB145" s="41"/>
      <c r="HTC145" s="41"/>
      <c r="HTD145" s="41"/>
      <c r="HTE145" s="41"/>
      <c r="HTF145" s="41"/>
      <c r="HTG145" s="41"/>
      <c r="HTH145" s="41"/>
      <c r="HTI145" s="41"/>
      <c r="HTJ145" s="41"/>
      <c r="HTK145" s="41"/>
      <c r="HTL145" s="41"/>
      <c r="HTM145" s="41"/>
      <c r="HTN145" s="41"/>
      <c r="HTO145" s="41"/>
      <c r="HTP145" s="41"/>
      <c r="HTQ145" s="41"/>
      <c r="HTR145" s="41"/>
      <c r="HTS145" s="41"/>
      <c r="HTT145" s="41"/>
      <c r="HTU145" s="41"/>
      <c r="HTV145" s="41"/>
      <c r="HTW145" s="41"/>
      <c r="HTX145" s="41"/>
      <c r="HTY145" s="41"/>
      <c r="HTZ145" s="41"/>
      <c r="HUA145" s="41"/>
      <c r="HUB145" s="41"/>
      <c r="HUC145" s="41"/>
      <c r="HUD145" s="41"/>
      <c r="HUE145" s="41"/>
      <c r="HUF145" s="41"/>
      <c r="HUG145" s="41"/>
      <c r="HUH145" s="41"/>
      <c r="HUI145" s="41"/>
      <c r="HUJ145" s="41"/>
      <c r="HUK145" s="41"/>
      <c r="HUL145" s="41"/>
      <c r="HUM145" s="41"/>
      <c r="HUN145" s="41"/>
      <c r="HUO145" s="41"/>
      <c r="HUP145" s="41"/>
      <c r="HUQ145" s="41"/>
      <c r="HUR145" s="41"/>
      <c r="HUS145" s="41"/>
      <c r="HUT145" s="41"/>
      <c r="HUU145" s="41"/>
      <c r="HUV145" s="41"/>
      <c r="HUW145" s="41"/>
      <c r="HUX145" s="41"/>
      <c r="HUY145" s="41"/>
      <c r="HUZ145" s="41"/>
      <c r="HVA145" s="41"/>
      <c r="HVB145" s="41"/>
      <c r="HVC145" s="41"/>
      <c r="HVD145" s="41"/>
      <c r="HVE145" s="41"/>
      <c r="HVF145" s="41"/>
      <c r="HVG145" s="41"/>
      <c r="HVH145" s="41"/>
      <c r="HVI145" s="41"/>
      <c r="HVJ145" s="41"/>
      <c r="HVK145" s="41"/>
      <c r="HVL145" s="41"/>
      <c r="HVM145" s="41"/>
      <c r="HVN145" s="41"/>
      <c r="HVO145" s="41"/>
      <c r="HVP145" s="41"/>
      <c r="HVQ145" s="41"/>
      <c r="HVR145" s="41"/>
      <c r="HVS145" s="41"/>
      <c r="HVT145" s="41"/>
      <c r="HVU145" s="41"/>
      <c r="HVV145" s="41"/>
      <c r="HVW145" s="41"/>
      <c r="HVX145" s="41"/>
      <c r="HVY145" s="41"/>
      <c r="HVZ145" s="41"/>
      <c r="HWA145" s="41"/>
      <c r="HWB145" s="41"/>
      <c r="HWC145" s="41"/>
      <c r="HWD145" s="41"/>
      <c r="HWE145" s="41"/>
      <c r="HWF145" s="41"/>
      <c r="HWG145" s="41"/>
      <c r="HWH145" s="41"/>
      <c r="HWI145" s="41"/>
      <c r="HWJ145" s="41"/>
      <c r="HWK145" s="41"/>
      <c r="HWL145" s="41"/>
      <c r="HWM145" s="41"/>
      <c r="HWN145" s="41"/>
      <c r="HWO145" s="41"/>
      <c r="HWP145" s="41"/>
      <c r="HWQ145" s="41"/>
      <c r="HWR145" s="41"/>
      <c r="HWS145" s="41"/>
      <c r="HWT145" s="41"/>
      <c r="HWU145" s="41"/>
      <c r="HWV145" s="41"/>
      <c r="HWW145" s="41"/>
      <c r="HWX145" s="41"/>
      <c r="HWY145" s="41"/>
      <c r="HWZ145" s="41"/>
      <c r="HXA145" s="41"/>
      <c r="HXB145" s="41"/>
      <c r="HXC145" s="41"/>
      <c r="HXD145" s="41"/>
      <c r="HXE145" s="41"/>
      <c r="HXF145" s="41"/>
      <c r="HXG145" s="41"/>
      <c r="HXH145" s="41"/>
      <c r="HXI145" s="41"/>
      <c r="HXJ145" s="41"/>
      <c r="HXK145" s="41"/>
      <c r="HXL145" s="41"/>
      <c r="HXM145" s="41"/>
      <c r="HXN145" s="41"/>
      <c r="HXO145" s="41"/>
      <c r="HXP145" s="41"/>
      <c r="HXQ145" s="41"/>
      <c r="HXR145" s="41"/>
      <c r="HXS145" s="41"/>
      <c r="HXT145" s="41"/>
      <c r="HXU145" s="41"/>
      <c r="HXV145" s="41"/>
      <c r="HXW145" s="41"/>
      <c r="HXX145" s="41"/>
      <c r="HXY145" s="41"/>
      <c r="HXZ145" s="41"/>
      <c r="HYA145" s="41"/>
      <c r="HYB145" s="41"/>
      <c r="HYC145" s="41"/>
      <c r="HYD145" s="41"/>
      <c r="HYE145" s="41"/>
      <c r="HYF145" s="41"/>
      <c r="HYG145" s="41"/>
      <c r="HYH145" s="41"/>
      <c r="HYI145" s="41"/>
      <c r="HYJ145" s="41"/>
      <c r="HYK145" s="41"/>
      <c r="HYL145" s="41"/>
      <c r="HYM145" s="41"/>
      <c r="HYN145" s="41"/>
      <c r="HYO145" s="41"/>
      <c r="HYP145" s="41"/>
      <c r="HYQ145" s="41"/>
      <c r="HYR145" s="41"/>
      <c r="HYS145" s="41"/>
      <c r="HYT145" s="41"/>
      <c r="HYU145" s="41"/>
      <c r="HYV145" s="41"/>
      <c r="HYW145" s="41"/>
      <c r="HYX145" s="41"/>
      <c r="HYY145" s="41"/>
      <c r="HYZ145" s="41"/>
      <c r="HZA145" s="41"/>
      <c r="HZB145" s="41"/>
      <c r="HZC145" s="41"/>
      <c r="HZD145" s="41"/>
      <c r="HZE145" s="41"/>
      <c r="HZF145" s="41"/>
      <c r="HZG145" s="41"/>
      <c r="HZH145" s="41"/>
      <c r="HZI145" s="41"/>
      <c r="HZJ145" s="41"/>
      <c r="HZK145" s="41"/>
      <c r="HZL145" s="41"/>
      <c r="HZM145" s="41"/>
      <c r="HZN145" s="41"/>
      <c r="HZO145" s="41"/>
      <c r="HZP145" s="41"/>
      <c r="HZQ145" s="41"/>
      <c r="HZR145" s="41"/>
      <c r="HZS145" s="41"/>
      <c r="HZT145" s="41"/>
      <c r="HZU145" s="41"/>
      <c r="HZV145" s="41"/>
      <c r="HZW145" s="41"/>
      <c r="HZX145" s="41"/>
      <c r="HZY145" s="41"/>
      <c r="HZZ145" s="41"/>
      <c r="IAA145" s="41"/>
      <c r="IAB145" s="41"/>
      <c r="IAC145" s="41"/>
      <c r="IAD145" s="41"/>
      <c r="IAE145" s="41"/>
      <c r="IAF145" s="41"/>
      <c r="IAG145" s="41"/>
      <c r="IAH145" s="41"/>
      <c r="IAI145" s="41"/>
      <c r="IAJ145" s="41"/>
      <c r="IAK145" s="41"/>
      <c r="IAL145" s="41"/>
      <c r="IAM145" s="41"/>
      <c r="IAN145" s="41"/>
      <c r="IAO145" s="41"/>
      <c r="IAP145" s="41"/>
      <c r="IAQ145" s="41"/>
      <c r="IAR145" s="41"/>
      <c r="IAS145" s="41"/>
      <c r="IAT145" s="41"/>
      <c r="IAU145" s="41"/>
      <c r="IAV145" s="41"/>
      <c r="IAW145" s="41"/>
      <c r="IAX145" s="41"/>
      <c r="IAY145" s="41"/>
      <c r="IAZ145" s="41"/>
      <c r="IBA145" s="41"/>
      <c r="IBB145" s="41"/>
      <c r="IBC145" s="41"/>
      <c r="IBD145" s="41"/>
      <c r="IBE145" s="41"/>
      <c r="IBF145" s="41"/>
      <c r="IBG145" s="41"/>
      <c r="IBH145" s="41"/>
      <c r="IBI145" s="41"/>
      <c r="IBJ145" s="41"/>
      <c r="IBK145" s="41"/>
      <c r="IBL145" s="41"/>
      <c r="IBM145" s="41"/>
      <c r="IBN145" s="41"/>
      <c r="IBO145" s="41"/>
      <c r="IBP145" s="41"/>
      <c r="IBQ145" s="41"/>
      <c r="IBR145" s="41"/>
      <c r="IBS145" s="41"/>
      <c r="IBT145" s="41"/>
      <c r="IBU145" s="41"/>
      <c r="IBV145" s="41"/>
      <c r="IBW145" s="41"/>
      <c r="IBX145" s="41"/>
      <c r="IBY145" s="41"/>
      <c r="IBZ145" s="41"/>
      <c r="ICA145" s="41"/>
      <c r="ICB145" s="41"/>
      <c r="ICC145" s="41"/>
      <c r="ICD145" s="41"/>
      <c r="ICE145" s="41"/>
      <c r="ICF145" s="41"/>
      <c r="ICG145" s="41"/>
      <c r="ICH145" s="41"/>
      <c r="ICI145" s="41"/>
      <c r="ICJ145" s="41"/>
      <c r="ICK145" s="41"/>
      <c r="ICL145" s="41"/>
      <c r="ICM145" s="41"/>
      <c r="ICN145" s="41"/>
      <c r="ICO145" s="41"/>
      <c r="ICP145" s="41"/>
      <c r="ICQ145" s="41"/>
      <c r="ICR145" s="41"/>
      <c r="ICS145" s="41"/>
      <c r="ICT145" s="41"/>
      <c r="ICU145" s="41"/>
      <c r="ICV145" s="41"/>
      <c r="ICW145" s="41"/>
      <c r="ICX145" s="41"/>
      <c r="ICY145" s="41"/>
      <c r="ICZ145" s="41"/>
      <c r="IDA145" s="41"/>
      <c r="IDB145" s="41"/>
      <c r="IDC145" s="41"/>
      <c r="IDD145" s="41"/>
      <c r="IDE145" s="41"/>
      <c r="IDF145" s="41"/>
      <c r="IDG145" s="41"/>
      <c r="IDH145" s="41"/>
      <c r="IDI145" s="41"/>
      <c r="IDJ145" s="41"/>
      <c r="IDK145" s="41"/>
      <c r="IDL145" s="41"/>
      <c r="IDM145" s="41"/>
      <c r="IDN145" s="41"/>
      <c r="IDO145" s="41"/>
      <c r="IDP145" s="41"/>
      <c r="IDQ145" s="41"/>
      <c r="IDR145" s="41"/>
      <c r="IDS145" s="41"/>
      <c r="IDT145" s="41"/>
      <c r="IDU145" s="41"/>
      <c r="IDV145" s="41"/>
      <c r="IDW145" s="41"/>
      <c r="IDX145" s="41"/>
      <c r="IDY145" s="41"/>
      <c r="IDZ145" s="41"/>
      <c r="IEA145" s="41"/>
      <c r="IEB145" s="41"/>
      <c r="IEC145" s="41"/>
      <c r="IED145" s="41"/>
      <c r="IEE145" s="41"/>
      <c r="IEF145" s="41"/>
      <c r="IEG145" s="41"/>
      <c r="IEH145" s="41"/>
      <c r="IEI145" s="41"/>
      <c r="IEJ145" s="41"/>
      <c r="IEK145" s="41"/>
      <c r="IEL145" s="41"/>
      <c r="IEM145" s="41"/>
      <c r="IEN145" s="41"/>
      <c r="IEO145" s="41"/>
      <c r="IEP145" s="41"/>
      <c r="IEQ145" s="41"/>
      <c r="IER145" s="41"/>
      <c r="IES145" s="41"/>
      <c r="IET145" s="41"/>
      <c r="IEU145" s="41"/>
      <c r="IEV145" s="41"/>
      <c r="IEW145" s="41"/>
      <c r="IEX145" s="41"/>
      <c r="IEY145" s="41"/>
      <c r="IEZ145" s="41"/>
      <c r="IFA145" s="41"/>
      <c r="IFB145" s="41"/>
      <c r="IFC145" s="41"/>
      <c r="IFD145" s="41"/>
      <c r="IFE145" s="41"/>
      <c r="IFF145" s="41"/>
      <c r="IFG145" s="41"/>
      <c r="IFH145" s="41"/>
      <c r="IFI145" s="41"/>
      <c r="IFJ145" s="41"/>
      <c r="IFK145" s="41"/>
      <c r="IFL145" s="41"/>
      <c r="IFM145" s="41"/>
      <c r="IFN145" s="41"/>
      <c r="IFO145" s="41"/>
      <c r="IFP145" s="41"/>
      <c r="IFQ145" s="41"/>
      <c r="IFR145" s="41"/>
      <c r="IFS145" s="41"/>
      <c r="IFT145" s="41"/>
      <c r="IFU145" s="41"/>
      <c r="IFV145" s="41"/>
      <c r="IFW145" s="41"/>
      <c r="IFX145" s="41"/>
      <c r="IFY145" s="41"/>
      <c r="IFZ145" s="41"/>
      <c r="IGA145" s="41"/>
      <c r="IGB145" s="41"/>
      <c r="IGC145" s="41"/>
      <c r="IGD145" s="41"/>
      <c r="IGE145" s="41"/>
      <c r="IGF145" s="41"/>
      <c r="IGG145" s="41"/>
      <c r="IGH145" s="41"/>
      <c r="IGI145" s="41"/>
      <c r="IGJ145" s="41"/>
      <c r="IGK145" s="41"/>
      <c r="IGL145" s="41"/>
      <c r="IGM145" s="41"/>
      <c r="IGN145" s="41"/>
      <c r="IGO145" s="41"/>
      <c r="IGP145" s="41"/>
      <c r="IGQ145" s="41"/>
      <c r="IGR145" s="41"/>
      <c r="IGS145" s="41"/>
      <c r="IGT145" s="41"/>
      <c r="IGU145" s="41"/>
      <c r="IGV145" s="41"/>
      <c r="IGW145" s="41"/>
      <c r="IGX145" s="41"/>
      <c r="IGY145" s="41"/>
      <c r="IGZ145" s="41"/>
      <c r="IHA145" s="41"/>
      <c r="IHB145" s="41"/>
      <c r="IHC145" s="41"/>
      <c r="IHD145" s="41"/>
      <c r="IHE145" s="41"/>
      <c r="IHF145" s="41"/>
      <c r="IHG145" s="41"/>
      <c r="IHH145" s="41"/>
      <c r="IHI145" s="41"/>
      <c r="IHJ145" s="41"/>
      <c r="IHK145" s="41"/>
      <c r="IHL145" s="41"/>
      <c r="IHM145" s="41"/>
      <c r="IHN145" s="41"/>
      <c r="IHO145" s="41"/>
      <c r="IHP145" s="41"/>
      <c r="IHQ145" s="41"/>
      <c r="IHR145" s="41"/>
      <c r="IHS145" s="41"/>
      <c r="IHT145" s="41"/>
      <c r="IHU145" s="41"/>
      <c r="IHV145" s="41"/>
      <c r="IHW145" s="41"/>
      <c r="IHX145" s="41"/>
      <c r="IHY145" s="41"/>
      <c r="IHZ145" s="41"/>
      <c r="IIA145" s="41"/>
      <c r="IIB145" s="41"/>
      <c r="IIC145" s="41"/>
      <c r="IID145" s="41"/>
      <c r="IIE145" s="41"/>
      <c r="IIF145" s="41"/>
      <c r="IIG145" s="41"/>
      <c r="IIH145" s="41"/>
      <c r="III145" s="41"/>
      <c r="IIJ145" s="41"/>
      <c r="IIK145" s="41"/>
      <c r="IIL145" s="41"/>
      <c r="IIM145" s="41"/>
      <c r="IIN145" s="41"/>
      <c r="IIO145" s="41"/>
      <c r="IIP145" s="41"/>
      <c r="IIQ145" s="41"/>
      <c r="IIR145" s="41"/>
      <c r="IIS145" s="41"/>
      <c r="IIT145" s="41"/>
      <c r="IIU145" s="41"/>
      <c r="IIV145" s="41"/>
      <c r="IIW145" s="41"/>
      <c r="IIX145" s="41"/>
      <c r="IIY145" s="41"/>
      <c r="IIZ145" s="41"/>
      <c r="IJA145" s="41"/>
      <c r="IJB145" s="41"/>
      <c r="IJC145" s="41"/>
      <c r="IJD145" s="41"/>
      <c r="IJE145" s="41"/>
      <c r="IJF145" s="41"/>
      <c r="IJG145" s="41"/>
      <c r="IJH145" s="41"/>
      <c r="IJI145" s="41"/>
      <c r="IJJ145" s="41"/>
      <c r="IJK145" s="41"/>
      <c r="IJL145" s="41"/>
      <c r="IJM145" s="41"/>
      <c r="IJN145" s="41"/>
      <c r="IJO145" s="41"/>
      <c r="IJP145" s="41"/>
      <c r="IJQ145" s="41"/>
      <c r="IJR145" s="41"/>
      <c r="IJS145" s="41"/>
      <c r="IJT145" s="41"/>
      <c r="IJU145" s="41"/>
      <c r="IJV145" s="41"/>
      <c r="IJW145" s="41"/>
      <c r="IJX145" s="41"/>
      <c r="IJY145" s="41"/>
      <c r="IJZ145" s="41"/>
      <c r="IKA145" s="41"/>
      <c r="IKB145" s="41"/>
      <c r="IKC145" s="41"/>
      <c r="IKD145" s="41"/>
      <c r="IKE145" s="41"/>
      <c r="IKF145" s="41"/>
      <c r="IKG145" s="41"/>
      <c r="IKH145" s="41"/>
      <c r="IKI145" s="41"/>
      <c r="IKJ145" s="41"/>
      <c r="IKK145" s="41"/>
      <c r="IKL145" s="41"/>
      <c r="IKM145" s="41"/>
      <c r="IKN145" s="41"/>
      <c r="IKO145" s="41"/>
      <c r="IKP145" s="41"/>
      <c r="IKQ145" s="41"/>
      <c r="IKR145" s="41"/>
      <c r="IKS145" s="41"/>
      <c r="IKT145" s="41"/>
      <c r="IKU145" s="41"/>
      <c r="IKV145" s="41"/>
      <c r="IKW145" s="41"/>
      <c r="IKX145" s="41"/>
      <c r="IKY145" s="41"/>
      <c r="IKZ145" s="41"/>
      <c r="ILA145" s="41"/>
      <c r="ILB145" s="41"/>
      <c r="ILC145" s="41"/>
      <c r="ILD145" s="41"/>
      <c r="ILE145" s="41"/>
      <c r="ILF145" s="41"/>
      <c r="ILG145" s="41"/>
      <c r="ILH145" s="41"/>
      <c r="ILI145" s="41"/>
      <c r="ILJ145" s="41"/>
      <c r="ILK145" s="41"/>
      <c r="ILL145" s="41"/>
      <c r="ILM145" s="41"/>
      <c r="ILN145" s="41"/>
      <c r="ILO145" s="41"/>
      <c r="ILP145" s="41"/>
      <c r="ILQ145" s="41"/>
      <c r="ILR145" s="41"/>
      <c r="ILS145" s="41"/>
      <c r="ILT145" s="41"/>
      <c r="ILU145" s="41"/>
      <c r="ILV145" s="41"/>
      <c r="ILW145" s="41"/>
      <c r="ILX145" s="41"/>
      <c r="ILY145" s="41"/>
      <c r="ILZ145" s="41"/>
      <c r="IMA145" s="41"/>
      <c r="IMB145" s="41"/>
      <c r="IMC145" s="41"/>
      <c r="IMD145" s="41"/>
      <c r="IME145" s="41"/>
      <c r="IMF145" s="41"/>
      <c r="IMG145" s="41"/>
      <c r="IMH145" s="41"/>
      <c r="IMI145" s="41"/>
      <c r="IMJ145" s="41"/>
      <c r="IMK145" s="41"/>
      <c r="IML145" s="41"/>
      <c r="IMM145" s="41"/>
      <c r="IMN145" s="41"/>
      <c r="IMO145" s="41"/>
      <c r="IMP145" s="41"/>
      <c r="IMQ145" s="41"/>
      <c r="IMR145" s="41"/>
      <c r="IMS145" s="41"/>
      <c r="IMT145" s="41"/>
      <c r="IMU145" s="41"/>
      <c r="IMV145" s="41"/>
      <c r="IMW145" s="41"/>
      <c r="IMX145" s="41"/>
      <c r="IMY145" s="41"/>
      <c r="IMZ145" s="41"/>
      <c r="INA145" s="41"/>
      <c r="INB145" s="41"/>
      <c r="INC145" s="41"/>
      <c r="IND145" s="41"/>
      <c r="INE145" s="41"/>
      <c r="INF145" s="41"/>
      <c r="ING145" s="41"/>
      <c r="INH145" s="41"/>
      <c r="INI145" s="41"/>
      <c r="INJ145" s="41"/>
      <c r="INK145" s="41"/>
      <c r="INL145" s="41"/>
      <c r="INM145" s="41"/>
      <c r="INN145" s="41"/>
      <c r="INO145" s="41"/>
      <c r="INP145" s="41"/>
      <c r="INQ145" s="41"/>
      <c r="INR145" s="41"/>
      <c r="INS145" s="41"/>
      <c r="INT145" s="41"/>
      <c r="INU145" s="41"/>
      <c r="INV145" s="41"/>
      <c r="INW145" s="41"/>
      <c r="INX145" s="41"/>
      <c r="INY145" s="41"/>
      <c r="INZ145" s="41"/>
      <c r="IOA145" s="41"/>
      <c r="IOB145" s="41"/>
      <c r="IOC145" s="41"/>
      <c r="IOD145" s="41"/>
      <c r="IOE145" s="41"/>
      <c r="IOF145" s="41"/>
      <c r="IOG145" s="41"/>
      <c r="IOH145" s="41"/>
      <c r="IOI145" s="41"/>
      <c r="IOJ145" s="41"/>
      <c r="IOK145" s="41"/>
      <c r="IOL145" s="41"/>
      <c r="IOM145" s="41"/>
      <c r="ION145" s="41"/>
      <c r="IOO145" s="41"/>
      <c r="IOP145" s="41"/>
      <c r="IOQ145" s="41"/>
      <c r="IOR145" s="41"/>
      <c r="IOS145" s="41"/>
      <c r="IOT145" s="41"/>
      <c r="IOU145" s="41"/>
      <c r="IOV145" s="41"/>
      <c r="IOW145" s="41"/>
      <c r="IOX145" s="41"/>
      <c r="IOY145" s="41"/>
      <c r="IOZ145" s="41"/>
      <c r="IPA145" s="41"/>
      <c r="IPB145" s="41"/>
      <c r="IPC145" s="41"/>
      <c r="IPD145" s="41"/>
      <c r="IPE145" s="41"/>
      <c r="IPF145" s="41"/>
      <c r="IPG145" s="41"/>
      <c r="IPH145" s="41"/>
      <c r="IPI145" s="41"/>
      <c r="IPJ145" s="41"/>
      <c r="IPK145" s="41"/>
      <c r="IPL145" s="41"/>
      <c r="IPM145" s="41"/>
      <c r="IPN145" s="41"/>
      <c r="IPO145" s="41"/>
      <c r="IPP145" s="41"/>
      <c r="IPQ145" s="41"/>
      <c r="IPR145" s="41"/>
      <c r="IPS145" s="41"/>
      <c r="IPT145" s="41"/>
      <c r="IPU145" s="41"/>
      <c r="IPV145" s="41"/>
      <c r="IPW145" s="41"/>
      <c r="IPX145" s="41"/>
      <c r="IPY145" s="41"/>
      <c r="IPZ145" s="41"/>
      <c r="IQA145" s="41"/>
      <c r="IQB145" s="41"/>
      <c r="IQC145" s="41"/>
      <c r="IQD145" s="41"/>
      <c r="IQE145" s="41"/>
      <c r="IQF145" s="41"/>
      <c r="IQG145" s="41"/>
      <c r="IQH145" s="41"/>
      <c r="IQI145" s="41"/>
      <c r="IQJ145" s="41"/>
      <c r="IQK145" s="41"/>
      <c r="IQL145" s="41"/>
      <c r="IQM145" s="41"/>
      <c r="IQN145" s="41"/>
      <c r="IQO145" s="41"/>
      <c r="IQP145" s="41"/>
      <c r="IQQ145" s="41"/>
      <c r="IQR145" s="41"/>
      <c r="IQS145" s="41"/>
      <c r="IQT145" s="41"/>
      <c r="IQU145" s="41"/>
      <c r="IQV145" s="41"/>
      <c r="IQW145" s="41"/>
      <c r="IQX145" s="41"/>
      <c r="IQY145" s="41"/>
      <c r="IQZ145" s="41"/>
      <c r="IRA145" s="41"/>
      <c r="IRB145" s="41"/>
      <c r="IRC145" s="41"/>
      <c r="IRD145" s="41"/>
      <c r="IRE145" s="41"/>
      <c r="IRF145" s="41"/>
      <c r="IRG145" s="41"/>
      <c r="IRH145" s="41"/>
      <c r="IRI145" s="41"/>
      <c r="IRJ145" s="41"/>
      <c r="IRK145" s="41"/>
      <c r="IRL145" s="41"/>
      <c r="IRM145" s="41"/>
      <c r="IRN145" s="41"/>
      <c r="IRO145" s="41"/>
      <c r="IRP145" s="41"/>
      <c r="IRQ145" s="41"/>
      <c r="IRR145" s="41"/>
      <c r="IRS145" s="41"/>
      <c r="IRT145" s="41"/>
      <c r="IRU145" s="41"/>
      <c r="IRV145" s="41"/>
      <c r="IRW145" s="41"/>
      <c r="IRX145" s="41"/>
      <c r="IRY145" s="41"/>
      <c r="IRZ145" s="41"/>
      <c r="ISA145" s="41"/>
      <c r="ISB145" s="41"/>
      <c r="ISC145" s="41"/>
      <c r="ISD145" s="41"/>
      <c r="ISE145" s="41"/>
      <c r="ISF145" s="41"/>
      <c r="ISG145" s="41"/>
      <c r="ISH145" s="41"/>
      <c r="ISI145" s="41"/>
      <c r="ISJ145" s="41"/>
      <c r="ISK145" s="41"/>
      <c r="ISL145" s="41"/>
      <c r="ISM145" s="41"/>
      <c r="ISN145" s="41"/>
      <c r="ISO145" s="41"/>
      <c r="ISP145" s="41"/>
      <c r="ISQ145" s="41"/>
      <c r="ISR145" s="41"/>
      <c r="ISS145" s="41"/>
      <c r="IST145" s="41"/>
      <c r="ISU145" s="41"/>
      <c r="ISV145" s="41"/>
      <c r="ISW145" s="41"/>
      <c r="ISX145" s="41"/>
      <c r="ISY145" s="41"/>
      <c r="ISZ145" s="41"/>
      <c r="ITA145" s="41"/>
      <c r="ITB145" s="41"/>
      <c r="ITC145" s="41"/>
      <c r="ITD145" s="41"/>
      <c r="ITE145" s="41"/>
      <c r="ITF145" s="41"/>
      <c r="ITG145" s="41"/>
      <c r="ITH145" s="41"/>
      <c r="ITI145" s="41"/>
      <c r="ITJ145" s="41"/>
      <c r="ITK145" s="41"/>
      <c r="ITL145" s="41"/>
      <c r="ITM145" s="41"/>
      <c r="ITN145" s="41"/>
      <c r="ITO145" s="41"/>
      <c r="ITP145" s="41"/>
      <c r="ITQ145" s="41"/>
      <c r="ITR145" s="41"/>
      <c r="ITS145" s="41"/>
      <c r="ITT145" s="41"/>
      <c r="ITU145" s="41"/>
      <c r="ITV145" s="41"/>
      <c r="ITW145" s="41"/>
      <c r="ITX145" s="41"/>
      <c r="ITY145" s="41"/>
      <c r="ITZ145" s="41"/>
      <c r="IUA145" s="41"/>
      <c r="IUB145" s="41"/>
      <c r="IUC145" s="41"/>
      <c r="IUD145" s="41"/>
      <c r="IUE145" s="41"/>
      <c r="IUF145" s="41"/>
      <c r="IUG145" s="41"/>
      <c r="IUH145" s="41"/>
      <c r="IUI145" s="41"/>
      <c r="IUJ145" s="41"/>
      <c r="IUK145" s="41"/>
      <c r="IUL145" s="41"/>
      <c r="IUM145" s="41"/>
      <c r="IUN145" s="41"/>
      <c r="IUO145" s="41"/>
      <c r="IUP145" s="41"/>
      <c r="IUQ145" s="41"/>
      <c r="IUR145" s="41"/>
      <c r="IUS145" s="41"/>
      <c r="IUT145" s="41"/>
      <c r="IUU145" s="41"/>
      <c r="IUV145" s="41"/>
      <c r="IUW145" s="41"/>
      <c r="IUX145" s="41"/>
      <c r="IUY145" s="41"/>
      <c r="IUZ145" s="41"/>
      <c r="IVA145" s="41"/>
      <c r="IVB145" s="41"/>
      <c r="IVC145" s="41"/>
      <c r="IVD145" s="41"/>
      <c r="IVE145" s="41"/>
      <c r="IVF145" s="41"/>
      <c r="IVG145" s="41"/>
      <c r="IVH145" s="41"/>
      <c r="IVI145" s="41"/>
      <c r="IVJ145" s="41"/>
      <c r="IVK145" s="41"/>
      <c r="IVL145" s="41"/>
      <c r="IVM145" s="41"/>
      <c r="IVN145" s="41"/>
      <c r="IVO145" s="41"/>
      <c r="IVP145" s="41"/>
      <c r="IVQ145" s="41"/>
      <c r="IVR145" s="41"/>
      <c r="IVS145" s="41"/>
      <c r="IVT145" s="41"/>
      <c r="IVU145" s="41"/>
      <c r="IVV145" s="41"/>
      <c r="IVW145" s="41"/>
      <c r="IVX145" s="41"/>
      <c r="IVY145" s="41"/>
      <c r="IVZ145" s="41"/>
      <c r="IWA145" s="41"/>
      <c r="IWB145" s="41"/>
      <c r="IWC145" s="41"/>
      <c r="IWD145" s="41"/>
      <c r="IWE145" s="41"/>
      <c r="IWF145" s="41"/>
      <c r="IWG145" s="41"/>
      <c r="IWH145" s="41"/>
      <c r="IWI145" s="41"/>
      <c r="IWJ145" s="41"/>
      <c r="IWK145" s="41"/>
      <c r="IWL145" s="41"/>
      <c r="IWM145" s="41"/>
      <c r="IWN145" s="41"/>
      <c r="IWO145" s="41"/>
      <c r="IWP145" s="41"/>
      <c r="IWQ145" s="41"/>
      <c r="IWR145" s="41"/>
      <c r="IWS145" s="41"/>
      <c r="IWT145" s="41"/>
      <c r="IWU145" s="41"/>
      <c r="IWV145" s="41"/>
      <c r="IWW145" s="41"/>
      <c r="IWX145" s="41"/>
      <c r="IWY145" s="41"/>
      <c r="IWZ145" s="41"/>
      <c r="IXA145" s="41"/>
      <c r="IXB145" s="41"/>
      <c r="IXC145" s="41"/>
      <c r="IXD145" s="41"/>
      <c r="IXE145" s="41"/>
      <c r="IXF145" s="41"/>
      <c r="IXG145" s="41"/>
      <c r="IXH145" s="41"/>
      <c r="IXI145" s="41"/>
      <c r="IXJ145" s="41"/>
      <c r="IXK145" s="41"/>
      <c r="IXL145" s="41"/>
      <c r="IXM145" s="41"/>
      <c r="IXN145" s="41"/>
      <c r="IXO145" s="41"/>
      <c r="IXP145" s="41"/>
      <c r="IXQ145" s="41"/>
      <c r="IXR145" s="41"/>
      <c r="IXS145" s="41"/>
      <c r="IXT145" s="41"/>
      <c r="IXU145" s="41"/>
      <c r="IXV145" s="41"/>
      <c r="IXW145" s="41"/>
      <c r="IXX145" s="41"/>
      <c r="IXY145" s="41"/>
      <c r="IXZ145" s="41"/>
      <c r="IYA145" s="41"/>
      <c r="IYB145" s="41"/>
      <c r="IYC145" s="41"/>
      <c r="IYD145" s="41"/>
      <c r="IYE145" s="41"/>
      <c r="IYF145" s="41"/>
      <c r="IYG145" s="41"/>
      <c r="IYH145" s="41"/>
      <c r="IYI145" s="41"/>
      <c r="IYJ145" s="41"/>
      <c r="IYK145" s="41"/>
      <c r="IYL145" s="41"/>
      <c r="IYM145" s="41"/>
      <c r="IYN145" s="41"/>
      <c r="IYO145" s="41"/>
      <c r="IYP145" s="41"/>
      <c r="IYQ145" s="41"/>
      <c r="IYR145" s="41"/>
      <c r="IYS145" s="41"/>
      <c r="IYT145" s="41"/>
      <c r="IYU145" s="41"/>
      <c r="IYV145" s="41"/>
      <c r="IYW145" s="41"/>
      <c r="IYX145" s="41"/>
      <c r="IYY145" s="41"/>
      <c r="IYZ145" s="41"/>
      <c r="IZA145" s="41"/>
      <c r="IZB145" s="41"/>
      <c r="IZC145" s="41"/>
      <c r="IZD145" s="41"/>
      <c r="IZE145" s="41"/>
      <c r="IZF145" s="41"/>
      <c r="IZG145" s="41"/>
      <c r="IZH145" s="41"/>
      <c r="IZI145" s="41"/>
      <c r="IZJ145" s="41"/>
      <c r="IZK145" s="41"/>
      <c r="IZL145" s="41"/>
      <c r="IZM145" s="41"/>
      <c r="IZN145" s="41"/>
      <c r="IZO145" s="41"/>
      <c r="IZP145" s="41"/>
      <c r="IZQ145" s="41"/>
      <c r="IZR145" s="41"/>
      <c r="IZS145" s="41"/>
      <c r="IZT145" s="41"/>
      <c r="IZU145" s="41"/>
      <c r="IZV145" s="41"/>
      <c r="IZW145" s="41"/>
      <c r="IZX145" s="41"/>
      <c r="IZY145" s="41"/>
      <c r="IZZ145" s="41"/>
      <c r="JAA145" s="41"/>
      <c r="JAB145" s="41"/>
      <c r="JAC145" s="41"/>
      <c r="JAD145" s="41"/>
      <c r="JAE145" s="41"/>
      <c r="JAF145" s="41"/>
      <c r="JAG145" s="41"/>
      <c r="JAH145" s="41"/>
      <c r="JAI145" s="41"/>
      <c r="JAJ145" s="41"/>
      <c r="JAK145" s="41"/>
      <c r="JAL145" s="41"/>
      <c r="JAM145" s="41"/>
      <c r="JAN145" s="41"/>
      <c r="JAO145" s="41"/>
      <c r="JAP145" s="41"/>
      <c r="JAQ145" s="41"/>
      <c r="JAR145" s="41"/>
      <c r="JAS145" s="41"/>
      <c r="JAT145" s="41"/>
      <c r="JAU145" s="41"/>
      <c r="JAV145" s="41"/>
      <c r="JAW145" s="41"/>
      <c r="JAX145" s="41"/>
      <c r="JAY145" s="41"/>
      <c r="JAZ145" s="41"/>
      <c r="JBA145" s="41"/>
      <c r="JBB145" s="41"/>
      <c r="JBC145" s="41"/>
      <c r="JBD145" s="41"/>
      <c r="JBE145" s="41"/>
      <c r="JBF145" s="41"/>
      <c r="JBG145" s="41"/>
      <c r="JBH145" s="41"/>
      <c r="JBI145" s="41"/>
      <c r="JBJ145" s="41"/>
      <c r="JBK145" s="41"/>
      <c r="JBL145" s="41"/>
      <c r="JBM145" s="41"/>
      <c r="JBN145" s="41"/>
      <c r="JBO145" s="41"/>
      <c r="JBP145" s="41"/>
      <c r="JBQ145" s="41"/>
      <c r="JBR145" s="41"/>
      <c r="JBS145" s="41"/>
      <c r="JBT145" s="41"/>
      <c r="JBU145" s="41"/>
      <c r="JBV145" s="41"/>
      <c r="JBW145" s="41"/>
      <c r="JBX145" s="41"/>
      <c r="JBY145" s="41"/>
      <c r="JBZ145" s="41"/>
      <c r="JCA145" s="41"/>
      <c r="JCB145" s="41"/>
      <c r="JCC145" s="41"/>
      <c r="JCD145" s="41"/>
      <c r="JCE145" s="41"/>
      <c r="JCF145" s="41"/>
      <c r="JCG145" s="41"/>
      <c r="JCH145" s="41"/>
      <c r="JCI145" s="41"/>
      <c r="JCJ145" s="41"/>
      <c r="JCK145" s="41"/>
      <c r="JCL145" s="41"/>
      <c r="JCM145" s="41"/>
      <c r="JCN145" s="41"/>
      <c r="JCO145" s="41"/>
      <c r="JCP145" s="41"/>
      <c r="JCQ145" s="41"/>
      <c r="JCR145" s="41"/>
      <c r="JCS145" s="41"/>
      <c r="JCT145" s="41"/>
      <c r="JCU145" s="41"/>
      <c r="JCV145" s="41"/>
      <c r="JCW145" s="41"/>
      <c r="JCX145" s="41"/>
      <c r="JCY145" s="41"/>
      <c r="JCZ145" s="41"/>
      <c r="JDA145" s="41"/>
      <c r="JDB145" s="41"/>
      <c r="JDC145" s="41"/>
      <c r="JDD145" s="41"/>
      <c r="JDE145" s="41"/>
      <c r="JDF145" s="41"/>
      <c r="JDG145" s="41"/>
      <c r="JDH145" s="41"/>
      <c r="JDI145" s="41"/>
      <c r="JDJ145" s="41"/>
      <c r="JDK145" s="41"/>
      <c r="JDL145" s="41"/>
      <c r="JDM145" s="41"/>
      <c r="JDN145" s="41"/>
      <c r="JDO145" s="41"/>
      <c r="JDP145" s="41"/>
      <c r="JDQ145" s="41"/>
      <c r="JDR145" s="41"/>
      <c r="JDS145" s="41"/>
      <c r="JDT145" s="41"/>
      <c r="JDU145" s="41"/>
      <c r="JDV145" s="41"/>
      <c r="JDW145" s="41"/>
      <c r="JDX145" s="41"/>
      <c r="JDY145" s="41"/>
      <c r="JDZ145" s="41"/>
      <c r="JEA145" s="41"/>
      <c r="JEB145" s="41"/>
      <c r="JEC145" s="41"/>
      <c r="JED145" s="41"/>
      <c r="JEE145" s="41"/>
      <c r="JEF145" s="41"/>
      <c r="JEG145" s="41"/>
      <c r="JEH145" s="41"/>
      <c r="JEI145" s="41"/>
      <c r="JEJ145" s="41"/>
      <c r="JEK145" s="41"/>
      <c r="JEL145" s="41"/>
      <c r="JEM145" s="41"/>
      <c r="JEN145" s="41"/>
      <c r="JEO145" s="41"/>
      <c r="JEP145" s="41"/>
      <c r="JEQ145" s="41"/>
      <c r="JER145" s="41"/>
      <c r="JES145" s="41"/>
      <c r="JET145" s="41"/>
      <c r="JEU145" s="41"/>
      <c r="JEV145" s="41"/>
      <c r="JEW145" s="41"/>
      <c r="JEX145" s="41"/>
      <c r="JEY145" s="41"/>
      <c r="JEZ145" s="41"/>
      <c r="JFA145" s="41"/>
      <c r="JFB145" s="41"/>
      <c r="JFC145" s="41"/>
      <c r="JFD145" s="41"/>
      <c r="JFE145" s="41"/>
      <c r="JFF145" s="41"/>
      <c r="JFG145" s="41"/>
      <c r="JFH145" s="41"/>
      <c r="JFI145" s="41"/>
      <c r="JFJ145" s="41"/>
      <c r="JFK145" s="41"/>
      <c r="JFL145" s="41"/>
      <c r="JFM145" s="41"/>
      <c r="JFN145" s="41"/>
      <c r="JFO145" s="41"/>
      <c r="JFP145" s="41"/>
      <c r="JFQ145" s="41"/>
      <c r="JFR145" s="41"/>
      <c r="JFS145" s="41"/>
      <c r="JFT145" s="41"/>
      <c r="JFU145" s="41"/>
      <c r="JFV145" s="41"/>
      <c r="JFW145" s="41"/>
      <c r="JFX145" s="41"/>
      <c r="JFY145" s="41"/>
      <c r="JFZ145" s="41"/>
      <c r="JGA145" s="41"/>
      <c r="JGB145" s="41"/>
      <c r="JGC145" s="41"/>
      <c r="JGD145" s="41"/>
      <c r="JGE145" s="41"/>
      <c r="JGF145" s="41"/>
      <c r="JGG145" s="41"/>
      <c r="JGH145" s="41"/>
      <c r="JGI145" s="41"/>
      <c r="JGJ145" s="41"/>
      <c r="JGK145" s="41"/>
      <c r="JGL145" s="41"/>
      <c r="JGM145" s="41"/>
      <c r="JGN145" s="41"/>
      <c r="JGO145" s="41"/>
      <c r="JGP145" s="41"/>
      <c r="JGQ145" s="41"/>
      <c r="JGR145" s="41"/>
      <c r="JGS145" s="41"/>
      <c r="JGT145" s="41"/>
      <c r="JGU145" s="41"/>
      <c r="JGV145" s="41"/>
      <c r="JGW145" s="41"/>
      <c r="JGX145" s="41"/>
      <c r="JGY145" s="41"/>
      <c r="JGZ145" s="41"/>
      <c r="JHA145" s="41"/>
      <c r="JHB145" s="41"/>
      <c r="JHC145" s="41"/>
      <c r="JHD145" s="41"/>
      <c r="JHE145" s="41"/>
      <c r="JHF145" s="41"/>
      <c r="JHG145" s="41"/>
      <c r="JHH145" s="41"/>
      <c r="JHI145" s="41"/>
      <c r="JHJ145" s="41"/>
      <c r="JHK145" s="41"/>
      <c r="JHL145" s="41"/>
      <c r="JHM145" s="41"/>
      <c r="JHN145" s="41"/>
      <c r="JHO145" s="41"/>
      <c r="JHP145" s="41"/>
      <c r="JHQ145" s="41"/>
      <c r="JHR145" s="41"/>
      <c r="JHS145" s="41"/>
      <c r="JHT145" s="41"/>
      <c r="JHU145" s="41"/>
      <c r="JHV145" s="41"/>
      <c r="JHW145" s="41"/>
      <c r="JHX145" s="41"/>
      <c r="JHY145" s="41"/>
      <c r="JHZ145" s="41"/>
      <c r="JIA145" s="41"/>
      <c r="JIB145" s="41"/>
      <c r="JIC145" s="41"/>
      <c r="JID145" s="41"/>
      <c r="JIE145" s="41"/>
      <c r="JIF145" s="41"/>
      <c r="JIG145" s="41"/>
      <c r="JIH145" s="41"/>
      <c r="JII145" s="41"/>
      <c r="JIJ145" s="41"/>
      <c r="JIK145" s="41"/>
      <c r="JIL145" s="41"/>
      <c r="JIM145" s="41"/>
      <c r="JIN145" s="41"/>
      <c r="JIO145" s="41"/>
      <c r="JIP145" s="41"/>
      <c r="JIQ145" s="41"/>
      <c r="JIR145" s="41"/>
      <c r="JIS145" s="41"/>
      <c r="JIT145" s="41"/>
      <c r="JIU145" s="41"/>
      <c r="JIV145" s="41"/>
      <c r="JIW145" s="41"/>
      <c r="JIX145" s="41"/>
      <c r="JIY145" s="41"/>
      <c r="JIZ145" s="41"/>
      <c r="JJA145" s="41"/>
      <c r="JJB145" s="41"/>
      <c r="JJC145" s="41"/>
      <c r="JJD145" s="41"/>
      <c r="JJE145" s="41"/>
      <c r="JJF145" s="41"/>
      <c r="JJG145" s="41"/>
      <c r="JJH145" s="41"/>
      <c r="JJI145" s="41"/>
      <c r="JJJ145" s="41"/>
      <c r="JJK145" s="41"/>
      <c r="JJL145" s="41"/>
      <c r="JJM145" s="41"/>
      <c r="JJN145" s="41"/>
      <c r="JJO145" s="41"/>
      <c r="JJP145" s="41"/>
      <c r="JJQ145" s="41"/>
      <c r="JJR145" s="41"/>
      <c r="JJS145" s="41"/>
      <c r="JJT145" s="41"/>
      <c r="JJU145" s="41"/>
      <c r="JJV145" s="41"/>
      <c r="JJW145" s="41"/>
      <c r="JJX145" s="41"/>
      <c r="JJY145" s="41"/>
      <c r="JJZ145" s="41"/>
      <c r="JKA145" s="41"/>
      <c r="JKB145" s="41"/>
      <c r="JKC145" s="41"/>
      <c r="JKD145" s="41"/>
      <c r="JKE145" s="41"/>
      <c r="JKF145" s="41"/>
      <c r="JKG145" s="41"/>
      <c r="JKH145" s="41"/>
      <c r="JKI145" s="41"/>
      <c r="JKJ145" s="41"/>
      <c r="JKK145" s="41"/>
      <c r="JKL145" s="41"/>
      <c r="JKM145" s="41"/>
      <c r="JKN145" s="41"/>
      <c r="JKO145" s="41"/>
      <c r="JKP145" s="41"/>
      <c r="JKQ145" s="41"/>
      <c r="JKR145" s="41"/>
      <c r="JKS145" s="41"/>
      <c r="JKT145" s="41"/>
      <c r="JKU145" s="41"/>
      <c r="JKV145" s="41"/>
      <c r="JKW145" s="41"/>
      <c r="JKX145" s="41"/>
      <c r="JKY145" s="41"/>
      <c r="JKZ145" s="41"/>
      <c r="JLA145" s="41"/>
      <c r="JLB145" s="41"/>
      <c r="JLC145" s="41"/>
      <c r="JLD145" s="41"/>
      <c r="JLE145" s="41"/>
      <c r="JLF145" s="41"/>
      <c r="JLG145" s="41"/>
      <c r="JLH145" s="41"/>
      <c r="JLI145" s="41"/>
      <c r="JLJ145" s="41"/>
      <c r="JLK145" s="41"/>
      <c r="JLL145" s="41"/>
      <c r="JLM145" s="41"/>
      <c r="JLN145" s="41"/>
      <c r="JLO145" s="41"/>
      <c r="JLP145" s="41"/>
      <c r="JLQ145" s="41"/>
      <c r="JLR145" s="41"/>
      <c r="JLS145" s="41"/>
      <c r="JLT145" s="41"/>
      <c r="JLU145" s="41"/>
      <c r="JLV145" s="41"/>
      <c r="JLW145" s="41"/>
      <c r="JLX145" s="41"/>
      <c r="JLY145" s="41"/>
      <c r="JLZ145" s="41"/>
      <c r="JMA145" s="41"/>
      <c r="JMB145" s="41"/>
      <c r="JMC145" s="41"/>
      <c r="JMD145" s="41"/>
      <c r="JME145" s="41"/>
      <c r="JMF145" s="41"/>
      <c r="JMG145" s="41"/>
      <c r="JMH145" s="41"/>
      <c r="JMI145" s="41"/>
      <c r="JMJ145" s="41"/>
      <c r="JMK145" s="41"/>
      <c r="JML145" s="41"/>
      <c r="JMM145" s="41"/>
      <c r="JMN145" s="41"/>
      <c r="JMO145" s="41"/>
      <c r="JMP145" s="41"/>
      <c r="JMQ145" s="41"/>
      <c r="JMR145" s="41"/>
      <c r="JMS145" s="41"/>
      <c r="JMT145" s="41"/>
      <c r="JMU145" s="41"/>
      <c r="JMV145" s="41"/>
      <c r="JMW145" s="41"/>
      <c r="JMX145" s="41"/>
      <c r="JMY145" s="41"/>
      <c r="JMZ145" s="41"/>
      <c r="JNA145" s="41"/>
      <c r="JNB145" s="41"/>
      <c r="JNC145" s="41"/>
      <c r="JND145" s="41"/>
      <c r="JNE145" s="41"/>
      <c r="JNF145" s="41"/>
      <c r="JNG145" s="41"/>
      <c r="JNH145" s="41"/>
      <c r="JNI145" s="41"/>
      <c r="JNJ145" s="41"/>
      <c r="JNK145" s="41"/>
      <c r="JNL145" s="41"/>
      <c r="JNM145" s="41"/>
      <c r="JNN145" s="41"/>
      <c r="JNO145" s="41"/>
      <c r="JNP145" s="41"/>
      <c r="JNQ145" s="41"/>
      <c r="JNR145" s="41"/>
      <c r="JNS145" s="41"/>
      <c r="JNT145" s="41"/>
      <c r="JNU145" s="41"/>
      <c r="JNV145" s="41"/>
      <c r="JNW145" s="41"/>
      <c r="JNX145" s="41"/>
      <c r="JNY145" s="41"/>
      <c r="JNZ145" s="41"/>
      <c r="JOA145" s="41"/>
      <c r="JOB145" s="41"/>
      <c r="JOC145" s="41"/>
      <c r="JOD145" s="41"/>
      <c r="JOE145" s="41"/>
      <c r="JOF145" s="41"/>
      <c r="JOG145" s="41"/>
      <c r="JOH145" s="41"/>
      <c r="JOI145" s="41"/>
      <c r="JOJ145" s="41"/>
      <c r="JOK145" s="41"/>
      <c r="JOL145" s="41"/>
      <c r="JOM145" s="41"/>
      <c r="JON145" s="41"/>
      <c r="JOO145" s="41"/>
      <c r="JOP145" s="41"/>
      <c r="JOQ145" s="41"/>
      <c r="JOR145" s="41"/>
      <c r="JOS145" s="41"/>
      <c r="JOT145" s="41"/>
      <c r="JOU145" s="41"/>
      <c r="JOV145" s="41"/>
      <c r="JOW145" s="41"/>
      <c r="JOX145" s="41"/>
      <c r="JOY145" s="41"/>
      <c r="JOZ145" s="41"/>
      <c r="JPA145" s="41"/>
      <c r="JPB145" s="41"/>
      <c r="JPC145" s="41"/>
      <c r="JPD145" s="41"/>
      <c r="JPE145" s="41"/>
      <c r="JPF145" s="41"/>
      <c r="JPG145" s="41"/>
      <c r="JPH145" s="41"/>
      <c r="JPI145" s="41"/>
      <c r="JPJ145" s="41"/>
      <c r="JPK145" s="41"/>
      <c r="JPL145" s="41"/>
      <c r="JPM145" s="41"/>
      <c r="JPN145" s="41"/>
      <c r="JPO145" s="41"/>
      <c r="JPP145" s="41"/>
      <c r="JPQ145" s="41"/>
      <c r="JPR145" s="41"/>
      <c r="JPS145" s="41"/>
      <c r="JPT145" s="41"/>
      <c r="JPU145" s="41"/>
      <c r="JPV145" s="41"/>
      <c r="JPW145" s="41"/>
      <c r="JPX145" s="41"/>
      <c r="JPY145" s="41"/>
      <c r="JPZ145" s="41"/>
      <c r="JQA145" s="41"/>
      <c r="JQB145" s="41"/>
      <c r="JQC145" s="41"/>
      <c r="JQD145" s="41"/>
      <c r="JQE145" s="41"/>
      <c r="JQF145" s="41"/>
      <c r="JQG145" s="41"/>
      <c r="JQH145" s="41"/>
      <c r="JQI145" s="41"/>
      <c r="JQJ145" s="41"/>
      <c r="JQK145" s="41"/>
      <c r="JQL145" s="41"/>
      <c r="JQM145" s="41"/>
      <c r="JQN145" s="41"/>
      <c r="JQO145" s="41"/>
      <c r="JQP145" s="41"/>
      <c r="JQQ145" s="41"/>
      <c r="JQR145" s="41"/>
      <c r="JQS145" s="41"/>
      <c r="JQT145" s="41"/>
      <c r="JQU145" s="41"/>
      <c r="JQV145" s="41"/>
      <c r="JQW145" s="41"/>
      <c r="JQX145" s="41"/>
      <c r="JQY145" s="41"/>
      <c r="JQZ145" s="41"/>
      <c r="JRA145" s="41"/>
      <c r="JRB145" s="41"/>
      <c r="JRC145" s="41"/>
      <c r="JRD145" s="41"/>
      <c r="JRE145" s="41"/>
      <c r="JRF145" s="41"/>
      <c r="JRG145" s="41"/>
      <c r="JRH145" s="41"/>
      <c r="JRI145" s="41"/>
      <c r="JRJ145" s="41"/>
      <c r="JRK145" s="41"/>
      <c r="JRL145" s="41"/>
      <c r="JRM145" s="41"/>
      <c r="JRN145" s="41"/>
      <c r="JRO145" s="41"/>
      <c r="JRP145" s="41"/>
      <c r="JRQ145" s="41"/>
      <c r="JRR145" s="41"/>
      <c r="JRS145" s="41"/>
      <c r="JRT145" s="41"/>
      <c r="JRU145" s="41"/>
      <c r="JRV145" s="41"/>
      <c r="JRW145" s="41"/>
      <c r="JRX145" s="41"/>
      <c r="JRY145" s="41"/>
      <c r="JRZ145" s="41"/>
      <c r="JSA145" s="41"/>
      <c r="JSB145" s="41"/>
      <c r="JSC145" s="41"/>
      <c r="JSD145" s="41"/>
      <c r="JSE145" s="41"/>
      <c r="JSF145" s="41"/>
      <c r="JSG145" s="41"/>
      <c r="JSH145" s="41"/>
      <c r="JSI145" s="41"/>
      <c r="JSJ145" s="41"/>
      <c r="JSK145" s="41"/>
      <c r="JSL145" s="41"/>
      <c r="JSM145" s="41"/>
      <c r="JSN145" s="41"/>
      <c r="JSO145" s="41"/>
      <c r="JSP145" s="41"/>
      <c r="JSQ145" s="41"/>
      <c r="JSR145" s="41"/>
      <c r="JSS145" s="41"/>
      <c r="JST145" s="41"/>
      <c r="JSU145" s="41"/>
      <c r="JSV145" s="41"/>
      <c r="JSW145" s="41"/>
      <c r="JSX145" s="41"/>
      <c r="JSY145" s="41"/>
      <c r="JSZ145" s="41"/>
      <c r="JTA145" s="41"/>
      <c r="JTB145" s="41"/>
      <c r="JTC145" s="41"/>
      <c r="JTD145" s="41"/>
      <c r="JTE145" s="41"/>
      <c r="JTF145" s="41"/>
      <c r="JTG145" s="41"/>
      <c r="JTH145" s="41"/>
      <c r="JTI145" s="41"/>
      <c r="JTJ145" s="41"/>
      <c r="JTK145" s="41"/>
      <c r="JTL145" s="41"/>
      <c r="JTM145" s="41"/>
      <c r="JTN145" s="41"/>
      <c r="JTO145" s="41"/>
      <c r="JTP145" s="41"/>
      <c r="JTQ145" s="41"/>
      <c r="JTR145" s="41"/>
      <c r="JTS145" s="41"/>
      <c r="JTT145" s="41"/>
      <c r="JTU145" s="41"/>
      <c r="JTV145" s="41"/>
      <c r="JTW145" s="41"/>
      <c r="JTX145" s="41"/>
      <c r="JTY145" s="41"/>
      <c r="JTZ145" s="41"/>
      <c r="JUA145" s="41"/>
      <c r="JUB145" s="41"/>
      <c r="JUC145" s="41"/>
      <c r="JUD145" s="41"/>
      <c r="JUE145" s="41"/>
      <c r="JUF145" s="41"/>
      <c r="JUG145" s="41"/>
      <c r="JUH145" s="41"/>
      <c r="JUI145" s="41"/>
      <c r="JUJ145" s="41"/>
      <c r="JUK145" s="41"/>
      <c r="JUL145" s="41"/>
      <c r="JUM145" s="41"/>
      <c r="JUN145" s="41"/>
      <c r="JUO145" s="41"/>
      <c r="JUP145" s="41"/>
      <c r="JUQ145" s="41"/>
      <c r="JUR145" s="41"/>
      <c r="JUS145" s="41"/>
      <c r="JUT145" s="41"/>
      <c r="JUU145" s="41"/>
      <c r="JUV145" s="41"/>
      <c r="JUW145" s="41"/>
      <c r="JUX145" s="41"/>
      <c r="JUY145" s="41"/>
      <c r="JUZ145" s="41"/>
      <c r="JVA145" s="41"/>
      <c r="JVB145" s="41"/>
      <c r="JVC145" s="41"/>
      <c r="JVD145" s="41"/>
      <c r="JVE145" s="41"/>
      <c r="JVF145" s="41"/>
      <c r="JVG145" s="41"/>
      <c r="JVH145" s="41"/>
      <c r="JVI145" s="41"/>
      <c r="JVJ145" s="41"/>
      <c r="JVK145" s="41"/>
      <c r="JVL145" s="41"/>
      <c r="JVM145" s="41"/>
      <c r="JVN145" s="41"/>
      <c r="JVO145" s="41"/>
      <c r="JVP145" s="41"/>
      <c r="JVQ145" s="41"/>
      <c r="JVR145" s="41"/>
      <c r="JVS145" s="41"/>
      <c r="JVT145" s="41"/>
      <c r="JVU145" s="41"/>
      <c r="JVV145" s="41"/>
      <c r="JVW145" s="41"/>
      <c r="JVX145" s="41"/>
      <c r="JVY145" s="41"/>
      <c r="JVZ145" s="41"/>
      <c r="JWA145" s="41"/>
      <c r="JWB145" s="41"/>
      <c r="JWC145" s="41"/>
      <c r="JWD145" s="41"/>
      <c r="JWE145" s="41"/>
      <c r="JWF145" s="41"/>
      <c r="JWG145" s="41"/>
      <c r="JWH145" s="41"/>
      <c r="JWI145" s="41"/>
      <c r="JWJ145" s="41"/>
      <c r="JWK145" s="41"/>
      <c r="JWL145" s="41"/>
      <c r="JWM145" s="41"/>
      <c r="JWN145" s="41"/>
      <c r="JWO145" s="41"/>
      <c r="JWP145" s="41"/>
      <c r="JWQ145" s="41"/>
      <c r="JWR145" s="41"/>
      <c r="JWS145" s="41"/>
      <c r="JWT145" s="41"/>
      <c r="JWU145" s="41"/>
      <c r="JWV145" s="41"/>
      <c r="JWW145" s="41"/>
      <c r="JWX145" s="41"/>
      <c r="JWY145" s="41"/>
      <c r="JWZ145" s="41"/>
      <c r="JXA145" s="41"/>
      <c r="JXB145" s="41"/>
      <c r="JXC145" s="41"/>
      <c r="JXD145" s="41"/>
      <c r="JXE145" s="41"/>
      <c r="JXF145" s="41"/>
      <c r="JXG145" s="41"/>
      <c r="JXH145" s="41"/>
      <c r="JXI145" s="41"/>
      <c r="JXJ145" s="41"/>
      <c r="JXK145" s="41"/>
      <c r="JXL145" s="41"/>
      <c r="JXM145" s="41"/>
      <c r="JXN145" s="41"/>
      <c r="JXO145" s="41"/>
      <c r="JXP145" s="41"/>
      <c r="JXQ145" s="41"/>
      <c r="JXR145" s="41"/>
      <c r="JXS145" s="41"/>
      <c r="JXT145" s="41"/>
      <c r="JXU145" s="41"/>
      <c r="JXV145" s="41"/>
      <c r="JXW145" s="41"/>
      <c r="JXX145" s="41"/>
      <c r="JXY145" s="41"/>
      <c r="JXZ145" s="41"/>
      <c r="JYA145" s="41"/>
      <c r="JYB145" s="41"/>
      <c r="JYC145" s="41"/>
      <c r="JYD145" s="41"/>
      <c r="JYE145" s="41"/>
      <c r="JYF145" s="41"/>
      <c r="JYG145" s="41"/>
      <c r="JYH145" s="41"/>
      <c r="JYI145" s="41"/>
      <c r="JYJ145" s="41"/>
      <c r="JYK145" s="41"/>
      <c r="JYL145" s="41"/>
      <c r="JYM145" s="41"/>
      <c r="JYN145" s="41"/>
      <c r="JYO145" s="41"/>
      <c r="JYP145" s="41"/>
      <c r="JYQ145" s="41"/>
      <c r="JYR145" s="41"/>
      <c r="JYS145" s="41"/>
      <c r="JYT145" s="41"/>
      <c r="JYU145" s="41"/>
      <c r="JYV145" s="41"/>
      <c r="JYW145" s="41"/>
      <c r="JYX145" s="41"/>
      <c r="JYY145" s="41"/>
      <c r="JYZ145" s="41"/>
      <c r="JZA145" s="41"/>
      <c r="JZB145" s="41"/>
      <c r="JZC145" s="41"/>
      <c r="JZD145" s="41"/>
      <c r="JZE145" s="41"/>
      <c r="JZF145" s="41"/>
      <c r="JZG145" s="41"/>
      <c r="JZH145" s="41"/>
      <c r="JZI145" s="41"/>
      <c r="JZJ145" s="41"/>
      <c r="JZK145" s="41"/>
      <c r="JZL145" s="41"/>
      <c r="JZM145" s="41"/>
      <c r="JZN145" s="41"/>
      <c r="JZO145" s="41"/>
      <c r="JZP145" s="41"/>
      <c r="JZQ145" s="41"/>
      <c r="JZR145" s="41"/>
      <c r="JZS145" s="41"/>
      <c r="JZT145" s="41"/>
      <c r="JZU145" s="41"/>
      <c r="JZV145" s="41"/>
      <c r="JZW145" s="41"/>
      <c r="JZX145" s="41"/>
      <c r="JZY145" s="41"/>
      <c r="JZZ145" s="41"/>
      <c r="KAA145" s="41"/>
      <c r="KAB145" s="41"/>
      <c r="KAC145" s="41"/>
      <c r="KAD145" s="41"/>
      <c r="KAE145" s="41"/>
      <c r="KAF145" s="41"/>
      <c r="KAG145" s="41"/>
      <c r="KAH145" s="41"/>
      <c r="KAI145" s="41"/>
      <c r="KAJ145" s="41"/>
      <c r="KAK145" s="41"/>
      <c r="KAL145" s="41"/>
      <c r="KAM145" s="41"/>
      <c r="KAN145" s="41"/>
      <c r="KAO145" s="41"/>
      <c r="KAP145" s="41"/>
      <c r="KAQ145" s="41"/>
      <c r="KAR145" s="41"/>
      <c r="KAS145" s="41"/>
      <c r="KAT145" s="41"/>
      <c r="KAU145" s="41"/>
      <c r="KAV145" s="41"/>
      <c r="KAW145" s="41"/>
      <c r="KAX145" s="41"/>
      <c r="KAY145" s="41"/>
      <c r="KAZ145" s="41"/>
      <c r="KBA145" s="41"/>
      <c r="KBB145" s="41"/>
      <c r="KBC145" s="41"/>
      <c r="KBD145" s="41"/>
      <c r="KBE145" s="41"/>
      <c r="KBF145" s="41"/>
      <c r="KBG145" s="41"/>
      <c r="KBH145" s="41"/>
      <c r="KBI145" s="41"/>
      <c r="KBJ145" s="41"/>
      <c r="KBK145" s="41"/>
      <c r="KBL145" s="41"/>
      <c r="KBM145" s="41"/>
      <c r="KBN145" s="41"/>
      <c r="KBO145" s="41"/>
      <c r="KBP145" s="41"/>
      <c r="KBQ145" s="41"/>
      <c r="KBR145" s="41"/>
      <c r="KBS145" s="41"/>
      <c r="KBT145" s="41"/>
      <c r="KBU145" s="41"/>
      <c r="KBV145" s="41"/>
      <c r="KBW145" s="41"/>
      <c r="KBX145" s="41"/>
      <c r="KBY145" s="41"/>
      <c r="KBZ145" s="41"/>
      <c r="KCA145" s="41"/>
      <c r="KCB145" s="41"/>
      <c r="KCC145" s="41"/>
      <c r="KCD145" s="41"/>
      <c r="KCE145" s="41"/>
      <c r="KCF145" s="41"/>
      <c r="KCG145" s="41"/>
      <c r="KCH145" s="41"/>
      <c r="KCI145" s="41"/>
      <c r="KCJ145" s="41"/>
      <c r="KCK145" s="41"/>
      <c r="KCL145" s="41"/>
      <c r="KCM145" s="41"/>
      <c r="KCN145" s="41"/>
      <c r="KCO145" s="41"/>
      <c r="KCP145" s="41"/>
      <c r="KCQ145" s="41"/>
      <c r="KCR145" s="41"/>
      <c r="KCS145" s="41"/>
      <c r="KCT145" s="41"/>
      <c r="KCU145" s="41"/>
      <c r="KCV145" s="41"/>
      <c r="KCW145" s="41"/>
      <c r="KCX145" s="41"/>
      <c r="KCY145" s="41"/>
      <c r="KCZ145" s="41"/>
      <c r="KDA145" s="41"/>
      <c r="KDB145" s="41"/>
      <c r="KDC145" s="41"/>
      <c r="KDD145" s="41"/>
      <c r="KDE145" s="41"/>
      <c r="KDF145" s="41"/>
      <c r="KDG145" s="41"/>
      <c r="KDH145" s="41"/>
      <c r="KDI145" s="41"/>
      <c r="KDJ145" s="41"/>
      <c r="KDK145" s="41"/>
      <c r="KDL145" s="41"/>
      <c r="KDM145" s="41"/>
      <c r="KDN145" s="41"/>
      <c r="KDO145" s="41"/>
      <c r="KDP145" s="41"/>
      <c r="KDQ145" s="41"/>
      <c r="KDR145" s="41"/>
      <c r="KDS145" s="41"/>
      <c r="KDT145" s="41"/>
      <c r="KDU145" s="41"/>
      <c r="KDV145" s="41"/>
      <c r="KDW145" s="41"/>
      <c r="KDX145" s="41"/>
      <c r="KDY145" s="41"/>
      <c r="KDZ145" s="41"/>
      <c r="KEA145" s="41"/>
      <c r="KEB145" s="41"/>
      <c r="KEC145" s="41"/>
      <c r="KED145" s="41"/>
      <c r="KEE145" s="41"/>
      <c r="KEF145" s="41"/>
      <c r="KEG145" s="41"/>
      <c r="KEH145" s="41"/>
      <c r="KEI145" s="41"/>
      <c r="KEJ145" s="41"/>
      <c r="KEK145" s="41"/>
      <c r="KEL145" s="41"/>
      <c r="KEM145" s="41"/>
      <c r="KEN145" s="41"/>
      <c r="KEO145" s="41"/>
      <c r="KEP145" s="41"/>
      <c r="KEQ145" s="41"/>
      <c r="KER145" s="41"/>
      <c r="KES145" s="41"/>
      <c r="KET145" s="41"/>
      <c r="KEU145" s="41"/>
      <c r="KEV145" s="41"/>
      <c r="KEW145" s="41"/>
      <c r="KEX145" s="41"/>
      <c r="KEY145" s="41"/>
      <c r="KEZ145" s="41"/>
      <c r="KFA145" s="41"/>
      <c r="KFB145" s="41"/>
      <c r="KFC145" s="41"/>
      <c r="KFD145" s="41"/>
      <c r="KFE145" s="41"/>
      <c r="KFF145" s="41"/>
      <c r="KFG145" s="41"/>
      <c r="KFH145" s="41"/>
      <c r="KFI145" s="41"/>
      <c r="KFJ145" s="41"/>
      <c r="KFK145" s="41"/>
      <c r="KFL145" s="41"/>
      <c r="KFM145" s="41"/>
      <c r="KFN145" s="41"/>
      <c r="KFO145" s="41"/>
      <c r="KFP145" s="41"/>
      <c r="KFQ145" s="41"/>
      <c r="KFR145" s="41"/>
      <c r="KFS145" s="41"/>
      <c r="KFT145" s="41"/>
      <c r="KFU145" s="41"/>
      <c r="KFV145" s="41"/>
      <c r="KFW145" s="41"/>
      <c r="KFX145" s="41"/>
      <c r="KFY145" s="41"/>
      <c r="KFZ145" s="41"/>
      <c r="KGA145" s="41"/>
      <c r="KGB145" s="41"/>
      <c r="KGC145" s="41"/>
      <c r="KGD145" s="41"/>
      <c r="KGE145" s="41"/>
      <c r="KGF145" s="41"/>
      <c r="KGG145" s="41"/>
      <c r="KGH145" s="41"/>
      <c r="KGI145" s="41"/>
      <c r="KGJ145" s="41"/>
      <c r="KGK145" s="41"/>
      <c r="KGL145" s="41"/>
      <c r="KGM145" s="41"/>
      <c r="KGN145" s="41"/>
      <c r="KGO145" s="41"/>
      <c r="KGP145" s="41"/>
      <c r="KGQ145" s="41"/>
      <c r="KGR145" s="41"/>
      <c r="KGS145" s="41"/>
      <c r="KGT145" s="41"/>
      <c r="KGU145" s="41"/>
      <c r="KGV145" s="41"/>
      <c r="KGW145" s="41"/>
      <c r="KGX145" s="41"/>
      <c r="KGY145" s="41"/>
      <c r="KGZ145" s="41"/>
      <c r="KHA145" s="41"/>
      <c r="KHB145" s="41"/>
      <c r="KHC145" s="41"/>
      <c r="KHD145" s="41"/>
      <c r="KHE145" s="41"/>
      <c r="KHF145" s="41"/>
      <c r="KHG145" s="41"/>
      <c r="KHH145" s="41"/>
      <c r="KHI145" s="41"/>
      <c r="KHJ145" s="41"/>
      <c r="KHK145" s="41"/>
      <c r="KHL145" s="41"/>
      <c r="KHM145" s="41"/>
      <c r="KHN145" s="41"/>
      <c r="KHO145" s="41"/>
      <c r="KHP145" s="41"/>
      <c r="KHQ145" s="41"/>
      <c r="KHR145" s="41"/>
      <c r="KHS145" s="41"/>
      <c r="KHT145" s="41"/>
      <c r="KHU145" s="41"/>
      <c r="KHV145" s="41"/>
      <c r="KHW145" s="41"/>
      <c r="KHX145" s="41"/>
      <c r="KHY145" s="41"/>
      <c r="KHZ145" s="41"/>
      <c r="KIA145" s="41"/>
      <c r="KIB145" s="41"/>
      <c r="KIC145" s="41"/>
      <c r="KID145" s="41"/>
      <c r="KIE145" s="41"/>
      <c r="KIF145" s="41"/>
      <c r="KIG145" s="41"/>
      <c r="KIH145" s="41"/>
      <c r="KII145" s="41"/>
      <c r="KIJ145" s="41"/>
      <c r="KIK145" s="41"/>
      <c r="KIL145" s="41"/>
      <c r="KIM145" s="41"/>
      <c r="KIN145" s="41"/>
      <c r="KIO145" s="41"/>
      <c r="KIP145" s="41"/>
      <c r="KIQ145" s="41"/>
      <c r="KIR145" s="41"/>
      <c r="KIS145" s="41"/>
      <c r="KIT145" s="41"/>
      <c r="KIU145" s="41"/>
      <c r="KIV145" s="41"/>
      <c r="KIW145" s="41"/>
      <c r="KIX145" s="41"/>
      <c r="KIY145" s="41"/>
      <c r="KIZ145" s="41"/>
      <c r="KJA145" s="41"/>
      <c r="KJB145" s="41"/>
      <c r="KJC145" s="41"/>
      <c r="KJD145" s="41"/>
      <c r="KJE145" s="41"/>
      <c r="KJF145" s="41"/>
      <c r="KJG145" s="41"/>
      <c r="KJH145" s="41"/>
      <c r="KJI145" s="41"/>
      <c r="KJJ145" s="41"/>
      <c r="KJK145" s="41"/>
      <c r="KJL145" s="41"/>
      <c r="KJM145" s="41"/>
      <c r="KJN145" s="41"/>
      <c r="KJO145" s="41"/>
      <c r="KJP145" s="41"/>
      <c r="KJQ145" s="41"/>
      <c r="KJR145" s="41"/>
      <c r="KJS145" s="41"/>
      <c r="KJT145" s="41"/>
      <c r="KJU145" s="41"/>
      <c r="KJV145" s="41"/>
      <c r="KJW145" s="41"/>
      <c r="KJX145" s="41"/>
      <c r="KJY145" s="41"/>
      <c r="KJZ145" s="41"/>
      <c r="KKA145" s="41"/>
      <c r="KKB145" s="41"/>
      <c r="KKC145" s="41"/>
      <c r="KKD145" s="41"/>
      <c r="KKE145" s="41"/>
      <c r="KKF145" s="41"/>
      <c r="KKG145" s="41"/>
      <c r="KKH145" s="41"/>
      <c r="KKI145" s="41"/>
      <c r="KKJ145" s="41"/>
      <c r="KKK145" s="41"/>
      <c r="KKL145" s="41"/>
      <c r="KKM145" s="41"/>
      <c r="KKN145" s="41"/>
      <c r="KKO145" s="41"/>
      <c r="KKP145" s="41"/>
      <c r="KKQ145" s="41"/>
      <c r="KKR145" s="41"/>
      <c r="KKS145" s="41"/>
      <c r="KKT145" s="41"/>
      <c r="KKU145" s="41"/>
      <c r="KKV145" s="41"/>
      <c r="KKW145" s="41"/>
      <c r="KKX145" s="41"/>
      <c r="KKY145" s="41"/>
      <c r="KKZ145" s="41"/>
      <c r="KLA145" s="41"/>
      <c r="KLB145" s="41"/>
      <c r="KLC145" s="41"/>
      <c r="KLD145" s="41"/>
      <c r="KLE145" s="41"/>
      <c r="KLF145" s="41"/>
      <c r="KLG145" s="41"/>
      <c r="KLH145" s="41"/>
      <c r="KLI145" s="41"/>
      <c r="KLJ145" s="41"/>
      <c r="KLK145" s="41"/>
      <c r="KLL145" s="41"/>
      <c r="KLM145" s="41"/>
      <c r="KLN145" s="41"/>
      <c r="KLO145" s="41"/>
      <c r="KLP145" s="41"/>
      <c r="KLQ145" s="41"/>
      <c r="KLR145" s="41"/>
      <c r="KLS145" s="41"/>
      <c r="KLT145" s="41"/>
      <c r="KLU145" s="41"/>
      <c r="KLV145" s="41"/>
      <c r="KLW145" s="41"/>
      <c r="KLX145" s="41"/>
      <c r="KLY145" s="41"/>
      <c r="KLZ145" s="41"/>
      <c r="KMA145" s="41"/>
      <c r="KMB145" s="41"/>
      <c r="KMC145" s="41"/>
      <c r="KMD145" s="41"/>
      <c r="KME145" s="41"/>
      <c r="KMF145" s="41"/>
      <c r="KMG145" s="41"/>
      <c r="KMH145" s="41"/>
      <c r="KMI145" s="41"/>
      <c r="KMJ145" s="41"/>
      <c r="KMK145" s="41"/>
      <c r="KML145" s="41"/>
      <c r="KMM145" s="41"/>
      <c r="KMN145" s="41"/>
      <c r="KMO145" s="41"/>
      <c r="KMP145" s="41"/>
      <c r="KMQ145" s="41"/>
      <c r="KMR145" s="41"/>
      <c r="KMS145" s="41"/>
      <c r="KMT145" s="41"/>
      <c r="KMU145" s="41"/>
      <c r="KMV145" s="41"/>
      <c r="KMW145" s="41"/>
      <c r="KMX145" s="41"/>
      <c r="KMY145" s="41"/>
      <c r="KMZ145" s="41"/>
      <c r="KNA145" s="41"/>
      <c r="KNB145" s="41"/>
      <c r="KNC145" s="41"/>
      <c r="KND145" s="41"/>
      <c r="KNE145" s="41"/>
      <c r="KNF145" s="41"/>
      <c r="KNG145" s="41"/>
      <c r="KNH145" s="41"/>
      <c r="KNI145" s="41"/>
      <c r="KNJ145" s="41"/>
      <c r="KNK145" s="41"/>
      <c r="KNL145" s="41"/>
      <c r="KNM145" s="41"/>
      <c r="KNN145" s="41"/>
      <c r="KNO145" s="41"/>
      <c r="KNP145" s="41"/>
      <c r="KNQ145" s="41"/>
      <c r="KNR145" s="41"/>
      <c r="KNS145" s="41"/>
      <c r="KNT145" s="41"/>
      <c r="KNU145" s="41"/>
      <c r="KNV145" s="41"/>
      <c r="KNW145" s="41"/>
      <c r="KNX145" s="41"/>
      <c r="KNY145" s="41"/>
      <c r="KNZ145" s="41"/>
      <c r="KOA145" s="41"/>
      <c r="KOB145" s="41"/>
      <c r="KOC145" s="41"/>
      <c r="KOD145" s="41"/>
      <c r="KOE145" s="41"/>
      <c r="KOF145" s="41"/>
      <c r="KOG145" s="41"/>
      <c r="KOH145" s="41"/>
      <c r="KOI145" s="41"/>
      <c r="KOJ145" s="41"/>
      <c r="KOK145" s="41"/>
      <c r="KOL145" s="41"/>
      <c r="KOM145" s="41"/>
      <c r="KON145" s="41"/>
      <c r="KOO145" s="41"/>
      <c r="KOP145" s="41"/>
      <c r="KOQ145" s="41"/>
      <c r="KOR145" s="41"/>
      <c r="KOS145" s="41"/>
      <c r="KOT145" s="41"/>
      <c r="KOU145" s="41"/>
      <c r="KOV145" s="41"/>
      <c r="KOW145" s="41"/>
      <c r="KOX145" s="41"/>
      <c r="KOY145" s="41"/>
      <c r="KOZ145" s="41"/>
      <c r="KPA145" s="41"/>
      <c r="KPB145" s="41"/>
      <c r="KPC145" s="41"/>
      <c r="KPD145" s="41"/>
      <c r="KPE145" s="41"/>
      <c r="KPF145" s="41"/>
      <c r="KPG145" s="41"/>
      <c r="KPH145" s="41"/>
      <c r="KPI145" s="41"/>
      <c r="KPJ145" s="41"/>
      <c r="KPK145" s="41"/>
      <c r="KPL145" s="41"/>
      <c r="KPM145" s="41"/>
      <c r="KPN145" s="41"/>
      <c r="KPO145" s="41"/>
      <c r="KPP145" s="41"/>
      <c r="KPQ145" s="41"/>
      <c r="KPR145" s="41"/>
      <c r="KPS145" s="41"/>
      <c r="KPT145" s="41"/>
      <c r="KPU145" s="41"/>
      <c r="KPV145" s="41"/>
      <c r="KPW145" s="41"/>
      <c r="KPX145" s="41"/>
      <c r="KPY145" s="41"/>
      <c r="KPZ145" s="41"/>
      <c r="KQA145" s="41"/>
      <c r="KQB145" s="41"/>
      <c r="KQC145" s="41"/>
      <c r="KQD145" s="41"/>
      <c r="KQE145" s="41"/>
      <c r="KQF145" s="41"/>
      <c r="KQG145" s="41"/>
      <c r="KQH145" s="41"/>
      <c r="KQI145" s="41"/>
      <c r="KQJ145" s="41"/>
      <c r="KQK145" s="41"/>
      <c r="KQL145" s="41"/>
      <c r="KQM145" s="41"/>
      <c r="KQN145" s="41"/>
      <c r="KQO145" s="41"/>
      <c r="KQP145" s="41"/>
      <c r="KQQ145" s="41"/>
      <c r="KQR145" s="41"/>
      <c r="KQS145" s="41"/>
      <c r="KQT145" s="41"/>
      <c r="KQU145" s="41"/>
      <c r="KQV145" s="41"/>
      <c r="KQW145" s="41"/>
      <c r="KQX145" s="41"/>
      <c r="KQY145" s="41"/>
      <c r="KQZ145" s="41"/>
      <c r="KRA145" s="41"/>
      <c r="KRB145" s="41"/>
      <c r="KRC145" s="41"/>
      <c r="KRD145" s="41"/>
      <c r="KRE145" s="41"/>
      <c r="KRF145" s="41"/>
      <c r="KRG145" s="41"/>
      <c r="KRH145" s="41"/>
      <c r="KRI145" s="41"/>
      <c r="KRJ145" s="41"/>
      <c r="KRK145" s="41"/>
      <c r="KRL145" s="41"/>
      <c r="KRM145" s="41"/>
      <c r="KRN145" s="41"/>
      <c r="KRO145" s="41"/>
      <c r="KRP145" s="41"/>
      <c r="KRQ145" s="41"/>
      <c r="KRR145" s="41"/>
      <c r="KRS145" s="41"/>
      <c r="KRT145" s="41"/>
      <c r="KRU145" s="41"/>
      <c r="KRV145" s="41"/>
      <c r="KRW145" s="41"/>
      <c r="KRX145" s="41"/>
      <c r="KRY145" s="41"/>
      <c r="KRZ145" s="41"/>
      <c r="KSA145" s="41"/>
      <c r="KSB145" s="41"/>
      <c r="KSC145" s="41"/>
      <c r="KSD145" s="41"/>
      <c r="KSE145" s="41"/>
      <c r="KSF145" s="41"/>
      <c r="KSG145" s="41"/>
      <c r="KSH145" s="41"/>
      <c r="KSI145" s="41"/>
      <c r="KSJ145" s="41"/>
      <c r="KSK145" s="41"/>
      <c r="KSL145" s="41"/>
      <c r="KSM145" s="41"/>
      <c r="KSN145" s="41"/>
      <c r="KSO145" s="41"/>
      <c r="KSP145" s="41"/>
      <c r="KSQ145" s="41"/>
      <c r="KSR145" s="41"/>
      <c r="KSS145" s="41"/>
      <c r="KST145" s="41"/>
      <c r="KSU145" s="41"/>
      <c r="KSV145" s="41"/>
      <c r="KSW145" s="41"/>
      <c r="KSX145" s="41"/>
      <c r="KSY145" s="41"/>
      <c r="KSZ145" s="41"/>
      <c r="KTA145" s="41"/>
      <c r="KTB145" s="41"/>
      <c r="KTC145" s="41"/>
      <c r="KTD145" s="41"/>
      <c r="KTE145" s="41"/>
      <c r="KTF145" s="41"/>
      <c r="KTG145" s="41"/>
      <c r="KTH145" s="41"/>
      <c r="KTI145" s="41"/>
      <c r="KTJ145" s="41"/>
      <c r="KTK145" s="41"/>
      <c r="KTL145" s="41"/>
      <c r="KTM145" s="41"/>
      <c r="KTN145" s="41"/>
      <c r="KTO145" s="41"/>
      <c r="KTP145" s="41"/>
      <c r="KTQ145" s="41"/>
      <c r="KTR145" s="41"/>
      <c r="KTS145" s="41"/>
      <c r="KTT145" s="41"/>
      <c r="KTU145" s="41"/>
      <c r="KTV145" s="41"/>
      <c r="KTW145" s="41"/>
      <c r="KTX145" s="41"/>
      <c r="KTY145" s="41"/>
      <c r="KTZ145" s="41"/>
      <c r="KUA145" s="41"/>
      <c r="KUB145" s="41"/>
      <c r="KUC145" s="41"/>
      <c r="KUD145" s="41"/>
      <c r="KUE145" s="41"/>
      <c r="KUF145" s="41"/>
      <c r="KUG145" s="41"/>
      <c r="KUH145" s="41"/>
      <c r="KUI145" s="41"/>
      <c r="KUJ145" s="41"/>
      <c r="KUK145" s="41"/>
      <c r="KUL145" s="41"/>
      <c r="KUM145" s="41"/>
      <c r="KUN145" s="41"/>
      <c r="KUO145" s="41"/>
      <c r="KUP145" s="41"/>
      <c r="KUQ145" s="41"/>
      <c r="KUR145" s="41"/>
      <c r="KUS145" s="41"/>
      <c r="KUT145" s="41"/>
      <c r="KUU145" s="41"/>
      <c r="KUV145" s="41"/>
      <c r="KUW145" s="41"/>
      <c r="KUX145" s="41"/>
      <c r="KUY145" s="41"/>
      <c r="KUZ145" s="41"/>
      <c r="KVA145" s="41"/>
      <c r="KVB145" s="41"/>
      <c r="KVC145" s="41"/>
      <c r="KVD145" s="41"/>
      <c r="KVE145" s="41"/>
      <c r="KVF145" s="41"/>
      <c r="KVG145" s="41"/>
      <c r="KVH145" s="41"/>
      <c r="KVI145" s="41"/>
      <c r="KVJ145" s="41"/>
      <c r="KVK145" s="41"/>
      <c r="KVL145" s="41"/>
      <c r="KVM145" s="41"/>
      <c r="KVN145" s="41"/>
      <c r="KVO145" s="41"/>
      <c r="KVP145" s="41"/>
      <c r="KVQ145" s="41"/>
      <c r="KVR145" s="41"/>
      <c r="KVS145" s="41"/>
      <c r="KVT145" s="41"/>
      <c r="KVU145" s="41"/>
      <c r="KVV145" s="41"/>
      <c r="KVW145" s="41"/>
      <c r="KVX145" s="41"/>
      <c r="KVY145" s="41"/>
      <c r="KVZ145" s="41"/>
      <c r="KWA145" s="41"/>
      <c r="KWB145" s="41"/>
      <c r="KWC145" s="41"/>
      <c r="KWD145" s="41"/>
      <c r="KWE145" s="41"/>
      <c r="KWF145" s="41"/>
      <c r="KWG145" s="41"/>
      <c r="KWH145" s="41"/>
      <c r="KWI145" s="41"/>
      <c r="KWJ145" s="41"/>
      <c r="KWK145" s="41"/>
      <c r="KWL145" s="41"/>
      <c r="KWM145" s="41"/>
      <c r="KWN145" s="41"/>
      <c r="KWO145" s="41"/>
      <c r="KWP145" s="41"/>
      <c r="KWQ145" s="41"/>
      <c r="KWR145" s="41"/>
      <c r="KWS145" s="41"/>
      <c r="KWT145" s="41"/>
      <c r="KWU145" s="41"/>
      <c r="KWV145" s="41"/>
      <c r="KWW145" s="41"/>
      <c r="KWX145" s="41"/>
      <c r="KWY145" s="41"/>
      <c r="KWZ145" s="41"/>
      <c r="KXA145" s="41"/>
      <c r="KXB145" s="41"/>
      <c r="KXC145" s="41"/>
      <c r="KXD145" s="41"/>
      <c r="KXE145" s="41"/>
      <c r="KXF145" s="41"/>
      <c r="KXG145" s="41"/>
      <c r="KXH145" s="41"/>
      <c r="KXI145" s="41"/>
      <c r="KXJ145" s="41"/>
      <c r="KXK145" s="41"/>
      <c r="KXL145" s="41"/>
      <c r="KXM145" s="41"/>
      <c r="KXN145" s="41"/>
      <c r="KXO145" s="41"/>
      <c r="KXP145" s="41"/>
      <c r="KXQ145" s="41"/>
      <c r="KXR145" s="41"/>
      <c r="KXS145" s="41"/>
      <c r="KXT145" s="41"/>
      <c r="KXU145" s="41"/>
      <c r="KXV145" s="41"/>
      <c r="KXW145" s="41"/>
      <c r="KXX145" s="41"/>
      <c r="KXY145" s="41"/>
      <c r="KXZ145" s="41"/>
      <c r="KYA145" s="41"/>
      <c r="KYB145" s="41"/>
      <c r="KYC145" s="41"/>
      <c r="KYD145" s="41"/>
      <c r="KYE145" s="41"/>
      <c r="KYF145" s="41"/>
      <c r="KYG145" s="41"/>
      <c r="KYH145" s="41"/>
      <c r="KYI145" s="41"/>
      <c r="KYJ145" s="41"/>
      <c r="KYK145" s="41"/>
      <c r="KYL145" s="41"/>
      <c r="KYM145" s="41"/>
      <c r="KYN145" s="41"/>
      <c r="KYO145" s="41"/>
      <c r="KYP145" s="41"/>
      <c r="KYQ145" s="41"/>
      <c r="KYR145" s="41"/>
      <c r="KYS145" s="41"/>
      <c r="KYT145" s="41"/>
      <c r="KYU145" s="41"/>
      <c r="KYV145" s="41"/>
      <c r="KYW145" s="41"/>
      <c r="KYX145" s="41"/>
      <c r="KYY145" s="41"/>
      <c r="KYZ145" s="41"/>
      <c r="KZA145" s="41"/>
      <c r="KZB145" s="41"/>
      <c r="KZC145" s="41"/>
      <c r="KZD145" s="41"/>
      <c r="KZE145" s="41"/>
      <c r="KZF145" s="41"/>
      <c r="KZG145" s="41"/>
      <c r="KZH145" s="41"/>
      <c r="KZI145" s="41"/>
      <c r="KZJ145" s="41"/>
      <c r="KZK145" s="41"/>
      <c r="KZL145" s="41"/>
      <c r="KZM145" s="41"/>
      <c r="KZN145" s="41"/>
      <c r="KZO145" s="41"/>
      <c r="KZP145" s="41"/>
      <c r="KZQ145" s="41"/>
      <c r="KZR145" s="41"/>
      <c r="KZS145" s="41"/>
      <c r="KZT145" s="41"/>
      <c r="KZU145" s="41"/>
      <c r="KZV145" s="41"/>
      <c r="KZW145" s="41"/>
      <c r="KZX145" s="41"/>
      <c r="KZY145" s="41"/>
      <c r="KZZ145" s="41"/>
      <c r="LAA145" s="41"/>
      <c r="LAB145" s="41"/>
      <c r="LAC145" s="41"/>
      <c r="LAD145" s="41"/>
      <c r="LAE145" s="41"/>
      <c r="LAF145" s="41"/>
      <c r="LAG145" s="41"/>
      <c r="LAH145" s="41"/>
      <c r="LAI145" s="41"/>
      <c r="LAJ145" s="41"/>
      <c r="LAK145" s="41"/>
      <c r="LAL145" s="41"/>
      <c r="LAM145" s="41"/>
      <c r="LAN145" s="41"/>
      <c r="LAO145" s="41"/>
      <c r="LAP145" s="41"/>
      <c r="LAQ145" s="41"/>
      <c r="LAR145" s="41"/>
      <c r="LAS145" s="41"/>
      <c r="LAT145" s="41"/>
      <c r="LAU145" s="41"/>
      <c r="LAV145" s="41"/>
      <c r="LAW145" s="41"/>
      <c r="LAX145" s="41"/>
      <c r="LAY145" s="41"/>
      <c r="LAZ145" s="41"/>
      <c r="LBA145" s="41"/>
      <c r="LBB145" s="41"/>
      <c r="LBC145" s="41"/>
      <c r="LBD145" s="41"/>
      <c r="LBE145" s="41"/>
      <c r="LBF145" s="41"/>
      <c r="LBG145" s="41"/>
      <c r="LBH145" s="41"/>
      <c r="LBI145" s="41"/>
      <c r="LBJ145" s="41"/>
      <c r="LBK145" s="41"/>
      <c r="LBL145" s="41"/>
      <c r="LBM145" s="41"/>
      <c r="LBN145" s="41"/>
      <c r="LBO145" s="41"/>
      <c r="LBP145" s="41"/>
      <c r="LBQ145" s="41"/>
      <c r="LBR145" s="41"/>
      <c r="LBS145" s="41"/>
      <c r="LBT145" s="41"/>
      <c r="LBU145" s="41"/>
      <c r="LBV145" s="41"/>
      <c r="LBW145" s="41"/>
      <c r="LBX145" s="41"/>
      <c r="LBY145" s="41"/>
      <c r="LBZ145" s="41"/>
      <c r="LCA145" s="41"/>
      <c r="LCB145" s="41"/>
      <c r="LCC145" s="41"/>
      <c r="LCD145" s="41"/>
      <c r="LCE145" s="41"/>
      <c r="LCF145" s="41"/>
      <c r="LCG145" s="41"/>
      <c r="LCH145" s="41"/>
      <c r="LCI145" s="41"/>
      <c r="LCJ145" s="41"/>
      <c r="LCK145" s="41"/>
      <c r="LCL145" s="41"/>
      <c r="LCM145" s="41"/>
      <c r="LCN145" s="41"/>
      <c r="LCO145" s="41"/>
      <c r="LCP145" s="41"/>
      <c r="LCQ145" s="41"/>
      <c r="LCR145" s="41"/>
      <c r="LCS145" s="41"/>
      <c r="LCT145" s="41"/>
      <c r="LCU145" s="41"/>
      <c r="LCV145" s="41"/>
      <c r="LCW145" s="41"/>
      <c r="LCX145" s="41"/>
      <c r="LCY145" s="41"/>
      <c r="LCZ145" s="41"/>
      <c r="LDA145" s="41"/>
      <c r="LDB145" s="41"/>
      <c r="LDC145" s="41"/>
      <c r="LDD145" s="41"/>
      <c r="LDE145" s="41"/>
      <c r="LDF145" s="41"/>
      <c r="LDG145" s="41"/>
      <c r="LDH145" s="41"/>
      <c r="LDI145" s="41"/>
      <c r="LDJ145" s="41"/>
      <c r="LDK145" s="41"/>
      <c r="LDL145" s="41"/>
      <c r="LDM145" s="41"/>
      <c r="LDN145" s="41"/>
      <c r="LDO145" s="41"/>
      <c r="LDP145" s="41"/>
      <c r="LDQ145" s="41"/>
      <c r="LDR145" s="41"/>
      <c r="LDS145" s="41"/>
      <c r="LDT145" s="41"/>
      <c r="LDU145" s="41"/>
      <c r="LDV145" s="41"/>
      <c r="LDW145" s="41"/>
      <c r="LDX145" s="41"/>
      <c r="LDY145" s="41"/>
      <c r="LDZ145" s="41"/>
      <c r="LEA145" s="41"/>
      <c r="LEB145" s="41"/>
      <c r="LEC145" s="41"/>
      <c r="LED145" s="41"/>
      <c r="LEE145" s="41"/>
      <c r="LEF145" s="41"/>
      <c r="LEG145" s="41"/>
      <c r="LEH145" s="41"/>
      <c r="LEI145" s="41"/>
      <c r="LEJ145" s="41"/>
      <c r="LEK145" s="41"/>
      <c r="LEL145" s="41"/>
      <c r="LEM145" s="41"/>
      <c r="LEN145" s="41"/>
      <c r="LEO145" s="41"/>
      <c r="LEP145" s="41"/>
      <c r="LEQ145" s="41"/>
      <c r="LER145" s="41"/>
      <c r="LES145" s="41"/>
      <c r="LET145" s="41"/>
      <c r="LEU145" s="41"/>
      <c r="LEV145" s="41"/>
      <c r="LEW145" s="41"/>
      <c r="LEX145" s="41"/>
      <c r="LEY145" s="41"/>
      <c r="LEZ145" s="41"/>
      <c r="LFA145" s="41"/>
      <c r="LFB145" s="41"/>
      <c r="LFC145" s="41"/>
      <c r="LFD145" s="41"/>
      <c r="LFE145" s="41"/>
      <c r="LFF145" s="41"/>
      <c r="LFG145" s="41"/>
      <c r="LFH145" s="41"/>
      <c r="LFI145" s="41"/>
      <c r="LFJ145" s="41"/>
      <c r="LFK145" s="41"/>
      <c r="LFL145" s="41"/>
      <c r="LFM145" s="41"/>
      <c r="LFN145" s="41"/>
      <c r="LFO145" s="41"/>
      <c r="LFP145" s="41"/>
      <c r="LFQ145" s="41"/>
      <c r="LFR145" s="41"/>
      <c r="LFS145" s="41"/>
      <c r="LFT145" s="41"/>
      <c r="LFU145" s="41"/>
      <c r="LFV145" s="41"/>
      <c r="LFW145" s="41"/>
      <c r="LFX145" s="41"/>
      <c r="LFY145" s="41"/>
      <c r="LFZ145" s="41"/>
      <c r="LGA145" s="41"/>
      <c r="LGB145" s="41"/>
      <c r="LGC145" s="41"/>
      <c r="LGD145" s="41"/>
      <c r="LGE145" s="41"/>
      <c r="LGF145" s="41"/>
      <c r="LGG145" s="41"/>
      <c r="LGH145" s="41"/>
      <c r="LGI145" s="41"/>
      <c r="LGJ145" s="41"/>
      <c r="LGK145" s="41"/>
      <c r="LGL145" s="41"/>
      <c r="LGM145" s="41"/>
      <c r="LGN145" s="41"/>
      <c r="LGO145" s="41"/>
      <c r="LGP145" s="41"/>
      <c r="LGQ145" s="41"/>
      <c r="LGR145" s="41"/>
      <c r="LGS145" s="41"/>
      <c r="LGT145" s="41"/>
      <c r="LGU145" s="41"/>
      <c r="LGV145" s="41"/>
      <c r="LGW145" s="41"/>
      <c r="LGX145" s="41"/>
      <c r="LGY145" s="41"/>
      <c r="LGZ145" s="41"/>
      <c r="LHA145" s="41"/>
      <c r="LHB145" s="41"/>
      <c r="LHC145" s="41"/>
      <c r="LHD145" s="41"/>
      <c r="LHE145" s="41"/>
      <c r="LHF145" s="41"/>
      <c r="LHG145" s="41"/>
      <c r="LHH145" s="41"/>
      <c r="LHI145" s="41"/>
      <c r="LHJ145" s="41"/>
      <c r="LHK145" s="41"/>
      <c r="LHL145" s="41"/>
      <c r="LHM145" s="41"/>
      <c r="LHN145" s="41"/>
      <c r="LHO145" s="41"/>
      <c r="LHP145" s="41"/>
      <c r="LHQ145" s="41"/>
      <c r="LHR145" s="41"/>
      <c r="LHS145" s="41"/>
      <c r="LHT145" s="41"/>
      <c r="LHU145" s="41"/>
      <c r="LHV145" s="41"/>
      <c r="LHW145" s="41"/>
      <c r="LHX145" s="41"/>
      <c r="LHY145" s="41"/>
      <c r="LHZ145" s="41"/>
      <c r="LIA145" s="41"/>
      <c r="LIB145" s="41"/>
      <c r="LIC145" s="41"/>
      <c r="LID145" s="41"/>
      <c r="LIE145" s="41"/>
      <c r="LIF145" s="41"/>
      <c r="LIG145" s="41"/>
      <c r="LIH145" s="41"/>
      <c r="LII145" s="41"/>
      <c r="LIJ145" s="41"/>
      <c r="LIK145" s="41"/>
      <c r="LIL145" s="41"/>
      <c r="LIM145" s="41"/>
      <c r="LIN145" s="41"/>
      <c r="LIO145" s="41"/>
      <c r="LIP145" s="41"/>
      <c r="LIQ145" s="41"/>
      <c r="LIR145" s="41"/>
      <c r="LIS145" s="41"/>
      <c r="LIT145" s="41"/>
      <c r="LIU145" s="41"/>
      <c r="LIV145" s="41"/>
      <c r="LIW145" s="41"/>
      <c r="LIX145" s="41"/>
      <c r="LIY145" s="41"/>
      <c r="LIZ145" s="41"/>
      <c r="LJA145" s="41"/>
      <c r="LJB145" s="41"/>
      <c r="LJC145" s="41"/>
      <c r="LJD145" s="41"/>
      <c r="LJE145" s="41"/>
      <c r="LJF145" s="41"/>
      <c r="LJG145" s="41"/>
      <c r="LJH145" s="41"/>
      <c r="LJI145" s="41"/>
      <c r="LJJ145" s="41"/>
      <c r="LJK145" s="41"/>
      <c r="LJL145" s="41"/>
      <c r="LJM145" s="41"/>
      <c r="LJN145" s="41"/>
      <c r="LJO145" s="41"/>
      <c r="LJP145" s="41"/>
      <c r="LJQ145" s="41"/>
      <c r="LJR145" s="41"/>
      <c r="LJS145" s="41"/>
      <c r="LJT145" s="41"/>
      <c r="LJU145" s="41"/>
      <c r="LJV145" s="41"/>
      <c r="LJW145" s="41"/>
      <c r="LJX145" s="41"/>
      <c r="LJY145" s="41"/>
      <c r="LJZ145" s="41"/>
      <c r="LKA145" s="41"/>
      <c r="LKB145" s="41"/>
      <c r="LKC145" s="41"/>
      <c r="LKD145" s="41"/>
      <c r="LKE145" s="41"/>
      <c r="LKF145" s="41"/>
      <c r="LKG145" s="41"/>
      <c r="LKH145" s="41"/>
      <c r="LKI145" s="41"/>
      <c r="LKJ145" s="41"/>
      <c r="LKK145" s="41"/>
      <c r="LKL145" s="41"/>
      <c r="LKM145" s="41"/>
      <c r="LKN145" s="41"/>
      <c r="LKO145" s="41"/>
      <c r="LKP145" s="41"/>
      <c r="LKQ145" s="41"/>
      <c r="LKR145" s="41"/>
      <c r="LKS145" s="41"/>
      <c r="LKT145" s="41"/>
      <c r="LKU145" s="41"/>
      <c r="LKV145" s="41"/>
      <c r="LKW145" s="41"/>
      <c r="LKX145" s="41"/>
      <c r="LKY145" s="41"/>
      <c r="LKZ145" s="41"/>
      <c r="LLA145" s="41"/>
      <c r="LLB145" s="41"/>
      <c r="LLC145" s="41"/>
      <c r="LLD145" s="41"/>
      <c r="LLE145" s="41"/>
      <c r="LLF145" s="41"/>
      <c r="LLG145" s="41"/>
      <c r="LLH145" s="41"/>
      <c r="LLI145" s="41"/>
      <c r="LLJ145" s="41"/>
      <c r="LLK145" s="41"/>
      <c r="LLL145" s="41"/>
      <c r="LLM145" s="41"/>
      <c r="LLN145" s="41"/>
      <c r="LLO145" s="41"/>
      <c r="LLP145" s="41"/>
      <c r="LLQ145" s="41"/>
      <c r="LLR145" s="41"/>
      <c r="LLS145" s="41"/>
      <c r="LLT145" s="41"/>
      <c r="LLU145" s="41"/>
      <c r="LLV145" s="41"/>
      <c r="LLW145" s="41"/>
      <c r="LLX145" s="41"/>
      <c r="LLY145" s="41"/>
      <c r="LLZ145" s="41"/>
      <c r="LMA145" s="41"/>
      <c r="LMB145" s="41"/>
      <c r="LMC145" s="41"/>
      <c r="LMD145" s="41"/>
      <c r="LME145" s="41"/>
      <c r="LMF145" s="41"/>
      <c r="LMG145" s="41"/>
      <c r="LMH145" s="41"/>
      <c r="LMI145" s="41"/>
      <c r="LMJ145" s="41"/>
      <c r="LMK145" s="41"/>
      <c r="LML145" s="41"/>
      <c r="LMM145" s="41"/>
      <c r="LMN145" s="41"/>
      <c r="LMO145" s="41"/>
      <c r="LMP145" s="41"/>
      <c r="LMQ145" s="41"/>
      <c r="LMR145" s="41"/>
      <c r="LMS145" s="41"/>
      <c r="LMT145" s="41"/>
      <c r="LMU145" s="41"/>
      <c r="LMV145" s="41"/>
      <c r="LMW145" s="41"/>
      <c r="LMX145" s="41"/>
      <c r="LMY145" s="41"/>
      <c r="LMZ145" s="41"/>
      <c r="LNA145" s="41"/>
      <c r="LNB145" s="41"/>
      <c r="LNC145" s="41"/>
      <c r="LND145" s="41"/>
      <c r="LNE145" s="41"/>
      <c r="LNF145" s="41"/>
      <c r="LNG145" s="41"/>
      <c r="LNH145" s="41"/>
      <c r="LNI145" s="41"/>
      <c r="LNJ145" s="41"/>
      <c r="LNK145" s="41"/>
      <c r="LNL145" s="41"/>
      <c r="LNM145" s="41"/>
      <c r="LNN145" s="41"/>
      <c r="LNO145" s="41"/>
      <c r="LNP145" s="41"/>
      <c r="LNQ145" s="41"/>
      <c r="LNR145" s="41"/>
      <c r="LNS145" s="41"/>
      <c r="LNT145" s="41"/>
      <c r="LNU145" s="41"/>
      <c r="LNV145" s="41"/>
      <c r="LNW145" s="41"/>
      <c r="LNX145" s="41"/>
      <c r="LNY145" s="41"/>
      <c r="LNZ145" s="41"/>
      <c r="LOA145" s="41"/>
      <c r="LOB145" s="41"/>
      <c r="LOC145" s="41"/>
      <c r="LOD145" s="41"/>
      <c r="LOE145" s="41"/>
      <c r="LOF145" s="41"/>
      <c r="LOG145" s="41"/>
      <c r="LOH145" s="41"/>
      <c r="LOI145" s="41"/>
      <c r="LOJ145" s="41"/>
      <c r="LOK145" s="41"/>
      <c r="LOL145" s="41"/>
      <c r="LOM145" s="41"/>
      <c r="LON145" s="41"/>
      <c r="LOO145" s="41"/>
      <c r="LOP145" s="41"/>
      <c r="LOQ145" s="41"/>
      <c r="LOR145" s="41"/>
      <c r="LOS145" s="41"/>
      <c r="LOT145" s="41"/>
      <c r="LOU145" s="41"/>
      <c r="LOV145" s="41"/>
      <c r="LOW145" s="41"/>
      <c r="LOX145" s="41"/>
      <c r="LOY145" s="41"/>
      <c r="LOZ145" s="41"/>
      <c r="LPA145" s="41"/>
      <c r="LPB145" s="41"/>
      <c r="LPC145" s="41"/>
      <c r="LPD145" s="41"/>
      <c r="LPE145" s="41"/>
      <c r="LPF145" s="41"/>
      <c r="LPG145" s="41"/>
      <c r="LPH145" s="41"/>
      <c r="LPI145" s="41"/>
      <c r="LPJ145" s="41"/>
      <c r="LPK145" s="41"/>
      <c r="LPL145" s="41"/>
      <c r="LPM145" s="41"/>
      <c r="LPN145" s="41"/>
      <c r="LPO145" s="41"/>
      <c r="LPP145" s="41"/>
      <c r="LPQ145" s="41"/>
      <c r="LPR145" s="41"/>
      <c r="LPS145" s="41"/>
      <c r="LPT145" s="41"/>
      <c r="LPU145" s="41"/>
      <c r="LPV145" s="41"/>
      <c r="LPW145" s="41"/>
      <c r="LPX145" s="41"/>
      <c r="LPY145" s="41"/>
      <c r="LPZ145" s="41"/>
      <c r="LQA145" s="41"/>
      <c r="LQB145" s="41"/>
      <c r="LQC145" s="41"/>
      <c r="LQD145" s="41"/>
      <c r="LQE145" s="41"/>
      <c r="LQF145" s="41"/>
      <c r="LQG145" s="41"/>
      <c r="LQH145" s="41"/>
      <c r="LQI145" s="41"/>
      <c r="LQJ145" s="41"/>
      <c r="LQK145" s="41"/>
      <c r="LQL145" s="41"/>
      <c r="LQM145" s="41"/>
      <c r="LQN145" s="41"/>
      <c r="LQO145" s="41"/>
      <c r="LQP145" s="41"/>
      <c r="LQQ145" s="41"/>
      <c r="LQR145" s="41"/>
      <c r="LQS145" s="41"/>
      <c r="LQT145" s="41"/>
      <c r="LQU145" s="41"/>
      <c r="LQV145" s="41"/>
      <c r="LQW145" s="41"/>
      <c r="LQX145" s="41"/>
      <c r="LQY145" s="41"/>
      <c r="LQZ145" s="41"/>
      <c r="LRA145" s="41"/>
      <c r="LRB145" s="41"/>
      <c r="LRC145" s="41"/>
      <c r="LRD145" s="41"/>
      <c r="LRE145" s="41"/>
      <c r="LRF145" s="41"/>
      <c r="LRG145" s="41"/>
      <c r="LRH145" s="41"/>
      <c r="LRI145" s="41"/>
      <c r="LRJ145" s="41"/>
      <c r="LRK145" s="41"/>
      <c r="LRL145" s="41"/>
      <c r="LRM145" s="41"/>
      <c r="LRN145" s="41"/>
      <c r="LRO145" s="41"/>
      <c r="LRP145" s="41"/>
      <c r="LRQ145" s="41"/>
      <c r="LRR145" s="41"/>
      <c r="LRS145" s="41"/>
      <c r="LRT145" s="41"/>
      <c r="LRU145" s="41"/>
      <c r="LRV145" s="41"/>
      <c r="LRW145" s="41"/>
      <c r="LRX145" s="41"/>
      <c r="LRY145" s="41"/>
      <c r="LRZ145" s="41"/>
      <c r="LSA145" s="41"/>
      <c r="LSB145" s="41"/>
      <c r="LSC145" s="41"/>
      <c r="LSD145" s="41"/>
      <c r="LSE145" s="41"/>
      <c r="LSF145" s="41"/>
      <c r="LSG145" s="41"/>
      <c r="LSH145" s="41"/>
      <c r="LSI145" s="41"/>
      <c r="LSJ145" s="41"/>
      <c r="LSK145" s="41"/>
      <c r="LSL145" s="41"/>
      <c r="LSM145" s="41"/>
      <c r="LSN145" s="41"/>
      <c r="LSO145" s="41"/>
      <c r="LSP145" s="41"/>
      <c r="LSQ145" s="41"/>
      <c r="LSR145" s="41"/>
      <c r="LSS145" s="41"/>
      <c r="LST145" s="41"/>
      <c r="LSU145" s="41"/>
      <c r="LSV145" s="41"/>
      <c r="LSW145" s="41"/>
      <c r="LSX145" s="41"/>
      <c r="LSY145" s="41"/>
      <c r="LSZ145" s="41"/>
      <c r="LTA145" s="41"/>
      <c r="LTB145" s="41"/>
      <c r="LTC145" s="41"/>
      <c r="LTD145" s="41"/>
      <c r="LTE145" s="41"/>
      <c r="LTF145" s="41"/>
      <c r="LTG145" s="41"/>
      <c r="LTH145" s="41"/>
      <c r="LTI145" s="41"/>
      <c r="LTJ145" s="41"/>
      <c r="LTK145" s="41"/>
      <c r="LTL145" s="41"/>
      <c r="LTM145" s="41"/>
      <c r="LTN145" s="41"/>
      <c r="LTO145" s="41"/>
      <c r="LTP145" s="41"/>
      <c r="LTQ145" s="41"/>
      <c r="LTR145" s="41"/>
      <c r="LTS145" s="41"/>
      <c r="LTT145" s="41"/>
      <c r="LTU145" s="41"/>
      <c r="LTV145" s="41"/>
      <c r="LTW145" s="41"/>
      <c r="LTX145" s="41"/>
      <c r="LTY145" s="41"/>
      <c r="LTZ145" s="41"/>
      <c r="LUA145" s="41"/>
      <c r="LUB145" s="41"/>
      <c r="LUC145" s="41"/>
      <c r="LUD145" s="41"/>
      <c r="LUE145" s="41"/>
      <c r="LUF145" s="41"/>
      <c r="LUG145" s="41"/>
      <c r="LUH145" s="41"/>
      <c r="LUI145" s="41"/>
      <c r="LUJ145" s="41"/>
      <c r="LUK145" s="41"/>
      <c r="LUL145" s="41"/>
      <c r="LUM145" s="41"/>
      <c r="LUN145" s="41"/>
      <c r="LUO145" s="41"/>
      <c r="LUP145" s="41"/>
      <c r="LUQ145" s="41"/>
      <c r="LUR145" s="41"/>
      <c r="LUS145" s="41"/>
      <c r="LUT145" s="41"/>
      <c r="LUU145" s="41"/>
      <c r="LUV145" s="41"/>
      <c r="LUW145" s="41"/>
      <c r="LUX145" s="41"/>
      <c r="LUY145" s="41"/>
      <c r="LUZ145" s="41"/>
      <c r="LVA145" s="41"/>
      <c r="LVB145" s="41"/>
      <c r="LVC145" s="41"/>
      <c r="LVD145" s="41"/>
      <c r="LVE145" s="41"/>
      <c r="LVF145" s="41"/>
      <c r="LVG145" s="41"/>
      <c r="LVH145" s="41"/>
      <c r="LVI145" s="41"/>
      <c r="LVJ145" s="41"/>
      <c r="LVK145" s="41"/>
      <c r="LVL145" s="41"/>
      <c r="LVM145" s="41"/>
      <c r="LVN145" s="41"/>
      <c r="LVO145" s="41"/>
      <c r="LVP145" s="41"/>
      <c r="LVQ145" s="41"/>
      <c r="LVR145" s="41"/>
      <c r="LVS145" s="41"/>
      <c r="LVT145" s="41"/>
      <c r="LVU145" s="41"/>
      <c r="LVV145" s="41"/>
      <c r="LVW145" s="41"/>
      <c r="LVX145" s="41"/>
      <c r="LVY145" s="41"/>
      <c r="LVZ145" s="41"/>
      <c r="LWA145" s="41"/>
      <c r="LWB145" s="41"/>
      <c r="LWC145" s="41"/>
      <c r="LWD145" s="41"/>
      <c r="LWE145" s="41"/>
      <c r="LWF145" s="41"/>
      <c r="LWG145" s="41"/>
      <c r="LWH145" s="41"/>
      <c r="LWI145" s="41"/>
      <c r="LWJ145" s="41"/>
      <c r="LWK145" s="41"/>
      <c r="LWL145" s="41"/>
      <c r="LWM145" s="41"/>
      <c r="LWN145" s="41"/>
      <c r="LWO145" s="41"/>
      <c r="LWP145" s="41"/>
      <c r="LWQ145" s="41"/>
      <c r="LWR145" s="41"/>
      <c r="LWS145" s="41"/>
      <c r="LWT145" s="41"/>
      <c r="LWU145" s="41"/>
      <c r="LWV145" s="41"/>
      <c r="LWW145" s="41"/>
      <c r="LWX145" s="41"/>
      <c r="LWY145" s="41"/>
      <c r="LWZ145" s="41"/>
      <c r="LXA145" s="41"/>
      <c r="LXB145" s="41"/>
      <c r="LXC145" s="41"/>
      <c r="LXD145" s="41"/>
      <c r="LXE145" s="41"/>
      <c r="LXF145" s="41"/>
      <c r="LXG145" s="41"/>
      <c r="LXH145" s="41"/>
      <c r="LXI145" s="41"/>
      <c r="LXJ145" s="41"/>
      <c r="LXK145" s="41"/>
      <c r="LXL145" s="41"/>
      <c r="LXM145" s="41"/>
      <c r="LXN145" s="41"/>
      <c r="LXO145" s="41"/>
      <c r="LXP145" s="41"/>
      <c r="LXQ145" s="41"/>
      <c r="LXR145" s="41"/>
      <c r="LXS145" s="41"/>
      <c r="LXT145" s="41"/>
      <c r="LXU145" s="41"/>
      <c r="LXV145" s="41"/>
      <c r="LXW145" s="41"/>
      <c r="LXX145" s="41"/>
      <c r="LXY145" s="41"/>
      <c r="LXZ145" s="41"/>
      <c r="LYA145" s="41"/>
      <c r="LYB145" s="41"/>
      <c r="LYC145" s="41"/>
      <c r="LYD145" s="41"/>
      <c r="LYE145" s="41"/>
      <c r="LYF145" s="41"/>
      <c r="LYG145" s="41"/>
      <c r="LYH145" s="41"/>
      <c r="LYI145" s="41"/>
      <c r="LYJ145" s="41"/>
      <c r="LYK145" s="41"/>
      <c r="LYL145" s="41"/>
      <c r="LYM145" s="41"/>
      <c r="LYN145" s="41"/>
      <c r="LYO145" s="41"/>
      <c r="LYP145" s="41"/>
      <c r="LYQ145" s="41"/>
      <c r="LYR145" s="41"/>
      <c r="LYS145" s="41"/>
      <c r="LYT145" s="41"/>
      <c r="LYU145" s="41"/>
      <c r="LYV145" s="41"/>
      <c r="LYW145" s="41"/>
      <c r="LYX145" s="41"/>
      <c r="LYY145" s="41"/>
      <c r="LYZ145" s="41"/>
      <c r="LZA145" s="41"/>
      <c r="LZB145" s="41"/>
      <c r="LZC145" s="41"/>
      <c r="LZD145" s="41"/>
      <c r="LZE145" s="41"/>
      <c r="LZF145" s="41"/>
      <c r="LZG145" s="41"/>
      <c r="LZH145" s="41"/>
      <c r="LZI145" s="41"/>
      <c r="LZJ145" s="41"/>
      <c r="LZK145" s="41"/>
      <c r="LZL145" s="41"/>
      <c r="LZM145" s="41"/>
      <c r="LZN145" s="41"/>
      <c r="LZO145" s="41"/>
      <c r="LZP145" s="41"/>
      <c r="LZQ145" s="41"/>
      <c r="LZR145" s="41"/>
      <c r="LZS145" s="41"/>
      <c r="LZT145" s="41"/>
      <c r="LZU145" s="41"/>
      <c r="LZV145" s="41"/>
      <c r="LZW145" s="41"/>
      <c r="LZX145" s="41"/>
      <c r="LZY145" s="41"/>
      <c r="LZZ145" s="41"/>
      <c r="MAA145" s="41"/>
      <c r="MAB145" s="41"/>
      <c r="MAC145" s="41"/>
      <c r="MAD145" s="41"/>
      <c r="MAE145" s="41"/>
      <c r="MAF145" s="41"/>
      <c r="MAG145" s="41"/>
      <c r="MAH145" s="41"/>
      <c r="MAI145" s="41"/>
      <c r="MAJ145" s="41"/>
      <c r="MAK145" s="41"/>
      <c r="MAL145" s="41"/>
      <c r="MAM145" s="41"/>
      <c r="MAN145" s="41"/>
      <c r="MAO145" s="41"/>
      <c r="MAP145" s="41"/>
      <c r="MAQ145" s="41"/>
      <c r="MAR145" s="41"/>
      <c r="MAS145" s="41"/>
      <c r="MAT145" s="41"/>
      <c r="MAU145" s="41"/>
      <c r="MAV145" s="41"/>
      <c r="MAW145" s="41"/>
      <c r="MAX145" s="41"/>
      <c r="MAY145" s="41"/>
      <c r="MAZ145" s="41"/>
      <c r="MBA145" s="41"/>
      <c r="MBB145" s="41"/>
      <c r="MBC145" s="41"/>
      <c r="MBD145" s="41"/>
      <c r="MBE145" s="41"/>
      <c r="MBF145" s="41"/>
      <c r="MBG145" s="41"/>
      <c r="MBH145" s="41"/>
      <c r="MBI145" s="41"/>
      <c r="MBJ145" s="41"/>
      <c r="MBK145" s="41"/>
      <c r="MBL145" s="41"/>
      <c r="MBM145" s="41"/>
      <c r="MBN145" s="41"/>
      <c r="MBO145" s="41"/>
      <c r="MBP145" s="41"/>
      <c r="MBQ145" s="41"/>
      <c r="MBR145" s="41"/>
      <c r="MBS145" s="41"/>
      <c r="MBT145" s="41"/>
      <c r="MBU145" s="41"/>
      <c r="MBV145" s="41"/>
      <c r="MBW145" s="41"/>
      <c r="MBX145" s="41"/>
      <c r="MBY145" s="41"/>
      <c r="MBZ145" s="41"/>
      <c r="MCA145" s="41"/>
      <c r="MCB145" s="41"/>
      <c r="MCC145" s="41"/>
      <c r="MCD145" s="41"/>
      <c r="MCE145" s="41"/>
      <c r="MCF145" s="41"/>
      <c r="MCG145" s="41"/>
      <c r="MCH145" s="41"/>
      <c r="MCI145" s="41"/>
      <c r="MCJ145" s="41"/>
      <c r="MCK145" s="41"/>
      <c r="MCL145" s="41"/>
      <c r="MCM145" s="41"/>
      <c r="MCN145" s="41"/>
      <c r="MCO145" s="41"/>
      <c r="MCP145" s="41"/>
      <c r="MCQ145" s="41"/>
      <c r="MCR145" s="41"/>
      <c r="MCS145" s="41"/>
      <c r="MCT145" s="41"/>
      <c r="MCU145" s="41"/>
      <c r="MCV145" s="41"/>
      <c r="MCW145" s="41"/>
      <c r="MCX145" s="41"/>
      <c r="MCY145" s="41"/>
      <c r="MCZ145" s="41"/>
      <c r="MDA145" s="41"/>
      <c r="MDB145" s="41"/>
      <c r="MDC145" s="41"/>
      <c r="MDD145" s="41"/>
      <c r="MDE145" s="41"/>
      <c r="MDF145" s="41"/>
      <c r="MDG145" s="41"/>
      <c r="MDH145" s="41"/>
      <c r="MDI145" s="41"/>
      <c r="MDJ145" s="41"/>
      <c r="MDK145" s="41"/>
      <c r="MDL145" s="41"/>
      <c r="MDM145" s="41"/>
      <c r="MDN145" s="41"/>
      <c r="MDO145" s="41"/>
      <c r="MDP145" s="41"/>
      <c r="MDQ145" s="41"/>
      <c r="MDR145" s="41"/>
      <c r="MDS145" s="41"/>
      <c r="MDT145" s="41"/>
      <c r="MDU145" s="41"/>
      <c r="MDV145" s="41"/>
      <c r="MDW145" s="41"/>
      <c r="MDX145" s="41"/>
      <c r="MDY145" s="41"/>
      <c r="MDZ145" s="41"/>
      <c r="MEA145" s="41"/>
      <c r="MEB145" s="41"/>
      <c r="MEC145" s="41"/>
      <c r="MED145" s="41"/>
      <c r="MEE145" s="41"/>
      <c r="MEF145" s="41"/>
      <c r="MEG145" s="41"/>
      <c r="MEH145" s="41"/>
      <c r="MEI145" s="41"/>
      <c r="MEJ145" s="41"/>
      <c r="MEK145" s="41"/>
      <c r="MEL145" s="41"/>
      <c r="MEM145" s="41"/>
      <c r="MEN145" s="41"/>
      <c r="MEO145" s="41"/>
      <c r="MEP145" s="41"/>
      <c r="MEQ145" s="41"/>
      <c r="MER145" s="41"/>
      <c r="MES145" s="41"/>
      <c r="MET145" s="41"/>
      <c r="MEU145" s="41"/>
      <c r="MEV145" s="41"/>
      <c r="MEW145" s="41"/>
      <c r="MEX145" s="41"/>
      <c r="MEY145" s="41"/>
      <c r="MEZ145" s="41"/>
      <c r="MFA145" s="41"/>
      <c r="MFB145" s="41"/>
      <c r="MFC145" s="41"/>
      <c r="MFD145" s="41"/>
      <c r="MFE145" s="41"/>
      <c r="MFF145" s="41"/>
      <c r="MFG145" s="41"/>
      <c r="MFH145" s="41"/>
      <c r="MFI145" s="41"/>
      <c r="MFJ145" s="41"/>
      <c r="MFK145" s="41"/>
      <c r="MFL145" s="41"/>
      <c r="MFM145" s="41"/>
      <c r="MFN145" s="41"/>
      <c r="MFO145" s="41"/>
      <c r="MFP145" s="41"/>
      <c r="MFQ145" s="41"/>
      <c r="MFR145" s="41"/>
      <c r="MFS145" s="41"/>
      <c r="MFT145" s="41"/>
      <c r="MFU145" s="41"/>
      <c r="MFV145" s="41"/>
      <c r="MFW145" s="41"/>
      <c r="MFX145" s="41"/>
      <c r="MFY145" s="41"/>
      <c r="MFZ145" s="41"/>
      <c r="MGA145" s="41"/>
      <c r="MGB145" s="41"/>
      <c r="MGC145" s="41"/>
      <c r="MGD145" s="41"/>
      <c r="MGE145" s="41"/>
      <c r="MGF145" s="41"/>
      <c r="MGG145" s="41"/>
      <c r="MGH145" s="41"/>
      <c r="MGI145" s="41"/>
      <c r="MGJ145" s="41"/>
      <c r="MGK145" s="41"/>
      <c r="MGL145" s="41"/>
      <c r="MGM145" s="41"/>
      <c r="MGN145" s="41"/>
      <c r="MGO145" s="41"/>
      <c r="MGP145" s="41"/>
      <c r="MGQ145" s="41"/>
      <c r="MGR145" s="41"/>
      <c r="MGS145" s="41"/>
      <c r="MGT145" s="41"/>
      <c r="MGU145" s="41"/>
      <c r="MGV145" s="41"/>
      <c r="MGW145" s="41"/>
      <c r="MGX145" s="41"/>
      <c r="MGY145" s="41"/>
      <c r="MGZ145" s="41"/>
      <c r="MHA145" s="41"/>
      <c r="MHB145" s="41"/>
      <c r="MHC145" s="41"/>
      <c r="MHD145" s="41"/>
      <c r="MHE145" s="41"/>
      <c r="MHF145" s="41"/>
      <c r="MHG145" s="41"/>
      <c r="MHH145" s="41"/>
      <c r="MHI145" s="41"/>
      <c r="MHJ145" s="41"/>
      <c r="MHK145" s="41"/>
      <c r="MHL145" s="41"/>
      <c r="MHM145" s="41"/>
      <c r="MHN145" s="41"/>
      <c r="MHO145" s="41"/>
      <c r="MHP145" s="41"/>
      <c r="MHQ145" s="41"/>
      <c r="MHR145" s="41"/>
      <c r="MHS145" s="41"/>
      <c r="MHT145" s="41"/>
      <c r="MHU145" s="41"/>
      <c r="MHV145" s="41"/>
      <c r="MHW145" s="41"/>
      <c r="MHX145" s="41"/>
      <c r="MHY145" s="41"/>
      <c r="MHZ145" s="41"/>
      <c r="MIA145" s="41"/>
      <c r="MIB145" s="41"/>
      <c r="MIC145" s="41"/>
      <c r="MID145" s="41"/>
      <c r="MIE145" s="41"/>
      <c r="MIF145" s="41"/>
      <c r="MIG145" s="41"/>
      <c r="MIH145" s="41"/>
      <c r="MII145" s="41"/>
      <c r="MIJ145" s="41"/>
      <c r="MIK145" s="41"/>
      <c r="MIL145" s="41"/>
      <c r="MIM145" s="41"/>
      <c r="MIN145" s="41"/>
      <c r="MIO145" s="41"/>
      <c r="MIP145" s="41"/>
      <c r="MIQ145" s="41"/>
      <c r="MIR145" s="41"/>
      <c r="MIS145" s="41"/>
      <c r="MIT145" s="41"/>
      <c r="MIU145" s="41"/>
      <c r="MIV145" s="41"/>
      <c r="MIW145" s="41"/>
      <c r="MIX145" s="41"/>
      <c r="MIY145" s="41"/>
      <c r="MIZ145" s="41"/>
      <c r="MJA145" s="41"/>
      <c r="MJB145" s="41"/>
      <c r="MJC145" s="41"/>
      <c r="MJD145" s="41"/>
      <c r="MJE145" s="41"/>
      <c r="MJF145" s="41"/>
      <c r="MJG145" s="41"/>
      <c r="MJH145" s="41"/>
      <c r="MJI145" s="41"/>
      <c r="MJJ145" s="41"/>
      <c r="MJK145" s="41"/>
      <c r="MJL145" s="41"/>
      <c r="MJM145" s="41"/>
      <c r="MJN145" s="41"/>
      <c r="MJO145" s="41"/>
      <c r="MJP145" s="41"/>
      <c r="MJQ145" s="41"/>
      <c r="MJR145" s="41"/>
      <c r="MJS145" s="41"/>
      <c r="MJT145" s="41"/>
      <c r="MJU145" s="41"/>
      <c r="MJV145" s="41"/>
      <c r="MJW145" s="41"/>
      <c r="MJX145" s="41"/>
      <c r="MJY145" s="41"/>
      <c r="MJZ145" s="41"/>
      <c r="MKA145" s="41"/>
      <c r="MKB145" s="41"/>
      <c r="MKC145" s="41"/>
      <c r="MKD145" s="41"/>
      <c r="MKE145" s="41"/>
      <c r="MKF145" s="41"/>
      <c r="MKG145" s="41"/>
      <c r="MKH145" s="41"/>
      <c r="MKI145" s="41"/>
      <c r="MKJ145" s="41"/>
      <c r="MKK145" s="41"/>
      <c r="MKL145" s="41"/>
      <c r="MKM145" s="41"/>
      <c r="MKN145" s="41"/>
      <c r="MKO145" s="41"/>
      <c r="MKP145" s="41"/>
      <c r="MKQ145" s="41"/>
      <c r="MKR145" s="41"/>
      <c r="MKS145" s="41"/>
      <c r="MKT145" s="41"/>
      <c r="MKU145" s="41"/>
      <c r="MKV145" s="41"/>
      <c r="MKW145" s="41"/>
      <c r="MKX145" s="41"/>
      <c r="MKY145" s="41"/>
      <c r="MKZ145" s="41"/>
      <c r="MLA145" s="41"/>
      <c r="MLB145" s="41"/>
      <c r="MLC145" s="41"/>
      <c r="MLD145" s="41"/>
      <c r="MLE145" s="41"/>
      <c r="MLF145" s="41"/>
      <c r="MLG145" s="41"/>
      <c r="MLH145" s="41"/>
      <c r="MLI145" s="41"/>
      <c r="MLJ145" s="41"/>
      <c r="MLK145" s="41"/>
      <c r="MLL145" s="41"/>
      <c r="MLM145" s="41"/>
      <c r="MLN145" s="41"/>
      <c r="MLO145" s="41"/>
      <c r="MLP145" s="41"/>
      <c r="MLQ145" s="41"/>
      <c r="MLR145" s="41"/>
      <c r="MLS145" s="41"/>
      <c r="MLT145" s="41"/>
      <c r="MLU145" s="41"/>
      <c r="MLV145" s="41"/>
      <c r="MLW145" s="41"/>
      <c r="MLX145" s="41"/>
      <c r="MLY145" s="41"/>
      <c r="MLZ145" s="41"/>
      <c r="MMA145" s="41"/>
      <c r="MMB145" s="41"/>
      <c r="MMC145" s="41"/>
      <c r="MMD145" s="41"/>
      <c r="MME145" s="41"/>
      <c r="MMF145" s="41"/>
      <c r="MMG145" s="41"/>
      <c r="MMH145" s="41"/>
      <c r="MMI145" s="41"/>
      <c r="MMJ145" s="41"/>
      <c r="MMK145" s="41"/>
      <c r="MML145" s="41"/>
      <c r="MMM145" s="41"/>
      <c r="MMN145" s="41"/>
      <c r="MMO145" s="41"/>
      <c r="MMP145" s="41"/>
      <c r="MMQ145" s="41"/>
      <c r="MMR145" s="41"/>
      <c r="MMS145" s="41"/>
      <c r="MMT145" s="41"/>
      <c r="MMU145" s="41"/>
      <c r="MMV145" s="41"/>
      <c r="MMW145" s="41"/>
      <c r="MMX145" s="41"/>
      <c r="MMY145" s="41"/>
      <c r="MMZ145" s="41"/>
      <c r="MNA145" s="41"/>
      <c r="MNB145" s="41"/>
      <c r="MNC145" s="41"/>
      <c r="MND145" s="41"/>
      <c r="MNE145" s="41"/>
      <c r="MNF145" s="41"/>
      <c r="MNG145" s="41"/>
      <c r="MNH145" s="41"/>
      <c r="MNI145" s="41"/>
      <c r="MNJ145" s="41"/>
      <c r="MNK145" s="41"/>
      <c r="MNL145" s="41"/>
      <c r="MNM145" s="41"/>
      <c r="MNN145" s="41"/>
      <c r="MNO145" s="41"/>
      <c r="MNP145" s="41"/>
      <c r="MNQ145" s="41"/>
      <c r="MNR145" s="41"/>
      <c r="MNS145" s="41"/>
      <c r="MNT145" s="41"/>
      <c r="MNU145" s="41"/>
      <c r="MNV145" s="41"/>
      <c r="MNW145" s="41"/>
      <c r="MNX145" s="41"/>
      <c r="MNY145" s="41"/>
      <c r="MNZ145" s="41"/>
      <c r="MOA145" s="41"/>
      <c r="MOB145" s="41"/>
      <c r="MOC145" s="41"/>
      <c r="MOD145" s="41"/>
      <c r="MOE145" s="41"/>
      <c r="MOF145" s="41"/>
      <c r="MOG145" s="41"/>
      <c r="MOH145" s="41"/>
      <c r="MOI145" s="41"/>
      <c r="MOJ145" s="41"/>
      <c r="MOK145" s="41"/>
      <c r="MOL145" s="41"/>
      <c r="MOM145" s="41"/>
      <c r="MON145" s="41"/>
      <c r="MOO145" s="41"/>
      <c r="MOP145" s="41"/>
      <c r="MOQ145" s="41"/>
      <c r="MOR145" s="41"/>
      <c r="MOS145" s="41"/>
      <c r="MOT145" s="41"/>
      <c r="MOU145" s="41"/>
      <c r="MOV145" s="41"/>
      <c r="MOW145" s="41"/>
      <c r="MOX145" s="41"/>
      <c r="MOY145" s="41"/>
      <c r="MOZ145" s="41"/>
      <c r="MPA145" s="41"/>
      <c r="MPB145" s="41"/>
      <c r="MPC145" s="41"/>
      <c r="MPD145" s="41"/>
      <c r="MPE145" s="41"/>
      <c r="MPF145" s="41"/>
      <c r="MPG145" s="41"/>
      <c r="MPH145" s="41"/>
      <c r="MPI145" s="41"/>
      <c r="MPJ145" s="41"/>
      <c r="MPK145" s="41"/>
      <c r="MPL145" s="41"/>
      <c r="MPM145" s="41"/>
      <c r="MPN145" s="41"/>
      <c r="MPO145" s="41"/>
      <c r="MPP145" s="41"/>
      <c r="MPQ145" s="41"/>
      <c r="MPR145" s="41"/>
      <c r="MPS145" s="41"/>
      <c r="MPT145" s="41"/>
      <c r="MPU145" s="41"/>
      <c r="MPV145" s="41"/>
      <c r="MPW145" s="41"/>
      <c r="MPX145" s="41"/>
      <c r="MPY145" s="41"/>
      <c r="MPZ145" s="41"/>
      <c r="MQA145" s="41"/>
      <c r="MQB145" s="41"/>
      <c r="MQC145" s="41"/>
      <c r="MQD145" s="41"/>
      <c r="MQE145" s="41"/>
      <c r="MQF145" s="41"/>
      <c r="MQG145" s="41"/>
      <c r="MQH145" s="41"/>
      <c r="MQI145" s="41"/>
      <c r="MQJ145" s="41"/>
      <c r="MQK145" s="41"/>
      <c r="MQL145" s="41"/>
      <c r="MQM145" s="41"/>
      <c r="MQN145" s="41"/>
      <c r="MQO145" s="41"/>
      <c r="MQP145" s="41"/>
      <c r="MQQ145" s="41"/>
      <c r="MQR145" s="41"/>
      <c r="MQS145" s="41"/>
      <c r="MQT145" s="41"/>
      <c r="MQU145" s="41"/>
      <c r="MQV145" s="41"/>
      <c r="MQW145" s="41"/>
      <c r="MQX145" s="41"/>
      <c r="MQY145" s="41"/>
      <c r="MQZ145" s="41"/>
      <c r="MRA145" s="41"/>
      <c r="MRB145" s="41"/>
      <c r="MRC145" s="41"/>
      <c r="MRD145" s="41"/>
      <c r="MRE145" s="41"/>
      <c r="MRF145" s="41"/>
      <c r="MRG145" s="41"/>
      <c r="MRH145" s="41"/>
      <c r="MRI145" s="41"/>
      <c r="MRJ145" s="41"/>
      <c r="MRK145" s="41"/>
      <c r="MRL145" s="41"/>
      <c r="MRM145" s="41"/>
      <c r="MRN145" s="41"/>
      <c r="MRO145" s="41"/>
      <c r="MRP145" s="41"/>
      <c r="MRQ145" s="41"/>
      <c r="MRR145" s="41"/>
      <c r="MRS145" s="41"/>
      <c r="MRT145" s="41"/>
      <c r="MRU145" s="41"/>
      <c r="MRV145" s="41"/>
      <c r="MRW145" s="41"/>
      <c r="MRX145" s="41"/>
      <c r="MRY145" s="41"/>
      <c r="MRZ145" s="41"/>
      <c r="MSA145" s="41"/>
      <c r="MSB145" s="41"/>
      <c r="MSC145" s="41"/>
      <c r="MSD145" s="41"/>
      <c r="MSE145" s="41"/>
      <c r="MSF145" s="41"/>
      <c r="MSG145" s="41"/>
      <c r="MSH145" s="41"/>
      <c r="MSI145" s="41"/>
      <c r="MSJ145" s="41"/>
      <c r="MSK145" s="41"/>
      <c r="MSL145" s="41"/>
      <c r="MSM145" s="41"/>
      <c r="MSN145" s="41"/>
      <c r="MSO145" s="41"/>
      <c r="MSP145" s="41"/>
      <c r="MSQ145" s="41"/>
      <c r="MSR145" s="41"/>
      <c r="MSS145" s="41"/>
      <c r="MST145" s="41"/>
      <c r="MSU145" s="41"/>
      <c r="MSV145" s="41"/>
      <c r="MSW145" s="41"/>
      <c r="MSX145" s="41"/>
      <c r="MSY145" s="41"/>
      <c r="MSZ145" s="41"/>
      <c r="MTA145" s="41"/>
      <c r="MTB145" s="41"/>
      <c r="MTC145" s="41"/>
      <c r="MTD145" s="41"/>
      <c r="MTE145" s="41"/>
      <c r="MTF145" s="41"/>
      <c r="MTG145" s="41"/>
      <c r="MTH145" s="41"/>
      <c r="MTI145" s="41"/>
      <c r="MTJ145" s="41"/>
      <c r="MTK145" s="41"/>
      <c r="MTL145" s="41"/>
      <c r="MTM145" s="41"/>
      <c r="MTN145" s="41"/>
      <c r="MTO145" s="41"/>
      <c r="MTP145" s="41"/>
      <c r="MTQ145" s="41"/>
      <c r="MTR145" s="41"/>
      <c r="MTS145" s="41"/>
      <c r="MTT145" s="41"/>
      <c r="MTU145" s="41"/>
      <c r="MTV145" s="41"/>
      <c r="MTW145" s="41"/>
      <c r="MTX145" s="41"/>
      <c r="MTY145" s="41"/>
      <c r="MTZ145" s="41"/>
      <c r="MUA145" s="41"/>
      <c r="MUB145" s="41"/>
      <c r="MUC145" s="41"/>
      <c r="MUD145" s="41"/>
      <c r="MUE145" s="41"/>
      <c r="MUF145" s="41"/>
      <c r="MUG145" s="41"/>
      <c r="MUH145" s="41"/>
      <c r="MUI145" s="41"/>
      <c r="MUJ145" s="41"/>
      <c r="MUK145" s="41"/>
      <c r="MUL145" s="41"/>
      <c r="MUM145" s="41"/>
      <c r="MUN145" s="41"/>
      <c r="MUO145" s="41"/>
      <c r="MUP145" s="41"/>
      <c r="MUQ145" s="41"/>
      <c r="MUR145" s="41"/>
      <c r="MUS145" s="41"/>
      <c r="MUT145" s="41"/>
      <c r="MUU145" s="41"/>
      <c r="MUV145" s="41"/>
      <c r="MUW145" s="41"/>
      <c r="MUX145" s="41"/>
      <c r="MUY145" s="41"/>
      <c r="MUZ145" s="41"/>
      <c r="MVA145" s="41"/>
      <c r="MVB145" s="41"/>
      <c r="MVC145" s="41"/>
      <c r="MVD145" s="41"/>
      <c r="MVE145" s="41"/>
      <c r="MVF145" s="41"/>
      <c r="MVG145" s="41"/>
      <c r="MVH145" s="41"/>
      <c r="MVI145" s="41"/>
      <c r="MVJ145" s="41"/>
      <c r="MVK145" s="41"/>
      <c r="MVL145" s="41"/>
      <c r="MVM145" s="41"/>
      <c r="MVN145" s="41"/>
      <c r="MVO145" s="41"/>
      <c r="MVP145" s="41"/>
      <c r="MVQ145" s="41"/>
      <c r="MVR145" s="41"/>
      <c r="MVS145" s="41"/>
      <c r="MVT145" s="41"/>
      <c r="MVU145" s="41"/>
      <c r="MVV145" s="41"/>
      <c r="MVW145" s="41"/>
      <c r="MVX145" s="41"/>
      <c r="MVY145" s="41"/>
      <c r="MVZ145" s="41"/>
      <c r="MWA145" s="41"/>
      <c r="MWB145" s="41"/>
      <c r="MWC145" s="41"/>
      <c r="MWD145" s="41"/>
      <c r="MWE145" s="41"/>
      <c r="MWF145" s="41"/>
      <c r="MWG145" s="41"/>
      <c r="MWH145" s="41"/>
      <c r="MWI145" s="41"/>
      <c r="MWJ145" s="41"/>
      <c r="MWK145" s="41"/>
      <c r="MWL145" s="41"/>
      <c r="MWM145" s="41"/>
      <c r="MWN145" s="41"/>
      <c r="MWO145" s="41"/>
      <c r="MWP145" s="41"/>
      <c r="MWQ145" s="41"/>
      <c r="MWR145" s="41"/>
      <c r="MWS145" s="41"/>
      <c r="MWT145" s="41"/>
      <c r="MWU145" s="41"/>
      <c r="MWV145" s="41"/>
      <c r="MWW145" s="41"/>
      <c r="MWX145" s="41"/>
      <c r="MWY145" s="41"/>
      <c r="MWZ145" s="41"/>
      <c r="MXA145" s="41"/>
      <c r="MXB145" s="41"/>
      <c r="MXC145" s="41"/>
      <c r="MXD145" s="41"/>
      <c r="MXE145" s="41"/>
      <c r="MXF145" s="41"/>
      <c r="MXG145" s="41"/>
      <c r="MXH145" s="41"/>
      <c r="MXI145" s="41"/>
      <c r="MXJ145" s="41"/>
      <c r="MXK145" s="41"/>
      <c r="MXL145" s="41"/>
      <c r="MXM145" s="41"/>
      <c r="MXN145" s="41"/>
      <c r="MXO145" s="41"/>
      <c r="MXP145" s="41"/>
      <c r="MXQ145" s="41"/>
      <c r="MXR145" s="41"/>
      <c r="MXS145" s="41"/>
      <c r="MXT145" s="41"/>
      <c r="MXU145" s="41"/>
      <c r="MXV145" s="41"/>
      <c r="MXW145" s="41"/>
      <c r="MXX145" s="41"/>
      <c r="MXY145" s="41"/>
      <c r="MXZ145" s="41"/>
      <c r="MYA145" s="41"/>
      <c r="MYB145" s="41"/>
      <c r="MYC145" s="41"/>
      <c r="MYD145" s="41"/>
      <c r="MYE145" s="41"/>
      <c r="MYF145" s="41"/>
      <c r="MYG145" s="41"/>
      <c r="MYH145" s="41"/>
      <c r="MYI145" s="41"/>
      <c r="MYJ145" s="41"/>
      <c r="MYK145" s="41"/>
      <c r="MYL145" s="41"/>
      <c r="MYM145" s="41"/>
      <c r="MYN145" s="41"/>
      <c r="MYO145" s="41"/>
      <c r="MYP145" s="41"/>
      <c r="MYQ145" s="41"/>
      <c r="MYR145" s="41"/>
      <c r="MYS145" s="41"/>
      <c r="MYT145" s="41"/>
      <c r="MYU145" s="41"/>
      <c r="MYV145" s="41"/>
      <c r="MYW145" s="41"/>
      <c r="MYX145" s="41"/>
      <c r="MYY145" s="41"/>
      <c r="MYZ145" s="41"/>
      <c r="MZA145" s="41"/>
      <c r="MZB145" s="41"/>
      <c r="MZC145" s="41"/>
      <c r="MZD145" s="41"/>
      <c r="MZE145" s="41"/>
      <c r="MZF145" s="41"/>
      <c r="MZG145" s="41"/>
      <c r="MZH145" s="41"/>
      <c r="MZI145" s="41"/>
      <c r="MZJ145" s="41"/>
      <c r="MZK145" s="41"/>
      <c r="MZL145" s="41"/>
      <c r="MZM145" s="41"/>
      <c r="MZN145" s="41"/>
      <c r="MZO145" s="41"/>
      <c r="MZP145" s="41"/>
      <c r="MZQ145" s="41"/>
      <c r="MZR145" s="41"/>
      <c r="MZS145" s="41"/>
      <c r="MZT145" s="41"/>
      <c r="MZU145" s="41"/>
      <c r="MZV145" s="41"/>
      <c r="MZW145" s="41"/>
      <c r="MZX145" s="41"/>
      <c r="MZY145" s="41"/>
      <c r="MZZ145" s="41"/>
      <c r="NAA145" s="41"/>
      <c r="NAB145" s="41"/>
      <c r="NAC145" s="41"/>
      <c r="NAD145" s="41"/>
      <c r="NAE145" s="41"/>
      <c r="NAF145" s="41"/>
      <c r="NAG145" s="41"/>
      <c r="NAH145" s="41"/>
      <c r="NAI145" s="41"/>
      <c r="NAJ145" s="41"/>
      <c r="NAK145" s="41"/>
      <c r="NAL145" s="41"/>
      <c r="NAM145" s="41"/>
      <c r="NAN145" s="41"/>
      <c r="NAO145" s="41"/>
      <c r="NAP145" s="41"/>
      <c r="NAQ145" s="41"/>
      <c r="NAR145" s="41"/>
      <c r="NAS145" s="41"/>
      <c r="NAT145" s="41"/>
      <c r="NAU145" s="41"/>
      <c r="NAV145" s="41"/>
      <c r="NAW145" s="41"/>
      <c r="NAX145" s="41"/>
      <c r="NAY145" s="41"/>
      <c r="NAZ145" s="41"/>
      <c r="NBA145" s="41"/>
      <c r="NBB145" s="41"/>
      <c r="NBC145" s="41"/>
      <c r="NBD145" s="41"/>
      <c r="NBE145" s="41"/>
      <c r="NBF145" s="41"/>
      <c r="NBG145" s="41"/>
      <c r="NBH145" s="41"/>
      <c r="NBI145" s="41"/>
      <c r="NBJ145" s="41"/>
      <c r="NBK145" s="41"/>
      <c r="NBL145" s="41"/>
      <c r="NBM145" s="41"/>
      <c r="NBN145" s="41"/>
      <c r="NBO145" s="41"/>
      <c r="NBP145" s="41"/>
      <c r="NBQ145" s="41"/>
      <c r="NBR145" s="41"/>
      <c r="NBS145" s="41"/>
      <c r="NBT145" s="41"/>
      <c r="NBU145" s="41"/>
      <c r="NBV145" s="41"/>
      <c r="NBW145" s="41"/>
      <c r="NBX145" s="41"/>
      <c r="NBY145" s="41"/>
      <c r="NBZ145" s="41"/>
      <c r="NCA145" s="41"/>
      <c r="NCB145" s="41"/>
      <c r="NCC145" s="41"/>
      <c r="NCD145" s="41"/>
      <c r="NCE145" s="41"/>
      <c r="NCF145" s="41"/>
      <c r="NCG145" s="41"/>
      <c r="NCH145" s="41"/>
      <c r="NCI145" s="41"/>
      <c r="NCJ145" s="41"/>
      <c r="NCK145" s="41"/>
      <c r="NCL145" s="41"/>
      <c r="NCM145" s="41"/>
      <c r="NCN145" s="41"/>
      <c r="NCO145" s="41"/>
      <c r="NCP145" s="41"/>
      <c r="NCQ145" s="41"/>
      <c r="NCR145" s="41"/>
      <c r="NCS145" s="41"/>
      <c r="NCT145" s="41"/>
      <c r="NCU145" s="41"/>
      <c r="NCV145" s="41"/>
      <c r="NCW145" s="41"/>
      <c r="NCX145" s="41"/>
      <c r="NCY145" s="41"/>
      <c r="NCZ145" s="41"/>
      <c r="NDA145" s="41"/>
      <c r="NDB145" s="41"/>
      <c r="NDC145" s="41"/>
      <c r="NDD145" s="41"/>
      <c r="NDE145" s="41"/>
      <c r="NDF145" s="41"/>
      <c r="NDG145" s="41"/>
      <c r="NDH145" s="41"/>
      <c r="NDI145" s="41"/>
      <c r="NDJ145" s="41"/>
      <c r="NDK145" s="41"/>
      <c r="NDL145" s="41"/>
      <c r="NDM145" s="41"/>
      <c r="NDN145" s="41"/>
      <c r="NDO145" s="41"/>
      <c r="NDP145" s="41"/>
      <c r="NDQ145" s="41"/>
      <c r="NDR145" s="41"/>
      <c r="NDS145" s="41"/>
      <c r="NDT145" s="41"/>
      <c r="NDU145" s="41"/>
      <c r="NDV145" s="41"/>
      <c r="NDW145" s="41"/>
      <c r="NDX145" s="41"/>
      <c r="NDY145" s="41"/>
      <c r="NDZ145" s="41"/>
      <c r="NEA145" s="41"/>
      <c r="NEB145" s="41"/>
      <c r="NEC145" s="41"/>
      <c r="NED145" s="41"/>
      <c r="NEE145" s="41"/>
      <c r="NEF145" s="41"/>
      <c r="NEG145" s="41"/>
      <c r="NEH145" s="41"/>
      <c r="NEI145" s="41"/>
      <c r="NEJ145" s="41"/>
      <c r="NEK145" s="41"/>
      <c r="NEL145" s="41"/>
      <c r="NEM145" s="41"/>
      <c r="NEN145" s="41"/>
      <c r="NEO145" s="41"/>
      <c r="NEP145" s="41"/>
      <c r="NEQ145" s="41"/>
      <c r="NER145" s="41"/>
      <c r="NES145" s="41"/>
      <c r="NET145" s="41"/>
      <c r="NEU145" s="41"/>
      <c r="NEV145" s="41"/>
      <c r="NEW145" s="41"/>
      <c r="NEX145" s="41"/>
      <c r="NEY145" s="41"/>
      <c r="NEZ145" s="41"/>
      <c r="NFA145" s="41"/>
      <c r="NFB145" s="41"/>
      <c r="NFC145" s="41"/>
      <c r="NFD145" s="41"/>
      <c r="NFE145" s="41"/>
      <c r="NFF145" s="41"/>
      <c r="NFG145" s="41"/>
      <c r="NFH145" s="41"/>
      <c r="NFI145" s="41"/>
      <c r="NFJ145" s="41"/>
      <c r="NFK145" s="41"/>
      <c r="NFL145" s="41"/>
      <c r="NFM145" s="41"/>
      <c r="NFN145" s="41"/>
      <c r="NFO145" s="41"/>
      <c r="NFP145" s="41"/>
      <c r="NFQ145" s="41"/>
      <c r="NFR145" s="41"/>
      <c r="NFS145" s="41"/>
      <c r="NFT145" s="41"/>
      <c r="NFU145" s="41"/>
      <c r="NFV145" s="41"/>
      <c r="NFW145" s="41"/>
      <c r="NFX145" s="41"/>
      <c r="NFY145" s="41"/>
      <c r="NFZ145" s="41"/>
      <c r="NGA145" s="41"/>
      <c r="NGB145" s="41"/>
      <c r="NGC145" s="41"/>
      <c r="NGD145" s="41"/>
      <c r="NGE145" s="41"/>
      <c r="NGF145" s="41"/>
      <c r="NGG145" s="41"/>
      <c r="NGH145" s="41"/>
      <c r="NGI145" s="41"/>
      <c r="NGJ145" s="41"/>
      <c r="NGK145" s="41"/>
      <c r="NGL145" s="41"/>
      <c r="NGM145" s="41"/>
      <c r="NGN145" s="41"/>
      <c r="NGO145" s="41"/>
      <c r="NGP145" s="41"/>
      <c r="NGQ145" s="41"/>
      <c r="NGR145" s="41"/>
      <c r="NGS145" s="41"/>
      <c r="NGT145" s="41"/>
      <c r="NGU145" s="41"/>
      <c r="NGV145" s="41"/>
      <c r="NGW145" s="41"/>
      <c r="NGX145" s="41"/>
      <c r="NGY145" s="41"/>
      <c r="NGZ145" s="41"/>
      <c r="NHA145" s="41"/>
      <c r="NHB145" s="41"/>
      <c r="NHC145" s="41"/>
      <c r="NHD145" s="41"/>
      <c r="NHE145" s="41"/>
      <c r="NHF145" s="41"/>
      <c r="NHG145" s="41"/>
      <c r="NHH145" s="41"/>
      <c r="NHI145" s="41"/>
      <c r="NHJ145" s="41"/>
      <c r="NHK145" s="41"/>
      <c r="NHL145" s="41"/>
      <c r="NHM145" s="41"/>
      <c r="NHN145" s="41"/>
      <c r="NHO145" s="41"/>
      <c r="NHP145" s="41"/>
      <c r="NHQ145" s="41"/>
      <c r="NHR145" s="41"/>
      <c r="NHS145" s="41"/>
      <c r="NHT145" s="41"/>
      <c r="NHU145" s="41"/>
      <c r="NHV145" s="41"/>
      <c r="NHW145" s="41"/>
      <c r="NHX145" s="41"/>
      <c r="NHY145" s="41"/>
      <c r="NHZ145" s="41"/>
      <c r="NIA145" s="41"/>
      <c r="NIB145" s="41"/>
      <c r="NIC145" s="41"/>
      <c r="NID145" s="41"/>
      <c r="NIE145" s="41"/>
      <c r="NIF145" s="41"/>
      <c r="NIG145" s="41"/>
      <c r="NIH145" s="41"/>
      <c r="NII145" s="41"/>
      <c r="NIJ145" s="41"/>
      <c r="NIK145" s="41"/>
      <c r="NIL145" s="41"/>
      <c r="NIM145" s="41"/>
      <c r="NIN145" s="41"/>
      <c r="NIO145" s="41"/>
      <c r="NIP145" s="41"/>
      <c r="NIQ145" s="41"/>
      <c r="NIR145" s="41"/>
      <c r="NIS145" s="41"/>
      <c r="NIT145" s="41"/>
      <c r="NIU145" s="41"/>
      <c r="NIV145" s="41"/>
      <c r="NIW145" s="41"/>
      <c r="NIX145" s="41"/>
      <c r="NIY145" s="41"/>
      <c r="NIZ145" s="41"/>
      <c r="NJA145" s="41"/>
      <c r="NJB145" s="41"/>
      <c r="NJC145" s="41"/>
      <c r="NJD145" s="41"/>
      <c r="NJE145" s="41"/>
      <c r="NJF145" s="41"/>
      <c r="NJG145" s="41"/>
      <c r="NJH145" s="41"/>
      <c r="NJI145" s="41"/>
      <c r="NJJ145" s="41"/>
      <c r="NJK145" s="41"/>
      <c r="NJL145" s="41"/>
      <c r="NJM145" s="41"/>
      <c r="NJN145" s="41"/>
      <c r="NJO145" s="41"/>
      <c r="NJP145" s="41"/>
      <c r="NJQ145" s="41"/>
      <c r="NJR145" s="41"/>
      <c r="NJS145" s="41"/>
      <c r="NJT145" s="41"/>
      <c r="NJU145" s="41"/>
      <c r="NJV145" s="41"/>
      <c r="NJW145" s="41"/>
      <c r="NJX145" s="41"/>
      <c r="NJY145" s="41"/>
      <c r="NJZ145" s="41"/>
      <c r="NKA145" s="41"/>
      <c r="NKB145" s="41"/>
      <c r="NKC145" s="41"/>
      <c r="NKD145" s="41"/>
      <c r="NKE145" s="41"/>
      <c r="NKF145" s="41"/>
      <c r="NKG145" s="41"/>
      <c r="NKH145" s="41"/>
      <c r="NKI145" s="41"/>
      <c r="NKJ145" s="41"/>
      <c r="NKK145" s="41"/>
      <c r="NKL145" s="41"/>
      <c r="NKM145" s="41"/>
      <c r="NKN145" s="41"/>
      <c r="NKO145" s="41"/>
      <c r="NKP145" s="41"/>
      <c r="NKQ145" s="41"/>
      <c r="NKR145" s="41"/>
      <c r="NKS145" s="41"/>
      <c r="NKT145" s="41"/>
      <c r="NKU145" s="41"/>
      <c r="NKV145" s="41"/>
      <c r="NKW145" s="41"/>
      <c r="NKX145" s="41"/>
      <c r="NKY145" s="41"/>
      <c r="NKZ145" s="41"/>
      <c r="NLA145" s="41"/>
      <c r="NLB145" s="41"/>
      <c r="NLC145" s="41"/>
      <c r="NLD145" s="41"/>
      <c r="NLE145" s="41"/>
      <c r="NLF145" s="41"/>
      <c r="NLG145" s="41"/>
      <c r="NLH145" s="41"/>
      <c r="NLI145" s="41"/>
      <c r="NLJ145" s="41"/>
      <c r="NLK145" s="41"/>
      <c r="NLL145" s="41"/>
      <c r="NLM145" s="41"/>
      <c r="NLN145" s="41"/>
      <c r="NLO145" s="41"/>
      <c r="NLP145" s="41"/>
      <c r="NLQ145" s="41"/>
      <c r="NLR145" s="41"/>
      <c r="NLS145" s="41"/>
      <c r="NLT145" s="41"/>
      <c r="NLU145" s="41"/>
      <c r="NLV145" s="41"/>
      <c r="NLW145" s="41"/>
      <c r="NLX145" s="41"/>
      <c r="NLY145" s="41"/>
      <c r="NLZ145" s="41"/>
      <c r="NMA145" s="41"/>
      <c r="NMB145" s="41"/>
      <c r="NMC145" s="41"/>
      <c r="NMD145" s="41"/>
      <c r="NME145" s="41"/>
      <c r="NMF145" s="41"/>
      <c r="NMG145" s="41"/>
      <c r="NMH145" s="41"/>
      <c r="NMI145" s="41"/>
      <c r="NMJ145" s="41"/>
      <c r="NMK145" s="41"/>
      <c r="NML145" s="41"/>
      <c r="NMM145" s="41"/>
      <c r="NMN145" s="41"/>
      <c r="NMO145" s="41"/>
      <c r="NMP145" s="41"/>
      <c r="NMQ145" s="41"/>
      <c r="NMR145" s="41"/>
      <c r="NMS145" s="41"/>
      <c r="NMT145" s="41"/>
      <c r="NMU145" s="41"/>
      <c r="NMV145" s="41"/>
      <c r="NMW145" s="41"/>
      <c r="NMX145" s="41"/>
      <c r="NMY145" s="41"/>
      <c r="NMZ145" s="41"/>
      <c r="NNA145" s="41"/>
      <c r="NNB145" s="41"/>
      <c r="NNC145" s="41"/>
      <c r="NND145" s="41"/>
      <c r="NNE145" s="41"/>
      <c r="NNF145" s="41"/>
      <c r="NNG145" s="41"/>
      <c r="NNH145" s="41"/>
      <c r="NNI145" s="41"/>
      <c r="NNJ145" s="41"/>
      <c r="NNK145" s="41"/>
      <c r="NNL145" s="41"/>
      <c r="NNM145" s="41"/>
      <c r="NNN145" s="41"/>
      <c r="NNO145" s="41"/>
      <c r="NNP145" s="41"/>
      <c r="NNQ145" s="41"/>
      <c r="NNR145" s="41"/>
      <c r="NNS145" s="41"/>
      <c r="NNT145" s="41"/>
      <c r="NNU145" s="41"/>
      <c r="NNV145" s="41"/>
      <c r="NNW145" s="41"/>
      <c r="NNX145" s="41"/>
      <c r="NNY145" s="41"/>
      <c r="NNZ145" s="41"/>
      <c r="NOA145" s="41"/>
      <c r="NOB145" s="41"/>
      <c r="NOC145" s="41"/>
      <c r="NOD145" s="41"/>
      <c r="NOE145" s="41"/>
      <c r="NOF145" s="41"/>
      <c r="NOG145" s="41"/>
      <c r="NOH145" s="41"/>
      <c r="NOI145" s="41"/>
      <c r="NOJ145" s="41"/>
      <c r="NOK145" s="41"/>
      <c r="NOL145" s="41"/>
      <c r="NOM145" s="41"/>
      <c r="NON145" s="41"/>
      <c r="NOO145" s="41"/>
      <c r="NOP145" s="41"/>
      <c r="NOQ145" s="41"/>
      <c r="NOR145" s="41"/>
      <c r="NOS145" s="41"/>
      <c r="NOT145" s="41"/>
      <c r="NOU145" s="41"/>
      <c r="NOV145" s="41"/>
      <c r="NOW145" s="41"/>
      <c r="NOX145" s="41"/>
      <c r="NOY145" s="41"/>
      <c r="NOZ145" s="41"/>
      <c r="NPA145" s="41"/>
      <c r="NPB145" s="41"/>
      <c r="NPC145" s="41"/>
      <c r="NPD145" s="41"/>
      <c r="NPE145" s="41"/>
      <c r="NPF145" s="41"/>
      <c r="NPG145" s="41"/>
      <c r="NPH145" s="41"/>
      <c r="NPI145" s="41"/>
      <c r="NPJ145" s="41"/>
      <c r="NPK145" s="41"/>
      <c r="NPL145" s="41"/>
      <c r="NPM145" s="41"/>
      <c r="NPN145" s="41"/>
      <c r="NPO145" s="41"/>
      <c r="NPP145" s="41"/>
      <c r="NPQ145" s="41"/>
      <c r="NPR145" s="41"/>
      <c r="NPS145" s="41"/>
      <c r="NPT145" s="41"/>
      <c r="NPU145" s="41"/>
      <c r="NPV145" s="41"/>
      <c r="NPW145" s="41"/>
      <c r="NPX145" s="41"/>
      <c r="NPY145" s="41"/>
      <c r="NPZ145" s="41"/>
      <c r="NQA145" s="41"/>
      <c r="NQB145" s="41"/>
      <c r="NQC145" s="41"/>
      <c r="NQD145" s="41"/>
      <c r="NQE145" s="41"/>
      <c r="NQF145" s="41"/>
      <c r="NQG145" s="41"/>
      <c r="NQH145" s="41"/>
      <c r="NQI145" s="41"/>
      <c r="NQJ145" s="41"/>
      <c r="NQK145" s="41"/>
      <c r="NQL145" s="41"/>
      <c r="NQM145" s="41"/>
      <c r="NQN145" s="41"/>
      <c r="NQO145" s="41"/>
      <c r="NQP145" s="41"/>
      <c r="NQQ145" s="41"/>
      <c r="NQR145" s="41"/>
      <c r="NQS145" s="41"/>
      <c r="NQT145" s="41"/>
      <c r="NQU145" s="41"/>
      <c r="NQV145" s="41"/>
      <c r="NQW145" s="41"/>
      <c r="NQX145" s="41"/>
      <c r="NQY145" s="41"/>
      <c r="NQZ145" s="41"/>
      <c r="NRA145" s="41"/>
      <c r="NRB145" s="41"/>
      <c r="NRC145" s="41"/>
      <c r="NRD145" s="41"/>
      <c r="NRE145" s="41"/>
      <c r="NRF145" s="41"/>
      <c r="NRG145" s="41"/>
      <c r="NRH145" s="41"/>
      <c r="NRI145" s="41"/>
      <c r="NRJ145" s="41"/>
      <c r="NRK145" s="41"/>
      <c r="NRL145" s="41"/>
      <c r="NRM145" s="41"/>
      <c r="NRN145" s="41"/>
      <c r="NRO145" s="41"/>
      <c r="NRP145" s="41"/>
      <c r="NRQ145" s="41"/>
      <c r="NRR145" s="41"/>
      <c r="NRS145" s="41"/>
      <c r="NRT145" s="41"/>
      <c r="NRU145" s="41"/>
      <c r="NRV145" s="41"/>
      <c r="NRW145" s="41"/>
      <c r="NRX145" s="41"/>
      <c r="NRY145" s="41"/>
      <c r="NRZ145" s="41"/>
      <c r="NSA145" s="41"/>
      <c r="NSB145" s="41"/>
      <c r="NSC145" s="41"/>
      <c r="NSD145" s="41"/>
      <c r="NSE145" s="41"/>
      <c r="NSF145" s="41"/>
      <c r="NSG145" s="41"/>
      <c r="NSH145" s="41"/>
      <c r="NSI145" s="41"/>
      <c r="NSJ145" s="41"/>
      <c r="NSK145" s="41"/>
      <c r="NSL145" s="41"/>
      <c r="NSM145" s="41"/>
      <c r="NSN145" s="41"/>
      <c r="NSO145" s="41"/>
      <c r="NSP145" s="41"/>
      <c r="NSQ145" s="41"/>
      <c r="NSR145" s="41"/>
      <c r="NSS145" s="41"/>
      <c r="NST145" s="41"/>
      <c r="NSU145" s="41"/>
      <c r="NSV145" s="41"/>
      <c r="NSW145" s="41"/>
      <c r="NSX145" s="41"/>
      <c r="NSY145" s="41"/>
      <c r="NSZ145" s="41"/>
      <c r="NTA145" s="41"/>
      <c r="NTB145" s="41"/>
      <c r="NTC145" s="41"/>
      <c r="NTD145" s="41"/>
      <c r="NTE145" s="41"/>
      <c r="NTF145" s="41"/>
      <c r="NTG145" s="41"/>
      <c r="NTH145" s="41"/>
      <c r="NTI145" s="41"/>
      <c r="NTJ145" s="41"/>
      <c r="NTK145" s="41"/>
      <c r="NTL145" s="41"/>
      <c r="NTM145" s="41"/>
      <c r="NTN145" s="41"/>
      <c r="NTO145" s="41"/>
      <c r="NTP145" s="41"/>
      <c r="NTQ145" s="41"/>
      <c r="NTR145" s="41"/>
      <c r="NTS145" s="41"/>
      <c r="NTT145" s="41"/>
      <c r="NTU145" s="41"/>
      <c r="NTV145" s="41"/>
      <c r="NTW145" s="41"/>
      <c r="NTX145" s="41"/>
      <c r="NTY145" s="41"/>
      <c r="NTZ145" s="41"/>
      <c r="NUA145" s="41"/>
      <c r="NUB145" s="41"/>
      <c r="NUC145" s="41"/>
      <c r="NUD145" s="41"/>
      <c r="NUE145" s="41"/>
      <c r="NUF145" s="41"/>
      <c r="NUG145" s="41"/>
      <c r="NUH145" s="41"/>
      <c r="NUI145" s="41"/>
      <c r="NUJ145" s="41"/>
      <c r="NUK145" s="41"/>
      <c r="NUL145" s="41"/>
      <c r="NUM145" s="41"/>
      <c r="NUN145" s="41"/>
      <c r="NUO145" s="41"/>
      <c r="NUP145" s="41"/>
      <c r="NUQ145" s="41"/>
      <c r="NUR145" s="41"/>
      <c r="NUS145" s="41"/>
      <c r="NUT145" s="41"/>
      <c r="NUU145" s="41"/>
      <c r="NUV145" s="41"/>
      <c r="NUW145" s="41"/>
      <c r="NUX145" s="41"/>
      <c r="NUY145" s="41"/>
      <c r="NUZ145" s="41"/>
      <c r="NVA145" s="41"/>
      <c r="NVB145" s="41"/>
      <c r="NVC145" s="41"/>
      <c r="NVD145" s="41"/>
      <c r="NVE145" s="41"/>
      <c r="NVF145" s="41"/>
      <c r="NVG145" s="41"/>
      <c r="NVH145" s="41"/>
      <c r="NVI145" s="41"/>
      <c r="NVJ145" s="41"/>
      <c r="NVK145" s="41"/>
      <c r="NVL145" s="41"/>
      <c r="NVM145" s="41"/>
      <c r="NVN145" s="41"/>
      <c r="NVO145" s="41"/>
      <c r="NVP145" s="41"/>
      <c r="NVQ145" s="41"/>
      <c r="NVR145" s="41"/>
      <c r="NVS145" s="41"/>
      <c r="NVT145" s="41"/>
      <c r="NVU145" s="41"/>
      <c r="NVV145" s="41"/>
      <c r="NVW145" s="41"/>
      <c r="NVX145" s="41"/>
      <c r="NVY145" s="41"/>
      <c r="NVZ145" s="41"/>
      <c r="NWA145" s="41"/>
      <c r="NWB145" s="41"/>
      <c r="NWC145" s="41"/>
      <c r="NWD145" s="41"/>
      <c r="NWE145" s="41"/>
      <c r="NWF145" s="41"/>
      <c r="NWG145" s="41"/>
      <c r="NWH145" s="41"/>
      <c r="NWI145" s="41"/>
      <c r="NWJ145" s="41"/>
      <c r="NWK145" s="41"/>
      <c r="NWL145" s="41"/>
      <c r="NWM145" s="41"/>
      <c r="NWN145" s="41"/>
      <c r="NWO145" s="41"/>
      <c r="NWP145" s="41"/>
      <c r="NWQ145" s="41"/>
      <c r="NWR145" s="41"/>
      <c r="NWS145" s="41"/>
      <c r="NWT145" s="41"/>
      <c r="NWU145" s="41"/>
      <c r="NWV145" s="41"/>
      <c r="NWW145" s="41"/>
      <c r="NWX145" s="41"/>
      <c r="NWY145" s="41"/>
      <c r="NWZ145" s="41"/>
      <c r="NXA145" s="41"/>
      <c r="NXB145" s="41"/>
      <c r="NXC145" s="41"/>
      <c r="NXD145" s="41"/>
      <c r="NXE145" s="41"/>
      <c r="NXF145" s="41"/>
      <c r="NXG145" s="41"/>
      <c r="NXH145" s="41"/>
      <c r="NXI145" s="41"/>
      <c r="NXJ145" s="41"/>
      <c r="NXK145" s="41"/>
      <c r="NXL145" s="41"/>
      <c r="NXM145" s="41"/>
      <c r="NXN145" s="41"/>
      <c r="NXO145" s="41"/>
      <c r="NXP145" s="41"/>
      <c r="NXQ145" s="41"/>
      <c r="NXR145" s="41"/>
      <c r="NXS145" s="41"/>
      <c r="NXT145" s="41"/>
      <c r="NXU145" s="41"/>
      <c r="NXV145" s="41"/>
      <c r="NXW145" s="41"/>
      <c r="NXX145" s="41"/>
      <c r="NXY145" s="41"/>
      <c r="NXZ145" s="41"/>
      <c r="NYA145" s="41"/>
      <c r="NYB145" s="41"/>
      <c r="NYC145" s="41"/>
      <c r="NYD145" s="41"/>
      <c r="NYE145" s="41"/>
      <c r="NYF145" s="41"/>
      <c r="NYG145" s="41"/>
      <c r="NYH145" s="41"/>
      <c r="NYI145" s="41"/>
      <c r="NYJ145" s="41"/>
      <c r="NYK145" s="41"/>
      <c r="NYL145" s="41"/>
      <c r="NYM145" s="41"/>
      <c r="NYN145" s="41"/>
      <c r="NYO145" s="41"/>
      <c r="NYP145" s="41"/>
      <c r="NYQ145" s="41"/>
      <c r="NYR145" s="41"/>
      <c r="NYS145" s="41"/>
      <c r="NYT145" s="41"/>
      <c r="NYU145" s="41"/>
      <c r="NYV145" s="41"/>
      <c r="NYW145" s="41"/>
      <c r="NYX145" s="41"/>
      <c r="NYY145" s="41"/>
      <c r="NYZ145" s="41"/>
      <c r="NZA145" s="41"/>
      <c r="NZB145" s="41"/>
      <c r="NZC145" s="41"/>
      <c r="NZD145" s="41"/>
      <c r="NZE145" s="41"/>
      <c r="NZF145" s="41"/>
      <c r="NZG145" s="41"/>
      <c r="NZH145" s="41"/>
      <c r="NZI145" s="41"/>
      <c r="NZJ145" s="41"/>
      <c r="NZK145" s="41"/>
      <c r="NZL145" s="41"/>
      <c r="NZM145" s="41"/>
      <c r="NZN145" s="41"/>
      <c r="NZO145" s="41"/>
      <c r="NZP145" s="41"/>
      <c r="NZQ145" s="41"/>
      <c r="NZR145" s="41"/>
      <c r="NZS145" s="41"/>
      <c r="NZT145" s="41"/>
      <c r="NZU145" s="41"/>
      <c r="NZV145" s="41"/>
      <c r="NZW145" s="41"/>
      <c r="NZX145" s="41"/>
      <c r="NZY145" s="41"/>
      <c r="NZZ145" s="41"/>
      <c r="OAA145" s="41"/>
      <c r="OAB145" s="41"/>
      <c r="OAC145" s="41"/>
      <c r="OAD145" s="41"/>
      <c r="OAE145" s="41"/>
      <c r="OAF145" s="41"/>
      <c r="OAG145" s="41"/>
      <c r="OAH145" s="41"/>
      <c r="OAI145" s="41"/>
      <c r="OAJ145" s="41"/>
      <c r="OAK145" s="41"/>
      <c r="OAL145" s="41"/>
      <c r="OAM145" s="41"/>
      <c r="OAN145" s="41"/>
      <c r="OAO145" s="41"/>
      <c r="OAP145" s="41"/>
      <c r="OAQ145" s="41"/>
      <c r="OAR145" s="41"/>
      <c r="OAS145" s="41"/>
      <c r="OAT145" s="41"/>
      <c r="OAU145" s="41"/>
      <c r="OAV145" s="41"/>
      <c r="OAW145" s="41"/>
      <c r="OAX145" s="41"/>
      <c r="OAY145" s="41"/>
      <c r="OAZ145" s="41"/>
      <c r="OBA145" s="41"/>
      <c r="OBB145" s="41"/>
      <c r="OBC145" s="41"/>
      <c r="OBD145" s="41"/>
      <c r="OBE145" s="41"/>
      <c r="OBF145" s="41"/>
      <c r="OBG145" s="41"/>
      <c r="OBH145" s="41"/>
      <c r="OBI145" s="41"/>
      <c r="OBJ145" s="41"/>
      <c r="OBK145" s="41"/>
      <c r="OBL145" s="41"/>
      <c r="OBM145" s="41"/>
      <c r="OBN145" s="41"/>
      <c r="OBO145" s="41"/>
      <c r="OBP145" s="41"/>
      <c r="OBQ145" s="41"/>
      <c r="OBR145" s="41"/>
      <c r="OBS145" s="41"/>
      <c r="OBT145" s="41"/>
      <c r="OBU145" s="41"/>
      <c r="OBV145" s="41"/>
      <c r="OBW145" s="41"/>
      <c r="OBX145" s="41"/>
      <c r="OBY145" s="41"/>
      <c r="OBZ145" s="41"/>
      <c r="OCA145" s="41"/>
      <c r="OCB145" s="41"/>
      <c r="OCC145" s="41"/>
      <c r="OCD145" s="41"/>
      <c r="OCE145" s="41"/>
      <c r="OCF145" s="41"/>
      <c r="OCG145" s="41"/>
      <c r="OCH145" s="41"/>
      <c r="OCI145" s="41"/>
      <c r="OCJ145" s="41"/>
      <c r="OCK145" s="41"/>
      <c r="OCL145" s="41"/>
      <c r="OCM145" s="41"/>
      <c r="OCN145" s="41"/>
      <c r="OCO145" s="41"/>
      <c r="OCP145" s="41"/>
      <c r="OCQ145" s="41"/>
      <c r="OCR145" s="41"/>
      <c r="OCS145" s="41"/>
      <c r="OCT145" s="41"/>
      <c r="OCU145" s="41"/>
      <c r="OCV145" s="41"/>
      <c r="OCW145" s="41"/>
      <c r="OCX145" s="41"/>
      <c r="OCY145" s="41"/>
      <c r="OCZ145" s="41"/>
      <c r="ODA145" s="41"/>
      <c r="ODB145" s="41"/>
      <c r="ODC145" s="41"/>
      <c r="ODD145" s="41"/>
      <c r="ODE145" s="41"/>
      <c r="ODF145" s="41"/>
      <c r="ODG145" s="41"/>
      <c r="ODH145" s="41"/>
      <c r="ODI145" s="41"/>
      <c r="ODJ145" s="41"/>
      <c r="ODK145" s="41"/>
      <c r="ODL145" s="41"/>
      <c r="ODM145" s="41"/>
      <c r="ODN145" s="41"/>
      <c r="ODO145" s="41"/>
      <c r="ODP145" s="41"/>
      <c r="ODQ145" s="41"/>
      <c r="ODR145" s="41"/>
      <c r="ODS145" s="41"/>
      <c r="ODT145" s="41"/>
      <c r="ODU145" s="41"/>
      <c r="ODV145" s="41"/>
      <c r="ODW145" s="41"/>
      <c r="ODX145" s="41"/>
      <c r="ODY145" s="41"/>
      <c r="ODZ145" s="41"/>
      <c r="OEA145" s="41"/>
      <c r="OEB145" s="41"/>
      <c r="OEC145" s="41"/>
      <c r="OED145" s="41"/>
      <c r="OEE145" s="41"/>
      <c r="OEF145" s="41"/>
      <c r="OEG145" s="41"/>
      <c r="OEH145" s="41"/>
      <c r="OEI145" s="41"/>
      <c r="OEJ145" s="41"/>
      <c r="OEK145" s="41"/>
      <c r="OEL145" s="41"/>
      <c r="OEM145" s="41"/>
      <c r="OEN145" s="41"/>
      <c r="OEO145" s="41"/>
      <c r="OEP145" s="41"/>
      <c r="OEQ145" s="41"/>
      <c r="OER145" s="41"/>
      <c r="OES145" s="41"/>
      <c r="OET145" s="41"/>
      <c r="OEU145" s="41"/>
      <c r="OEV145" s="41"/>
      <c r="OEW145" s="41"/>
      <c r="OEX145" s="41"/>
      <c r="OEY145" s="41"/>
      <c r="OEZ145" s="41"/>
      <c r="OFA145" s="41"/>
      <c r="OFB145" s="41"/>
      <c r="OFC145" s="41"/>
      <c r="OFD145" s="41"/>
      <c r="OFE145" s="41"/>
      <c r="OFF145" s="41"/>
      <c r="OFG145" s="41"/>
      <c r="OFH145" s="41"/>
      <c r="OFI145" s="41"/>
      <c r="OFJ145" s="41"/>
      <c r="OFK145" s="41"/>
      <c r="OFL145" s="41"/>
      <c r="OFM145" s="41"/>
      <c r="OFN145" s="41"/>
      <c r="OFO145" s="41"/>
      <c r="OFP145" s="41"/>
      <c r="OFQ145" s="41"/>
      <c r="OFR145" s="41"/>
      <c r="OFS145" s="41"/>
      <c r="OFT145" s="41"/>
      <c r="OFU145" s="41"/>
      <c r="OFV145" s="41"/>
      <c r="OFW145" s="41"/>
      <c r="OFX145" s="41"/>
      <c r="OFY145" s="41"/>
      <c r="OFZ145" s="41"/>
      <c r="OGA145" s="41"/>
      <c r="OGB145" s="41"/>
      <c r="OGC145" s="41"/>
      <c r="OGD145" s="41"/>
      <c r="OGE145" s="41"/>
      <c r="OGF145" s="41"/>
      <c r="OGG145" s="41"/>
      <c r="OGH145" s="41"/>
      <c r="OGI145" s="41"/>
      <c r="OGJ145" s="41"/>
      <c r="OGK145" s="41"/>
      <c r="OGL145" s="41"/>
      <c r="OGM145" s="41"/>
      <c r="OGN145" s="41"/>
      <c r="OGO145" s="41"/>
      <c r="OGP145" s="41"/>
      <c r="OGQ145" s="41"/>
      <c r="OGR145" s="41"/>
      <c r="OGS145" s="41"/>
      <c r="OGT145" s="41"/>
      <c r="OGU145" s="41"/>
      <c r="OGV145" s="41"/>
      <c r="OGW145" s="41"/>
      <c r="OGX145" s="41"/>
      <c r="OGY145" s="41"/>
      <c r="OGZ145" s="41"/>
      <c r="OHA145" s="41"/>
      <c r="OHB145" s="41"/>
      <c r="OHC145" s="41"/>
      <c r="OHD145" s="41"/>
      <c r="OHE145" s="41"/>
      <c r="OHF145" s="41"/>
      <c r="OHG145" s="41"/>
      <c r="OHH145" s="41"/>
      <c r="OHI145" s="41"/>
      <c r="OHJ145" s="41"/>
      <c r="OHK145" s="41"/>
      <c r="OHL145" s="41"/>
      <c r="OHM145" s="41"/>
      <c r="OHN145" s="41"/>
      <c r="OHO145" s="41"/>
      <c r="OHP145" s="41"/>
      <c r="OHQ145" s="41"/>
      <c r="OHR145" s="41"/>
      <c r="OHS145" s="41"/>
      <c r="OHT145" s="41"/>
      <c r="OHU145" s="41"/>
      <c r="OHV145" s="41"/>
      <c r="OHW145" s="41"/>
      <c r="OHX145" s="41"/>
      <c r="OHY145" s="41"/>
      <c r="OHZ145" s="41"/>
      <c r="OIA145" s="41"/>
      <c r="OIB145" s="41"/>
      <c r="OIC145" s="41"/>
      <c r="OID145" s="41"/>
      <c r="OIE145" s="41"/>
      <c r="OIF145" s="41"/>
      <c r="OIG145" s="41"/>
      <c r="OIH145" s="41"/>
      <c r="OII145" s="41"/>
      <c r="OIJ145" s="41"/>
      <c r="OIK145" s="41"/>
      <c r="OIL145" s="41"/>
      <c r="OIM145" s="41"/>
      <c r="OIN145" s="41"/>
      <c r="OIO145" s="41"/>
      <c r="OIP145" s="41"/>
      <c r="OIQ145" s="41"/>
      <c r="OIR145" s="41"/>
      <c r="OIS145" s="41"/>
      <c r="OIT145" s="41"/>
      <c r="OIU145" s="41"/>
      <c r="OIV145" s="41"/>
      <c r="OIW145" s="41"/>
      <c r="OIX145" s="41"/>
      <c r="OIY145" s="41"/>
      <c r="OIZ145" s="41"/>
      <c r="OJA145" s="41"/>
      <c r="OJB145" s="41"/>
      <c r="OJC145" s="41"/>
      <c r="OJD145" s="41"/>
      <c r="OJE145" s="41"/>
      <c r="OJF145" s="41"/>
      <c r="OJG145" s="41"/>
      <c r="OJH145" s="41"/>
      <c r="OJI145" s="41"/>
      <c r="OJJ145" s="41"/>
      <c r="OJK145" s="41"/>
      <c r="OJL145" s="41"/>
      <c r="OJM145" s="41"/>
      <c r="OJN145" s="41"/>
      <c r="OJO145" s="41"/>
      <c r="OJP145" s="41"/>
      <c r="OJQ145" s="41"/>
      <c r="OJR145" s="41"/>
      <c r="OJS145" s="41"/>
      <c r="OJT145" s="41"/>
      <c r="OJU145" s="41"/>
      <c r="OJV145" s="41"/>
      <c r="OJW145" s="41"/>
      <c r="OJX145" s="41"/>
      <c r="OJY145" s="41"/>
      <c r="OJZ145" s="41"/>
      <c r="OKA145" s="41"/>
      <c r="OKB145" s="41"/>
      <c r="OKC145" s="41"/>
      <c r="OKD145" s="41"/>
      <c r="OKE145" s="41"/>
      <c r="OKF145" s="41"/>
      <c r="OKG145" s="41"/>
      <c r="OKH145" s="41"/>
      <c r="OKI145" s="41"/>
      <c r="OKJ145" s="41"/>
      <c r="OKK145" s="41"/>
      <c r="OKL145" s="41"/>
      <c r="OKM145" s="41"/>
      <c r="OKN145" s="41"/>
      <c r="OKO145" s="41"/>
      <c r="OKP145" s="41"/>
      <c r="OKQ145" s="41"/>
      <c r="OKR145" s="41"/>
      <c r="OKS145" s="41"/>
      <c r="OKT145" s="41"/>
      <c r="OKU145" s="41"/>
      <c r="OKV145" s="41"/>
      <c r="OKW145" s="41"/>
      <c r="OKX145" s="41"/>
      <c r="OKY145" s="41"/>
      <c r="OKZ145" s="41"/>
      <c r="OLA145" s="41"/>
      <c r="OLB145" s="41"/>
      <c r="OLC145" s="41"/>
      <c r="OLD145" s="41"/>
      <c r="OLE145" s="41"/>
      <c r="OLF145" s="41"/>
      <c r="OLG145" s="41"/>
      <c r="OLH145" s="41"/>
      <c r="OLI145" s="41"/>
      <c r="OLJ145" s="41"/>
      <c r="OLK145" s="41"/>
      <c r="OLL145" s="41"/>
      <c r="OLM145" s="41"/>
      <c r="OLN145" s="41"/>
      <c r="OLO145" s="41"/>
      <c r="OLP145" s="41"/>
      <c r="OLQ145" s="41"/>
      <c r="OLR145" s="41"/>
      <c r="OLS145" s="41"/>
      <c r="OLT145" s="41"/>
      <c r="OLU145" s="41"/>
      <c r="OLV145" s="41"/>
      <c r="OLW145" s="41"/>
      <c r="OLX145" s="41"/>
      <c r="OLY145" s="41"/>
      <c r="OLZ145" s="41"/>
      <c r="OMA145" s="41"/>
      <c r="OMB145" s="41"/>
      <c r="OMC145" s="41"/>
      <c r="OMD145" s="41"/>
      <c r="OME145" s="41"/>
      <c r="OMF145" s="41"/>
      <c r="OMG145" s="41"/>
      <c r="OMH145" s="41"/>
      <c r="OMI145" s="41"/>
      <c r="OMJ145" s="41"/>
      <c r="OMK145" s="41"/>
      <c r="OML145" s="41"/>
      <c r="OMM145" s="41"/>
      <c r="OMN145" s="41"/>
      <c r="OMO145" s="41"/>
      <c r="OMP145" s="41"/>
      <c r="OMQ145" s="41"/>
      <c r="OMR145" s="41"/>
      <c r="OMS145" s="41"/>
      <c r="OMT145" s="41"/>
      <c r="OMU145" s="41"/>
      <c r="OMV145" s="41"/>
      <c r="OMW145" s="41"/>
      <c r="OMX145" s="41"/>
      <c r="OMY145" s="41"/>
      <c r="OMZ145" s="41"/>
      <c r="ONA145" s="41"/>
      <c r="ONB145" s="41"/>
      <c r="ONC145" s="41"/>
      <c r="OND145" s="41"/>
      <c r="ONE145" s="41"/>
      <c r="ONF145" s="41"/>
      <c r="ONG145" s="41"/>
      <c r="ONH145" s="41"/>
      <c r="ONI145" s="41"/>
      <c r="ONJ145" s="41"/>
      <c r="ONK145" s="41"/>
      <c r="ONL145" s="41"/>
      <c r="ONM145" s="41"/>
      <c r="ONN145" s="41"/>
      <c r="ONO145" s="41"/>
      <c r="ONP145" s="41"/>
      <c r="ONQ145" s="41"/>
      <c r="ONR145" s="41"/>
      <c r="ONS145" s="41"/>
      <c r="ONT145" s="41"/>
      <c r="ONU145" s="41"/>
      <c r="ONV145" s="41"/>
      <c r="ONW145" s="41"/>
      <c r="ONX145" s="41"/>
      <c r="ONY145" s="41"/>
      <c r="ONZ145" s="41"/>
      <c r="OOA145" s="41"/>
      <c r="OOB145" s="41"/>
      <c r="OOC145" s="41"/>
      <c r="OOD145" s="41"/>
      <c r="OOE145" s="41"/>
      <c r="OOF145" s="41"/>
      <c r="OOG145" s="41"/>
      <c r="OOH145" s="41"/>
      <c r="OOI145" s="41"/>
      <c r="OOJ145" s="41"/>
      <c r="OOK145" s="41"/>
      <c r="OOL145" s="41"/>
      <c r="OOM145" s="41"/>
      <c r="OON145" s="41"/>
      <c r="OOO145" s="41"/>
      <c r="OOP145" s="41"/>
      <c r="OOQ145" s="41"/>
      <c r="OOR145" s="41"/>
      <c r="OOS145" s="41"/>
      <c r="OOT145" s="41"/>
      <c r="OOU145" s="41"/>
      <c r="OOV145" s="41"/>
      <c r="OOW145" s="41"/>
      <c r="OOX145" s="41"/>
      <c r="OOY145" s="41"/>
      <c r="OOZ145" s="41"/>
      <c r="OPA145" s="41"/>
      <c r="OPB145" s="41"/>
      <c r="OPC145" s="41"/>
      <c r="OPD145" s="41"/>
      <c r="OPE145" s="41"/>
      <c r="OPF145" s="41"/>
      <c r="OPG145" s="41"/>
      <c r="OPH145" s="41"/>
      <c r="OPI145" s="41"/>
      <c r="OPJ145" s="41"/>
      <c r="OPK145" s="41"/>
      <c r="OPL145" s="41"/>
      <c r="OPM145" s="41"/>
      <c r="OPN145" s="41"/>
      <c r="OPO145" s="41"/>
      <c r="OPP145" s="41"/>
      <c r="OPQ145" s="41"/>
      <c r="OPR145" s="41"/>
      <c r="OPS145" s="41"/>
      <c r="OPT145" s="41"/>
      <c r="OPU145" s="41"/>
      <c r="OPV145" s="41"/>
      <c r="OPW145" s="41"/>
      <c r="OPX145" s="41"/>
      <c r="OPY145" s="41"/>
      <c r="OPZ145" s="41"/>
      <c r="OQA145" s="41"/>
      <c r="OQB145" s="41"/>
      <c r="OQC145" s="41"/>
      <c r="OQD145" s="41"/>
      <c r="OQE145" s="41"/>
      <c r="OQF145" s="41"/>
      <c r="OQG145" s="41"/>
      <c r="OQH145" s="41"/>
      <c r="OQI145" s="41"/>
      <c r="OQJ145" s="41"/>
      <c r="OQK145" s="41"/>
      <c r="OQL145" s="41"/>
      <c r="OQM145" s="41"/>
      <c r="OQN145" s="41"/>
      <c r="OQO145" s="41"/>
      <c r="OQP145" s="41"/>
      <c r="OQQ145" s="41"/>
      <c r="OQR145" s="41"/>
      <c r="OQS145" s="41"/>
      <c r="OQT145" s="41"/>
      <c r="OQU145" s="41"/>
      <c r="OQV145" s="41"/>
      <c r="OQW145" s="41"/>
      <c r="OQX145" s="41"/>
      <c r="OQY145" s="41"/>
      <c r="OQZ145" s="41"/>
      <c r="ORA145" s="41"/>
      <c r="ORB145" s="41"/>
      <c r="ORC145" s="41"/>
      <c r="ORD145" s="41"/>
      <c r="ORE145" s="41"/>
      <c r="ORF145" s="41"/>
      <c r="ORG145" s="41"/>
      <c r="ORH145" s="41"/>
      <c r="ORI145" s="41"/>
      <c r="ORJ145" s="41"/>
      <c r="ORK145" s="41"/>
      <c r="ORL145" s="41"/>
      <c r="ORM145" s="41"/>
      <c r="ORN145" s="41"/>
      <c r="ORO145" s="41"/>
      <c r="ORP145" s="41"/>
      <c r="ORQ145" s="41"/>
      <c r="ORR145" s="41"/>
      <c r="ORS145" s="41"/>
      <c r="ORT145" s="41"/>
      <c r="ORU145" s="41"/>
      <c r="ORV145" s="41"/>
      <c r="ORW145" s="41"/>
      <c r="ORX145" s="41"/>
      <c r="ORY145" s="41"/>
      <c r="ORZ145" s="41"/>
      <c r="OSA145" s="41"/>
      <c r="OSB145" s="41"/>
      <c r="OSC145" s="41"/>
      <c r="OSD145" s="41"/>
      <c r="OSE145" s="41"/>
      <c r="OSF145" s="41"/>
      <c r="OSG145" s="41"/>
      <c r="OSH145" s="41"/>
      <c r="OSI145" s="41"/>
      <c r="OSJ145" s="41"/>
      <c r="OSK145" s="41"/>
      <c r="OSL145" s="41"/>
      <c r="OSM145" s="41"/>
      <c r="OSN145" s="41"/>
      <c r="OSO145" s="41"/>
      <c r="OSP145" s="41"/>
      <c r="OSQ145" s="41"/>
      <c r="OSR145" s="41"/>
      <c r="OSS145" s="41"/>
      <c r="OST145" s="41"/>
      <c r="OSU145" s="41"/>
      <c r="OSV145" s="41"/>
      <c r="OSW145" s="41"/>
      <c r="OSX145" s="41"/>
      <c r="OSY145" s="41"/>
      <c r="OSZ145" s="41"/>
      <c r="OTA145" s="41"/>
      <c r="OTB145" s="41"/>
      <c r="OTC145" s="41"/>
      <c r="OTD145" s="41"/>
      <c r="OTE145" s="41"/>
      <c r="OTF145" s="41"/>
      <c r="OTG145" s="41"/>
      <c r="OTH145" s="41"/>
      <c r="OTI145" s="41"/>
      <c r="OTJ145" s="41"/>
      <c r="OTK145" s="41"/>
      <c r="OTL145" s="41"/>
      <c r="OTM145" s="41"/>
      <c r="OTN145" s="41"/>
      <c r="OTO145" s="41"/>
      <c r="OTP145" s="41"/>
      <c r="OTQ145" s="41"/>
      <c r="OTR145" s="41"/>
      <c r="OTS145" s="41"/>
      <c r="OTT145" s="41"/>
      <c r="OTU145" s="41"/>
      <c r="OTV145" s="41"/>
      <c r="OTW145" s="41"/>
      <c r="OTX145" s="41"/>
      <c r="OTY145" s="41"/>
      <c r="OTZ145" s="41"/>
      <c r="OUA145" s="41"/>
      <c r="OUB145" s="41"/>
      <c r="OUC145" s="41"/>
      <c r="OUD145" s="41"/>
      <c r="OUE145" s="41"/>
      <c r="OUF145" s="41"/>
      <c r="OUG145" s="41"/>
      <c r="OUH145" s="41"/>
      <c r="OUI145" s="41"/>
      <c r="OUJ145" s="41"/>
      <c r="OUK145" s="41"/>
      <c r="OUL145" s="41"/>
      <c r="OUM145" s="41"/>
      <c r="OUN145" s="41"/>
      <c r="OUO145" s="41"/>
      <c r="OUP145" s="41"/>
      <c r="OUQ145" s="41"/>
      <c r="OUR145" s="41"/>
      <c r="OUS145" s="41"/>
      <c r="OUT145" s="41"/>
      <c r="OUU145" s="41"/>
      <c r="OUV145" s="41"/>
      <c r="OUW145" s="41"/>
      <c r="OUX145" s="41"/>
      <c r="OUY145" s="41"/>
      <c r="OUZ145" s="41"/>
      <c r="OVA145" s="41"/>
      <c r="OVB145" s="41"/>
      <c r="OVC145" s="41"/>
      <c r="OVD145" s="41"/>
      <c r="OVE145" s="41"/>
      <c r="OVF145" s="41"/>
      <c r="OVG145" s="41"/>
      <c r="OVH145" s="41"/>
      <c r="OVI145" s="41"/>
      <c r="OVJ145" s="41"/>
      <c r="OVK145" s="41"/>
      <c r="OVL145" s="41"/>
      <c r="OVM145" s="41"/>
      <c r="OVN145" s="41"/>
      <c r="OVO145" s="41"/>
      <c r="OVP145" s="41"/>
      <c r="OVQ145" s="41"/>
      <c r="OVR145" s="41"/>
      <c r="OVS145" s="41"/>
      <c r="OVT145" s="41"/>
      <c r="OVU145" s="41"/>
      <c r="OVV145" s="41"/>
      <c r="OVW145" s="41"/>
      <c r="OVX145" s="41"/>
      <c r="OVY145" s="41"/>
      <c r="OVZ145" s="41"/>
      <c r="OWA145" s="41"/>
      <c r="OWB145" s="41"/>
      <c r="OWC145" s="41"/>
      <c r="OWD145" s="41"/>
      <c r="OWE145" s="41"/>
      <c r="OWF145" s="41"/>
      <c r="OWG145" s="41"/>
      <c r="OWH145" s="41"/>
      <c r="OWI145" s="41"/>
      <c r="OWJ145" s="41"/>
      <c r="OWK145" s="41"/>
      <c r="OWL145" s="41"/>
      <c r="OWM145" s="41"/>
      <c r="OWN145" s="41"/>
      <c r="OWO145" s="41"/>
      <c r="OWP145" s="41"/>
      <c r="OWQ145" s="41"/>
      <c r="OWR145" s="41"/>
      <c r="OWS145" s="41"/>
      <c r="OWT145" s="41"/>
      <c r="OWU145" s="41"/>
      <c r="OWV145" s="41"/>
      <c r="OWW145" s="41"/>
      <c r="OWX145" s="41"/>
      <c r="OWY145" s="41"/>
      <c r="OWZ145" s="41"/>
      <c r="OXA145" s="41"/>
      <c r="OXB145" s="41"/>
      <c r="OXC145" s="41"/>
      <c r="OXD145" s="41"/>
      <c r="OXE145" s="41"/>
      <c r="OXF145" s="41"/>
      <c r="OXG145" s="41"/>
      <c r="OXH145" s="41"/>
      <c r="OXI145" s="41"/>
      <c r="OXJ145" s="41"/>
      <c r="OXK145" s="41"/>
      <c r="OXL145" s="41"/>
      <c r="OXM145" s="41"/>
      <c r="OXN145" s="41"/>
      <c r="OXO145" s="41"/>
      <c r="OXP145" s="41"/>
      <c r="OXQ145" s="41"/>
      <c r="OXR145" s="41"/>
      <c r="OXS145" s="41"/>
      <c r="OXT145" s="41"/>
      <c r="OXU145" s="41"/>
      <c r="OXV145" s="41"/>
      <c r="OXW145" s="41"/>
      <c r="OXX145" s="41"/>
      <c r="OXY145" s="41"/>
      <c r="OXZ145" s="41"/>
      <c r="OYA145" s="41"/>
      <c r="OYB145" s="41"/>
      <c r="OYC145" s="41"/>
      <c r="OYD145" s="41"/>
      <c r="OYE145" s="41"/>
      <c r="OYF145" s="41"/>
      <c r="OYG145" s="41"/>
      <c r="OYH145" s="41"/>
      <c r="OYI145" s="41"/>
      <c r="OYJ145" s="41"/>
      <c r="OYK145" s="41"/>
      <c r="OYL145" s="41"/>
      <c r="OYM145" s="41"/>
      <c r="OYN145" s="41"/>
      <c r="OYO145" s="41"/>
      <c r="OYP145" s="41"/>
      <c r="OYQ145" s="41"/>
      <c r="OYR145" s="41"/>
      <c r="OYS145" s="41"/>
      <c r="OYT145" s="41"/>
      <c r="OYU145" s="41"/>
      <c r="OYV145" s="41"/>
      <c r="OYW145" s="41"/>
      <c r="OYX145" s="41"/>
      <c r="OYY145" s="41"/>
      <c r="OYZ145" s="41"/>
      <c r="OZA145" s="41"/>
      <c r="OZB145" s="41"/>
      <c r="OZC145" s="41"/>
      <c r="OZD145" s="41"/>
      <c r="OZE145" s="41"/>
      <c r="OZF145" s="41"/>
      <c r="OZG145" s="41"/>
      <c r="OZH145" s="41"/>
      <c r="OZI145" s="41"/>
      <c r="OZJ145" s="41"/>
      <c r="OZK145" s="41"/>
      <c r="OZL145" s="41"/>
      <c r="OZM145" s="41"/>
      <c r="OZN145" s="41"/>
      <c r="OZO145" s="41"/>
      <c r="OZP145" s="41"/>
      <c r="OZQ145" s="41"/>
      <c r="OZR145" s="41"/>
      <c r="OZS145" s="41"/>
      <c r="OZT145" s="41"/>
      <c r="OZU145" s="41"/>
      <c r="OZV145" s="41"/>
      <c r="OZW145" s="41"/>
      <c r="OZX145" s="41"/>
      <c r="OZY145" s="41"/>
      <c r="OZZ145" s="41"/>
      <c r="PAA145" s="41"/>
      <c r="PAB145" s="41"/>
      <c r="PAC145" s="41"/>
      <c r="PAD145" s="41"/>
      <c r="PAE145" s="41"/>
      <c r="PAF145" s="41"/>
      <c r="PAG145" s="41"/>
      <c r="PAH145" s="41"/>
      <c r="PAI145" s="41"/>
      <c r="PAJ145" s="41"/>
      <c r="PAK145" s="41"/>
      <c r="PAL145" s="41"/>
      <c r="PAM145" s="41"/>
      <c r="PAN145" s="41"/>
      <c r="PAO145" s="41"/>
      <c r="PAP145" s="41"/>
      <c r="PAQ145" s="41"/>
      <c r="PAR145" s="41"/>
      <c r="PAS145" s="41"/>
      <c r="PAT145" s="41"/>
      <c r="PAU145" s="41"/>
      <c r="PAV145" s="41"/>
      <c r="PAW145" s="41"/>
      <c r="PAX145" s="41"/>
      <c r="PAY145" s="41"/>
      <c r="PAZ145" s="41"/>
      <c r="PBA145" s="41"/>
      <c r="PBB145" s="41"/>
      <c r="PBC145" s="41"/>
      <c r="PBD145" s="41"/>
      <c r="PBE145" s="41"/>
      <c r="PBF145" s="41"/>
      <c r="PBG145" s="41"/>
      <c r="PBH145" s="41"/>
      <c r="PBI145" s="41"/>
      <c r="PBJ145" s="41"/>
      <c r="PBK145" s="41"/>
      <c r="PBL145" s="41"/>
      <c r="PBM145" s="41"/>
      <c r="PBN145" s="41"/>
      <c r="PBO145" s="41"/>
      <c r="PBP145" s="41"/>
      <c r="PBQ145" s="41"/>
      <c r="PBR145" s="41"/>
      <c r="PBS145" s="41"/>
      <c r="PBT145" s="41"/>
      <c r="PBU145" s="41"/>
      <c r="PBV145" s="41"/>
      <c r="PBW145" s="41"/>
      <c r="PBX145" s="41"/>
      <c r="PBY145" s="41"/>
      <c r="PBZ145" s="41"/>
      <c r="PCA145" s="41"/>
      <c r="PCB145" s="41"/>
      <c r="PCC145" s="41"/>
      <c r="PCD145" s="41"/>
      <c r="PCE145" s="41"/>
      <c r="PCF145" s="41"/>
      <c r="PCG145" s="41"/>
      <c r="PCH145" s="41"/>
      <c r="PCI145" s="41"/>
      <c r="PCJ145" s="41"/>
      <c r="PCK145" s="41"/>
      <c r="PCL145" s="41"/>
      <c r="PCM145" s="41"/>
      <c r="PCN145" s="41"/>
      <c r="PCO145" s="41"/>
      <c r="PCP145" s="41"/>
      <c r="PCQ145" s="41"/>
      <c r="PCR145" s="41"/>
      <c r="PCS145" s="41"/>
      <c r="PCT145" s="41"/>
      <c r="PCU145" s="41"/>
      <c r="PCV145" s="41"/>
      <c r="PCW145" s="41"/>
      <c r="PCX145" s="41"/>
      <c r="PCY145" s="41"/>
      <c r="PCZ145" s="41"/>
      <c r="PDA145" s="41"/>
      <c r="PDB145" s="41"/>
      <c r="PDC145" s="41"/>
      <c r="PDD145" s="41"/>
      <c r="PDE145" s="41"/>
      <c r="PDF145" s="41"/>
      <c r="PDG145" s="41"/>
      <c r="PDH145" s="41"/>
      <c r="PDI145" s="41"/>
      <c r="PDJ145" s="41"/>
      <c r="PDK145" s="41"/>
      <c r="PDL145" s="41"/>
      <c r="PDM145" s="41"/>
      <c r="PDN145" s="41"/>
      <c r="PDO145" s="41"/>
      <c r="PDP145" s="41"/>
      <c r="PDQ145" s="41"/>
      <c r="PDR145" s="41"/>
      <c r="PDS145" s="41"/>
      <c r="PDT145" s="41"/>
      <c r="PDU145" s="41"/>
      <c r="PDV145" s="41"/>
      <c r="PDW145" s="41"/>
      <c r="PDX145" s="41"/>
      <c r="PDY145" s="41"/>
      <c r="PDZ145" s="41"/>
      <c r="PEA145" s="41"/>
      <c r="PEB145" s="41"/>
      <c r="PEC145" s="41"/>
      <c r="PED145" s="41"/>
      <c r="PEE145" s="41"/>
      <c r="PEF145" s="41"/>
      <c r="PEG145" s="41"/>
      <c r="PEH145" s="41"/>
      <c r="PEI145" s="41"/>
      <c r="PEJ145" s="41"/>
      <c r="PEK145" s="41"/>
      <c r="PEL145" s="41"/>
      <c r="PEM145" s="41"/>
      <c r="PEN145" s="41"/>
      <c r="PEO145" s="41"/>
      <c r="PEP145" s="41"/>
      <c r="PEQ145" s="41"/>
      <c r="PER145" s="41"/>
      <c r="PES145" s="41"/>
      <c r="PET145" s="41"/>
      <c r="PEU145" s="41"/>
      <c r="PEV145" s="41"/>
      <c r="PEW145" s="41"/>
      <c r="PEX145" s="41"/>
      <c r="PEY145" s="41"/>
      <c r="PEZ145" s="41"/>
      <c r="PFA145" s="41"/>
      <c r="PFB145" s="41"/>
      <c r="PFC145" s="41"/>
      <c r="PFD145" s="41"/>
      <c r="PFE145" s="41"/>
      <c r="PFF145" s="41"/>
      <c r="PFG145" s="41"/>
      <c r="PFH145" s="41"/>
      <c r="PFI145" s="41"/>
      <c r="PFJ145" s="41"/>
      <c r="PFK145" s="41"/>
      <c r="PFL145" s="41"/>
      <c r="PFM145" s="41"/>
      <c r="PFN145" s="41"/>
      <c r="PFO145" s="41"/>
      <c r="PFP145" s="41"/>
      <c r="PFQ145" s="41"/>
      <c r="PFR145" s="41"/>
      <c r="PFS145" s="41"/>
      <c r="PFT145" s="41"/>
      <c r="PFU145" s="41"/>
      <c r="PFV145" s="41"/>
      <c r="PFW145" s="41"/>
      <c r="PFX145" s="41"/>
      <c r="PFY145" s="41"/>
      <c r="PFZ145" s="41"/>
      <c r="PGA145" s="41"/>
      <c r="PGB145" s="41"/>
      <c r="PGC145" s="41"/>
      <c r="PGD145" s="41"/>
      <c r="PGE145" s="41"/>
      <c r="PGF145" s="41"/>
      <c r="PGG145" s="41"/>
      <c r="PGH145" s="41"/>
      <c r="PGI145" s="41"/>
      <c r="PGJ145" s="41"/>
      <c r="PGK145" s="41"/>
      <c r="PGL145" s="41"/>
      <c r="PGM145" s="41"/>
      <c r="PGN145" s="41"/>
      <c r="PGO145" s="41"/>
      <c r="PGP145" s="41"/>
      <c r="PGQ145" s="41"/>
      <c r="PGR145" s="41"/>
      <c r="PGS145" s="41"/>
      <c r="PGT145" s="41"/>
      <c r="PGU145" s="41"/>
      <c r="PGV145" s="41"/>
      <c r="PGW145" s="41"/>
      <c r="PGX145" s="41"/>
      <c r="PGY145" s="41"/>
      <c r="PGZ145" s="41"/>
      <c r="PHA145" s="41"/>
      <c r="PHB145" s="41"/>
      <c r="PHC145" s="41"/>
      <c r="PHD145" s="41"/>
      <c r="PHE145" s="41"/>
      <c r="PHF145" s="41"/>
      <c r="PHG145" s="41"/>
      <c r="PHH145" s="41"/>
      <c r="PHI145" s="41"/>
      <c r="PHJ145" s="41"/>
      <c r="PHK145" s="41"/>
      <c r="PHL145" s="41"/>
      <c r="PHM145" s="41"/>
      <c r="PHN145" s="41"/>
      <c r="PHO145" s="41"/>
      <c r="PHP145" s="41"/>
      <c r="PHQ145" s="41"/>
      <c r="PHR145" s="41"/>
      <c r="PHS145" s="41"/>
      <c r="PHT145" s="41"/>
      <c r="PHU145" s="41"/>
      <c r="PHV145" s="41"/>
      <c r="PHW145" s="41"/>
      <c r="PHX145" s="41"/>
      <c r="PHY145" s="41"/>
      <c r="PHZ145" s="41"/>
      <c r="PIA145" s="41"/>
      <c r="PIB145" s="41"/>
      <c r="PIC145" s="41"/>
      <c r="PID145" s="41"/>
      <c r="PIE145" s="41"/>
      <c r="PIF145" s="41"/>
      <c r="PIG145" s="41"/>
      <c r="PIH145" s="41"/>
      <c r="PII145" s="41"/>
      <c r="PIJ145" s="41"/>
      <c r="PIK145" s="41"/>
      <c r="PIL145" s="41"/>
      <c r="PIM145" s="41"/>
      <c r="PIN145" s="41"/>
      <c r="PIO145" s="41"/>
      <c r="PIP145" s="41"/>
      <c r="PIQ145" s="41"/>
      <c r="PIR145" s="41"/>
      <c r="PIS145" s="41"/>
      <c r="PIT145" s="41"/>
      <c r="PIU145" s="41"/>
      <c r="PIV145" s="41"/>
      <c r="PIW145" s="41"/>
      <c r="PIX145" s="41"/>
      <c r="PIY145" s="41"/>
      <c r="PIZ145" s="41"/>
      <c r="PJA145" s="41"/>
      <c r="PJB145" s="41"/>
      <c r="PJC145" s="41"/>
      <c r="PJD145" s="41"/>
      <c r="PJE145" s="41"/>
      <c r="PJF145" s="41"/>
      <c r="PJG145" s="41"/>
      <c r="PJH145" s="41"/>
      <c r="PJI145" s="41"/>
      <c r="PJJ145" s="41"/>
      <c r="PJK145" s="41"/>
      <c r="PJL145" s="41"/>
      <c r="PJM145" s="41"/>
      <c r="PJN145" s="41"/>
      <c r="PJO145" s="41"/>
      <c r="PJP145" s="41"/>
      <c r="PJQ145" s="41"/>
      <c r="PJR145" s="41"/>
      <c r="PJS145" s="41"/>
      <c r="PJT145" s="41"/>
      <c r="PJU145" s="41"/>
      <c r="PJV145" s="41"/>
      <c r="PJW145" s="41"/>
      <c r="PJX145" s="41"/>
      <c r="PJY145" s="41"/>
      <c r="PJZ145" s="41"/>
      <c r="PKA145" s="41"/>
      <c r="PKB145" s="41"/>
      <c r="PKC145" s="41"/>
      <c r="PKD145" s="41"/>
      <c r="PKE145" s="41"/>
      <c r="PKF145" s="41"/>
      <c r="PKG145" s="41"/>
      <c r="PKH145" s="41"/>
      <c r="PKI145" s="41"/>
      <c r="PKJ145" s="41"/>
      <c r="PKK145" s="41"/>
      <c r="PKL145" s="41"/>
      <c r="PKM145" s="41"/>
      <c r="PKN145" s="41"/>
      <c r="PKO145" s="41"/>
      <c r="PKP145" s="41"/>
      <c r="PKQ145" s="41"/>
      <c r="PKR145" s="41"/>
      <c r="PKS145" s="41"/>
      <c r="PKT145" s="41"/>
      <c r="PKU145" s="41"/>
      <c r="PKV145" s="41"/>
      <c r="PKW145" s="41"/>
      <c r="PKX145" s="41"/>
      <c r="PKY145" s="41"/>
      <c r="PKZ145" s="41"/>
      <c r="PLA145" s="41"/>
      <c r="PLB145" s="41"/>
      <c r="PLC145" s="41"/>
      <c r="PLD145" s="41"/>
      <c r="PLE145" s="41"/>
      <c r="PLF145" s="41"/>
      <c r="PLG145" s="41"/>
      <c r="PLH145" s="41"/>
      <c r="PLI145" s="41"/>
      <c r="PLJ145" s="41"/>
      <c r="PLK145" s="41"/>
      <c r="PLL145" s="41"/>
      <c r="PLM145" s="41"/>
      <c r="PLN145" s="41"/>
      <c r="PLO145" s="41"/>
      <c r="PLP145" s="41"/>
      <c r="PLQ145" s="41"/>
      <c r="PLR145" s="41"/>
      <c r="PLS145" s="41"/>
      <c r="PLT145" s="41"/>
      <c r="PLU145" s="41"/>
      <c r="PLV145" s="41"/>
      <c r="PLW145" s="41"/>
      <c r="PLX145" s="41"/>
      <c r="PLY145" s="41"/>
      <c r="PLZ145" s="41"/>
      <c r="PMA145" s="41"/>
      <c r="PMB145" s="41"/>
      <c r="PMC145" s="41"/>
      <c r="PMD145" s="41"/>
      <c r="PME145" s="41"/>
      <c r="PMF145" s="41"/>
      <c r="PMG145" s="41"/>
      <c r="PMH145" s="41"/>
      <c r="PMI145" s="41"/>
      <c r="PMJ145" s="41"/>
      <c r="PMK145" s="41"/>
      <c r="PML145" s="41"/>
      <c r="PMM145" s="41"/>
      <c r="PMN145" s="41"/>
      <c r="PMO145" s="41"/>
      <c r="PMP145" s="41"/>
      <c r="PMQ145" s="41"/>
      <c r="PMR145" s="41"/>
      <c r="PMS145" s="41"/>
      <c r="PMT145" s="41"/>
      <c r="PMU145" s="41"/>
      <c r="PMV145" s="41"/>
      <c r="PMW145" s="41"/>
      <c r="PMX145" s="41"/>
      <c r="PMY145" s="41"/>
      <c r="PMZ145" s="41"/>
      <c r="PNA145" s="41"/>
      <c r="PNB145" s="41"/>
      <c r="PNC145" s="41"/>
      <c r="PND145" s="41"/>
      <c r="PNE145" s="41"/>
      <c r="PNF145" s="41"/>
      <c r="PNG145" s="41"/>
      <c r="PNH145" s="41"/>
      <c r="PNI145" s="41"/>
      <c r="PNJ145" s="41"/>
      <c r="PNK145" s="41"/>
      <c r="PNL145" s="41"/>
      <c r="PNM145" s="41"/>
      <c r="PNN145" s="41"/>
      <c r="PNO145" s="41"/>
      <c r="PNP145" s="41"/>
      <c r="PNQ145" s="41"/>
      <c r="PNR145" s="41"/>
      <c r="PNS145" s="41"/>
      <c r="PNT145" s="41"/>
      <c r="PNU145" s="41"/>
      <c r="PNV145" s="41"/>
      <c r="PNW145" s="41"/>
      <c r="PNX145" s="41"/>
      <c r="PNY145" s="41"/>
      <c r="PNZ145" s="41"/>
      <c r="POA145" s="41"/>
      <c r="POB145" s="41"/>
      <c r="POC145" s="41"/>
      <c r="POD145" s="41"/>
      <c r="POE145" s="41"/>
      <c r="POF145" s="41"/>
      <c r="POG145" s="41"/>
      <c r="POH145" s="41"/>
      <c r="POI145" s="41"/>
      <c r="POJ145" s="41"/>
      <c r="POK145" s="41"/>
      <c r="POL145" s="41"/>
      <c r="POM145" s="41"/>
      <c r="PON145" s="41"/>
      <c r="POO145" s="41"/>
      <c r="POP145" s="41"/>
      <c r="POQ145" s="41"/>
      <c r="POR145" s="41"/>
      <c r="POS145" s="41"/>
      <c r="POT145" s="41"/>
      <c r="POU145" s="41"/>
      <c r="POV145" s="41"/>
      <c r="POW145" s="41"/>
      <c r="POX145" s="41"/>
      <c r="POY145" s="41"/>
      <c r="POZ145" s="41"/>
      <c r="PPA145" s="41"/>
      <c r="PPB145" s="41"/>
      <c r="PPC145" s="41"/>
      <c r="PPD145" s="41"/>
      <c r="PPE145" s="41"/>
      <c r="PPF145" s="41"/>
      <c r="PPG145" s="41"/>
      <c r="PPH145" s="41"/>
      <c r="PPI145" s="41"/>
      <c r="PPJ145" s="41"/>
      <c r="PPK145" s="41"/>
      <c r="PPL145" s="41"/>
      <c r="PPM145" s="41"/>
      <c r="PPN145" s="41"/>
      <c r="PPO145" s="41"/>
      <c r="PPP145" s="41"/>
      <c r="PPQ145" s="41"/>
      <c r="PPR145" s="41"/>
      <c r="PPS145" s="41"/>
      <c r="PPT145" s="41"/>
      <c r="PPU145" s="41"/>
      <c r="PPV145" s="41"/>
      <c r="PPW145" s="41"/>
      <c r="PPX145" s="41"/>
      <c r="PPY145" s="41"/>
      <c r="PPZ145" s="41"/>
      <c r="PQA145" s="41"/>
      <c r="PQB145" s="41"/>
      <c r="PQC145" s="41"/>
      <c r="PQD145" s="41"/>
      <c r="PQE145" s="41"/>
      <c r="PQF145" s="41"/>
      <c r="PQG145" s="41"/>
      <c r="PQH145" s="41"/>
      <c r="PQI145" s="41"/>
      <c r="PQJ145" s="41"/>
      <c r="PQK145" s="41"/>
      <c r="PQL145" s="41"/>
      <c r="PQM145" s="41"/>
      <c r="PQN145" s="41"/>
      <c r="PQO145" s="41"/>
      <c r="PQP145" s="41"/>
      <c r="PQQ145" s="41"/>
      <c r="PQR145" s="41"/>
      <c r="PQS145" s="41"/>
      <c r="PQT145" s="41"/>
      <c r="PQU145" s="41"/>
      <c r="PQV145" s="41"/>
      <c r="PQW145" s="41"/>
      <c r="PQX145" s="41"/>
      <c r="PQY145" s="41"/>
      <c r="PQZ145" s="41"/>
      <c r="PRA145" s="41"/>
      <c r="PRB145" s="41"/>
      <c r="PRC145" s="41"/>
      <c r="PRD145" s="41"/>
      <c r="PRE145" s="41"/>
      <c r="PRF145" s="41"/>
      <c r="PRG145" s="41"/>
      <c r="PRH145" s="41"/>
      <c r="PRI145" s="41"/>
      <c r="PRJ145" s="41"/>
      <c r="PRK145" s="41"/>
      <c r="PRL145" s="41"/>
      <c r="PRM145" s="41"/>
      <c r="PRN145" s="41"/>
      <c r="PRO145" s="41"/>
      <c r="PRP145" s="41"/>
      <c r="PRQ145" s="41"/>
      <c r="PRR145" s="41"/>
      <c r="PRS145" s="41"/>
      <c r="PRT145" s="41"/>
      <c r="PRU145" s="41"/>
      <c r="PRV145" s="41"/>
      <c r="PRW145" s="41"/>
      <c r="PRX145" s="41"/>
      <c r="PRY145" s="41"/>
      <c r="PRZ145" s="41"/>
      <c r="PSA145" s="41"/>
      <c r="PSB145" s="41"/>
      <c r="PSC145" s="41"/>
      <c r="PSD145" s="41"/>
      <c r="PSE145" s="41"/>
      <c r="PSF145" s="41"/>
      <c r="PSG145" s="41"/>
      <c r="PSH145" s="41"/>
      <c r="PSI145" s="41"/>
      <c r="PSJ145" s="41"/>
      <c r="PSK145" s="41"/>
      <c r="PSL145" s="41"/>
      <c r="PSM145" s="41"/>
      <c r="PSN145" s="41"/>
      <c r="PSO145" s="41"/>
      <c r="PSP145" s="41"/>
      <c r="PSQ145" s="41"/>
      <c r="PSR145" s="41"/>
      <c r="PSS145" s="41"/>
      <c r="PST145" s="41"/>
      <c r="PSU145" s="41"/>
      <c r="PSV145" s="41"/>
      <c r="PSW145" s="41"/>
      <c r="PSX145" s="41"/>
      <c r="PSY145" s="41"/>
      <c r="PSZ145" s="41"/>
      <c r="PTA145" s="41"/>
      <c r="PTB145" s="41"/>
      <c r="PTC145" s="41"/>
      <c r="PTD145" s="41"/>
      <c r="PTE145" s="41"/>
      <c r="PTF145" s="41"/>
      <c r="PTG145" s="41"/>
      <c r="PTH145" s="41"/>
      <c r="PTI145" s="41"/>
      <c r="PTJ145" s="41"/>
      <c r="PTK145" s="41"/>
      <c r="PTL145" s="41"/>
      <c r="PTM145" s="41"/>
      <c r="PTN145" s="41"/>
      <c r="PTO145" s="41"/>
      <c r="PTP145" s="41"/>
      <c r="PTQ145" s="41"/>
      <c r="PTR145" s="41"/>
      <c r="PTS145" s="41"/>
      <c r="PTT145" s="41"/>
      <c r="PTU145" s="41"/>
      <c r="PTV145" s="41"/>
      <c r="PTW145" s="41"/>
      <c r="PTX145" s="41"/>
      <c r="PTY145" s="41"/>
      <c r="PTZ145" s="41"/>
      <c r="PUA145" s="41"/>
      <c r="PUB145" s="41"/>
      <c r="PUC145" s="41"/>
      <c r="PUD145" s="41"/>
      <c r="PUE145" s="41"/>
      <c r="PUF145" s="41"/>
      <c r="PUG145" s="41"/>
      <c r="PUH145" s="41"/>
      <c r="PUI145" s="41"/>
      <c r="PUJ145" s="41"/>
      <c r="PUK145" s="41"/>
      <c r="PUL145" s="41"/>
      <c r="PUM145" s="41"/>
      <c r="PUN145" s="41"/>
      <c r="PUO145" s="41"/>
      <c r="PUP145" s="41"/>
      <c r="PUQ145" s="41"/>
      <c r="PUR145" s="41"/>
      <c r="PUS145" s="41"/>
      <c r="PUT145" s="41"/>
      <c r="PUU145" s="41"/>
      <c r="PUV145" s="41"/>
      <c r="PUW145" s="41"/>
      <c r="PUX145" s="41"/>
      <c r="PUY145" s="41"/>
      <c r="PUZ145" s="41"/>
      <c r="PVA145" s="41"/>
      <c r="PVB145" s="41"/>
      <c r="PVC145" s="41"/>
      <c r="PVD145" s="41"/>
      <c r="PVE145" s="41"/>
      <c r="PVF145" s="41"/>
      <c r="PVG145" s="41"/>
      <c r="PVH145" s="41"/>
      <c r="PVI145" s="41"/>
      <c r="PVJ145" s="41"/>
      <c r="PVK145" s="41"/>
      <c r="PVL145" s="41"/>
      <c r="PVM145" s="41"/>
      <c r="PVN145" s="41"/>
      <c r="PVO145" s="41"/>
      <c r="PVP145" s="41"/>
      <c r="PVQ145" s="41"/>
      <c r="PVR145" s="41"/>
      <c r="PVS145" s="41"/>
      <c r="PVT145" s="41"/>
      <c r="PVU145" s="41"/>
      <c r="PVV145" s="41"/>
      <c r="PVW145" s="41"/>
      <c r="PVX145" s="41"/>
      <c r="PVY145" s="41"/>
      <c r="PVZ145" s="41"/>
      <c r="PWA145" s="41"/>
      <c r="PWB145" s="41"/>
      <c r="PWC145" s="41"/>
      <c r="PWD145" s="41"/>
      <c r="PWE145" s="41"/>
      <c r="PWF145" s="41"/>
      <c r="PWG145" s="41"/>
      <c r="PWH145" s="41"/>
      <c r="PWI145" s="41"/>
      <c r="PWJ145" s="41"/>
      <c r="PWK145" s="41"/>
      <c r="PWL145" s="41"/>
      <c r="PWM145" s="41"/>
      <c r="PWN145" s="41"/>
      <c r="PWO145" s="41"/>
      <c r="PWP145" s="41"/>
      <c r="PWQ145" s="41"/>
      <c r="PWR145" s="41"/>
      <c r="PWS145" s="41"/>
      <c r="PWT145" s="41"/>
      <c r="PWU145" s="41"/>
      <c r="PWV145" s="41"/>
      <c r="PWW145" s="41"/>
      <c r="PWX145" s="41"/>
      <c r="PWY145" s="41"/>
      <c r="PWZ145" s="41"/>
      <c r="PXA145" s="41"/>
      <c r="PXB145" s="41"/>
      <c r="PXC145" s="41"/>
      <c r="PXD145" s="41"/>
      <c r="PXE145" s="41"/>
      <c r="PXF145" s="41"/>
      <c r="PXG145" s="41"/>
      <c r="PXH145" s="41"/>
      <c r="PXI145" s="41"/>
      <c r="PXJ145" s="41"/>
      <c r="PXK145" s="41"/>
      <c r="PXL145" s="41"/>
      <c r="PXM145" s="41"/>
      <c r="PXN145" s="41"/>
      <c r="PXO145" s="41"/>
      <c r="PXP145" s="41"/>
      <c r="PXQ145" s="41"/>
      <c r="PXR145" s="41"/>
      <c r="PXS145" s="41"/>
      <c r="PXT145" s="41"/>
      <c r="PXU145" s="41"/>
      <c r="PXV145" s="41"/>
      <c r="PXW145" s="41"/>
      <c r="PXX145" s="41"/>
      <c r="PXY145" s="41"/>
      <c r="PXZ145" s="41"/>
      <c r="PYA145" s="41"/>
      <c r="PYB145" s="41"/>
      <c r="PYC145" s="41"/>
      <c r="PYD145" s="41"/>
      <c r="PYE145" s="41"/>
      <c r="PYF145" s="41"/>
      <c r="PYG145" s="41"/>
      <c r="PYH145" s="41"/>
      <c r="PYI145" s="41"/>
      <c r="PYJ145" s="41"/>
      <c r="PYK145" s="41"/>
      <c r="PYL145" s="41"/>
      <c r="PYM145" s="41"/>
      <c r="PYN145" s="41"/>
      <c r="PYO145" s="41"/>
      <c r="PYP145" s="41"/>
      <c r="PYQ145" s="41"/>
      <c r="PYR145" s="41"/>
      <c r="PYS145" s="41"/>
      <c r="PYT145" s="41"/>
      <c r="PYU145" s="41"/>
      <c r="PYV145" s="41"/>
      <c r="PYW145" s="41"/>
      <c r="PYX145" s="41"/>
      <c r="PYY145" s="41"/>
      <c r="PYZ145" s="41"/>
      <c r="PZA145" s="41"/>
      <c r="PZB145" s="41"/>
      <c r="PZC145" s="41"/>
      <c r="PZD145" s="41"/>
      <c r="PZE145" s="41"/>
      <c r="PZF145" s="41"/>
      <c r="PZG145" s="41"/>
      <c r="PZH145" s="41"/>
      <c r="PZI145" s="41"/>
      <c r="PZJ145" s="41"/>
      <c r="PZK145" s="41"/>
      <c r="PZL145" s="41"/>
      <c r="PZM145" s="41"/>
      <c r="PZN145" s="41"/>
      <c r="PZO145" s="41"/>
      <c r="PZP145" s="41"/>
      <c r="PZQ145" s="41"/>
      <c r="PZR145" s="41"/>
      <c r="PZS145" s="41"/>
      <c r="PZT145" s="41"/>
      <c r="PZU145" s="41"/>
      <c r="PZV145" s="41"/>
      <c r="PZW145" s="41"/>
      <c r="PZX145" s="41"/>
      <c r="PZY145" s="41"/>
      <c r="PZZ145" s="41"/>
      <c r="QAA145" s="41"/>
      <c r="QAB145" s="41"/>
      <c r="QAC145" s="41"/>
      <c r="QAD145" s="41"/>
      <c r="QAE145" s="41"/>
      <c r="QAF145" s="41"/>
      <c r="QAG145" s="41"/>
      <c r="QAH145" s="41"/>
      <c r="QAI145" s="41"/>
      <c r="QAJ145" s="41"/>
      <c r="QAK145" s="41"/>
      <c r="QAL145" s="41"/>
      <c r="QAM145" s="41"/>
      <c r="QAN145" s="41"/>
      <c r="QAO145" s="41"/>
      <c r="QAP145" s="41"/>
      <c r="QAQ145" s="41"/>
      <c r="QAR145" s="41"/>
      <c r="QAS145" s="41"/>
      <c r="QAT145" s="41"/>
      <c r="QAU145" s="41"/>
      <c r="QAV145" s="41"/>
      <c r="QAW145" s="41"/>
      <c r="QAX145" s="41"/>
      <c r="QAY145" s="41"/>
      <c r="QAZ145" s="41"/>
      <c r="QBA145" s="41"/>
      <c r="QBB145" s="41"/>
      <c r="QBC145" s="41"/>
      <c r="QBD145" s="41"/>
      <c r="QBE145" s="41"/>
      <c r="QBF145" s="41"/>
      <c r="QBG145" s="41"/>
      <c r="QBH145" s="41"/>
      <c r="QBI145" s="41"/>
      <c r="QBJ145" s="41"/>
      <c r="QBK145" s="41"/>
      <c r="QBL145" s="41"/>
      <c r="QBM145" s="41"/>
      <c r="QBN145" s="41"/>
      <c r="QBO145" s="41"/>
      <c r="QBP145" s="41"/>
      <c r="QBQ145" s="41"/>
      <c r="QBR145" s="41"/>
      <c r="QBS145" s="41"/>
      <c r="QBT145" s="41"/>
      <c r="QBU145" s="41"/>
      <c r="QBV145" s="41"/>
      <c r="QBW145" s="41"/>
      <c r="QBX145" s="41"/>
      <c r="QBY145" s="41"/>
      <c r="QBZ145" s="41"/>
      <c r="QCA145" s="41"/>
      <c r="QCB145" s="41"/>
      <c r="QCC145" s="41"/>
      <c r="QCD145" s="41"/>
      <c r="QCE145" s="41"/>
      <c r="QCF145" s="41"/>
      <c r="QCG145" s="41"/>
      <c r="QCH145" s="41"/>
      <c r="QCI145" s="41"/>
      <c r="QCJ145" s="41"/>
      <c r="QCK145" s="41"/>
      <c r="QCL145" s="41"/>
      <c r="QCM145" s="41"/>
      <c r="QCN145" s="41"/>
      <c r="QCO145" s="41"/>
      <c r="QCP145" s="41"/>
      <c r="QCQ145" s="41"/>
      <c r="QCR145" s="41"/>
      <c r="QCS145" s="41"/>
      <c r="QCT145" s="41"/>
      <c r="QCU145" s="41"/>
      <c r="QCV145" s="41"/>
      <c r="QCW145" s="41"/>
      <c r="QCX145" s="41"/>
      <c r="QCY145" s="41"/>
      <c r="QCZ145" s="41"/>
      <c r="QDA145" s="41"/>
      <c r="QDB145" s="41"/>
      <c r="QDC145" s="41"/>
      <c r="QDD145" s="41"/>
      <c r="QDE145" s="41"/>
      <c r="QDF145" s="41"/>
      <c r="QDG145" s="41"/>
      <c r="QDH145" s="41"/>
      <c r="QDI145" s="41"/>
      <c r="QDJ145" s="41"/>
      <c r="QDK145" s="41"/>
      <c r="QDL145" s="41"/>
      <c r="QDM145" s="41"/>
      <c r="QDN145" s="41"/>
      <c r="QDO145" s="41"/>
      <c r="QDP145" s="41"/>
      <c r="QDQ145" s="41"/>
      <c r="QDR145" s="41"/>
      <c r="QDS145" s="41"/>
      <c r="QDT145" s="41"/>
      <c r="QDU145" s="41"/>
      <c r="QDV145" s="41"/>
      <c r="QDW145" s="41"/>
      <c r="QDX145" s="41"/>
      <c r="QDY145" s="41"/>
      <c r="QDZ145" s="41"/>
      <c r="QEA145" s="41"/>
      <c r="QEB145" s="41"/>
      <c r="QEC145" s="41"/>
      <c r="QED145" s="41"/>
      <c r="QEE145" s="41"/>
      <c r="QEF145" s="41"/>
      <c r="QEG145" s="41"/>
      <c r="QEH145" s="41"/>
      <c r="QEI145" s="41"/>
      <c r="QEJ145" s="41"/>
      <c r="QEK145" s="41"/>
      <c r="QEL145" s="41"/>
      <c r="QEM145" s="41"/>
      <c r="QEN145" s="41"/>
      <c r="QEO145" s="41"/>
      <c r="QEP145" s="41"/>
      <c r="QEQ145" s="41"/>
      <c r="QER145" s="41"/>
      <c r="QES145" s="41"/>
      <c r="QET145" s="41"/>
      <c r="QEU145" s="41"/>
      <c r="QEV145" s="41"/>
      <c r="QEW145" s="41"/>
      <c r="QEX145" s="41"/>
      <c r="QEY145" s="41"/>
      <c r="QEZ145" s="41"/>
      <c r="QFA145" s="41"/>
      <c r="QFB145" s="41"/>
      <c r="QFC145" s="41"/>
      <c r="QFD145" s="41"/>
      <c r="QFE145" s="41"/>
      <c r="QFF145" s="41"/>
      <c r="QFG145" s="41"/>
      <c r="QFH145" s="41"/>
      <c r="QFI145" s="41"/>
      <c r="QFJ145" s="41"/>
      <c r="QFK145" s="41"/>
      <c r="QFL145" s="41"/>
      <c r="QFM145" s="41"/>
      <c r="QFN145" s="41"/>
      <c r="QFO145" s="41"/>
      <c r="QFP145" s="41"/>
      <c r="QFQ145" s="41"/>
      <c r="QFR145" s="41"/>
      <c r="QFS145" s="41"/>
      <c r="QFT145" s="41"/>
      <c r="QFU145" s="41"/>
      <c r="QFV145" s="41"/>
      <c r="QFW145" s="41"/>
      <c r="QFX145" s="41"/>
      <c r="QFY145" s="41"/>
      <c r="QFZ145" s="41"/>
      <c r="QGA145" s="41"/>
      <c r="QGB145" s="41"/>
      <c r="QGC145" s="41"/>
      <c r="QGD145" s="41"/>
      <c r="QGE145" s="41"/>
      <c r="QGF145" s="41"/>
      <c r="QGG145" s="41"/>
      <c r="QGH145" s="41"/>
      <c r="QGI145" s="41"/>
      <c r="QGJ145" s="41"/>
      <c r="QGK145" s="41"/>
      <c r="QGL145" s="41"/>
      <c r="QGM145" s="41"/>
      <c r="QGN145" s="41"/>
      <c r="QGO145" s="41"/>
      <c r="QGP145" s="41"/>
      <c r="QGQ145" s="41"/>
      <c r="QGR145" s="41"/>
      <c r="QGS145" s="41"/>
      <c r="QGT145" s="41"/>
      <c r="QGU145" s="41"/>
      <c r="QGV145" s="41"/>
      <c r="QGW145" s="41"/>
      <c r="QGX145" s="41"/>
      <c r="QGY145" s="41"/>
      <c r="QGZ145" s="41"/>
      <c r="QHA145" s="41"/>
      <c r="QHB145" s="41"/>
      <c r="QHC145" s="41"/>
      <c r="QHD145" s="41"/>
      <c r="QHE145" s="41"/>
      <c r="QHF145" s="41"/>
      <c r="QHG145" s="41"/>
      <c r="QHH145" s="41"/>
      <c r="QHI145" s="41"/>
      <c r="QHJ145" s="41"/>
      <c r="QHK145" s="41"/>
      <c r="QHL145" s="41"/>
      <c r="QHM145" s="41"/>
      <c r="QHN145" s="41"/>
      <c r="QHO145" s="41"/>
      <c r="QHP145" s="41"/>
      <c r="QHQ145" s="41"/>
      <c r="QHR145" s="41"/>
      <c r="QHS145" s="41"/>
      <c r="QHT145" s="41"/>
      <c r="QHU145" s="41"/>
      <c r="QHV145" s="41"/>
      <c r="QHW145" s="41"/>
      <c r="QHX145" s="41"/>
      <c r="QHY145" s="41"/>
      <c r="QHZ145" s="41"/>
      <c r="QIA145" s="41"/>
      <c r="QIB145" s="41"/>
      <c r="QIC145" s="41"/>
      <c r="QID145" s="41"/>
      <c r="QIE145" s="41"/>
      <c r="QIF145" s="41"/>
      <c r="QIG145" s="41"/>
      <c r="QIH145" s="41"/>
      <c r="QII145" s="41"/>
      <c r="QIJ145" s="41"/>
      <c r="QIK145" s="41"/>
      <c r="QIL145" s="41"/>
      <c r="QIM145" s="41"/>
      <c r="QIN145" s="41"/>
      <c r="QIO145" s="41"/>
      <c r="QIP145" s="41"/>
      <c r="QIQ145" s="41"/>
      <c r="QIR145" s="41"/>
      <c r="QIS145" s="41"/>
      <c r="QIT145" s="41"/>
      <c r="QIU145" s="41"/>
      <c r="QIV145" s="41"/>
      <c r="QIW145" s="41"/>
      <c r="QIX145" s="41"/>
      <c r="QIY145" s="41"/>
      <c r="QIZ145" s="41"/>
      <c r="QJA145" s="41"/>
      <c r="QJB145" s="41"/>
      <c r="QJC145" s="41"/>
      <c r="QJD145" s="41"/>
      <c r="QJE145" s="41"/>
      <c r="QJF145" s="41"/>
      <c r="QJG145" s="41"/>
      <c r="QJH145" s="41"/>
      <c r="QJI145" s="41"/>
      <c r="QJJ145" s="41"/>
      <c r="QJK145" s="41"/>
      <c r="QJL145" s="41"/>
      <c r="QJM145" s="41"/>
      <c r="QJN145" s="41"/>
      <c r="QJO145" s="41"/>
      <c r="QJP145" s="41"/>
      <c r="QJQ145" s="41"/>
      <c r="QJR145" s="41"/>
      <c r="QJS145" s="41"/>
      <c r="QJT145" s="41"/>
      <c r="QJU145" s="41"/>
      <c r="QJV145" s="41"/>
      <c r="QJW145" s="41"/>
      <c r="QJX145" s="41"/>
      <c r="QJY145" s="41"/>
      <c r="QJZ145" s="41"/>
      <c r="QKA145" s="41"/>
      <c r="QKB145" s="41"/>
      <c r="QKC145" s="41"/>
      <c r="QKD145" s="41"/>
      <c r="QKE145" s="41"/>
      <c r="QKF145" s="41"/>
      <c r="QKG145" s="41"/>
      <c r="QKH145" s="41"/>
      <c r="QKI145" s="41"/>
      <c r="QKJ145" s="41"/>
      <c r="QKK145" s="41"/>
      <c r="QKL145" s="41"/>
      <c r="QKM145" s="41"/>
      <c r="QKN145" s="41"/>
      <c r="QKO145" s="41"/>
      <c r="QKP145" s="41"/>
      <c r="QKQ145" s="41"/>
      <c r="QKR145" s="41"/>
      <c r="QKS145" s="41"/>
      <c r="QKT145" s="41"/>
      <c r="QKU145" s="41"/>
      <c r="QKV145" s="41"/>
      <c r="QKW145" s="41"/>
      <c r="QKX145" s="41"/>
      <c r="QKY145" s="41"/>
      <c r="QKZ145" s="41"/>
      <c r="QLA145" s="41"/>
      <c r="QLB145" s="41"/>
      <c r="QLC145" s="41"/>
      <c r="QLD145" s="41"/>
      <c r="QLE145" s="41"/>
      <c r="QLF145" s="41"/>
      <c r="QLG145" s="41"/>
      <c r="QLH145" s="41"/>
      <c r="QLI145" s="41"/>
      <c r="QLJ145" s="41"/>
      <c r="QLK145" s="41"/>
      <c r="QLL145" s="41"/>
      <c r="QLM145" s="41"/>
      <c r="QLN145" s="41"/>
      <c r="QLO145" s="41"/>
      <c r="QLP145" s="41"/>
      <c r="QLQ145" s="41"/>
      <c r="QLR145" s="41"/>
      <c r="QLS145" s="41"/>
      <c r="QLT145" s="41"/>
      <c r="QLU145" s="41"/>
      <c r="QLV145" s="41"/>
      <c r="QLW145" s="41"/>
      <c r="QLX145" s="41"/>
      <c r="QLY145" s="41"/>
      <c r="QLZ145" s="41"/>
      <c r="QMA145" s="41"/>
      <c r="QMB145" s="41"/>
      <c r="QMC145" s="41"/>
      <c r="QMD145" s="41"/>
      <c r="QME145" s="41"/>
      <c r="QMF145" s="41"/>
      <c r="QMG145" s="41"/>
      <c r="QMH145" s="41"/>
      <c r="QMI145" s="41"/>
      <c r="QMJ145" s="41"/>
      <c r="QMK145" s="41"/>
      <c r="QML145" s="41"/>
      <c r="QMM145" s="41"/>
      <c r="QMN145" s="41"/>
      <c r="QMO145" s="41"/>
      <c r="QMP145" s="41"/>
      <c r="QMQ145" s="41"/>
      <c r="QMR145" s="41"/>
      <c r="QMS145" s="41"/>
      <c r="QMT145" s="41"/>
      <c r="QMU145" s="41"/>
      <c r="QMV145" s="41"/>
      <c r="QMW145" s="41"/>
      <c r="QMX145" s="41"/>
      <c r="QMY145" s="41"/>
      <c r="QMZ145" s="41"/>
      <c r="QNA145" s="41"/>
      <c r="QNB145" s="41"/>
      <c r="QNC145" s="41"/>
      <c r="QND145" s="41"/>
      <c r="QNE145" s="41"/>
      <c r="QNF145" s="41"/>
      <c r="QNG145" s="41"/>
      <c r="QNH145" s="41"/>
      <c r="QNI145" s="41"/>
      <c r="QNJ145" s="41"/>
      <c r="QNK145" s="41"/>
      <c r="QNL145" s="41"/>
      <c r="QNM145" s="41"/>
      <c r="QNN145" s="41"/>
      <c r="QNO145" s="41"/>
      <c r="QNP145" s="41"/>
      <c r="QNQ145" s="41"/>
      <c r="QNR145" s="41"/>
      <c r="QNS145" s="41"/>
      <c r="QNT145" s="41"/>
      <c r="QNU145" s="41"/>
      <c r="QNV145" s="41"/>
      <c r="QNW145" s="41"/>
      <c r="QNX145" s="41"/>
      <c r="QNY145" s="41"/>
      <c r="QNZ145" s="41"/>
      <c r="QOA145" s="41"/>
      <c r="QOB145" s="41"/>
      <c r="QOC145" s="41"/>
      <c r="QOD145" s="41"/>
      <c r="QOE145" s="41"/>
      <c r="QOF145" s="41"/>
      <c r="QOG145" s="41"/>
      <c r="QOH145" s="41"/>
      <c r="QOI145" s="41"/>
      <c r="QOJ145" s="41"/>
      <c r="QOK145" s="41"/>
      <c r="QOL145" s="41"/>
      <c r="QOM145" s="41"/>
      <c r="QON145" s="41"/>
      <c r="QOO145" s="41"/>
      <c r="QOP145" s="41"/>
      <c r="QOQ145" s="41"/>
      <c r="QOR145" s="41"/>
      <c r="QOS145" s="41"/>
      <c r="QOT145" s="41"/>
      <c r="QOU145" s="41"/>
      <c r="QOV145" s="41"/>
      <c r="QOW145" s="41"/>
      <c r="QOX145" s="41"/>
      <c r="QOY145" s="41"/>
      <c r="QOZ145" s="41"/>
      <c r="QPA145" s="41"/>
      <c r="QPB145" s="41"/>
      <c r="QPC145" s="41"/>
      <c r="QPD145" s="41"/>
      <c r="QPE145" s="41"/>
      <c r="QPF145" s="41"/>
      <c r="QPG145" s="41"/>
      <c r="QPH145" s="41"/>
      <c r="QPI145" s="41"/>
      <c r="QPJ145" s="41"/>
      <c r="QPK145" s="41"/>
      <c r="QPL145" s="41"/>
      <c r="QPM145" s="41"/>
      <c r="QPN145" s="41"/>
      <c r="QPO145" s="41"/>
      <c r="QPP145" s="41"/>
      <c r="QPQ145" s="41"/>
      <c r="QPR145" s="41"/>
      <c r="QPS145" s="41"/>
      <c r="QPT145" s="41"/>
      <c r="QPU145" s="41"/>
      <c r="QPV145" s="41"/>
      <c r="QPW145" s="41"/>
      <c r="QPX145" s="41"/>
      <c r="QPY145" s="41"/>
      <c r="QPZ145" s="41"/>
      <c r="QQA145" s="41"/>
      <c r="QQB145" s="41"/>
      <c r="QQC145" s="41"/>
      <c r="QQD145" s="41"/>
      <c r="QQE145" s="41"/>
      <c r="QQF145" s="41"/>
      <c r="QQG145" s="41"/>
      <c r="QQH145" s="41"/>
      <c r="QQI145" s="41"/>
      <c r="QQJ145" s="41"/>
      <c r="QQK145" s="41"/>
      <c r="QQL145" s="41"/>
      <c r="QQM145" s="41"/>
      <c r="QQN145" s="41"/>
      <c r="QQO145" s="41"/>
      <c r="QQP145" s="41"/>
      <c r="QQQ145" s="41"/>
      <c r="QQR145" s="41"/>
      <c r="QQS145" s="41"/>
      <c r="QQT145" s="41"/>
      <c r="QQU145" s="41"/>
      <c r="QQV145" s="41"/>
      <c r="QQW145" s="41"/>
      <c r="QQX145" s="41"/>
      <c r="QQY145" s="41"/>
      <c r="QQZ145" s="41"/>
      <c r="QRA145" s="41"/>
      <c r="QRB145" s="41"/>
      <c r="QRC145" s="41"/>
      <c r="QRD145" s="41"/>
      <c r="QRE145" s="41"/>
      <c r="QRF145" s="41"/>
      <c r="QRG145" s="41"/>
      <c r="QRH145" s="41"/>
      <c r="QRI145" s="41"/>
      <c r="QRJ145" s="41"/>
      <c r="QRK145" s="41"/>
      <c r="QRL145" s="41"/>
      <c r="QRM145" s="41"/>
      <c r="QRN145" s="41"/>
      <c r="QRO145" s="41"/>
      <c r="QRP145" s="41"/>
      <c r="QRQ145" s="41"/>
      <c r="QRR145" s="41"/>
      <c r="QRS145" s="41"/>
      <c r="QRT145" s="41"/>
      <c r="QRU145" s="41"/>
      <c r="QRV145" s="41"/>
      <c r="QRW145" s="41"/>
      <c r="QRX145" s="41"/>
      <c r="QRY145" s="41"/>
      <c r="QRZ145" s="41"/>
      <c r="QSA145" s="41"/>
      <c r="QSB145" s="41"/>
      <c r="QSC145" s="41"/>
      <c r="QSD145" s="41"/>
      <c r="QSE145" s="41"/>
      <c r="QSF145" s="41"/>
      <c r="QSG145" s="41"/>
      <c r="QSH145" s="41"/>
      <c r="QSI145" s="41"/>
      <c r="QSJ145" s="41"/>
      <c r="QSK145" s="41"/>
      <c r="QSL145" s="41"/>
      <c r="QSM145" s="41"/>
      <c r="QSN145" s="41"/>
      <c r="QSO145" s="41"/>
      <c r="QSP145" s="41"/>
      <c r="QSQ145" s="41"/>
      <c r="QSR145" s="41"/>
      <c r="QSS145" s="41"/>
      <c r="QST145" s="41"/>
      <c r="QSU145" s="41"/>
      <c r="QSV145" s="41"/>
      <c r="QSW145" s="41"/>
      <c r="QSX145" s="41"/>
      <c r="QSY145" s="41"/>
      <c r="QSZ145" s="41"/>
      <c r="QTA145" s="41"/>
      <c r="QTB145" s="41"/>
      <c r="QTC145" s="41"/>
      <c r="QTD145" s="41"/>
      <c r="QTE145" s="41"/>
      <c r="QTF145" s="41"/>
      <c r="QTG145" s="41"/>
      <c r="QTH145" s="41"/>
      <c r="QTI145" s="41"/>
      <c r="QTJ145" s="41"/>
      <c r="QTK145" s="41"/>
      <c r="QTL145" s="41"/>
      <c r="QTM145" s="41"/>
      <c r="QTN145" s="41"/>
      <c r="QTO145" s="41"/>
      <c r="QTP145" s="41"/>
      <c r="QTQ145" s="41"/>
      <c r="QTR145" s="41"/>
      <c r="QTS145" s="41"/>
      <c r="QTT145" s="41"/>
      <c r="QTU145" s="41"/>
      <c r="QTV145" s="41"/>
      <c r="QTW145" s="41"/>
      <c r="QTX145" s="41"/>
      <c r="QTY145" s="41"/>
      <c r="QTZ145" s="41"/>
      <c r="QUA145" s="41"/>
      <c r="QUB145" s="41"/>
      <c r="QUC145" s="41"/>
      <c r="QUD145" s="41"/>
      <c r="QUE145" s="41"/>
      <c r="QUF145" s="41"/>
      <c r="QUG145" s="41"/>
      <c r="QUH145" s="41"/>
      <c r="QUI145" s="41"/>
      <c r="QUJ145" s="41"/>
      <c r="QUK145" s="41"/>
      <c r="QUL145" s="41"/>
      <c r="QUM145" s="41"/>
      <c r="QUN145" s="41"/>
      <c r="QUO145" s="41"/>
      <c r="QUP145" s="41"/>
      <c r="QUQ145" s="41"/>
      <c r="QUR145" s="41"/>
      <c r="QUS145" s="41"/>
      <c r="QUT145" s="41"/>
      <c r="QUU145" s="41"/>
      <c r="QUV145" s="41"/>
      <c r="QUW145" s="41"/>
      <c r="QUX145" s="41"/>
      <c r="QUY145" s="41"/>
      <c r="QUZ145" s="41"/>
      <c r="QVA145" s="41"/>
      <c r="QVB145" s="41"/>
      <c r="QVC145" s="41"/>
      <c r="QVD145" s="41"/>
      <c r="QVE145" s="41"/>
      <c r="QVF145" s="41"/>
      <c r="QVG145" s="41"/>
      <c r="QVH145" s="41"/>
      <c r="QVI145" s="41"/>
      <c r="QVJ145" s="41"/>
      <c r="QVK145" s="41"/>
      <c r="QVL145" s="41"/>
      <c r="QVM145" s="41"/>
      <c r="QVN145" s="41"/>
      <c r="QVO145" s="41"/>
      <c r="QVP145" s="41"/>
      <c r="QVQ145" s="41"/>
      <c r="QVR145" s="41"/>
      <c r="QVS145" s="41"/>
      <c r="QVT145" s="41"/>
      <c r="QVU145" s="41"/>
      <c r="QVV145" s="41"/>
      <c r="QVW145" s="41"/>
      <c r="QVX145" s="41"/>
      <c r="QVY145" s="41"/>
      <c r="QVZ145" s="41"/>
      <c r="QWA145" s="41"/>
      <c r="QWB145" s="41"/>
      <c r="QWC145" s="41"/>
      <c r="QWD145" s="41"/>
      <c r="QWE145" s="41"/>
      <c r="QWF145" s="41"/>
      <c r="QWG145" s="41"/>
      <c r="QWH145" s="41"/>
      <c r="QWI145" s="41"/>
      <c r="QWJ145" s="41"/>
      <c r="QWK145" s="41"/>
      <c r="QWL145" s="41"/>
      <c r="QWM145" s="41"/>
      <c r="QWN145" s="41"/>
      <c r="QWO145" s="41"/>
      <c r="QWP145" s="41"/>
      <c r="QWQ145" s="41"/>
      <c r="QWR145" s="41"/>
      <c r="QWS145" s="41"/>
      <c r="QWT145" s="41"/>
      <c r="QWU145" s="41"/>
      <c r="QWV145" s="41"/>
      <c r="QWW145" s="41"/>
      <c r="QWX145" s="41"/>
      <c r="QWY145" s="41"/>
      <c r="QWZ145" s="41"/>
      <c r="QXA145" s="41"/>
      <c r="QXB145" s="41"/>
      <c r="QXC145" s="41"/>
      <c r="QXD145" s="41"/>
      <c r="QXE145" s="41"/>
      <c r="QXF145" s="41"/>
      <c r="QXG145" s="41"/>
      <c r="QXH145" s="41"/>
      <c r="QXI145" s="41"/>
      <c r="QXJ145" s="41"/>
      <c r="QXK145" s="41"/>
      <c r="QXL145" s="41"/>
      <c r="QXM145" s="41"/>
      <c r="QXN145" s="41"/>
      <c r="QXO145" s="41"/>
      <c r="QXP145" s="41"/>
      <c r="QXQ145" s="41"/>
      <c r="QXR145" s="41"/>
      <c r="QXS145" s="41"/>
      <c r="QXT145" s="41"/>
      <c r="QXU145" s="41"/>
      <c r="QXV145" s="41"/>
      <c r="QXW145" s="41"/>
      <c r="QXX145" s="41"/>
      <c r="QXY145" s="41"/>
      <c r="QXZ145" s="41"/>
      <c r="QYA145" s="41"/>
      <c r="QYB145" s="41"/>
      <c r="QYC145" s="41"/>
      <c r="QYD145" s="41"/>
      <c r="QYE145" s="41"/>
      <c r="QYF145" s="41"/>
      <c r="QYG145" s="41"/>
      <c r="QYH145" s="41"/>
      <c r="QYI145" s="41"/>
      <c r="QYJ145" s="41"/>
      <c r="QYK145" s="41"/>
      <c r="QYL145" s="41"/>
      <c r="QYM145" s="41"/>
      <c r="QYN145" s="41"/>
      <c r="QYO145" s="41"/>
      <c r="QYP145" s="41"/>
      <c r="QYQ145" s="41"/>
      <c r="QYR145" s="41"/>
      <c r="QYS145" s="41"/>
      <c r="QYT145" s="41"/>
      <c r="QYU145" s="41"/>
      <c r="QYV145" s="41"/>
      <c r="QYW145" s="41"/>
      <c r="QYX145" s="41"/>
      <c r="QYY145" s="41"/>
      <c r="QYZ145" s="41"/>
      <c r="QZA145" s="41"/>
      <c r="QZB145" s="41"/>
      <c r="QZC145" s="41"/>
      <c r="QZD145" s="41"/>
      <c r="QZE145" s="41"/>
      <c r="QZF145" s="41"/>
      <c r="QZG145" s="41"/>
      <c r="QZH145" s="41"/>
      <c r="QZI145" s="41"/>
      <c r="QZJ145" s="41"/>
      <c r="QZK145" s="41"/>
      <c r="QZL145" s="41"/>
      <c r="QZM145" s="41"/>
      <c r="QZN145" s="41"/>
      <c r="QZO145" s="41"/>
      <c r="QZP145" s="41"/>
      <c r="QZQ145" s="41"/>
      <c r="QZR145" s="41"/>
      <c r="QZS145" s="41"/>
      <c r="QZT145" s="41"/>
      <c r="QZU145" s="41"/>
      <c r="QZV145" s="41"/>
      <c r="QZW145" s="41"/>
      <c r="QZX145" s="41"/>
      <c r="QZY145" s="41"/>
      <c r="QZZ145" s="41"/>
      <c r="RAA145" s="41"/>
      <c r="RAB145" s="41"/>
      <c r="RAC145" s="41"/>
      <c r="RAD145" s="41"/>
      <c r="RAE145" s="41"/>
      <c r="RAF145" s="41"/>
      <c r="RAG145" s="41"/>
      <c r="RAH145" s="41"/>
      <c r="RAI145" s="41"/>
      <c r="RAJ145" s="41"/>
      <c r="RAK145" s="41"/>
      <c r="RAL145" s="41"/>
      <c r="RAM145" s="41"/>
      <c r="RAN145" s="41"/>
      <c r="RAO145" s="41"/>
      <c r="RAP145" s="41"/>
      <c r="RAQ145" s="41"/>
      <c r="RAR145" s="41"/>
      <c r="RAS145" s="41"/>
      <c r="RAT145" s="41"/>
      <c r="RAU145" s="41"/>
      <c r="RAV145" s="41"/>
      <c r="RAW145" s="41"/>
      <c r="RAX145" s="41"/>
      <c r="RAY145" s="41"/>
      <c r="RAZ145" s="41"/>
      <c r="RBA145" s="41"/>
      <c r="RBB145" s="41"/>
      <c r="RBC145" s="41"/>
      <c r="RBD145" s="41"/>
      <c r="RBE145" s="41"/>
      <c r="RBF145" s="41"/>
      <c r="RBG145" s="41"/>
      <c r="RBH145" s="41"/>
      <c r="RBI145" s="41"/>
      <c r="RBJ145" s="41"/>
      <c r="RBK145" s="41"/>
      <c r="RBL145" s="41"/>
      <c r="RBM145" s="41"/>
      <c r="RBN145" s="41"/>
      <c r="RBO145" s="41"/>
      <c r="RBP145" s="41"/>
      <c r="RBQ145" s="41"/>
      <c r="RBR145" s="41"/>
      <c r="RBS145" s="41"/>
      <c r="RBT145" s="41"/>
      <c r="RBU145" s="41"/>
      <c r="RBV145" s="41"/>
      <c r="RBW145" s="41"/>
      <c r="RBX145" s="41"/>
      <c r="RBY145" s="41"/>
      <c r="RBZ145" s="41"/>
      <c r="RCA145" s="41"/>
      <c r="RCB145" s="41"/>
      <c r="RCC145" s="41"/>
      <c r="RCD145" s="41"/>
      <c r="RCE145" s="41"/>
      <c r="RCF145" s="41"/>
      <c r="RCG145" s="41"/>
      <c r="RCH145" s="41"/>
      <c r="RCI145" s="41"/>
      <c r="RCJ145" s="41"/>
      <c r="RCK145" s="41"/>
      <c r="RCL145" s="41"/>
      <c r="RCM145" s="41"/>
      <c r="RCN145" s="41"/>
      <c r="RCO145" s="41"/>
      <c r="RCP145" s="41"/>
      <c r="RCQ145" s="41"/>
      <c r="RCR145" s="41"/>
      <c r="RCS145" s="41"/>
      <c r="RCT145" s="41"/>
      <c r="RCU145" s="41"/>
      <c r="RCV145" s="41"/>
      <c r="RCW145" s="41"/>
      <c r="RCX145" s="41"/>
      <c r="RCY145" s="41"/>
      <c r="RCZ145" s="41"/>
      <c r="RDA145" s="41"/>
      <c r="RDB145" s="41"/>
      <c r="RDC145" s="41"/>
      <c r="RDD145" s="41"/>
      <c r="RDE145" s="41"/>
      <c r="RDF145" s="41"/>
      <c r="RDG145" s="41"/>
      <c r="RDH145" s="41"/>
      <c r="RDI145" s="41"/>
      <c r="RDJ145" s="41"/>
      <c r="RDK145" s="41"/>
      <c r="RDL145" s="41"/>
      <c r="RDM145" s="41"/>
      <c r="RDN145" s="41"/>
      <c r="RDO145" s="41"/>
      <c r="RDP145" s="41"/>
      <c r="RDQ145" s="41"/>
      <c r="RDR145" s="41"/>
      <c r="RDS145" s="41"/>
      <c r="RDT145" s="41"/>
      <c r="RDU145" s="41"/>
      <c r="RDV145" s="41"/>
      <c r="RDW145" s="41"/>
      <c r="RDX145" s="41"/>
      <c r="RDY145" s="41"/>
      <c r="RDZ145" s="41"/>
      <c r="REA145" s="41"/>
      <c r="REB145" s="41"/>
      <c r="REC145" s="41"/>
      <c r="RED145" s="41"/>
      <c r="REE145" s="41"/>
      <c r="REF145" s="41"/>
      <c r="REG145" s="41"/>
      <c r="REH145" s="41"/>
      <c r="REI145" s="41"/>
      <c r="REJ145" s="41"/>
      <c r="REK145" s="41"/>
      <c r="REL145" s="41"/>
      <c r="REM145" s="41"/>
      <c r="REN145" s="41"/>
      <c r="REO145" s="41"/>
      <c r="REP145" s="41"/>
      <c r="REQ145" s="41"/>
      <c r="RER145" s="41"/>
      <c r="RES145" s="41"/>
      <c r="RET145" s="41"/>
      <c r="REU145" s="41"/>
      <c r="REV145" s="41"/>
      <c r="REW145" s="41"/>
      <c r="REX145" s="41"/>
      <c r="REY145" s="41"/>
      <c r="REZ145" s="41"/>
      <c r="RFA145" s="41"/>
      <c r="RFB145" s="41"/>
      <c r="RFC145" s="41"/>
      <c r="RFD145" s="41"/>
      <c r="RFE145" s="41"/>
      <c r="RFF145" s="41"/>
      <c r="RFG145" s="41"/>
      <c r="RFH145" s="41"/>
      <c r="RFI145" s="41"/>
      <c r="RFJ145" s="41"/>
      <c r="RFK145" s="41"/>
      <c r="RFL145" s="41"/>
      <c r="RFM145" s="41"/>
      <c r="RFN145" s="41"/>
      <c r="RFO145" s="41"/>
      <c r="RFP145" s="41"/>
      <c r="RFQ145" s="41"/>
      <c r="RFR145" s="41"/>
      <c r="RFS145" s="41"/>
      <c r="RFT145" s="41"/>
      <c r="RFU145" s="41"/>
      <c r="RFV145" s="41"/>
      <c r="RFW145" s="41"/>
      <c r="RFX145" s="41"/>
      <c r="RFY145" s="41"/>
      <c r="RFZ145" s="41"/>
      <c r="RGA145" s="41"/>
      <c r="RGB145" s="41"/>
      <c r="RGC145" s="41"/>
      <c r="RGD145" s="41"/>
      <c r="RGE145" s="41"/>
      <c r="RGF145" s="41"/>
      <c r="RGG145" s="41"/>
      <c r="RGH145" s="41"/>
      <c r="RGI145" s="41"/>
      <c r="RGJ145" s="41"/>
      <c r="RGK145" s="41"/>
      <c r="RGL145" s="41"/>
      <c r="RGM145" s="41"/>
      <c r="RGN145" s="41"/>
      <c r="RGO145" s="41"/>
      <c r="RGP145" s="41"/>
      <c r="RGQ145" s="41"/>
      <c r="RGR145" s="41"/>
      <c r="RGS145" s="41"/>
      <c r="RGT145" s="41"/>
      <c r="RGU145" s="41"/>
      <c r="RGV145" s="41"/>
      <c r="RGW145" s="41"/>
      <c r="RGX145" s="41"/>
      <c r="RGY145" s="41"/>
      <c r="RGZ145" s="41"/>
      <c r="RHA145" s="41"/>
      <c r="RHB145" s="41"/>
      <c r="RHC145" s="41"/>
      <c r="RHD145" s="41"/>
      <c r="RHE145" s="41"/>
      <c r="RHF145" s="41"/>
      <c r="RHG145" s="41"/>
      <c r="RHH145" s="41"/>
      <c r="RHI145" s="41"/>
      <c r="RHJ145" s="41"/>
      <c r="RHK145" s="41"/>
      <c r="RHL145" s="41"/>
      <c r="RHM145" s="41"/>
      <c r="RHN145" s="41"/>
      <c r="RHO145" s="41"/>
      <c r="RHP145" s="41"/>
      <c r="RHQ145" s="41"/>
      <c r="RHR145" s="41"/>
      <c r="RHS145" s="41"/>
      <c r="RHT145" s="41"/>
      <c r="RHU145" s="41"/>
      <c r="RHV145" s="41"/>
      <c r="RHW145" s="41"/>
      <c r="RHX145" s="41"/>
      <c r="RHY145" s="41"/>
      <c r="RHZ145" s="41"/>
      <c r="RIA145" s="41"/>
      <c r="RIB145" s="41"/>
      <c r="RIC145" s="41"/>
      <c r="RID145" s="41"/>
      <c r="RIE145" s="41"/>
      <c r="RIF145" s="41"/>
      <c r="RIG145" s="41"/>
      <c r="RIH145" s="41"/>
      <c r="RII145" s="41"/>
      <c r="RIJ145" s="41"/>
      <c r="RIK145" s="41"/>
      <c r="RIL145" s="41"/>
      <c r="RIM145" s="41"/>
      <c r="RIN145" s="41"/>
      <c r="RIO145" s="41"/>
      <c r="RIP145" s="41"/>
      <c r="RIQ145" s="41"/>
      <c r="RIR145" s="41"/>
      <c r="RIS145" s="41"/>
      <c r="RIT145" s="41"/>
      <c r="RIU145" s="41"/>
      <c r="RIV145" s="41"/>
      <c r="RIW145" s="41"/>
      <c r="RIX145" s="41"/>
      <c r="RIY145" s="41"/>
      <c r="RIZ145" s="41"/>
      <c r="RJA145" s="41"/>
      <c r="RJB145" s="41"/>
      <c r="RJC145" s="41"/>
      <c r="RJD145" s="41"/>
      <c r="RJE145" s="41"/>
      <c r="RJF145" s="41"/>
      <c r="RJG145" s="41"/>
      <c r="RJH145" s="41"/>
      <c r="RJI145" s="41"/>
      <c r="RJJ145" s="41"/>
      <c r="RJK145" s="41"/>
      <c r="RJL145" s="41"/>
      <c r="RJM145" s="41"/>
      <c r="RJN145" s="41"/>
      <c r="RJO145" s="41"/>
      <c r="RJP145" s="41"/>
      <c r="RJQ145" s="41"/>
      <c r="RJR145" s="41"/>
      <c r="RJS145" s="41"/>
      <c r="RJT145" s="41"/>
      <c r="RJU145" s="41"/>
      <c r="RJV145" s="41"/>
      <c r="RJW145" s="41"/>
      <c r="RJX145" s="41"/>
      <c r="RJY145" s="41"/>
      <c r="RJZ145" s="41"/>
      <c r="RKA145" s="41"/>
      <c r="RKB145" s="41"/>
      <c r="RKC145" s="41"/>
      <c r="RKD145" s="41"/>
      <c r="RKE145" s="41"/>
      <c r="RKF145" s="41"/>
      <c r="RKG145" s="41"/>
      <c r="RKH145" s="41"/>
      <c r="RKI145" s="41"/>
      <c r="RKJ145" s="41"/>
      <c r="RKK145" s="41"/>
      <c r="RKL145" s="41"/>
      <c r="RKM145" s="41"/>
      <c r="RKN145" s="41"/>
      <c r="RKO145" s="41"/>
      <c r="RKP145" s="41"/>
      <c r="RKQ145" s="41"/>
      <c r="RKR145" s="41"/>
      <c r="RKS145" s="41"/>
      <c r="RKT145" s="41"/>
      <c r="RKU145" s="41"/>
      <c r="RKV145" s="41"/>
      <c r="RKW145" s="41"/>
      <c r="RKX145" s="41"/>
      <c r="RKY145" s="41"/>
      <c r="RKZ145" s="41"/>
      <c r="RLA145" s="41"/>
      <c r="RLB145" s="41"/>
      <c r="RLC145" s="41"/>
      <c r="RLD145" s="41"/>
      <c r="RLE145" s="41"/>
      <c r="RLF145" s="41"/>
      <c r="RLG145" s="41"/>
      <c r="RLH145" s="41"/>
      <c r="RLI145" s="41"/>
      <c r="RLJ145" s="41"/>
      <c r="RLK145" s="41"/>
      <c r="RLL145" s="41"/>
      <c r="RLM145" s="41"/>
      <c r="RLN145" s="41"/>
      <c r="RLO145" s="41"/>
      <c r="RLP145" s="41"/>
      <c r="RLQ145" s="41"/>
      <c r="RLR145" s="41"/>
      <c r="RLS145" s="41"/>
      <c r="RLT145" s="41"/>
      <c r="RLU145" s="41"/>
      <c r="RLV145" s="41"/>
      <c r="RLW145" s="41"/>
      <c r="RLX145" s="41"/>
      <c r="RLY145" s="41"/>
      <c r="RLZ145" s="41"/>
      <c r="RMA145" s="41"/>
      <c r="RMB145" s="41"/>
      <c r="RMC145" s="41"/>
      <c r="RMD145" s="41"/>
      <c r="RME145" s="41"/>
      <c r="RMF145" s="41"/>
      <c r="RMG145" s="41"/>
      <c r="RMH145" s="41"/>
      <c r="RMI145" s="41"/>
      <c r="RMJ145" s="41"/>
      <c r="RMK145" s="41"/>
      <c r="RML145" s="41"/>
      <c r="RMM145" s="41"/>
      <c r="RMN145" s="41"/>
      <c r="RMO145" s="41"/>
      <c r="RMP145" s="41"/>
      <c r="RMQ145" s="41"/>
      <c r="RMR145" s="41"/>
      <c r="RMS145" s="41"/>
      <c r="RMT145" s="41"/>
      <c r="RMU145" s="41"/>
      <c r="RMV145" s="41"/>
      <c r="RMW145" s="41"/>
      <c r="RMX145" s="41"/>
      <c r="RMY145" s="41"/>
      <c r="RMZ145" s="41"/>
      <c r="RNA145" s="41"/>
      <c r="RNB145" s="41"/>
      <c r="RNC145" s="41"/>
      <c r="RND145" s="41"/>
      <c r="RNE145" s="41"/>
      <c r="RNF145" s="41"/>
      <c r="RNG145" s="41"/>
      <c r="RNH145" s="41"/>
      <c r="RNI145" s="41"/>
      <c r="RNJ145" s="41"/>
      <c r="RNK145" s="41"/>
      <c r="RNL145" s="41"/>
      <c r="RNM145" s="41"/>
      <c r="RNN145" s="41"/>
      <c r="RNO145" s="41"/>
      <c r="RNP145" s="41"/>
      <c r="RNQ145" s="41"/>
      <c r="RNR145" s="41"/>
      <c r="RNS145" s="41"/>
      <c r="RNT145" s="41"/>
      <c r="RNU145" s="41"/>
      <c r="RNV145" s="41"/>
      <c r="RNW145" s="41"/>
      <c r="RNX145" s="41"/>
      <c r="RNY145" s="41"/>
      <c r="RNZ145" s="41"/>
      <c r="ROA145" s="41"/>
      <c r="ROB145" s="41"/>
      <c r="ROC145" s="41"/>
      <c r="ROD145" s="41"/>
      <c r="ROE145" s="41"/>
      <c r="ROF145" s="41"/>
      <c r="ROG145" s="41"/>
      <c r="ROH145" s="41"/>
      <c r="ROI145" s="41"/>
      <c r="ROJ145" s="41"/>
      <c r="ROK145" s="41"/>
      <c r="ROL145" s="41"/>
      <c r="ROM145" s="41"/>
      <c r="RON145" s="41"/>
      <c r="ROO145" s="41"/>
      <c r="ROP145" s="41"/>
      <c r="ROQ145" s="41"/>
      <c r="ROR145" s="41"/>
      <c r="ROS145" s="41"/>
      <c r="ROT145" s="41"/>
      <c r="ROU145" s="41"/>
      <c r="ROV145" s="41"/>
      <c r="ROW145" s="41"/>
      <c r="ROX145" s="41"/>
      <c r="ROY145" s="41"/>
      <c r="ROZ145" s="41"/>
      <c r="RPA145" s="41"/>
      <c r="RPB145" s="41"/>
      <c r="RPC145" s="41"/>
      <c r="RPD145" s="41"/>
      <c r="RPE145" s="41"/>
      <c r="RPF145" s="41"/>
      <c r="RPG145" s="41"/>
      <c r="RPH145" s="41"/>
      <c r="RPI145" s="41"/>
      <c r="RPJ145" s="41"/>
      <c r="RPK145" s="41"/>
      <c r="RPL145" s="41"/>
      <c r="RPM145" s="41"/>
      <c r="RPN145" s="41"/>
      <c r="RPO145" s="41"/>
      <c r="RPP145" s="41"/>
      <c r="RPQ145" s="41"/>
      <c r="RPR145" s="41"/>
      <c r="RPS145" s="41"/>
      <c r="RPT145" s="41"/>
      <c r="RPU145" s="41"/>
      <c r="RPV145" s="41"/>
      <c r="RPW145" s="41"/>
      <c r="RPX145" s="41"/>
      <c r="RPY145" s="41"/>
      <c r="RPZ145" s="41"/>
      <c r="RQA145" s="41"/>
      <c r="RQB145" s="41"/>
      <c r="RQC145" s="41"/>
      <c r="RQD145" s="41"/>
      <c r="RQE145" s="41"/>
      <c r="RQF145" s="41"/>
      <c r="RQG145" s="41"/>
      <c r="RQH145" s="41"/>
      <c r="RQI145" s="41"/>
      <c r="RQJ145" s="41"/>
      <c r="RQK145" s="41"/>
      <c r="RQL145" s="41"/>
      <c r="RQM145" s="41"/>
      <c r="RQN145" s="41"/>
      <c r="RQO145" s="41"/>
      <c r="RQP145" s="41"/>
      <c r="RQQ145" s="41"/>
      <c r="RQR145" s="41"/>
      <c r="RQS145" s="41"/>
      <c r="RQT145" s="41"/>
      <c r="RQU145" s="41"/>
      <c r="RQV145" s="41"/>
      <c r="RQW145" s="41"/>
      <c r="RQX145" s="41"/>
      <c r="RQY145" s="41"/>
      <c r="RQZ145" s="41"/>
      <c r="RRA145" s="41"/>
      <c r="RRB145" s="41"/>
      <c r="RRC145" s="41"/>
      <c r="RRD145" s="41"/>
      <c r="RRE145" s="41"/>
      <c r="RRF145" s="41"/>
      <c r="RRG145" s="41"/>
      <c r="RRH145" s="41"/>
      <c r="RRI145" s="41"/>
      <c r="RRJ145" s="41"/>
      <c r="RRK145" s="41"/>
      <c r="RRL145" s="41"/>
      <c r="RRM145" s="41"/>
      <c r="RRN145" s="41"/>
      <c r="RRO145" s="41"/>
      <c r="RRP145" s="41"/>
      <c r="RRQ145" s="41"/>
      <c r="RRR145" s="41"/>
      <c r="RRS145" s="41"/>
      <c r="RRT145" s="41"/>
      <c r="RRU145" s="41"/>
      <c r="RRV145" s="41"/>
      <c r="RRW145" s="41"/>
      <c r="RRX145" s="41"/>
      <c r="RRY145" s="41"/>
      <c r="RRZ145" s="41"/>
      <c r="RSA145" s="41"/>
      <c r="RSB145" s="41"/>
      <c r="RSC145" s="41"/>
      <c r="RSD145" s="41"/>
      <c r="RSE145" s="41"/>
      <c r="RSF145" s="41"/>
      <c r="RSG145" s="41"/>
      <c r="RSH145" s="41"/>
      <c r="RSI145" s="41"/>
      <c r="RSJ145" s="41"/>
      <c r="RSK145" s="41"/>
      <c r="RSL145" s="41"/>
      <c r="RSM145" s="41"/>
      <c r="RSN145" s="41"/>
      <c r="RSO145" s="41"/>
      <c r="RSP145" s="41"/>
      <c r="RSQ145" s="41"/>
      <c r="RSR145" s="41"/>
      <c r="RSS145" s="41"/>
      <c r="RST145" s="41"/>
      <c r="RSU145" s="41"/>
      <c r="RSV145" s="41"/>
      <c r="RSW145" s="41"/>
      <c r="RSX145" s="41"/>
      <c r="RSY145" s="41"/>
      <c r="RSZ145" s="41"/>
      <c r="RTA145" s="41"/>
      <c r="RTB145" s="41"/>
      <c r="RTC145" s="41"/>
      <c r="RTD145" s="41"/>
      <c r="RTE145" s="41"/>
      <c r="RTF145" s="41"/>
      <c r="RTG145" s="41"/>
      <c r="RTH145" s="41"/>
      <c r="RTI145" s="41"/>
      <c r="RTJ145" s="41"/>
      <c r="RTK145" s="41"/>
      <c r="RTL145" s="41"/>
      <c r="RTM145" s="41"/>
      <c r="RTN145" s="41"/>
      <c r="RTO145" s="41"/>
      <c r="RTP145" s="41"/>
      <c r="RTQ145" s="41"/>
      <c r="RTR145" s="41"/>
      <c r="RTS145" s="41"/>
      <c r="RTT145" s="41"/>
      <c r="RTU145" s="41"/>
      <c r="RTV145" s="41"/>
      <c r="RTW145" s="41"/>
      <c r="RTX145" s="41"/>
      <c r="RTY145" s="41"/>
      <c r="RTZ145" s="41"/>
      <c r="RUA145" s="41"/>
      <c r="RUB145" s="41"/>
      <c r="RUC145" s="41"/>
      <c r="RUD145" s="41"/>
      <c r="RUE145" s="41"/>
      <c r="RUF145" s="41"/>
      <c r="RUG145" s="41"/>
      <c r="RUH145" s="41"/>
      <c r="RUI145" s="41"/>
      <c r="RUJ145" s="41"/>
      <c r="RUK145" s="41"/>
      <c r="RUL145" s="41"/>
      <c r="RUM145" s="41"/>
      <c r="RUN145" s="41"/>
      <c r="RUO145" s="41"/>
      <c r="RUP145" s="41"/>
      <c r="RUQ145" s="41"/>
      <c r="RUR145" s="41"/>
      <c r="RUS145" s="41"/>
      <c r="RUT145" s="41"/>
      <c r="RUU145" s="41"/>
      <c r="RUV145" s="41"/>
      <c r="RUW145" s="41"/>
      <c r="RUX145" s="41"/>
      <c r="RUY145" s="41"/>
      <c r="RUZ145" s="41"/>
      <c r="RVA145" s="41"/>
      <c r="RVB145" s="41"/>
      <c r="RVC145" s="41"/>
      <c r="RVD145" s="41"/>
      <c r="RVE145" s="41"/>
      <c r="RVF145" s="41"/>
      <c r="RVG145" s="41"/>
      <c r="RVH145" s="41"/>
      <c r="RVI145" s="41"/>
      <c r="RVJ145" s="41"/>
      <c r="RVK145" s="41"/>
      <c r="RVL145" s="41"/>
      <c r="RVM145" s="41"/>
      <c r="RVN145" s="41"/>
      <c r="RVO145" s="41"/>
      <c r="RVP145" s="41"/>
      <c r="RVQ145" s="41"/>
      <c r="RVR145" s="41"/>
      <c r="RVS145" s="41"/>
      <c r="RVT145" s="41"/>
      <c r="RVU145" s="41"/>
      <c r="RVV145" s="41"/>
      <c r="RVW145" s="41"/>
      <c r="RVX145" s="41"/>
      <c r="RVY145" s="41"/>
      <c r="RVZ145" s="41"/>
      <c r="RWA145" s="41"/>
      <c r="RWB145" s="41"/>
      <c r="RWC145" s="41"/>
      <c r="RWD145" s="41"/>
      <c r="RWE145" s="41"/>
      <c r="RWF145" s="41"/>
      <c r="RWG145" s="41"/>
      <c r="RWH145" s="41"/>
      <c r="RWI145" s="41"/>
      <c r="RWJ145" s="41"/>
      <c r="RWK145" s="41"/>
      <c r="RWL145" s="41"/>
      <c r="RWM145" s="41"/>
      <c r="RWN145" s="41"/>
      <c r="RWO145" s="41"/>
      <c r="RWP145" s="41"/>
      <c r="RWQ145" s="41"/>
      <c r="RWR145" s="41"/>
      <c r="RWS145" s="41"/>
      <c r="RWT145" s="41"/>
      <c r="RWU145" s="41"/>
      <c r="RWV145" s="41"/>
      <c r="RWW145" s="41"/>
      <c r="RWX145" s="41"/>
      <c r="RWY145" s="41"/>
      <c r="RWZ145" s="41"/>
      <c r="RXA145" s="41"/>
      <c r="RXB145" s="41"/>
      <c r="RXC145" s="41"/>
      <c r="RXD145" s="41"/>
      <c r="RXE145" s="41"/>
      <c r="RXF145" s="41"/>
      <c r="RXG145" s="41"/>
      <c r="RXH145" s="41"/>
      <c r="RXI145" s="41"/>
      <c r="RXJ145" s="41"/>
      <c r="RXK145" s="41"/>
      <c r="RXL145" s="41"/>
      <c r="RXM145" s="41"/>
      <c r="RXN145" s="41"/>
      <c r="RXO145" s="41"/>
      <c r="RXP145" s="41"/>
      <c r="RXQ145" s="41"/>
      <c r="RXR145" s="41"/>
      <c r="RXS145" s="41"/>
      <c r="RXT145" s="41"/>
      <c r="RXU145" s="41"/>
      <c r="RXV145" s="41"/>
      <c r="RXW145" s="41"/>
      <c r="RXX145" s="41"/>
      <c r="RXY145" s="41"/>
      <c r="RXZ145" s="41"/>
      <c r="RYA145" s="41"/>
      <c r="RYB145" s="41"/>
      <c r="RYC145" s="41"/>
      <c r="RYD145" s="41"/>
      <c r="RYE145" s="41"/>
      <c r="RYF145" s="41"/>
      <c r="RYG145" s="41"/>
      <c r="RYH145" s="41"/>
      <c r="RYI145" s="41"/>
      <c r="RYJ145" s="41"/>
      <c r="RYK145" s="41"/>
      <c r="RYL145" s="41"/>
      <c r="RYM145" s="41"/>
      <c r="RYN145" s="41"/>
      <c r="RYO145" s="41"/>
      <c r="RYP145" s="41"/>
      <c r="RYQ145" s="41"/>
      <c r="RYR145" s="41"/>
      <c r="RYS145" s="41"/>
      <c r="RYT145" s="41"/>
      <c r="RYU145" s="41"/>
      <c r="RYV145" s="41"/>
      <c r="RYW145" s="41"/>
      <c r="RYX145" s="41"/>
      <c r="RYY145" s="41"/>
      <c r="RYZ145" s="41"/>
      <c r="RZA145" s="41"/>
      <c r="RZB145" s="41"/>
      <c r="RZC145" s="41"/>
      <c r="RZD145" s="41"/>
      <c r="RZE145" s="41"/>
      <c r="RZF145" s="41"/>
      <c r="RZG145" s="41"/>
      <c r="RZH145" s="41"/>
      <c r="RZI145" s="41"/>
      <c r="RZJ145" s="41"/>
      <c r="RZK145" s="41"/>
      <c r="RZL145" s="41"/>
      <c r="RZM145" s="41"/>
      <c r="RZN145" s="41"/>
      <c r="RZO145" s="41"/>
      <c r="RZP145" s="41"/>
      <c r="RZQ145" s="41"/>
      <c r="RZR145" s="41"/>
      <c r="RZS145" s="41"/>
      <c r="RZT145" s="41"/>
      <c r="RZU145" s="41"/>
      <c r="RZV145" s="41"/>
      <c r="RZW145" s="41"/>
      <c r="RZX145" s="41"/>
      <c r="RZY145" s="41"/>
      <c r="RZZ145" s="41"/>
      <c r="SAA145" s="41"/>
      <c r="SAB145" s="41"/>
      <c r="SAC145" s="41"/>
      <c r="SAD145" s="41"/>
      <c r="SAE145" s="41"/>
      <c r="SAF145" s="41"/>
      <c r="SAG145" s="41"/>
      <c r="SAH145" s="41"/>
      <c r="SAI145" s="41"/>
      <c r="SAJ145" s="41"/>
      <c r="SAK145" s="41"/>
      <c r="SAL145" s="41"/>
      <c r="SAM145" s="41"/>
      <c r="SAN145" s="41"/>
      <c r="SAO145" s="41"/>
      <c r="SAP145" s="41"/>
      <c r="SAQ145" s="41"/>
      <c r="SAR145" s="41"/>
      <c r="SAS145" s="41"/>
      <c r="SAT145" s="41"/>
      <c r="SAU145" s="41"/>
      <c r="SAV145" s="41"/>
      <c r="SAW145" s="41"/>
      <c r="SAX145" s="41"/>
      <c r="SAY145" s="41"/>
      <c r="SAZ145" s="41"/>
      <c r="SBA145" s="41"/>
      <c r="SBB145" s="41"/>
      <c r="SBC145" s="41"/>
      <c r="SBD145" s="41"/>
      <c r="SBE145" s="41"/>
      <c r="SBF145" s="41"/>
      <c r="SBG145" s="41"/>
      <c r="SBH145" s="41"/>
      <c r="SBI145" s="41"/>
      <c r="SBJ145" s="41"/>
      <c r="SBK145" s="41"/>
      <c r="SBL145" s="41"/>
      <c r="SBM145" s="41"/>
      <c r="SBN145" s="41"/>
      <c r="SBO145" s="41"/>
      <c r="SBP145" s="41"/>
      <c r="SBQ145" s="41"/>
      <c r="SBR145" s="41"/>
      <c r="SBS145" s="41"/>
      <c r="SBT145" s="41"/>
      <c r="SBU145" s="41"/>
      <c r="SBV145" s="41"/>
      <c r="SBW145" s="41"/>
      <c r="SBX145" s="41"/>
      <c r="SBY145" s="41"/>
      <c r="SBZ145" s="41"/>
      <c r="SCA145" s="41"/>
      <c r="SCB145" s="41"/>
      <c r="SCC145" s="41"/>
      <c r="SCD145" s="41"/>
      <c r="SCE145" s="41"/>
      <c r="SCF145" s="41"/>
      <c r="SCG145" s="41"/>
      <c r="SCH145" s="41"/>
      <c r="SCI145" s="41"/>
      <c r="SCJ145" s="41"/>
      <c r="SCK145" s="41"/>
      <c r="SCL145" s="41"/>
      <c r="SCM145" s="41"/>
      <c r="SCN145" s="41"/>
      <c r="SCO145" s="41"/>
      <c r="SCP145" s="41"/>
      <c r="SCQ145" s="41"/>
      <c r="SCR145" s="41"/>
      <c r="SCS145" s="41"/>
      <c r="SCT145" s="41"/>
      <c r="SCU145" s="41"/>
      <c r="SCV145" s="41"/>
      <c r="SCW145" s="41"/>
      <c r="SCX145" s="41"/>
      <c r="SCY145" s="41"/>
      <c r="SCZ145" s="41"/>
      <c r="SDA145" s="41"/>
      <c r="SDB145" s="41"/>
      <c r="SDC145" s="41"/>
      <c r="SDD145" s="41"/>
      <c r="SDE145" s="41"/>
      <c r="SDF145" s="41"/>
      <c r="SDG145" s="41"/>
      <c r="SDH145" s="41"/>
      <c r="SDI145" s="41"/>
      <c r="SDJ145" s="41"/>
      <c r="SDK145" s="41"/>
      <c r="SDL145" s="41"/>
      <c r="SDM145" s="41"/>
      <c r="SDN145" s="41"/>
      <c r="SDO145" s="41"/>
      <c r="SDP145" s="41"/>
      <c r="SDQ145" s="41"/>
      <c r="SDR145" s="41"/>
      <c r="SDS145" s="41"/>
      <c r="SDT145" s="41"/>
      <c r="SDU145" s="41"/>
      <c r="SDV145" s="41"/>
      <c r="SDW145" s="41"/>
      <c r="SDX145" s="41"/>
      <c r="SDY145" s="41"/>
      <c r="SDZ145" s="41"/>
      <c r="SEA145" s="41"/>
      <c r="SEB145" s="41"/>
      <c r="SEC145" s="41"/>
      <c r="SED145" s="41"/>
      <c r="SEE145" s="41"/>
      <c r="SEF145" s="41"/>
      <c r="SEG145" s="41"/>
      <c r="SEH145" s="41"/>
      <c r="SEI145" s="41"/>
      <c r="SEJ145" s="41"/>
      <c r="SEK145" s="41"/>
      <c r="SEL145" s="41"/>
      <c r="SEM145" s="41"/>
      <c r="SEN145" s="41"/>
      <c r="SEO145" s="41"/>
      <c r="SEP145" s="41"/>
      <c r="SEQ145" s="41"/>
      <c r="SER145" s="41"/>
      <c r="SES145" s="41"/>
      <c r="SET145" s="41"/>
      <c r="SEU145" s="41"/>
      <c r="SEV145" s="41"/>
      <c r="SEW145" s="41"/>
      <c r="SEX145" s="41"/>
      <c r="SEY145" s="41"/>
      <c r="SEZ145" s="41"/>
      <c r="SFA145" s="41"/>
      <c r="SFB145" s="41"/>
      <c r="SFC145" s="41"/>
      <c r="SFD145" s="41"/>
      <c r="SFE145" s="41"/>
      <c r="SFF145" s="41"/>
      <c r="SFG145" s="41"/>
      <c r="SFH145" s="41"/>
      <c r="SFI145" s="41"/>
      <c r="SFJ145" s="41"/>
      <c r="SFK145" s="41"/>
      <c r="SFL145" s="41"/>
      <c r="SFM145" s="41"/>
      <c r="SFN145" s="41"/>
      <c r="SFO145" s="41"/>
      <c r="SFP145" s="41"/>
      <c r="SFQ145" s="41"/>
      <c r="SFR145" s="41"/>
      <c r="SFS145" s="41"/>
      <c r="SFT145" s="41"/>
      <c r="SFU145" s="41"/>
      <c r="SFV145" s="41"/>
      <c r="SFW145" s="41"/>
      <c r="SFX145" s="41"/>
      <c r="SFY145" s="41"/>
      <c r="SFZ145" s="41"/>
      <c r="SGA145" s="41"/>
      <c r="SGB145" s="41"/>
      <c r="SGC145" s="41"/>
      <c r="SGD145" s="41"/>
      <c r="SGE145" s="41"/>
      <c r="SGF145" s="41"/>
      <c r="SGG145" s="41"/>
      <c r="SGH145" s="41"/>
      <c r="SGI145" s="41"/>
      <c r="SGJ145" s="41"/>
      <c r="SGK145" s="41"/>
      <c r="SGL145" s="41"/>
      <c r="SGM145" s="41"/>
      <c r="SGN145" s="41"/>
      <c r="SGO145" s="41"/>
      <c r="SGP145" s="41"/>
      <c r="SGQ145" s="41"/>
      <c r="SGR145" s="41"/>
      <c r="SGS145" s="41"/>
      <c r="SGT145" s="41"/>
      <c r="SGU145" s="41"/>
      <c r="SGV145" s="41"/>
      <c r="SGW145" s="41"/>
      <c r="SGX145" s="41"/>
      <c r="SGY145" s="41"/>
      <c r="SGZ145" s="41"/>
      <c r="SHA145" s="41"/>
      <c r="SHB145" s="41"/>
      <c r="SHC145" s="41"/>
      <c r="SHD145" s="41"/>
      <c r="SHE145" s="41"/>
      <c r="SHF145" s="41"/>
      <c r="SHG145" s="41"/>
      <c r="SHH145" s="41"/>
      <c r="SHI145" s="41"/>
      <c r="SHJ145" s="41"/>
      <c r="SHK145" s="41"/>
      <c r="SHL145" s="41"/>
      <c r="SHM145" s="41"/>
      <c r="SHN145" s="41"/>
      <c r="SHO145" s="41"/>
      <c r="SHP145" s="41"/>
      <c r="SHQ145" s="41"/>
      <c r="SHR145" s="41"/>
      <c r="SHS145" s="41"/>
      <c r="SHT145" s="41"/>
      <c r="SHU145" s="41"/>
      <c r="SHV145" s="41"/>
      <c r="SHW145" s="41"/>
      <c r="SHX145" s="41"/>
      <c r="SHY145" s="41"/>
      <c r="SHZ145" s="41"/>
      <c r="SIA145" s="41"/>
      <c r="SIB145" s="41"/>
      <c r="SIC145" s="41"/>
      <c r="SID145" s="41"/>
      <c r="SIE145" s="41"/>
      <c r="SIF145" s="41"/>
      <c r="SIG145" s="41"/>
      <c r="SIH145" s="41"/>
      <c r="SII145" s="41"/>
      <c r="SIJ145" s="41"/>
      <c r="SIK145" s="41"/>
      <c r="SIL145" s="41"/>
      <c r="SIM145" s="41"/>
      <c r="SIN145" s="41"/>
      <c r="SIO145" s="41"/>
      <c r="SIP145" s="41"/>
      <c r="SIQ145" s="41"/>
      <c r="SIR145" s="41"/>
      <c r="SIS145" s="41"/>
      <c r="SIT145" s="41"/>
      <c r="SIU145" s="41"/>
      <c r="SIV145" s="41"/>
      <c r="SIW145" s="41"/>
      <c r="SIX145" s="41"/>
      <c r="SIY145" s="41"/>
      <c r="SIZ145" s="41"/>
      <c r="SJA145" s="41"/>
      <c r="SJB145" s="41"/>
      <c r="SJC145" s="41"/>
      <c r="SJD145" s="41"/>
      <c r="SJE145" s="41"/>
      <c r="SJF145" s="41"/>
      <c r="SJG145" s="41"/>
      <c r="SJH145" s="41"/>
      <c r="SJI145" s="41"/>
      <c r="SJJ145" s="41"/>
      <c r="SJK145" s="41"/>
      <c r="SJL145" s="41"/>
      <c r="SJM145" s="41"/>
      <c r="SJN145" s="41"/>
      <c r="SJO145" s="41"/>
      <c r="SJP145" s="41"/>
      <c r="SJQ145" s="41"/>
      <c r="SJR145" s="41"/>
      <c r="SJS145" s="41"/>
      <c r="SJT145" s="41"/>
      <c r="SJU145" s="41"/>
      <c r="SJV145" s="41"/>
      <c r="SJW145" s="41"/>
      <c r="SJX145" s="41"/>
      <c r="SJY145" s="41"/>
      <c r="SJZ145" s="41"/>
      <c r="SKA145" s="41"/>
      <c r="SKB145" s="41"/>
      <c r="SKC145" s="41"/>
      <c r="SKD145" s="41"/>
      <c r="SKE145" s="41"/>
      <c r="SKF145" s="41"/>
      <c r="SKG145" s="41"/>
      <c r="SKH145" s="41"/>
      <c r="SKI145" s="41"/>
      <c r="SKJ145" s="41"/>
      <c r="SKK145" s="41"/>
      <c r="SKL145" s="41"/>
      <c r="SKM145" s="41"/>
      <c r="SKN145" s="41"/>
      <c r="SKO145" s="41"/>
      <c r="SKP145" s="41"/>
      <c r="SKQ145" s="41"/>
      <c r="SKR145" s="41"/>
      <c r="SKS145" s="41"/>
      <c r="SKT145" s="41"/>
      <c r="SKU145" s="41"/>
      <c r="SKV145" s="41"/>
      <c r="SKW145" s="41"/>
      <c r="SKX145" s="41"/>
      <c r="SKY145" s="41"/>
      <c r="SKZ145" s="41"/>
      <c r="SLA145" s="41"/>
      <c r="SLB145" s="41"/>
      <c r="SLC145" s="41"/>
      <c r="SLD145" s="41"/>
      <c r="SLE145" s="41"/>
      <c r="SLF145" s="41"/>
      <c r="SLG145" s="41"/>
      <c r="SLH145" s="41"/>
      <c r="SLI145" s="41"/>
      <c r="SLJ145" s="41"/>
      <c r="SLK145" s="41"/>
      <c r="SLL145" s="41"/>
      <c r="SLM145" s="41"/>
      <c r="SLN145" s="41"/>
      <c r="SLO145" s="41"/>
      <c r="SLP145" s="41"/>
      <c r="SLQ145" s="41"/>
      <c r="SLR145" s="41"/>
      <c r="SLS145" s="41"/>
      <c r="SLT145" s="41"/>
      <c r="SLU145" s="41"/>
      <c r="SLV145" s="41"/>
      <c r="SLW145" s="41"/>
      <c r="SLX145" s="41"/>
      <c r="SLY145" s="41"/>
      <c r="SLZ145" s="41"/>
      <c r="SMA145" s="41"/>
      <c r="SMB145" s="41"/>
      <c r="SMC145" s="41"/>
      <c r="SMD145" s="41"/>
      <c r="SME145" s="41"/>
      <c r="SMF145" s="41"/>
      <c r="SMG145" s="41"/>
      <c r="SMH145" s="41"/>
      <c r="SMI145" s="41"/>
      <c r="SMJ145" s="41"/>
      <c r="SMK145" s="41"/>
      <c r="SML145" s="41"/>
      <c r="SMM145" s="41"/>
      <c r="SMN145" s="41"/>
      <c r="SMO145" s="41"/>
      <c r="SMP145" s="41"/>
      <c r="SMQ145" s="41"/>
      <c r="SMR145" s="41"/>
      <c r="SMS145" s="41"/>
      <c r="SMT145" s="41"/>
      <c r="SMU145" s="41"/>
      <c r="SMV145" s="41"/>
      <c r="SMW145" s="41"/>
      <c r="SMX145" s="41"/>
      <c r="SMY145" s="41"/>
      <c r="SMZ145" s="41"/>
      <c r="SNA145" s="41"/>
      <c r="SNB145" s="41"/>
      <c r="SNC145" s="41"/>
      <c r="SND145" s="41"/>
      <c r="SNE145" s="41"/>
      <c r="SNF145" s="41"/>
      <c r="SNG145" s="41"/>
      <c r="SNH145" s="41"/>
      <c r="SNI145" s="41"/>
      <c r="SNJ145" s="41"/>
      <c r="SNK145" s="41"/>
      <c r="SNL145" s="41"/>
      <c r="SNM145" s="41"/>
      <c r="SNN145" s="41"/>
      <c r="SNO145" s="41"/>
      <c r="SNP145" s="41"/>
      <c r="SNQ145" s="41"/>
      <c r="SNR145" s="41"/>
      <c r="SNS145" s="41"/>
      <c r="SNT145" s="41"/>
      <c r="SNU145" s="41"/>
      <c r="SNV145" s="41"/>
      <c r="SNW145" s="41"/>
      <c r="SNX145" s="41"/>
      <c r="SNY145" s="41"/>
      <c r="SNZ145" s="41"/>
      <c r="SOA145" s="41"/>
      <c r="SOB145" s="41"/>
      <c r="SOC145" s="41"/>
      <c r="SOD145" s="41"/>
      <c r="SOE145" s="41"/>
      <c r="SOF145" s="41"/>
      <c r="SOG145" s="41"/>
      <c r="SOH145" s="41"/>
      <c r="SOI145" s="41"/>
      <c r="SOJ145" s="41"/>
      <c r="SOK145" s="41"/>
      <c r="SOL145" s="41"/>
      <c r="SOM145" s="41"/>
      <c r="SON145" s="41"/>
      <c r="SOO145" s="41"/>
      <c r="SOP145" s="41"/>
      <c r="SOQ145" s="41"/>
      <c r="SOR145" s="41"/>
      <c r="SOS145" s="41"/>
      <c r="SOT145" s="41"/>
      <c r="SOU145" s="41"/>
      <c r="SOV145" s="41"/>
      <c r="SOW145" s="41"/>
      <c r="SOX145" s="41"/>
      <c r="SOY145" s="41"/>
      <c r="SOZ145" s="41"/>
      <c r="SPA145" s="41"/>
      <c r="SPB145" s="41"/>
      <c r="SPC145" s="41"/>
      <c r="SPD145" s="41"/>
      <c r="SPE145" s="41"/>
      <c r="SPF145" s="41"/>
      <c r="SPG145" s="41"/>
      <c r="SPH145" s="41"/>
      <c r="SPI145" s="41"/>
      <c r="SPJ145" s="41"/>
      <c r="SPK145" s="41"/>
      <c r="SPL145" s="41"/>
      <c r="SPM145" s="41"/>
      <c r="SPN145" s="41"/>
      <c r="SPO145" s="41"/>
      <c r="SPP145" s="41"/>
      <c r="SPQ145" s="41"/>
      <c r="SPR145" s="41"/>
      <c r="SPS145" s="41"/>
      <c r="SPT145" s="41"/>
      <c r="SPU145" s="41"/>
      <c r="SPV145" s="41"/>
      <c r="SPW145" s="41"/>
      <c r="SPX145" s="41"/>
      <c r="SPY145" s="41"/>
      <c r="SPZ145" s="41"/>
      <c r="SQA145" s="41"/>
      <c r="SQB145" s="41"/>
      <c r="SQC145" s="41"/>
      <c r="SQD145" s="41"/>
      <c r="SQE145" s="41"/>
      <c r="SQF145" s="41"/>
      <c r="SQG145" s="41"/>
      <c r="SQH145" s="41"/>
      <c r="SQI145" s="41"/>
      <c r="SQJ145" s="41"/>
      <c r="SQK145" s="41"/>
      <c r="SQL145" s="41"/>
      <c r="SQM145" s="41"/>
      <c r="SQN145" s="41"/>
      <c r="SQO145" s="41"/>
      <c r="SQP145" s="41"/>
      <c r="SQQ145" s="41"/>
      <c r="SQR145" s="41"/>
      <c r="SQS145" s="41"/>
      <c r="SQT145" s="41"/>
      <c r="SQU145" s="41"/>
      <c r="SQV145" s="41"/>
      <c r="SQW145" s="41"/>
      <c r="SQX145" s="41"/>
      <c r="SQY145" s="41"/>
      <c r="SQZ145" s="41"/>
      <c r="SRA145" s="41"/>
      <c r="SRB145" s="41"/>
      <c r="SRC145" s="41"/>
      <c r="SRD145" s="41"/>
      <c r="SRE145" s="41"/>
      <c r="SRF145" s="41"/>
      <c r="SRG145" s="41"/>
      <c r="SRH145" s="41"/>
      <c r="SRI145" s="41"/>
      <c r="SRJ145" s="41"/>
      <c r="SRK145" s="41"/>
      <c r="SRL145" s="41"/>
      <c r="SRM145" s="41"/>
      <c r="SRN145" s="41"/>
      <c r="SRO145" s="41"/>
      <c r="SRP145" s="41"/>
      <c r="SRQ145" s="41"/>
      <c r="SRR145" s="41"/>
      <c r="SRS145" s="41"/>
      <c r="SRT145" s="41"/>
      <c r="SRU145" s="41"/>
      <c r="SRV145" s="41"/>
      <c r="SRW145" s="41"/>
      <c r="SRX145" s="41"/>
      <c r="SRY145" s="41"/>
      <c r="SRZ145" s="41"/>
      <c r="SSA145" s="41"/>
      <c r="SSB145" s="41"/>
      <c r="SSC145" s="41"/>
      <c r="SSD145" s="41"/>
      <c r="SSE145" s="41"/>
      <c r="SSF145" s="41"/>
      <c r="SSG145" s="41"/>
      <c r="SSH145" s="41"/>
      <c r="SSI145" s="41"/>
      <c r="SSJ145" s="41"/>
      <c r="SSK145" s="41"/>
      <c r="SSL145" s="41"/>
      <c r="SSM145" s="41"/>
      <c r="SSN145" s="41"/>
      <c r="SSO145" s="41"/>
      <c r="SSP145" s="41"/>
      <c r="SSQ145" s="41"/>
      <c r="SSR145" s="41"/>
      <c r="SSS145" s="41"/>
      <c r="SST145" s="41"/>
      <c r="SSU145" s="41"/>
      <c r="SSV145" s="41"/>
      <c r="SSW145" s="41"/>
      <c r="SSX145" s="41"/>
      <c r="SSY145" s="41"/>
      <c r="SSZ145" s="41"/>
      <c r="STA145" s="41"/>
      <c r="STB145" s="41"/>
      <c r="STC145" s="41"/>
      <c r="STD145" s="41"/>
      <c r="STE145" s="41"/>
      <c r="STF145" s="41"/>
      <c r="STG145" s="41"/>
      <c r="STH145" s="41"/>
      <c r="STI145" s="41"/>
      <c r="STJ145" s="41"/>
      <c r="STK145" s="41"/>
      <c r="STL145" s="41"/>
      <c r="STM145" s="41"/>
      <c r="STN145" s="41"/>
      <c r="STO145" s="41"/>
      <c r="STP145" s="41"/>
      <c r="STQ145" s="41"/>
      <c r="STR145" s="41"/>
      <c r="STS145" s="41"/>
      <c r="STT145" s="41"/>
      <c r="STU145" s="41"/>
      <c r="STV145" s="41"/>
      <c r="STW145" s="41"/>
      <c r="STX145" s="41"/>
      <c r="STY145" s="41"/>
      <c r="STZ145" s="41"/>
      <c r="SUA145" s="41"/>
      <c r="SUB145" s="41"/>
      <c r="SUC145" s="41"/>
      <c r="SUD145" s="41"/>
      <c r="SUE145" s="41"/>
      <c r="SUF145" s="41"/>
      <c r="SUG145" s="41"/>
      <c r="SUH145" s="41"/>
      <c r="SUI145" s="41"/>
      <c r="SUJ145" s="41"/>
      <c r="SUK145" s="41"/>
      <c r="SUL145" s="41"/>
      <c r="SUM145" s="41"/>
      <c r="SUN145" s="41"/>
      <c r="SUO145" s="41"/>
      <c r="SUP145" s="41"/>
      <c r="SUQ145" s="41"/>
      <c r="SUR145" s="41"/>
      <c r="SUS145" s="41"/>
      <c r="SUT145" s="41"/>
      <c r="SUU145" s="41"/>
      <c r="SUV145" s="41"/>
      <c r="SUW145" s="41"/>
      <c r="SUX145" s="41"/>
      <c r="SUY145" s="41"/>
      <c r="SUZ145" s="41"/>
      <c r="SVA145" s="41"/>
      <c r="SVB145" s="41"/>
      <c r="SVC145" s="41"/>
      <c r="SVD145" s="41"/>
      <c r="SVE145" s="41"/>
      <c r="SVF145" s="41"/>
      <c r="SVG145" s="41"/>
      <c r="SVH145" s="41"/>
      <c r="SVI145" s="41"/>
      <c r="SVJ145" s="41"/>
      <c r="SVK145" s="41"/>
      <c r="SVL145" s="41"/>
      <c r="SVM145" s="41"/>
      <c r="SVN145" s="41"/>
      <c r="SVO145" s="41"/>
      <c r="SVP145" s="41"/>
      <c r="SVQ145" s="41"/>
      <c r="SVR145" s="41"/>
      <c r="SVS145" s="41"/>
      <c r="SVT145" s="41"/>
      <c r="SVU145" s="41"/>
      <c r="SVV145" s="41"/>
      <c r="SVW145" s="41"/>
      <c r="SVX145" s="41"/>
      <c r="SVY145" s="41"/>
      <c r="SVZ145" s="41"/>
      <c r="SWA145" s="41"/>
      <c r="SWB145" s="41"/>
      <c r="SWC145" s="41"/>
      <c r="SWD145" s="41"/>
      <c r="SWE145" s="41"/>
      <c r="SWF145" s="41"/>
      <c r="SWG145" s="41"/>
      <c r="SWH145" s="41"/>
      <c r="SWI145" s="41"/>
      <c r="SWJ145" s="41"/>
      <c r="SWK145" s="41"/>
      <c r="SWL145" s="41"/>
      <c r="SWM145" s="41"/>
      <c r="SWN145" s="41"/>
      <c r="SWO145" s="41"/>
      <c r="SWP145" s="41"/>
      <c r="SWQ145" s="41"/>
      <c r="SWR145" s="41"/>
      <c r="SWS145" s="41"/>
      <c r="SWT145" s="41"/>
      <c r="SWU145" s="41"/>
      <c r="SWV145" s="41"/>
      <c r="SWW145" s="41"/>
      <c r="SWX145" s="41"/>
      <c r="SWY145" s="41"/>
      <c r="SWZ145" s="41"/>
      <c r="SXA145" s="41"/>
      <c r="SXB145" s="41"/>
      <c r="SXC145" s="41"/>
      <c r="SXD145" s="41"/>
      <c r="SXE145" s="41"/>
      <c r="SXF145" s="41"/>
      <c r="SXG145" s="41"/>
      <c r="SXH145" s="41"/>
      <c r="SXI145" s="41"/>
      <c r="SXJ145" s="41"/>
      <c r="SXK145" s="41"/>
      <c r="SXL145" s="41"/>
      <c r="SXM145" s="41"/>
      <c r="SXN145" s="41"/>
      <c r="SXO145" s="41"/>
      <c r="SXP145" s="41"/>
      <c r="SXQ145" s="41"/>
      <c r="SXR145" s="41"/>
      <c r="SXS145" s="41"/>
      <c r="SXT145" s="41"/>
      <c r="SXU145" s="41"/>
      <c r="SXV145" s="41"/>
      <c r="SXW145" s="41"/>
      <c r="SXX145" s="41"/>
      <c r="SXY145" s="41"/>
      <c r="SXZ145" s="41"/>
      <c r="SYA145" s="41"/>
      <c r="SYB145" s="41"/>
      <c r="SYC145" s="41"/>
      <c r="SYD145" s="41"/>
      <c r="SYE145" s="41"/>
      <c r="SYF145" s="41"/>
      <c r="SYG145" s="41"/>
      <c r="SYH145" s="41"/>
      <c r="SYI145" s="41"/>
      <c r="SYJ145" s="41"/>
      <c r="SYK145" s="41"/>
      <c r="SYL145" s="41"/>
      <c r="SYM145" s="41"/>
      <c r="SYN145" s="41"/>
      <c r="SYO145" s="41"/>
      <c r="SYP145" s="41"/>
      <c r="SYQ145" s="41"/>
      <c r="SYR145" s="41"/>
      <c r="SYS145" s="41"/>
      <c r="SYT145" s="41"/>
      <c r="SYU145" s="41"/>
      <c r="SYV145" s="41"/>
      <c r="SYW145" s="41"/>
      <c r="SYX145" s="41"/>
      <c r="SYY145" s="41"/>
      <c r="SYZ145" s="41"/>
      <c r="SZA145" s="41"/>
      <c r="SZB145" s="41"/>
      <c r="SZC145" s="41"/>
      <c r="SZD145" s="41"/>
      <c r="SZE145" s="41"/>
      <c r="SZF145" s="41"/>
      <c r="SZG145" s="41"/>
      <c r="SZH145" s="41"/>
      <c r="SZI145" s="41"/>
      <c r="SZJ145" s="41"/>
      <c r="SZK145" s="41"/>
      <c r="SZL145" s="41"/>
      <c r="SZM145" s="41"/>
      <c r="SZN145" s="41"/>
      <c r="SZO145" s="41"/>
      <c r="SZP145" s="41"/>
      <c r="SZQ145" s="41"/>
      <c r="SZR145" s="41"/>
      <c r="SZS145" s="41"/>
      <c r="SZT145" s="41"/>
      <c r="SZU145" s="41"/>
      <c r="SZV145" s="41"/>
      <c r="SZW145" s="41"/>
      <c r="SZX145" s="41"/>
      <c r="SZY145" s="41"/>
      <c r="SZZ145" s="41"/>
      <c r="TAA145" s="41"/>
      <c r="TAB145" s="41"/>
      <c r="TAC145" s="41"/>
      <c r="TAD145" s="41"/>
      <c r="TAE145" s="41"/>
      <c r="TAF145" s="41"/>
      <c r="TAG145" s="41"/>
      <c r="TAH145" s="41"/>
      <c r="TAI145" s="41"/>
      <c r="TAJ145" s="41"/>
      <c r="TAK145" s="41"/>
      <c r="TAL145" s="41"/>
      <c r="TAM145" s="41"/>
      <c r="TAN145" s="41"/>
      <c r="TAO145" s="41"/>
      <c r="TAP145" s="41"/>
      <c r="TAQ145" s="41"/>
      <c r="TAR145" s="41"/>
      <c r="TAS145" s="41"/>
      <c r="TAT145" s="41"/>
      <c r="TAU145" s="41"/>
      <c r="TAV145" s="41"/>
      <c r="TAW145" s="41"/>
      <c r="TAX145" s="41"/>
      <c r="TAY145" s="41"/>
      <c r="TAZ145" s="41"/>
      <c r="TBA145" s="41"/>
      <c r="TBB145" s="41"/>
      <c r="TBC145" s="41"/>
      <c r="TBD145" s="41"/>
      <c r="TBE145" s="41"/>
      <c r="TBF145" s="41"/>
      <c r="TBG145" s="41"/>
      <c r="TBH145" s="41"/>
      <c r="TBI145" s="41"/>
      <c r="TBJ145" s="41"/>
      <c r="TBK145" s="41"/>
      <c r="TBL145" s="41"/>
      <c r="TBM145" s="41"/>
      <c r="TBN145" s="41"/>
      <c r="TBO145" s="41"/>
      <c r="TBP145" s="41"/>
      <c r="TBQ145" s="41"/>
      <c r="TBR145" s="41"/>
      <c r="TBS145" s="41"/>
      <c r="TBT145" s="41"/>
      <c r="TBU145" s="41"/>
      <c r="TBV145" s="41"/>
      <c r="TBW145" s="41"/>
      <c r="TBX145" s="41"/>
      <c r="TBY145" s="41"/>
      <c r="TBZ145" s="41"/>
      <c r="TCA145" s="41"/>
      <c r="TCB145" s="41"/>
      <c r="TCC145" s="41"/>
      <c r="TCD145" s="41"/>
      <c r="TCE145" s="41"/>
      <c r="TCF145" s="41"/>
      <c r="TCG145" s="41"/>
      <c r="TCH145" s="41"/>
      <c r="TCI145" s="41"/>
      <c r="TCJ145" s="41"/>
      <c r="TCK145" s="41"/>
      <c r="TCL145" s="41"/>
      <c r="TCM145" s="41"/>
      <c r="TCN145" s="41"/>
      <c r="TCO145" s="41"/>
      <c r="TCP145" s="41"/>
      <c r="TCQ145" s="41"/>
      <c r="TCR145" s="41"/>
      <c r="TCS145" s="41"/>
      <c r="TCT145" s="41"/>
      <c r="TCU145" s="41"/>
      <c r="TCV145" s="41"/>
      <c r="TCW145" s="41"/>
      <c r="TCX145" s="41"/>
      <c r="TCY145" s="41"/>
      <c r="TCZ145" s="41"/>
      <c r="TDA145" s="41"/>
      <c r="TDB145" s="41"/>
      <c r="TDC145" s="41"/>
      <c r="TDD145" s="41"/>
      <c r="TDE145" s="41"/>
      <c r="TDF145" s="41"/>
      <c r="TDG145" s="41"/>
      <c r="TDH145" s="41"/>
      <c r="TDI145" s="41"/>
      <c r="TDJ145" s="41"/>
      <c r="TDK145" s="41"/>
      <c r="TDL145" s="41"/>
      <c r="TDM145" s="41"/>
      <c r="TDN145" s="41"/>
      <c r="TDO145" s="41"/>
      <c r="TDP145" s="41"/>
      <c r="TDQ145" s="41"/>
      <c r="TDR145" s="41"/>
      <c r="TDS145" s="41"/>
      <c r="TDT145" s="41"/>
      <c r="TDU145" s="41"/>
      <c r="TDV145" s="41"/>
      <c r="TDW145" s="41"/>
      <c r="TDX145" s="41"/>
      <c r="TDY145" s="41"/>
      <c r="TDZ145" s="41"/>
      <c r="TEA145" s="41"/>
      <c r="TEB145" s="41"/>
      <c r="TEC145" s="41"/>
      <c r="TED145" s="41"/>
      <c r="TEE145" s="41"/>
      <c r="TEF145" s="41"/>
      <c r="TEG145" s="41"/>
      <c r="TEH145" s="41"/>
      <c r="TEI145" s="41"/>
      <c r="TEJ145" s="41"/>
      <c r="TEK145" s="41"/>
      <c r="TEL145" s="41"/>
      <c r="TEM145" s="41"/>
      <c r="TEN145" s="41"/>
      <c r="TEO145" s="41"/>
      <c r="TEP145" s="41"/>
      <c r="TEQ145" s="41"/>
      <c r="TER145" s="41"/>
      <c r="TES145" s="41"/>
      <c r="TET145" s="41"/>
      <c r="TEU145" s="41"/>
      <c r="TEV145" s="41"/>
      <c r="TEW145" s="41"/>
      <c r="TEX145" s="41"/>
      <c r="TEY145" s="41"/>
      <c r="TEZ145" s="41"/>
      <c r="TFA145" s="41"/>
      <c r="TFB145" s="41"/>
      <c r="TFC145" s="41"/>
      <c r="TFD145" s="41"/>
      <c r="TFE145" s="41"/>
      <c r="TFF145" s="41"/>
      <c r="TFG145" s="41"/>
      <c r="TFH145" s="41"/>
      <c r="TFI145" s="41"/>
      <c r="TFJ145" s="41"/>
      <c r="TFK145" s="41"/>
      <c r="TFL145" s="41"/>
      <c r="TFM145" s="41"/>
      <c r="TFN145" s="41"/>
      <c r="TFO145" s="41"/>
      <c r="TFP145" s="41"/>
      <c r="TFQ145" s="41"/>
      <c r="TFR145" s="41"/>
      <c r="TFS145" s="41"/>
      <c r="TFT145" s="41"/>
      <c r="TFU145" s="41"/>
      <c r="TFV145" s="41"/>
      <c r="TFW145" s="41"/>
      <c r="TFX145" s="41"/>
      <c r="TFY145" s="41"/>
      <c r="TFZ145" s="41"/>
      <c r="TGA145" s="41"/>
      <c r="TGB145" s="41"/>
      <c r="TGC145" s="41"/>
      <c r="TGD145" s="41"/>
      <c r="TGE145" s="41"/>
      <c r="TGF145" s="41"/>
      <c r="TGG145" s="41"/>
      <c r="TGH145" s="41"/>
      <c r="TGI145" s="41"/>
      <c r="TGJ145" s="41"/>
      <c r="TGK145" s="41"/>
      <c r="TGL145" s="41"/>
      <c r="TGM145" s="41"/>
      <c r="TGN145" s="41"/>
      <c r="TGO145" s="41"/>
      <c r="TGP145" s="41"/>
      <c r="TGQ145" s="41"/>
      <c r="TGR145" s="41"/>
      <c r="TGS145" s="41"/>
      <c r="TGT145" s="41"/>
      <c r="TGU145" s="41"/>
      <c r="TGV145" s="41"/>
      <c r="TGW145" s="41"/>
      <c r="TGX145" s="41"/>
      <c r="TGY145" s="41"/>
      <c r="TGZ145" s="41"/>
      <c r="THA145" s="41"/>
      <c r="THB145" s="41"/>
      <c r="THC145" s="41"/>
      <c r="THD145" s="41"/>
      <c r="THE145" s="41"/>
      <c r="THF145" s="41"/>
      <c r="THG145" s="41"/>
      <c r="THH145" s="41"/>
      <c r="THI145" s="41"/>
      <c r="THJ145" s="41"/>
      <c r="THK145" s="41"/>
      <c r="THL145" s="41"/>
      <c r="THM145" s="41"/>
      <c r="THN145" s="41"/>
      <c r="THO145" s="41"/>
      <c r="THP145" s="41"/>
      <c r="THQ145" s="41"/>
      <c r="THR145" s="41"/>
      <c r="THS145" s="41"/>
      <c r="THT145" s="41"/>
      <c r="THU145" s="41"/>
      <c r="THV145" s="41"/>
      <c r="THW145" s="41"/>
      <c r="THX145" s="41"/>
      <c r="THY145" s="41"/>
      <c r="THZ145" s="41"/>
      <c r="TIA145" s="41"/>
      <c r="TIB145" s="41"/>
      <c r="TIC145" s="41"/>
      <c r="TID145" s="41"/>
      <c r="TIE145" s="41"/>
      <c r="TIF145" s="41"/>
      <c r="TIG145" s="41"/>
      <c r="TIH145" s="41"/>
      <c r="TII145" s="41"/>
      <c r="TIJ145" s="41"/>
      <c r="TIK145" s="41"/>
      <c r="TIL145" s="41"/>
      <c r="TIM145" s="41"/>
      <c r="TIN145" s="41"/>
      <c r="TIO145" s="41"/>
      <c r="TIP145" s="41"/>
      <c r="TIQ145" s="41"/>
      <c r="TIR145" s="41"/>
      <c r="TIS145" s="41"/>
      <c r="TIT145" s="41"/>
      <c r="TIU145" s="41"/>
      <c r="TIV145" s="41"/>
      <c r="TIW145" s="41"/>
      <c r="TIX145" s="41"/>
      <c r="TIY145" s="41"/>
      <c r="TIZ145" s="41"/>
      <c r="TJA145" s="41"/>
      <c r="TJB145" s="41"/>
      <c r="TJC145" s="41"/>
      <c r="TJD145" s="41"/>
      <c r="TJE145" s="41"/>
      <c r="TJF145" s="41"/>
      <c r="TJG145" s="41"/>
      <c r="TJH145" s="41"/>
      <c r="TJI145" s="41"/>
      <c r="TJJ145" s="41"/>
      <c r="TJK145" s="41"/>
      <c r="TJL145" s="41"/>
      <c r="TJM145" s="41"/>
      <c r="TJN145" s="41"/>
      <c r="TJO145" s="41"/>
      <c r="TJP145" s="41"/>
      <c r="TJQ145" s="41"/>
      <c r="TJR145" s="41"/>
      <c r="TJS145" s="41"/>
      <c r="TJT145" s="41"/>
      <c r="TJU145" s="41"/>
      <c r="TJV145" s="41"/>
      <c r="TJW145" s="41"/>
      <c r="TJX145" s="41"/>
      <c r="TJY145" s="41"/>
      <c r="TJZ145" s="41"/>
      <c r="TKA145" s="41"/>
      <c r="TKB145" s="41"/>
      <c r="TKC145" s="41"/>
      <c r="TKD145" s="41"/>
      <c r="TKE145" s="41"/>
      <c r="TKF145" s="41"/>
      <c r="TKG145" s="41"/>
      <c r="TKH145" s="41"/>
      <c r="TKI145" s="41"/>
      <c r="TKJ145" s="41"/>
      <c r="TKK145" s="41"/>
      <c r="TKL145" s="41"/>
      <c r="TKM145" s="41"/>
      <c r="TKN145" s="41"/>
      <c r="TKO145" s="41"/>
      <c r="TKP145" s="41"/>
      <c r="TKQ145" s="41"/>
      <c r="TKR145" s="41"/>
      <c r="TKS145" s="41"/>
      <c r="TKT145" s="41"/>
      <c r="TKU145" s="41"/>
      <c r="TKV145" s="41"/>
      <c r="TKW145" s="41"/>
      <c r="TKX145" s="41"/>
      <c r="TKY145" s="41"/>
      <c r="TKZ145" s="41"/>
      <c r="TLA145" s="41"/>
      <c r="TLB145" s="41"/>
      <c r="TLC145" s="41"/>
      <c r="TLD145" s="41"/>
      <c r="TLE145" s="41"/>
      <c r="TLF145" s="41"/>
      <c r="TLG145" s="41"/>
      <c r="TLH145" s="41"/>
      <c r="TLI145" s="41"/>
      <c r="TLJ145" s="41"/>
      <c r="TLK145" s="41"/>
      <c r="TLL145" s="41"/>
      <c r="TLM145" s="41"/>
      <c r="TLN145" s="41"/>
      <c r="TLO145" s="41"/>
      <c r="TLP145" s="41"/>
      <c r="TLQ145" s="41"/>
      <c r="TLR145" s="41"/>
      <c r="TLS145" s="41"/>
      <c r="TLT145" s="41"/>
      <c r="TLU145" s="41"/>
      <c r="TLV145" s="41"/>
      <c r="TLW145" s="41"/>
      <c r="TLX145" s="41"/>
      <c r="TLY145" s="41"/>
      <c r="TLZ145" s="41"/>
      <c r="TMA145" s="41"/>
      <c r="TMB145" s="41"/>
      <c r="TMC145" s="41"/>
      <c r="TMD145" s="41"/>
      <c r="TME145" s="41"/>
      <c r="TMF145" s="41"/>
      <c r="TMG145" s="41"/>
      <c r="TMH145" s="41"/>
      <c r="TMI145" s="41"/>
      <c r="TMJ145" s="41"/>
      <c r="TMK145" s="41"/>
      <c r="TML145" s="41"/>
      <c r="TMM145" s="41"/>
      <c r="TMN145" s="41"/>
      <c r="TMO145" s="41"/>
      <c r="TMP145" s="41"/>
      <c r="TMQ145" s="41"/>
      <c r="TMR145" s="41"/>
      <c r="TMS145" s="41"/>
      <c r="TMT145" s="41"/>
      <c r="TMU145" s="41"/>
      <c r="TMV145" s="41"/>
      <c r="TMW145" s="41"/>
      <c r="TMX145" s="41"/>
      <c r="TMY145" s="41"/>
      <c r="TMZ145" s="41"/>
      <c r="TNA145" s="41"/>
      <c r="TNB145" s="41"/>
      <c r="TNC145" s="41"/>
      <c r="TND145" s="41"/>
      <c r="TNE145" s="41"/>
      <c r="TNF145" s="41"/>
      <c r="TNG145" s="41"/>
      <c r="TNH145" s="41"/>
      <c r="TNI145" s="41"/>
      <c r="TNJ145" s="41"/>
      <c r="TNK145" s="41"/>
      <c r="TNL145" s="41"/>
      <c r="TNM145" s="41"/>
      <c r="TNN145" s="41"/>
      <c r="TNO145" s="41"/>
      <c r="TNP145" s="41"/>
      <c r="TNQ145" s="41"/>
      <c r="TNR145" s="41"/>
      <c r="TNS145" s="41"/>
      <c r="TNT145" s="41"/>
      <c r="TNU145" s="41"/>
      <c r="TNV145" s="41"/>
      <c r="TNW145" s="41"/>
      <c r="TNX145" s="41"/>
      <c r="TNY145" s="41"/>
      <c r="TNZ145" s="41"/>
      <c r="TOA145" s="41"/>
      <c r="TOB145" s="41"/>
      <c r="TOC145" s="41"/>
      <c r="TOD145" s="41"/>
      <c r="TOE145" s="41"/>
      <c r="TOF145" s="41"/>
      <c r="TOG145" s="41"/>
      <c r="TOH145" s="41"/>
      <c r="TOI145" s="41"/>
      <c r="TOJ145" s="41"/>
      <c r="TOK145" s="41"/>
      <c r="TOL145" s="41"/>
      <c r="TOM145" s="41"/>
      <c r="TON145" s="41"/>
      <c r="TOO145" s="41"/>
      <c r="TOP145" s="41"/>
      <c r="TOQ145" s="41"/>
      <c r="TOR145" s="41"/>
      <c r="TOS145" s="41"/>
      <c r="TOT145" s="41"/>
      <c r="TOU145" s="41"/>
      <c r="TOV145" s="41"/>
      <c r="TOW145" s="41"/>
      <c r="TOX145" s="41"/>
      <c r="TOY145" s="41"/>
      <c r="TOZ145" s="41"/>
      <c r="TPA145" s="41"/>
      <c r="TPB145" s="41"/>
      <c r="TPC145" s="41"/>
      <c r="TPD145" s="41"/>
      <c r="TPE145" s="41"/>
      <c r="TPF145" s="41"/>
      <c r="TPG145" s="41"/>
      <c r="TPH145" s="41"/>
      <c r="TPI145" s="41"/>
      <c r="TPJ145" s="41"/>
      <c r="TPK145" s="41"/>
      <c r="TPL145" s="41"/>
      <c r="TPM145" s="41"/>
      <c r="TPN145" s="41"/>
      <c r="TPO145" s="41"/>
      <c r="TPP145" s="41"/>
      <c r="TPQ145" s="41"/>
      <c r="TPR145" s="41"/>
      <c r="TPS145" s="41"/>
      <c r="TPT145" s="41"/>
      <c r="TPU145" s="41"/>
      <c r="TPV145" s="41"/>
      <c r="TPW145" s="41"/>
      <c r="TPX145" s="41"/>
      <c r="TPY145" s="41"/>
      <c r="TPZ145" s="41"/>
      <c r="TQA145" s="41"/>
      <c r="TQB145" s="41"/>
      <c r="TQC145" s="41"/>
      <c r="TQD145" s="41"/>
      <c r="TQE145" s="41"/>
      <c r="TQF145" s="41"/>
      <c r="TQG145" s="41"/>
      <c r="TQH145" s="41"/>
      <c r="TQI145" s="41"/>
      <c r="TQJ145" s="41"/>
      <c r="TQK145" s="41"/>
      <c r="TQL145" s="41"/>
      <c r="TQM145" s="41"/>
      <c r="TQN145" s="41"/>
      <c r="TQO145" s="41"/>
      <c r="TQP145" s="41"/>
      <c r="TQQ145" s="41"/>
      <c r="TQR145" s="41"/>
      <c r="TQS145" s="41"/>
      <c r="TQT145" s="41"/>
      <c r="TQU145" s="41"/>
      <c r="TQV145" s="41"/>
      <c r="TQW145" s="41"/>
      <c r="TQX145" s="41"/>
      <c r="TQY145" s="41"/>
      <c r="TQZ145" s="41"/>
      <c r="TRA145" s="41"/>
      <c r="TRB145" s="41"/>
      <c r="TRC145" s="41"/>
      <c r="TRD145" s="41"/>
      <c r="TRE145" s="41"/>
      <c r="TRF145" s="41"/>
      <c r="TRG145" s="41"/>
      <c r="TRH145" s="41"/>
      <c r="TRI145" s="41"/>
      <c r="TRJ145" s="41"/>
      <c r="TRK145" s="41"/>
      <c r="TRL145" s="41"/>
      <c r="TRM145" s="41"/>
      <c r="TRN145" s="41"/>
      <c r="TRO145" s="41"/>
      <c r="TRP145" s="41"/>
      <c r="TRQ145" s="41"/>
      <c r="TRR145" s="41"/>
      <c r="TRS145" s="41"/>
      <c r="TRT145" s="41"/>
      <c r="TRU145" s="41"/>
      <c r="TRV145" s="41"/>
      <c r="TRW145" s="41"/>
      <c r="TRX145" s="41"/>
      <c r="TRY145" s="41"/>
      <c r="TRZ145" s="41"/>
      <c r="TSA145" s="41"/>
      <c r="TSB145" s="41"/>
      <c r="TSC145" s="41"/>
      <c r="TSD145" s="41"/>
      <c r="TSE145" s="41"/>
      <c r="TSF145" s="41"/>
      <c r="TSG145" s="41"/>
      <c r="TSH145" s="41"/>
      <c r="TSI145" s="41"/>
      <c r="TSJ145" s="41"/>
      <c r="TSK145" s="41"/>
      <c r="TSL145" s="41"/>
      <c r="TSM145" s="41"/>
      <c r="TSN145" s="41"/>
      <c r="TSO145" s="41"/>
      <c r="TSP145" s="41"/>
      <c r="TSQ145" s="41"/>
      <c r="TSR145" s="41"/>
      <c r="TSS145" s="41"/>
      <c r="TST145" s="41"/>
      <c r="TSU145" s="41"/>
      <c r="TSV145" s="41"/>
      <c r="TSW145" s="41"/>
      <c r="TSX145" s="41"/>
      <c r="TSY145" s="41"/>
      <c r="TSZ145" s="41"/>
      <c r="TTA145" s="41"/>
      <c r="TTB145" s="41"/>
      <c r="TTC145" s="41"/>
      <c r="TTD145" s="41"/>
      <c r="TTE145" s="41"/>
      <c r="TTF145" s="41"/>
      <c r="TTG145" s="41"/>
      <c r="TTH145" s="41"/>
      <c r="TTI145" s="41"/>
      <c r="TTJ145" s="41"/>
      <c r="TTK145" s="41"/>
      <c r="TTL145" s="41"/>
      <c r="TTM145" s="41"/>
      <c r="TTN145" s="41"/>
      <c r="TTO145" s="41"/>
      <c r="TTP145" s="41"/>
      <c r="TTQ145" s="41"/>
      <c r="TTR145" s="41"/>
      <c r="TTS145" s="41"/>
      <c r="TTT145" s="41"/>
      <c r="TTU145" s="41"/>
      <c r="TTV145" s="41"/>
      <c r="TTW145" s="41"/>
      <c r="TTX145" s="41"/>
      <c r="TTY145" s="41"/>
      <c r="TTZ145" s="41"/>
      <c r="TUA145" s="41"/>
      <c r="TUB145" s="41"/>
      <c r="TUC145" s="41"/>
      <c r="TUD145" s="41"/>
      <c r="TUE145" s="41"/>
      <c r="TUF145" s="41"/>
      <c r="TUG145" s="41"/>
      <c r="TUH145" s="41"/>
      <c r="TUI145" s="41"/>
      <c r="TUJ145" s="41"/>
      <c r="TUK145" s="41"/>
      <c r="TUL145" s="41"/>
      <c r="TUM145" s="41"/>
      <c r="TUN145" s="41"/>
      <c r="TUO145" s="41"/>
      <c r="TUP145" s="41"/>
      <c r="TUQ145" s="41"/>
      <c r="TUR145" s="41"/>
      <c r="TUS145" s="41"/>
      <c r="TUT145" s="41"/>
      <c r="TUU145" s="41"/>
      <c r="TUV145" s="41"/>
      <c r="TUW145" s="41"/>
      <c r="TUX145" s="41"/>
      <c r="TUY145" s="41"/>
      <c r="TUZ145" s="41"/>
      <c r="TVA145" s="41"/>
      <c r="TVB145" s="41"/>
      <c r="TVC145" s="41"/>
      <c r="TVD145" s="41"/>
      <c r="TVE145" s="41"/>
      <c r="TVF145" s="41"/>
      <c r="TVG145" s="41"/>
      <c r="TVH145" s="41"/>
      <c r="TVI145" s="41"/>
      <c r="TVJ145" s="41"/>
      <c r="TVK145" s="41"/>
      <c r="TVL145" s="41"/>
      <c r="TVM145" s="41"/>
      <c r="TVN145" s="41"/>
      <c r="TVO145" s="41"/>
      <c r="TVP145" s="41"/>
      <c r="TVQ145" s="41"/>
      <c r="TVR145" s="41"/>
      <c r="TVS145" s="41"/>
      <c r="TVT145" s="41"/>
      <c r="TVU145" s="41"/>
      <c r="TVV145" s="41"/>
      <c r="TVW145" s="41"/>
      <c r="TVX145" s="41"/>
      <c r="TVY145" s="41"/>
      <c r="TVZ145" s="41"/>
      <c r="TWA145" s="41"/>
      <c r="TWB145" s="41"/>
      <c r="TWC145" s="41"/>
      <c r="TWD145" s="41"/>
      <c r="TWE145" s="41"/>
      <c r="TWF145" s="41"/>
      <c r="TWG145" s="41"/>
      <c r="TWH145" s="41"/>
      <c r="TWI145" s="41"/>
      <c r="TWJ145" s="41"/>
      <c r="TWK145" s="41"/>
      <c r="TWL145" s="41"/>
      <c r="TWM145" s="41"/>
      <c r="TWN145" s="41"/>
      <c r="TWO145" s="41"/>
      <c r="TWP145" s="41"/>
      <c r="TWQ145" s="41"/>
      <c r="TWR145" s="41"/>
      <c r="TWS145" s="41"/>
      <c r="TWT145" s="41"/>
      <c r="TWU145" s="41"/>
      <c r="TWV145" s="41"/>
      <c r="TWW145" s="41"/>
      <c r="TWX145" s="41"/>
      <c r="TWY145" s="41"/>
      <c r="TWZ145" s="41"/>
      <c r="TXA145" s="41"/>
      <c r="TXB145" s="41"/>
      <c r="TXC145" s="41"/>
      <c r="TXD145" s="41"/>
      <c r="TXE145" s="41"/>
      <c r="TXF145" s="41"/>
      <c r="TXG145" s="41"/>
      <c r="TXH145" s="41"/>
      <c r="TXI145" s="41"/>
      <c r="TXJ145" s="41"/>
      <c r="TXK145" s="41"/>
      <c r="TXL145" s="41"/>
      <c r="TXM145" s="41"/>
      <c r="TXN145" s="41"/>
      <c r="TXO145" s="41"/>
      <c r="TXP145" s="41"/>
      <c r="TXQ145" s="41"/>
      <c r="TXR145" s="41"/>
      <c r="TXS145" s="41"/>
      <c r="TXT145" s="41"/>
      <c r="TXU145" s="41"/>
      <c r="TXV145" s="41"/>
      <c r="TXW145" s="41"/>
      <c r="TXX145" s="41"/>
      <c r="TXY145" s="41"/>
      <c r="TXZ145" s="41"/>
      <c r="TYA145" s="41"/>
      <c r="TYB145" s="41"/>
      <c r="TYC145" s="41"/>
      <c r="TYD145" s="41"/>
      <c r="TYE145" s="41"/>
      <c r="TYF145" s="41"/>
      <c r="TYG145" s="41"/>
      <c r="TYH145" s="41"/>
      <c r="TYI145" s="41"/>
      <c r="TYJ145" s="41"/>
      <c r="TYK145" s="41"/>
      <c r="TYL145" s="41"/>
      <c r="TYM145" s="41"/>
      <c r="TYN145" s="41"/>
      <c r="TYO145" s="41"/>
      <c r="TYP145" s="41"/>
      <c r="TYQ145" s="41"/>
      <c r="TYR145" s="41"/>
      <c r="TYS145" s="41"/>
      <c r="TYT145" s="41"/>
      <c r="TYU145" s="41"/>
      <c r="TYV145" s="41"/>
      <c r="TYW145" s="41"/>
      <c r="TYX145" s="41"/>
      <c r="TYY145" s="41"/>
      <c r="TYZ145" s="41"/>
      <c r="TZA145" s="41"/>
      <c r="TZB145" s="41"/>
      <c r="TZC145" s="41"/>
      <c r="TZD145" s="41"/>
      <c r="TZE145" s="41"/>
      <c r="TZF145" s="41"/>
      <c r="TZG145" s="41"/>
      <c r="TZH145" s="41"/>
      <c r="TZI145" s="41"/>
      <c r="TZJ145" s="41"/>
      <c r="TZK145" s="41"/>
      <c r="TZL145" s="41"/>
      <c r="TZM145" s="41"/>
      <c r="TZN145" s="41"/>
      <c r="TZO145" s="41"/>
      <c r="TZP145" s="41"/>
      <c r="TZQ145" s="41"/>
      <c r="TZR145" s="41"/>
      <c r="TZS145" s="41"/>
      <c r="TZT145" s="41"/>
      <c r="TZU145" s="41"/>
      <c r="TZV145" s="41"/>
      <c r="TZW145" s="41"/>
      <c r="TZX145" s="41"/>
      <c r="TZY145" s="41"/>
      <c r="TZZ145" s="41"/>
      <c r="UAA145" s="41"/>
      <c r="UAB145" s="41"/>
      <c r="UAC145" s="41"/>
      <c r="UAD145" s="41"/>
      <c r="UAE145" s="41"/>
      <c r="UAF145" s="41"/>
      <c r="UAG145" s="41"/>
      <c r="UAH145" s="41"/>
      <c r="UAI145" s="41"/>
      <c r="UAJ145" s="41"/>
      <c r="UAK145" s="41"/>
      <c r="UAL145" s="41"/>
      <c r="UAM145" s="41"/>
      <c r="UAN145" s="41"/>
      <c r="UAO145" s="41"/>
      <c r="UAP145" s="41"/>
      <c r="UAQ145" s="41"/>
      <c r="UAR145" s="41"/>
      <c r="UAS145" s="41"/>
      <c r="UAT145" s="41"/>
      <c r="UAU145" s="41"/>
      <c r="UAV145" s="41"/>
      <c r="UAW145" s="41"/>
      <c r="UAX145" s="41"/>
      <c r="UAY145" s="41"/>
      <c r="UAZ145" s="41"/>
      <c r="UBA145" s="41"/>
      <c r="UBB145" s="41"/>
      <c r="UBC145" s="41"/>
      <c r="UBD145" s="41"/>
      <c r="UBE145" s="41"/>
      <c r="UBF145" s="41"/>
      <c r="UBG145" s="41"/>
      <c r="UBH145" s="41"/>
      <c r="UBI145" s="41"/>
      <c r="UBJ145" s="41"/>
      <c r="UBK145" s="41"/>
      <c r="UBL145" s="41"/>
      <c r="UBM145" s="41"/>
      <c r="UBN145" s="41"/>
      <c r="UBO145" s="41"/>
      <c r="UBP145" s="41"/>
      <c r="UBQ145" s="41"/>
      <c r="UBR145" s="41"/>
      <c r="UBS145" s="41"/>
      <c r="UBT145" s="41"/>
      <c r="UBU145" s="41"/>
      <c r="UBV145" s="41"/>
      <c r="UBW145" s="41"/>
      <c r="UBX145" s="41"/>
      <c r="UBY145" s="41"/>
      <c r="UBZ145" s="41"/>
      <c r="UCA145" s="41"/>
      <c r="UCB145" s="41"/>
      <c r="UCC145" s="41"/>
      <c r="UCD145" s="41"/>
      <c r="UCE145" s="41"/>
      <c r="UCF145" s="41"/>
      <c r="UCG145" s="41"/>
      <c r="UCH145" s="41"/>
      <c r="UCI145" s="41"/>
      <c r="UCJ145" s="41"/>
      <c r="UCK145" s="41"/>
      <c r="UCL145" s="41"/>
      <c r="UCM145" s="41"/>
      <c r="UCN145" s="41"/>
      <c r="UCO145" s="41"/>
      <c r="UCP145" s="41"/>
      <c r="UCQ145" s="41"/>
      <c r="UCR145" s="41"/>
      <c r="UCS145" s="41"/>
      <c r="UCT145" s="41"/>
      <c r="UCU145" s="41"/>
      <c r="UCV145" s="41"/>
      <c r="UCW145" s="41"/>
      <c r="UCX145" s="41"/>
      <c r="UCY145" s="41"/>
      <c r="UCZ145" s="41"/>
      <c r="UDA145" s="41"/>
      <c r="UDB145" s="41"/>
      <c r="UDC145" s="41"/>
      <c r="UDD145" s="41"/>
      <c r="UDE145" s="41"/>
      <c r="UDF145" s="41"/>
      <c r="UDG145" s="41"/>
      <c r="UDH145" s="41"/>
      <c r="UDI145" s="41"/>
      <c r="UDJ145" s="41"/>
      <c r="UDK145" s="41"/>
      <c r="UDL145" s="41"/>
      <c r="UDM145" s="41"/>
      <c r="UDN145" s="41"/>
      <c r="UDO145" s="41"/>
      <c r="UDP145" s="41"/>
      <c r="UDQ145" s="41"/>
      <c r="UDR145" s="41"/>
      <c r="UDS145" s="41"/>
      <c r="UDT145" s="41"/>
      <c r="UDU145" s="41"/>
      <c r="UDV145" s="41"/>
      <c r="UDW145" s="41"/>
      <c r="UDX145" s="41"/>
      <c r="UDY145" s="41"/>
      <c r="UDZ145" s="41"/>
      <c r="UEA145" s="41"/>
      <c r="UEB145" s="41"/>
      <c r="UEC145" s="41"/>
      <c r="UED145" s="41"/>
      <c r="UEE145" s="41"/>
      <c r="UEF145" s="41"/>
      <c r="UEG145" s="41"/>
      <c r="UEH145" s="41"/>
      <c r="UEI145" s="41"/>
      <c r="UEJ145" s="41"/>
      <c r="UEK145" s="41"/>
      <c r="UEL145" s="41"/>
      <c r="UEM145" s="41"/>
      <c r="UEN145" s="41"/>
      <c r="UEO145" s="41"/>
      <c r="UEP145" s="41"/>
      <c r="UEQ145" s="41"/>
      <c r="UER145" s="41"/>
      <c r="UES145" s="41"/>
      <c r="UET145" s="41"/>
      <c r="UEU145" s="41"/>
      <c r="UEV145" s="41"/>
      <c r="UEW145" s="41"/>
      <c r="UEX145" s="41"/>
      <c r="UEY145" s="41"/>
      <c r="UEZ145" s="41"/>
      <c r="UFA145" s="41"/>
      <c r="UFB145" s="41"/>
      <c r="UFC145" s="41"/>
      <c r="UFD145" s="41"/>
      <c r="UFE145" s="41"/>
      <c r="UFF145" s="41"/>
      <c r="UFG145" s="41"/>
      <c r="UFH145" s="41"/>
      <c r="UFI145" s="41"/>
      <c r="UFJ145" s="41"/>
      <c r="UFK145" s="41"/>
      <c r="UFL145" s="41"/>
      <c r="UFM145" s="41"/>
      <c r="UFN145" s="41"/>
      <c r="UFO145" s="41"/>
      <c r="UFP145" s="41"/>
      <c r="UFQ145" s="41"/>
      <c r="UFR145" s="41"/>
      <c r="UFS145" s="41"/>
      <c r="UFT145" s="41"/>
      <c r="UFU145" s="41"/>
      <c r="UFV145" s="41"/>
      <c r="UFW145" s="41"/>
      <c r="UFX145" s="41"/>
      <c r="UFY145" s="41"/>
      <c r="UFZ145" s="41"/>
      <c r="UGA145" s="41"/>
      <c r="UGB145" s="41"/>
      <c r="UGC145" s="41"/>
      <c r="UGD145" s="41"/>
      <c r="UGE145" s="41"/>
      <c r="UGF145" s="41"/>
      <c r="UGG145" s="41"/>
      <c r="UGH145" s="41"/>
      <c r="UGI145" s="41"/>
      <c r="UGJ145" s="41"/>
      <c r="UGK145" s="41"/>
      <c r="UGL145" s="41"/>
      <c r="UGM145" s="41"/>
      <c r="UGN145" s="41"/>
      <c r="UGO145" s="41"/>
      <c r="UGP145" s="41"/>
      <c r="UGQ145" s="41"/>
      <c r="UGR145" s="41"/>
      <c r="UGS145" s="41"/>
      <c r="UGT145" s="41"/>
      <c r="UGU145" s="41"/>
      <c r="UGV145" s="41"/>
      <c r="UGW145" s="41"/>
      <c r="UGX145" s="41"/>
      <c r="UGY145" s="41"/>
      <c r="UGZ145" s="41"/>
      <c r="UHA145" s="41"/>
      <c r="UHB145" s="41"/>
      <c r="UHC145" s="41"/>
      <c r="UHD145" s="41"/>
      <c r="UHE145" s="41"/>
      <c r="UHF145" s="41"/>
      <c r="UHG145" s="41"/>
      <c r="UHH145" s="41"/>
      <c r="UHI145" s="41"/>
      <c r="UHJ145" s="41"/>
      <c r="UHK145" s="41"/>
      <c r="UHL145" s="41"/>
      <c r="UHM145" s="41"/>
      <c r="UHN145" s="41"/>
      <c r="UHO145" s="41"/>
      <c r="UHP145" s="41"/>
      <c r="UHQ145" s="41"/>
      <c r="UHR145" s="41"/>
      <c r="UHS145" s="41"/>
      <c r="UHT145" s="41"/>
      <c r="UHU145" s="41"/>
      <c r="UHV145" s="41"/>
      <c r="UHW145" s="41"/>
      <c r="UHX145" s="41"/>
      <c r="UHY145" s="41"/>
      <c r="UHZ145" s="41"/>
      <c r="UIA145" s="41"/>
      <c r="UIB145" s="41"/>
      <c r="UIC145" s="41"/>
      <c r="UID145" s="41"/>
      <c r="UIE145" s="41"/>
      <c r="UIF145" s="41"/>
      <c r="UIG145" s="41"/>
      <c r="UIH145" s="41"/>
      <c r="UII145" s="41"/>
      <c r="UIJ145" s="41"/>
      <c r="UIK145" s="41"/>
      <c r="UIL145" s="41"/>
      <c r="UIM145" s="41"/>
      <c r="UIN145" s="41"/>
      <c r="UIO145" s="41"/>
      <c r="UIP145" s="41"/>
      <c r="UIQ145" s="41"/>
      <c r="UIR145" s="41"/>
      <c r="UIS145" s="41"/>
      <c r="UIT145" s="41"/>
      <c r="UIU145" s="41"/>
      <c r="UIV145" s="41"/>
      <c r="UIW145" s="41"/>
      <c r="UIX145" s="41"/>
      <c r="UIY145" s="41"/>
      <c r="UIZ145" s="41"/>
      <c r="UJA145" s="41"/>
      <c r="UJB145" s="41"/>
      <c r="UJC145" s="41"/>
      <c r="UJD145" s="41"/>
      <c r="UJE145" s="41"/>
      <c r="UJF145" s="41"/>
      <c r="UJG145" s="41"/>
      <c r="UJH145" s="41"/>
      <c r="UJI145" s="41"/>
      <c r="UJJ145" s="41"/>
      <c r="UJK145" s="41"/>
      <c r="UJL145" s="41"/>
      <c r="UJM145" s="41"/>
      <c r="UJN145" s="41"/>
      <c r="UJO145" s="41"/>
      <c r="UJP145" s="41"/>
      <c r="UJQ145" s="41"/>
      <c r="UJR145" s="41"/>
      <c r="UJS145" s="41"/>
      <c r="UJT145" s="41"/>
      <c r="UJU145" s="41"/>
      <c r="UJV145" s="41"/>
      <c r="UJW145" s="41"/>
      <c r="UJX145" s="41"/>
      <c r="UJY145" s="41"/>
      <c r="UJZ145" s="41"/>
      <c r="UKA145" s="41"/>
      <c r="UKB145" s="41"/>
      <c r="UKC145" s="41"/>
      <c r="UKD145" s="41"/>
      <c r="UKE145" s="41"/>
      <c r="UKF145" s="41"/>
      <c r="UKG145" s="41"/>
      <c r="UKH145" s="41"/>
      <c r="UKI145" s="41"/>
      <c r="UKJ145" s="41"/>
      <c r="UKK145" s="41"/>
      <c r="UKL145" s="41"/>
      <c r="UKM145" s="41"/>
      <c r="UKN145" s="41"/>
      <c r="UKO145" s="41"/>
      <c r="UKP145" s="41"/>
      <c r="UKQ145" s="41"/>
      <c r="UKR145" s="41"/>
      <c r="UKS145" s="41"/>
      <c r="UKT145" s="41"/>
      <c r="UKU145" s="41"/>
      <c r="UKV145" s="41"/>
      <c r="UKW145" s="41"/>
      <c r="UKX145" s="41"/>
      <c r="UKY145" s="41"/>
      <c r="UKZ145" s="41"/>
      <c r="ULA145" s="41"/>
      <c r="ULB145" s="41"/>
      <c r="ULC145" s="41"/>
      <c r="ULD145" s="41"/>
      <c r="ULE145" s="41"/>
      <c r="ULF145" s="41"/>
      <c r="ULG145" s="41"/>
      <c r="ULH145" s="41"/>
      <c r="ULI145" s="41"/>
      <c r="ULJ145" s="41"/>
      <c r="ULK145" s="41"/>
      <c r="ULL145" s="41"/>
      <c r="ULM145" s="41"/>
      <c r="ULN145" s="41"/>
      <c r="ULO145" s="41"/>
      <c r="ULP145" s="41"/>
      <c r="ULQ145" s="41"/>
      <c r="ULR145" s="41"/>
      <c r="ULS145" s="41"/>
      <c r="ULT145" s="41"/>
      <c r="ULU145" s="41"/>
      <c r="ULV145" s="41"/>
      <c r="ULW145" s="41"/>
      <c r="ULX145" s="41"/>
      <c r="ULY145" s="41"/>
      <c r="ULZ145" s="41"/>
      <c r="UMA145" s="41"/>
      <c r="UMB145" s="41"/>
      <c r="UMC145" s="41"/>
      <c r="UMD145" s="41"/>
      <c r="UME145" s="41"/>
      <c r="UMF145" s="41"/>
      <c r="UMG145" s="41"/>
      <c r="UMH145" s="41"/>
      <c r="UMI145" s="41"/>
      <c r="UMJ145" s="41"/>
      <c r="UMK145" s="41"/>
      <c r="UML145" s="41"/>
      <c r="UMM145" s="41"/>
      <c r="UMN145" s="41"/>
      <c r="UMO145" s="41"/>
      <c r="UMP145" s="41"/>
      <c r="UMQ145" s="41"/>
      <c r="UMR145" s="41"/>
      <c r="UMS145" s="41"/>
      <c r="UMT145" s="41"/>
      <c r="UMU145" s="41"/>
      <c r="UMV145" s="41"/>
      <c r="UMW145" s="41"/>
      <c r="UMX145" s="41"/>
      <c r="UMY145" s="41"/>
      <c r="UMZ145" s="41"/>
      <c r="UNA145" s="41"/>
      <c r="UNB145" s="41"/>
      <c r="UNC145" s="41"/>
      <c r="UND145" s="41"/>
      <c r="UNE145" s="41"/>
      <c r="UNF145" s="41"/>
      <c r="UNG145" s="41"/>
      <c r="UNH145" s="41"/>
      <c r="UNI145" s="41"/>
      <c r="UNJ145" s="41"/>
      <c r="UNK145" s="41"/>
      <c r="UNL145" s="41"/>
      <c r="UNM145" s="41"/>
      <c r="UNN145" s="41"/>
      <c r="UNO145" s="41"/>
      <c r="UNP145" s="41"/>
      <c r="UNQ145" s="41"/>
      <c r="UNR145" s="41"/>
      <c r="UNS145" s="41"/>
      <c r="UNT145" s="41"/>
      <c r="UNU145" s="41"/>
      <c r="UNV145" s="41"/>
      <c r="UNW145" s="41"/>
      <c r="UNX145" s="41"/>
      <c r="UNY145" s="41"/>
      <c r="UNZ145" s="41"/>
      <c r="UOA145" s="41"/>
      <c r="UOB145" s="41"/>
      <c r="UOC145" s="41"/>
      <c r="UOD145" s="41"/>
      <c r="UOE145" s="41"/>
      <c r="UOF145" s="41"/>
      <c r="UOG145" s="41"/>
      <c r="UOH145" s="41"/>
      <c r="UOI145" s="41"/>
      <c r="UOJ145" s="41"/>
      <c r="UOK145" s="41"/>
      <c r="UOL145" s="41"/>
      <c r="UOM145" s="41"/>
      <c r="UON145" s="41"/>
      <c r="UOO145" s="41"/>
      <c r="UOP145" s="41"/>
      <c r="UOQ145" s="41"/>
      <c r="UOR145" s="41"/>
      <c r="UOS145" s="41"/>
      <c r="UOT145" s="41"/>
      <c r="UOU145" s="41"/>
      <c r="UOV145" s="41"/>
      <c r="UOW145" s="41"/>
      <c r="UOX145" s="41"/>
      <c r="UOY145" s="41"/>
      <c r="UOZ145" s="41"/>
      <c r="UPA145" s="41"/>
      <c r="UPB145" s="41"/>
      <c r="UPC145" s="41"/>
      <c r="UPD145" s="41"/>
      <c r="UPE145" s="41"/>
      <c r="UPF145" s="41"/>
      <c r="UPG145" s="41"/>
      <c r="UPH145" s="41"/>
      <c r="UPI145" s="41"/>
      <c r="UPJ145" s="41"/>
      <c r="UPK145" s="41"/>
      <c r="UPL145" s="41"/>
      <c r="UPM145" s="41"/>
      <c r="UPN145" s="41"/>
      <c r="UPO145" s="41"/>
      <c r="UPP145" s="41"/>
      <c r="UPQ145" s="41"/>
      <c r="UPR145" s="41"/>
      <c r="UPS145" s="41"/>
      <c r="UPT145" s="41"/>
      <c r="UPU145" s="41"/>
      <c r="UPV145" s="41"/>
      <c r="UPW145" s="41"/>
      <c r="UPX145" s="41"/>
      <c r="UPY145" s="41"/>
      <c r="UPZ145" s="41"/>
      <c r="UQA145" s="41"/>
      <c r="UQB145" s="41"/>
      <c r="UQC145" s="41"/>
      <c r="UQD145" s="41"/>
      <c r="UQE145" s="41"/>
      <c r="UQF145" s="41"/>
      <c r="UQG145" s="41"/>
      <c r="UQH145" s="41"/>
      <c r="UQI145" s="41"/>
      <c r="UQJ145" s="41"/>
      <c r="UQK145" s="41"/>
      <c r="UQL145" s="41"/>
      <c r="UQM145" s="41"/>
      <c r="UQN145" s="41"/>
      <c r="UQO145" s="41"/>
      <c r="UQP145" s="41"/>
      <c r="UQQ145" s="41"/>
      <c r="UQR145" s="41"/>
      <c r="UQS145" s="41"/>
      <c r="UQT145" s="41"/>
      <c r="UQU145" s="41"/>
      <c r="UQV145" s="41"/>
      <c r="UQW145" s="41"/>
      <c r="UQX145" s="41"/>
      <c r="UQY145" s="41"/>
      <c r="UQZ145" s="41"/>
      <c r="URA145" s="41"/>
      <c r="URB145" s="41"/>
      <c r="URC145" s="41"/>
      <c r="URD145" s="41"/>
      <c r="URE145" s="41"/>
      <c r="URF145" s="41"/>
      <c r="URG145" s="41"/>
      <c r="URH145" s="41"/>
      <c r="URI145" s="41"/>
      <c r="URJ145" s="41"/>
      <c r="URK145" s="41"/>
      <c r="URL145" s="41"/>
      <c r="URM145" s="41"/>
      <c r="URN145" s="41"/>
      <c r="URO145" s="41"/>
      <c r="URP145" s="41"/>
      <c r="URQ145" s="41"/>
      <c r="URR145" s="41"/>
      <c r="URS145" s="41"/>
      <c r="URT145" s="41"/>
      <c r="URU145" s="41"/>
      <c r="URV145" s="41"/>
      <c r="URW145" s="41"/>
      <c r="URX145" s="41"/>
      <c r="URY145" s="41"/>
      <c r="URZ145" s="41"/>
      <c r="USA145" s="41"/>
      <c r="USB145" s="41"/>
      <c r="USC145" s="41"/>
      <c r="USD145" s="41"/>
      <c r="USE145" s="41"/>
      <c r="USF145" s="41"/>
      <c r="USG145" s="41"/>
      <c r="USH145" s="41"/>
      <c r="USI145" s="41"/>
      <c r="USJ145" s="41"/>
      <c r="USK145" s="41"/>
      <c r="USL145" s="41"/>
      <c r="USM145" s="41"/>
      <c r="USN145" s="41"/>
      <c r="USO145" s="41"/>
      <c r="USP145" s="41"/>
      <c r="USQ145" s="41"/>
      <c r="USR145" s="41"/>
      <c r="USS145" s="41"/>
      <c r="UST145" s="41"/>
      <c r="USU145" s="41"/>
      <c r="USV145" s="41"/>
      <c r="USW145" s="41"/>
      <c r="USX145" s="41"/>
      <c r="USY145" s="41"/>
      <c r="USZ145" s="41"/>
      <c r="UTA145" s="41"/>
      <c r="UTB145" s="41"/>
      <c r="UTC145" s="41"/>
      <c r="UTD145" s="41"/>
      <c r="UTE145" s="41"/>
      <c r="UTF145" s="41"/>
      <c r="UTG145" s="41"/>
      <c r="UTH145" s="41"/>
      <c r="UTI145" s="41"/>
      <c r="UTJ145" s="41"/>
      <c r="UTK145" s="41"/>
      <c r="UTL145" s="41"/>
      <c r="UTM145" s="41"/>
      <c r="UTN145" s="41"/>
      <c r="UTO145" s="41"/>
      <c r="UTP145" s="41"/>
      <c r="UTQ145" s="41"/>
      <c r="UTR145" s="41"/>
      <c r="UTS145" s="41"/>
      <c r="UTT145" s="41"/>
      <c r="UTU145" s="41"/>
      <c r="UTV145" s="41"/>
      <c r="UTW145" s="41"/>
      <c r="UTX145" s="41"/>
      <c r="UTY145" s="41"/>
      <c r="UTZ145" s="41"/>
      <c r="UUA145" s="41"/>
      <c r="UUB145" s="41"/>
      <c r="UUC145" s="41"/>
      <c r="UUD145" s="41"/>
      <c r="UUE145" s="41"/>
      <c r="UUF145" s="41"/>
      <c r="UUG145" s="41"/>
      <c r="UUH145" s="41"/>
      <c r="UUI145" s="41"/>
      <c r="UUJ145" s="41"/>
      <c r="UUK145" s="41"/>
      <c r="UUL145" s="41"/>
      <c r="UUM145" s="41"/>
      <c r="UUN145" s="41"/>
      <c r="UUO145" s="41"/>
      <c r="UUP145" s="41"/>
      <c r="UUQ145" s="41"/>
      <c r="UUR145" s="41"/>
      <c r="UUS145" s="41"/>
      <c r="UUT145" s="41"/>
      <c r="UUU145" s="41"/>
      <c r="UUV145" s="41"/>
      <c r="UUW145" s="41"/>
      <c r="UUX145" s="41"/>
      <c r="UUY145" s="41"/>
      <c r="UUZ145" s="41"/>
      <c r="UVA145" s="41"/>
      <c r="UVB145" s="41"/>
      <c r="UVC145" s="41"/>
      <c r="UVD145" s="41"/>
      <c r="UVE145" s="41"/>
      <c r="UVF145" s="41"/>
      <c r="UVG145" s="41"/>
      <c r="UVH145" s="41"/>
      <c r="UVI145" s="41"/>
      <c r="UVJ145" s="41"/>
      <c r="UVK145" s="41"/>
      <c r="UVL145" s="41"/>
      <c r="UVM145" s="41"/>
      <c r="UVN145" s="41"/>
      <c r="UVO145" s="41"/>
      <c r="UVP145" s="41"/>
      <c r="UVQ145" s="41"/>
      <c r="UVR145" s="41"/>
      <c r="UVS145" s="41"/>
      <c r="UVT145" s="41"/>
      <c r="UVU145" s="41"/>
      <c r="UVV145" s="41"/>
      <c r="UVW145" s="41"/>
      <c r="UVX145" s="41"/>
      <c r="UVY145" s="41"/>
      <c r="UVZ145" s="41"/>
      <c r="UWA145" s="41"/>
      <c r="UWB145" s="41"/>
      <c r="UWC145" s="41"/>
      <c r="UWD145" s="41"/>
      <c r="UWE145" s="41"/>
      <c r="UWF145" s="41"/>
      <c r="UWG145" s="41"/>
      <c r="UWH145" s="41"/>
      <c r="UWI145" s="41"/>
      <c r="UWJ145" s="41"/>
      <c r="UWK145" s="41"/>
      <c r="UWL145" s="41"/>
      <c r="UWM145" s="41"/>
      <c r="UWN145" s="41"/>
      <c r="UWO145" s="41"/>
      <c r="UWP145" s="41"/>
      <c r="UWQ145" s="41"/>
      <c r="UWR145" s="41"/>
      <c r="UWS145" s="41"/>
      <c r="UWT145" s="41"/>
      <c r="UWU145" s="41"/>
      <c r="UWV145" s="41"/>
      <c r="UWW145" s="41"/>
      <c r="UWX145" s="41"/>
      <c r="UWY145" s="41"/>
      <c r="UWZ145" s="41"/>
      <c r="UXA145" s="41"/>
      <c r="UXB145" s="41"/>
      <c r="UXC145" s="41"/>
      <c r="UXD145" s="41"/>
      <c r="UXE145" s="41"/>
      <c r="UXF145" s="41"/>
      <c r="UXG145" s="41"/>
      <c r="UXH145" s="41"/>
      <c r="UXI145" s="41"/>
      <c r="UXJ145" s="41"/>
      <c r="UXK145" s="41"/>
      <c r="UXL145" s="41"/>
      <c r="UXM145" s="41"/>
      <c r="UXN145" s="41"/>
      <c r="UXO145" s="41"/>
      <c r="UXP145" s="41"/>
      <c r="UXQ145" s="41"/>
      <c r="UXR145" s="41"/>
      <c r="UXS145" s="41"/>
      <c r="UXT145" s="41"/>
      <c r="UXU145" s="41"/>
      <c r="UXV145" s="41"/>
      <c r="UXW145" s="41"/>
      <c r="UXX145" s="41"/>
      <c r="UXY145" s="41"/>
      <c r="UXZ145" s="41"/>
      <c r="UYA145" s="41"/>
      <c r="UYB145" s="41"/>
      <c r="UYC145" s="41"/>
      <c r="UYD145" s="41"/>
      <c r="UYE145" s="41"/>
      <c r="UYF145" s="41"/>
      <c r="UYG145" s="41"/>
      <c r="UYH145" s="41"/>
      <c r="UYI145" s="41"/>
      <c r="UYJ145" s="41"/>
      <c r="UYK145" s="41"/>
      <c r="UYL145" s="41"/>
      <c r="UYM145" s="41"/>
      <c r="UYN145" s="41"/>
      <c r="UYO145" s="41"/>
      <c r="UYP145" s="41"/>
      <c r="UYQ145" s="41"/>
      <c r="UYR145" s="41"/>
      <c r="UYS145" s="41"/>
      <c r="UYT145" s="41"/>
      <c r="UYU145" s="41"/>
      <c r="UYV145" s="41"/>
      <c r="UYW145" s="41"/>
      <c r="UYX145" s="41"/>
      <c r="UYY145" s="41"/>
      <c r="UYZ145" s="41"/>
      <c r="UZA145" s="41"/>
      <c r="UZB145" s="41"/>
      <c r="UZC145" s="41"/>
      <c r="UZD145" s="41"/>
      <c r="UZE145" s="41"/>
      <c r="UZF145" s="41"/>
      <c r="UZG145" s="41"/>
      <c r="UZH145" s="41"/>
      <c r="UZI145" s="41"/>
      <c r="UZJ145" s="41"/>
      <c r="UZK145" s="41"/>
      <c r="UZL145" s="41"/>
      <c r="UZM145" s="41"/>
      <c r="UZN145" s="41"/>
      <c r="UZO145" s="41"/>
      <c r="UZP145" s="41"/>
      <c r="UZQ145" s="41"/>
      <c r="UZR145" s="41"/>
      <c r="UZS145" s="41"/>
      <c r="UZT145" s="41"/>
      <c r="UZU145" s="41"/>
      <c r="UZV145" s="41"/>
      <c r="UZW145" s="41"/>
      <c r="UZX145" s="41"/>
      <c r="UZY145" s="41"/>
      <c r="UZZ145" s="41"/>
      <c r="VAA145" s="41"/>
      <c r="VAB145" s="41"/>
      <c r="VAC145" s="41"/>
      <c r="VAD145" s="41"/>
      <c r="VAE145" s="41"/>
      <c r="VAF145" s="41"/>
      <c r="VAG145" s="41"/>
      <c r="VAH145" s="41"/>
      <c r="VAI145" s="41"/>
      <c r="VAJ145" s="41"/>
      <c r="VAK145" s="41"/>
      <c r="VAL145" s="41"/>
      <c r="VAM145" s="41"/>
      <c r="VAN145" s="41"/>
      <c r="VAO145" s="41"/>
      <c r="VAP145" s="41"/>
      <c r="VAQ145" s="41"/>
      <c r="VAR145" s="41"/>
      <c r="VAS145" s="41"/>
      <c r="VAT145" s="41"/>
      <c r="VAU145" s="41"/>
      <c r="VAV145" s="41"/>
      <c r="VAW145" s="41"/>
      <c r="VAX145" s="41"/>
      <c r="VAY145" s="41"/>
      <c r="VAZ145" s="41"/>
      <c r="VBA145" s="41"/>
      <c r="VBB145" s="41"/>
      <c r="VBC145" s="41"/>
      <c r="VBD145" s="41"/>
      <c r="VBE145" s="41"/>
      <c r="VBF145" s="41"/>
      <c r="VBG145" s="41"/>
      <c r="VBH145" s="41"/>
      <c r="VBI145" s="41"/>
      <c r="VBJ145" s="41"/>
      <c r="VBK145" s="41"/>
      <c r="VBL145" s="41"/>
      <c r="VBM145" s="41"/>
      <c r="VBN145" s="41"/>
      <c r="VBO145" s="41"/>
      <c r="VBP145" s="41"/>
      <c r="VBQ145" s="41"/>
      <c r="VBR145" s="41"/>
      <c r="VBS145" s="41"/>
      <c r="VBT145" s="41"/>
      <c r="VBU145" s="41"/>
      <c r="VBV145" s="41"/>
      <c r="VBW145" s="41"/>
      <c r="VBX145" s="41"/>
      <c r="VBY145" s="41"/>
      <c r="VBZ145" s="41"/>
      <c r="VCA145" s="41"/>
      <c r="VCB145" s="41"/>
      <c r="VCC145" s="41"/>
      <c r="VCD145" s="41"/>
      <c r="VCE145" s="41"/>
      <c r="VCF145" s="41"/>
      <c r="VCG145" s="41"/>
      <c r="VCH145" s="41"/>
      <c r="VCI145" s="41"/>
      <c r="VCJ145" s="41"/>
      <c r="VCK145" s="41"/>
      <c r="VCL145" s="41"/>
      <c r="VCM145" s="41"/>
      <c r="VCN145" s="41"/>
      <c r="VCO145" s="41"/>
      <c r="VCP145" s="41"/>
      <c r="VCQ145" s="41"/>
      <c r="VCR145" s="41"/>
      <c r="VCS145" s="41"/>
      <c r="VCT145" s="41"/>
      <c r="VCU145" s="41"/>
      <c r="VCV145" s="41"/>
      <c r="VCW145" s="41"/>
      <c r="VCX145" s="41"/>
      <c r="VCY145" s="41"/>
      <c r="VCZ145" s="41"/>
      <c r="VDA145" s="41"/>
      <c r="VDB145" s="41"/>
      <c r="VDC145" s="41"/>
      <c r="VDD145" s="41"/>
      <c r="VDE145" s="41"/>
      <c r="VDF145" s="41"/>
      <c r="VDG145" s="41"/>
      <c r="VDH145" s="41"/>
      <c r="VDI145" s="41"/>
      <c r="VDJ145" s="41"/>
      <c r="VDK145" s="41"/>
      <c r="VDL145" s="41"/>
      <c r="VDM145" s="41"/>
      <c r="VDN145" s="41"/>
      <c r="VDO145" s="41"/>
      <c r="VDP145" s="41"/>
      <c r="VDQ145" s="41"/>
      <c r="VDR145" s="41"/>
      <c r="VDS145" s="41"/>
      <c r="VDT145" s="41"/>
      <c r="VDU145" s="41"/>
      <c r="VDV145" s="41"/>
      <c r="VDW145" s="41"/>
      <c r="VDX145" s="41"/>
      <c r="VDY145" s="41"/>
      <c r="VDZ145" s="41"/>
      <c r="VEA145" s="41"/>
      <c r="VEB145" s="41"/>
      <c r="VEC145" s="41"/>
      <c r="VED145" s="41"/>
      <c r="VEE145" s="41"/>
      <c r="VEF145" s="41"/>
      <c r="VEG145" s="41"/>
      <c r="VEH145" s="41"/>
      <c r="VEI145" s="41"/>
      <c r="VEJ145" s="41"/>
      <c r="VEK145" s="41"/>
      <c r="VEL145" s="41"/>
      <c r="VEM145" s="41"/>
      <c r="VEN145" s="41"/>
      <c r="VEO145" s="41"/>
      <c r="VEP145" s="41"/>
      <c r="VEQ145" s="41"/>
      <c r="VER145" s="41"/>
      <c r="VES145" s="41"/>
      <c r="VET145" s="41"/>
      <c r="VEU145" s="41"/>
      <c r="VEV145" s="41"/>
      <c r="VEW145" s="41"/>
      <c r="VEX145" s="41"/>
      <c r="VEY145" s="41"/>
      <c r="VEZ145" s="41"/>
      <c r="VFA145" s="41"/>
      <c r="VFB145" s="41"/>
      <c r="VFC145" s="41"/>
      <c r="VFD145" s="41"/>
      <c r="VFE145" s="41"/>
      <c r="VFF145" s="41"/>
      <c r="VFG145" s="41"/>
      <c r="VFH145" s="41"/>
      <c r="VFI145" s="41"/>
      <c r="VFJ145" s="41"/>
      <c r="VFK145" s="41"/>
      <c r="VFL145" s="41"/>
      <c r="VFM145" s="41"/>
      <c r="VFN145" s="41"/>
      <c r="VFO145" s="41"/>
      <c r="VFP145" s="41"/>
      <c r="VFQ145" s="41"/>
      <c r="VFR145" s="41"/>
      <c r="VFS145" s="41"/>
      <c r="VFT145" s="41"/>
      <c r="VFU145" s="41"/>
      <c r="VFV145" s="41"/>
      <c r="VFW145" s="41"/>
      <c r="VFX145" s="41"/>
      <c r="VFY145" s="41"/>
      <c r="VFZ145" s="41"/>
      <c r="VGA145" s="41"/>
      <c r="VGB145" s="41"/>
      <c r="VGC145" s="41"/>
      <c r="VGD145" s="41"/>
      <c r="VGE145" s="41"/>
      <c r="VGF145" s="41"/>
      <c r="VGG145" s="41"/>
      <c r="VGH145" s="41"/>
      <c r="VGI145" s="41"/>
      <c r="VGJ145" s="41"/>
      <c r="VGK145" s="41"/>
      <c r="VGL145" s="41"/>
      <c r="VGM145" s="41"/>
      <c r="VGN145" s="41"/>
      <c r="VGO145" s="41"/>
      <c r="VGP145" s="41"/>
      <c r="VGQ145" s="41"/>
      <c r="VGR145" s="41"/>
      <c r="VGS145" s="41"/>
      <c r="VGT145" s="41"/>
      <c r="VGU145" s="41"/>
      <c r="VGV145" s="41"/>
      <c r="VGW145" s="41"/>
      <c r="VGX145" s="41"/>
      <c r="VGY145" s="41"/>
      <c r="VGZ145" s="41"/>
      <c r="VHA145" s="41"/>
      <c r="VHB145" s="41"/>
      <c r="VHC145" s="41"/>
      <c r="VHD145" s="41"/>
      <c r="VHE145" s="41"/>
      <c r="VHF145" s="41"/>
      <c r="VHG145" s="41"/>
      <c r="VHH145" s="41"/>
      <c r="VHI145" s="41"/>
      <c r="VHJ145" s="41"/>
      <c r="VHK145" s="41"/>
      <c r="VHL145" s="41"/>
      <c r="VHM145" s="41"/>
      <c r="VHN145" s="41"/>
      <c r="VHO145" s="41"/>
      <c r="VHP145" s="41"/>
      <c r="VHQ145" s="41"/>
      <c r="VHR145" s="41"/>
      <c r="VHS145" s="41"/>
      <c r="VHT145" s="41"/>
      <c r="VHU145" s="41"/>
      <c r="VHV145" s="41"/>
      <c r="VHW145" s="41"/>
      <c r="VHX145" s="41"/>
      <c r="VHY145" s="41"/>
      <c r="VHZ145" s="41"/>
      <c r="VIA145" s="41"/>
      <c r="VIB145" s="41"/>
      <c r="VIC145" s="41"/>
      <c r="VID145" s="41"/>
      <c r="VIE145" s="41"/>
      <c r="VIF145" s="41"/>
      <c r="VIG145" s="41"/>
      <c r="VIH145" s="41"/>
      <c r="VII145" s="41"/>
      <c r="VIJ145" s="41"/>
      <c r="VIK145" s="41"/>
      <c r="VIL145" s="41"/>
      <c r="VIM145" s="41"/>
      <c r="VIN145" s="41"/>
      <c r="VIO145" s="41"/>
      <c r="VIP145" s="41"/>
      <c r="VIQ145" s="41"/>
      <c r="VIR145" s="41"/>
      <c r="VIS145" s="41"/>
      <c r="VIT145" s="41"/>
      <c r="VIU145" s="41"/>
      <c r="VIV145" s="41"/>
      <c r="VIW145" s="41"/>
      <c r="VIX145" s="41"/>
      <c r="VIY145" s="41"/>
      <c r="VIZ145" s="41"/>
      <c r="VJA145" s="41"/>
      <c r="VJB145" s="41"/>
      <c r="VJC145" s="41"/>
      <c r="VJD145" s="41"/>
      <c r="VJE145" s="41"/>
      <c r="VJF145" s="41"/>
      <c r="VJG145" s="41"/>
      <c r="VJH145" s="41"/>
      <c r="VJI145" s="41"/>
      <c r="VJJ145" s="41"/>
      <c r="VJK145" s="41"/>
      <c r="VJL145" s="41"/>
      <c r="VJM145" s="41"/>
      <c r="VJN145" s="41"/>
      <c r="VJO145" s="41"/>
      <c r="VJP145" s="41"/>
      <c r="VJQ145" s="41"/>
      <c r="VJR145" s="41"/>
      <c r="VJS145" s="41"/>
      <c r="VJT145" s="41"/>
      <c r="VJU145" s="41"/>
      <c r="VJV145" s="41"/>
      <c r="VJW145" s="41"/>
      <c r="VJX145" s="41"/>
      <c r="VJY145" s="41"/>
      <c r="VJZ145" s="41"/>
      <c r="VKA145" s="41"/>
      <c r="VKB145" s="41"/>
      <c r="VKC145" s="41"/>
      <c r="VKD145" s="41"/>
      <c r="VKE145" s="41"/>
      <c r="VKF145" s="41"/>
      <c r="VKG145" s="41"/>
      <c r="VKH145" s="41"/>
      <c r="VKI145" s="41"/>
      <c r="VKJ145" s="41"/>
      <c r="VKK145" s="41"/>
      <c r="VKL145" s="41"/>
      <c r="VKM145" s="41"/>
      <c r="VKN145" s="41"/>
      <c r="VKO145" s="41"/>
      <c r="VKP145" s="41"/>
      <c r="VKQ145" s="41"/>
      <c r="VKR145" s="41"/>
      <c r="VKS145" s="41"/>
      <c r="VKT145" s="41"/>
      <c r="VKU145" s="41"/>
      <c r="VKV145" s="41"/>
      <c r="VKW145" s="41"/>
      <c r="VKX145" s="41"/>
      <c r="VKY145" s="41"/>
      <c r="VKZ145" s="41"/>
      <c r="VLA145" s="41"/>
      <c r="VLB145" s="41"/>
      <c r="VLC145" s="41"/>
      <c r="VLD145" s="41"/>
      <c r="VLE145" s="41"/>
      <c r="VLF145" s="41"/>
      <c r="VLG145" s="41"/>
      <c r="VLH145" s="41"/>
      <c r="VLI145" s="41"/>
      <c r="VLJ145" s="41"/>
      <c r="VLK145" s="41"/>
      <c r="VLL145" s="41"/>
      <c r="VLM145" s="41"/>
      <c r="VLN145" s="41"/>
      <c r="VLO145" s="41"/>
      <c r="VLP145" s="41"/>
      <c r="VLQ145" s="41"/>
      <c r="VLR145" s="41"/>
      <c r="VLS145" s="41"/>
      <c r="VLT145" s="41"/>
      <c r="VLU145" s="41"/>
      <c r="VLV145" s="41"/>
      <c r="VLW145" s="41"/>
      <c r="VLX145" s="41"/>
      <c r="VLY145" s="41"/>
      <c r="VLZ145" s="41"/>
      <c r="VMA145" s="41"/>
      <c r="VMB145" s="41"/>
      <c r="VMC145" s="41"/>
      <c r="VMD145" s="41"/>
      <c r="VME145" s="41"/>
      <c r="VMF145" s="41"/>
      <c r="VMG145" s="41"/>
      <c r="VMH145" s="41"/>
      <c r="VMI145" s="41"/>
      <c r="VMJ145" s="41"/>
      <c r="VMK145" s="41"/>
      <c r="VML145" s="41"/>
      <c r="VMM145" s="41"/>
      <c r="VMN145" s="41"/>
      <c r="VMO145" s="41"/>
      <c r="VMP145" s="41"/>
      <c r="VMQ145" s="41"/>
      <c r="VMR145" s="41"/>
      <c r="VMS145" s="41"/>
      <c r="VMT145" s="41"/>
      <c r="VMU145" s="41"/>
      <c r="VMV145" s="41"/>
      <c r="VMW145" s="41"/>
      <c r="VMX145" s="41"/>
      <c r="VMY145" s="41"/>
      <c r="VMZ145" s="41"/>
      <c r="VNA145" s="41"/>
      <c r="VNB145" s="41"/>
      <c r="VNC145" s="41"/>
      <c r="VND145" s="41"/>
      <c r="VNE145" s="41"/>
      <c r="VNF145" s="41"/>
      <c r="VNG145" s="41"/>
      <c r="VNH145" s="41"/>
      <c r="VNI145" s="41"/>
      <c r="VNJ145" s="41"/>
      <c r="VNK145" s="41"/>
      <c r="VNL145" s="41"/>
      <c r="VNM145" s="41"/>
      <c r="VNN145" s="41"/>
      <c r="VNO145" s="41"/>
      <c r="VNP145" s="41"/>
      <c r="VNQ145" s="41"/>
      <c r="VNR145" s="41"/>
      <c r="VNS145" s="41"/>
      <c r="VNT145" s="41"/>
      <c r="VNU145" s="41"/>
      <c r="VNV145" s="41"/>
      <c r="VNW145" s="41"/>
      <c r="VNX145" s="41"/>
      <c r="VNY145" s="41"/>
      <c r="VNZ145" s="41"/>
      <c r="VOA145" s="41"/>
      <c r="VOB145" s="41"/>
      <c r="VOC145" s="41"/>
      <c r="VOD145" s="41"/>
      <c r="VOE145" s="41"/>
      <c r="VOF145" s="41"/>
      <c r="VOG145" s="41"/>
      <c r="VOH145" s="41"/>
      <c r="VOI145" s="41"/>
      <c r="VOJ145" s="41"/>
      <c r="VOK145" s="41"/>
      <c r="VOL145" s="41"/>
      <c r="VOM145" s="41"/>
      <c r="VON145" s="41"/>
      <c r="VOO145" s="41"/>
      <c r="VOP145" s="41"/>
      <c r="VOQ145" s="41"/>
      <c r="VOR145" s="41"/>
      <c r="VOS145" s="41"/>
      <c r="VOT145" s="41"/>
      <c r="VOU145" s="41"/>
      <c r="VOV145" s="41"/>
      <c r="VOW145" s="41"/>
      <c r="VOX145" s="41"/>
      <c r="VOY145" s="41"/>
      <c r="VOZ145" s="41"/>
      <c r="VPA145" s="41"/>
      <c r="VPB145" s="41"/>
      <c r="VPC145" s="41"/>
      <c r="VPD145" s="41"/>
      <c r="VPE145" s="41"/>
      <c r="VPF145" s="41"/>
      <c r="VPG145" s="41"/>
      <c r="VPH145" s="41"/>
      <c r="VPI145" s="41"/>
      <c r="VPJ145" s="41"/>
      <c r="VPK145" s="41"/>
      <c r="VPL145" s="41"/>
      <c r="VPM145" s="41"/>
      <c r="VPN145" s="41"/>
      <c r="VPO145" s="41"/>
      <c r="VPP145" s="41"/>
      <c r="VPQ145" s="41"/>
      <c r="VPR145" s="41"/>
      <c r="VPS145" s="41"/>
      <c r="VPT145" s="41"/>
      <c r="VPU145" s="41"/>
      <c r="VPV145" s="41"/>
      <c r="VPW145" s="41"/>
      <c r="VPX145" s="41"/>
      <c r="VPY145" s="41"/>
      <c r="VPZ145" s="41"/>
      <c r="VQA145" s="41"/>
      <c r="VQB145" s="41"/>
      <c r="VQC145" s="41"/>
      <c r="VQD145" s="41"/>
      <c r="VQE145" s="41"/>
      <c r="VQF145" s="41"/>
      <c r="VQG145" s="41"/>
      <c r="VQH145" s="41"/>
      <c r="VQI145" s="41"/>
      <c r="VQJ145" s="41"/>
      <c r="VQK145" s="41"/>
      <c r="VQL145" s="41"/>
      <c r="VQM145" s="41"/>
      <c r="VQN145" s="41"/>
      <c r="VQO145" s="41"/>
      <c r="VQP145" s="41"/>
      <c r="VQQ145" s="41"/>
      <c r="VQR145" s="41"/>
      <c r="VQS145" s="41"/>
      <c r="VQT145" s="41"/>
      <c r="VQU145" s="41"/>
      <c r="VQV145" s="41"/>
      <c r="VQW145" s="41"/>
      <c r="VQX145" s="41"/>
      <c r="VQY145" s="41"/>
      <c r="VQZ145" s="41"/>
      <c r="VRA145" s="41"/>
      <c r="VRB145" s="41"/>
      <c r="VRC145" s="41"/>
      <c r="VRD145" s="41"/>
      <c r="VRE145" s="41"/>
      <c r="VRF145" s="41"/>
      <c r="VRG145" s="41"/>
      <c r="VRH145" s="41"/>
      <c r="VRI145" s="41"/>
      <c r="VRJ145" s="41"/>
      <c r="VRK145" s="41"/>
      <c r="VRL145" s="41"/>
      <c r="VRM145" s="41"/>
      <c r="VRN145" s="41"/>
      <c r="VRO145" s="41"/>
      <c r="VRP145" s="41"/>
      <c r="VRQ145" s="41"/>
      <c r="VRR145" s="41"/>
      <c r="VRS145" s="41"/>
      <c r="VRT145" s="41"/>
      <c r="VRU145" s="41"/>
      <c r="VRV145" s="41"/>
      <c r="VRW145" s="41"/>
      <c r="VRX145" s="41"/>
      <c r="VRY145" s="41"/>
      <c r="VRZ145" s="41"/>
      <c r="VSA145" s="41"/>
      <c r="VSB145" s="41"/>
      <c r="VSC145" s="41"/>
      <c r="VSD145" s="41"/>
      <c r="VSE145" s="41"/>
      <c r="VSF145" s="41"/>
      <c r="VSG145" s="41"/>
      <c r="VSH145" s="41"/>
      <c r="VSI145" s="41"/>
      <c r="VSJ145" s="41"/>
      <c r="VSK145" s="41"/>
      <c r="VSL145" s="41"/>
      <c r="VSM145" s="41"/>
      <c r="VSN145" s="41"/>
      <c r="VSO145" s="41"/>
      <c r="VSP145" s="41"/>
      <c r="VSQ145" s="41"/>
      <c r="VSR145" s="41"/>
      <c r="VSS145" s="41"/>
      <c r="VST145" s="41"/>
      <c r="VSU145" s="41"/>
      <c r="VSV145" s="41"/>
      <c r="VSW145" s="41"/>
      <c r="VSX145" s="41"/>
      <c r="VSY145" s="41"/>
      <c r="VSZ145" s="41"/>
      <c r="VTA145" s="41"/>
      <c r="VTB145" s="41"/>
      <c r="VTC145" s="41"/>
      <c r="VTD145" s="41"/>
      <c r="VTE145" s="41"/>
      <c r="VTF145" s="41"/>
      <c r="VTG145" s="41"/>
      <c r="VTH145" s="41"/>
      <c r="VTI145" s="41"/>
      <c r="VTJ145" s="41"/>
      <c r="VTK145" s="41"/>
      <c r="VTL145" s="41"/>
      <c r="VTM145" s="41"/>
      <c r="VTN145" s="41"/>
      <c r="VTO145" s="41"/>
      <c r="VTP145" s="41"/>
      <c r="VTQ145" s="41"/>
      <c r="VTR145" s="41"/>
      <c r="VTS145" s="41"/>
      <c r="VTT145" s="41"/>
      <c r="VTU145" s="41"/>
      <c r="VTV145" s="41"/>
      <c r="VTW145" s="41"/>
      <c r="VTX145" s="41"/>
      <c r="VTY145" s="41"/>
      <c r="VTZ145" s="41"/>
      <c r="VUA145" s="41"/>
      <c r="VUB145" s="41"/>
      <c r="VUC145" s="41"/>
      <c r="VUD145" s="41"/>
      <c r="VUE145" s="41"/>
      <c r="VUF145" s="41"/>
      <c r="VUG145" s="41"/>
      <c r="VUH145" s="41"/>
      <c r="VUI145" s="41"/>
      <c r="VUJ145" s="41"/>
      <c r="VUK145" s="41"/>
      <c r="VUL145" s="41"/>
      <c r="VUM145" s="41"/>
      <c r="VUN145" s="41"/>
      <c r="VUO145" s="41"/>
      <c r="VUP145" s="41"/>
      <c r="VUQ145" s="41"/>
      <c r="VUR145" s="41"/>
      <c r="VUS145" s="41"/>
      <c r="VUT145" s="41"/>
      <c r="VUU145" s="41"/>
      <c r="VUV145" s="41"/>
      <c r="VUW145" s="41"/>
      <c r="VUX145" s="41"/>
      <c r="VUY145" s="41"/>
      <c r="VUZ145" s="41"/>
      <c r="VVA145" s="41"/>
      <c r="VVB145" s="41"/>
      <c r="VVC145" s="41"/>
      <c r="VVD145" s="41"/>
      <c r="VVE145" s="41"/>
      <c r="VVF145" s="41"/>
      <c r="VVG145" s="41"/>
      <c r="VVH145" s="41"/>
      <c r="VVI145" s="41"/>
      <c r="VVJ145" s="41"/>
      <c r="VVK145" s="41"/>
      <c r="VVL145" s="41"/>
      <c r="VVM145" s="41"/>
      <c r="VVN145" s="41"/>
      <c r="VVO145" s="41"/>
      <c r="VVP145" s="41"/>
      <c r="VVQ145" s="41"/>
      <c r="VVR145" s="41"/>
      <c r="VVS145" s="41"/>
      <c r="VVT145" s="41"/>
      <c r="VVU145" s="41"/>
      <c r="VVV145" s="41"/>
      <c r="VVW145" s="41"/>
      <c r="VVX145" s="41"/>
      <c r="VVY145" s="41"/>
      <c r="VVZ145" s="41"/>
      <c r="VWA145" s="41"/>
      <c r="VWB145" s="41"/>
      <c r="VWC145" s="41"/>
      <c r="VWD145" s="41"/>
      <c r="VWE145" s="41"/>
      <c r="VWF145" s="41"/>
      <c r="VWG145" s="41"/>
      <c r="VWH145" s="41"/>
      <c r="VWI145" s="41"/>
      <c r="VWJ145" s="41"/>
      <c r="VWK145" s="41"/>
      <c r="VWL145" s="41"/>
      <c r="VWM145" s="41"/>
      <c r="VWN145" s="41"/>
      <c r="VWO145" s="41"/>
      <c r="VWP145" s="41"/>
      <c r="VWQ145" s="41"/>
      <c r="VWR145" s="41"/>
      <c r="VWS145" s="41"/>
      <c r="VWT145" s="41"/>
      <c r="VWU145" s="41"/>
      <c r="VWV145" s="41"/>
      <c r="VWW145" s="41"/>
      <c r="VWX145" s="41"/>
      <c r="VWY145" s="41"/>
      <c r="VWZ145" s="41"/>
      <c r="VXA145" s="41"/>
      <c r="VXB145" s="41"/>
      <c r="VXC145" s="41"/>
      <c r="VXD145" s="41"/>
      <c r="VXE145" s="41"/>
      <c r="VXF145" s="41"/>
      <c r="VXG145" s="41"/>
      <c r="VXH145" s="41"/>
      <c r="VXI145" s="41"/>
      <c r="VXJ145" s="41"/>
      <c r="VXK145" s="41"/>
      <c r="VXL145" s="41"/>
      <c r="VXM145" s="41"/>
      <c r="VXN145" s="41"/>
      <c r="VXO145" s="41"/>
      <c r="VXP145" s="41"/>
      <c r="VXQ145" s="41"/>
      <c r="VXR145" s="41"/>
      <c r="VXS145" s="41"/>
      <c r="VXT145" s="41"/>
      <c r="VXU145" s="41"/>
      <c r="VXV145" s="41"/>
      <c r="VXW145" s="41"/>
      <c r="VXX145" s="41"/>
      <c r="VXY145" s="41"/>
      <c r="VXZ145" s="41"/>
      <c r="VYA145" s="41"/>
      <c r="VYB145" s="41"/>
      <c r="VYC145" s="41"/>
      <c r="VYD145" s="41"/>
      <c r="VYE145" s="41"/>
      <c r="VYF145" s="41"/>
      <c r="VYG145" s="41"/>
      <c r="VYH145" s="41"/>
      <c r="VYI145" s="41"/>
      <c r="VYJ145" s="41"/>
      <c r="VYK145" s="41"/>
      <c r="VYL145" s="41"/>
      <c r="VYM145" s="41"/>
      <c r="VYN145" s="41"/>
      <c r="VYO145" s="41"/>
      <c r="VYP145" s="41"/>
      <c r="VYQ145" s="41"/>
      <c r="VYR145" s="41"/>
      <c r="VYS145" s="41"/>
      <c r="VYT145" s="41"/>
      <c r="VYU145" s="41"/>
      <c r="VYV145" s="41"/>
      <c r="VYW145" s="41"/>
      <c r="VYX145" s="41"/>
      <c r="VYY145" s="41"/>
      <c r="VYZ145" s="41"/>
      <c r="VZA145" s="41"/>
      <c r="VZB145" s="41"/>
      <c r="VZC145" s="41"/>
      <c r="VZD145" s="41"/>
      <c r="VZE145" s="41"/>
      <c r="VZF145" s="41"/>
      <c r="VZG145" s="41"/>
      <c r="VZH145" s="41"/>
      <c r="VZI145" s="41"/>
      <c r="VZJ145" s="41"/>
      <c r="VZK145" s="41"/>
      <c r="VZL145" s="41"/>
      <c r="VZM145" s="41"/>
      <c r="VZN145" s="41"/>
      <c r="VZO145" s="41"/>
      <c r="VZP145" s="41"/>
      <c r="VZQ145" s="41"/>
      <c r="VZR145" s="41"/>
      <c r="VZS145" s="41"/>
      <c r="VZT145" s="41"/>
      <c r="VZU145" s="41"/>
      <c r="VZV145" s="41"/>
      <c r="VZW145" s="41"/>
      <c r="VZX145" s="41"/>
      <c r="VZY145" s="41"/>
      <c r="VZZ145" s="41"/>
      <c r="WAA145" s="41"/>
      <c r="WAB145" s="41"/>
      <c r="WAC145" s="41"/>
      <c r="WAD145" s="41"/>
      <c r="WAE145" s="41"/>
      <c r="WAF145" s="41"/>
      <c r="WAG145" s="41"/>
      <c r="WAH145" s="41"/>
      <c r="WAI145" s="41"/>
      <c r="WAJ145" s="41"/>
      <c r="WAK145" s="41"/>
      <c r="WAL145" s="41"/>
      <c r="WAM145" s="41"/>
      <c r="WAN145" s="41"/>
      <c r="WAO145" s="41"/>
      <c r="WAP145" s="41"/>
      <c r="WAQ145" s="41"/>
      <c r="WAR145" s="41"/>
      <c r="WAS145" s="41"/>
      <c r="WAT145" s="41"/>
      <c r="WAU145" s="41"/>
      <c r="WAV145" s="41"/>
      <c r="WAW145" s="41"/>
      <c r="WAX145" s="41"/>
      <c r="WAY145" s="41"/>
      <c r="WAZ145" s="41"/>
      <c r="WBA145" s="41"/>
      <c r="WBB145" s="41"/>
      <c r="WBC145" s="41"/>
      <c r="WBD145" s="41"/>
      <c r="WBE145" s="41"/>
      <c r="WBF145" s="41"/>
      <c r="WBG145" s="41"/>
      <c r="WBH145" s="41"/>
      <c r="WBI145" s="41"/>
      <c r="WBJ145" s="41"/>
      <c r="WBK145" s="41"/>
      <c r="WBL145" s="41"/>
      <c r="WBM145" s="41"/>
      <c r="WBN145" s="41"/>
      <c r="WBO145" s="41"/>
      <c r="WBP145" s="41"/>
      <c r="WBQ145" s="41"/>
      <c r="WBR145" s="41"/>
      <c r="WBS145" s="41"/>
      <c r="WBT145" s="41"/>
      <c r="WBU145" s="41"/>
      <c r="WBV145" s="41"/>
      <c r="WBW145" s="41"/>
      <c r="WBX145" s="41"/>
      <c r="WBY145" s="41"/>
      <c r="WBZ145" s="41"/>
      <c r="WCA145" s="41"/>
      <c r="WCB145" s="41"/>
      <c r="WCC145" s="41"/>
      <c r="WCD145" s="41"/>
      <c r="WCE145" s="41"/>
      <c r="WCF145" s="41"/>
      <c r="WCG145" s="41"/>
      <c r="WCH145" s="41"/>
      <c r="WCI145" s="41"/>
      <c r="WCJ145" s="41"/>
      <c r="WCK145" s="41"/>
      <c r="WCL145" s="41"/>
      <c r="WCM145" s="41"/>
      <c r="WCN145" s="41"/>
      <c r="WCO145" s="41"/>
      <c r="WCP145" s="41"/>
      <c r="WCQ145" s="41"/>
      <c r="WCR145" s="41"/>
      <c r="WCS145" s="41"/>
      <c r="WCT145" s="41"/>
      <c r="WCU145" s="41"/>
      <c r="WCV145" s="41"/>
      <c r="WCW145" s="41"/>
      <c r="WCX145" s="41"/>
      <c r="WCY145" s="41"/>
      <c r="WCZ145" s="41"/>
      <c r="WDA145" s="41"/>
      <c r="WDB145" s="41"/>
      <c r="WDC145" s="41"/>
      <c r="WDD145" s="41"/>
      <c r="WDE145" s="41"/>
      <c r="WDF145" s="41"/>
      <c r="WDG145" s="41"/>
      <c r="WDH145" s="41"/>
      <c r="WDI145" s="41"/>
      <c r="WDJ145" s="41"/>
      <c r="WDK145" s="41"/>
      <c r="WDL145" s="41"/>
      <c r="WDM145" s="41"/>
      <c r="WDN145" s="41"/>
      <c r="WDO145" s="41"/>
      <c r="WDP145" s="41"/>
      <c r="WDQ145" s="41"/>
      <c r="WDR145" s="41"/>
      <c r="WDS145" s="41"/>
      <c r="WDT145" s="41"/>
      <c r="WDU145" s="41"/>
      <c r="WDV145" s="41"/>
      <c r="WDW145" s="41"/>
      <c r="WDX145" s="41"/>
      <c r="WDY145" s="41"/>
      <c r="WDZ145" s="41"/>
      <c r="WEA145" s="41"/>
      <c r="WEB145" s="41"/>
      <c r="WEC145" s="41"/>
      <c r="WED145" s="41"/>
      <c r="WEE145" s="41"/>
      <c r="WEF145" s="41"/>
      <c r="WEG145" s="41"/>
      <c r="WEH145" s="41"/>
      <c r="WEI145" s="41"/>
      <c r="WEJ145" s="41"/>
      <c r="WEK145" s="41"/>
      <c r="WEL145" s="41"/>
      <c r="WEM145" s="41"/>
      <c r="WEN145" s="41"/>
      <c r="WEO145" s="41"/>
      <c r="WEP145" s="41"/>
      <c r="WEQ145" s="41"/>
      <c r="WER145" s="41"/>
      <c r="WES145" s="41"/>
      <c r="WET145" s="41"/>
      <c r="WEU145" s="41"/>
      <c r="WEV145" s="41"/>
      <c r="WEW145" s="41"/>
      <c r="WEX145" s="41"/>
      <c r="WEY145" s="41"/>
      <c r="WEZ145" s="41"/>
      <c r="WFA145" s="41"/>
      <c r="WFB145" s="41"/>
      <c r="WFC145" s="41"/>
      <c r="WFD145" s="41"/>
      <c r="WFE145" s="41"/>
      <c r="WFF145" s="41"/>
      <c r="WFG145" s="41"/>
      <c r="WFH145" s="41"/>
      <c r="WFI145" s="41"/>
      <c r="WFJ145" s="41"/>
      <c r="WFK145" s="41"/>
      <c r="WFL145" s="41"/>
      <c r="WFM145" s="41"/>
      <c r="WFN145" s="41"/>
      <c r="WFO145" s="41"/>
      <c r="WFP145" s="41"/>
      <c r="WFQ145" s="41"/>
      <c r="WFR145" s="41"/>
      <c r="WFS145" s="41"/>
      <c r="WFT145" s="41"/>
      <c r="WFU145" s="41"/>
      <c r="WFV145" s="41"/>
      <c r="WFW145" s="41"/>
      <c r="WFX145" s="41"/>
      <c r="WFY145" s="41"/>
      <c r="WFZ145" s="41"/>
      <c r="WGA145" s="41"/>
      <c r="WGB145" s="41"/>
      <c r="WGC145" s="41"/>
      <c r="WGD145" s="41"/>
      <c r="WGE145" s="41"/>
      <c r="WGF145" s="41"/>
      <c r="WGG145" s="41"/>
      <c r="WGH145" s="41"/>
      <c r="WGI145" s="41"/>
      <c r="WGJ145" s="41"/>
      <c r="WGK145" s="41"/>
      <c r="WGL145" s="41"/>
      <c r="WGM145" s="41"/>
      <c r="WGN145" s="41"/>
      <c r="WGO145" s="41"/>
      <c r="WGP145" s="41"/>
      <c r="WGQ145" s="41"/>
      <c r="WGR145" s="41"/>
      <c r="WGS145" s="41"/>
      <c r="WGT145" s="41"/>
      <c r="WGU145" s="41"/>
      <c r="WGV145" s="41"/>
      <c r="WGW145" s="41"/>
      <c r="WGX145" s="41"/>
      <c r="WGY145" s="41"/>
      <c r="WGZ145" s="41"/>
      <c r="WHA145" s="41"/>
      <c r="WHB145" s="41"/>
      <c r="WHC145" s="41"/>
      <c r="WHD145" s="41"/>
      <c r="WHE145" s="41"/>
      <c r="WHF145" s="41"/>
      <c r="WHG145" s="41"/>
      <c r="WHH145" s="41"/>
      <c r="WHI145" s="41"/>
      <c r="WHJ145" s="41"/>
      <c r="WHK145" s="41"/>
      <c r="WHL145" s="41"/>
      <c r="WHM145" s="41"/>
      <c r="WHN145" s="41"/>
      <c r="WHO145" s="41"/>
      <c r="WHP145" s="41"/>
      <c r="WHQ145" s="41"/>
      <c r="WHR145" s="41"/>
      <c r="WHS145" s="41"/>
      <c r="WHT145" s="41"/>
      <c r="WHU145" s="41"/>
      <c r="WHV145" s="41"/>
      <c r="WHW145" s="41"/>
      <c r="WHX145" s="41"/>
      <c r="WHY145" s="41"/>
      <c r="WHZ145" s="41"/>
      <c r="WIA145" s="41"/>
      <c r="WIB145" s="41"/>
      <c r="WIC145" s="41"/>
      <c r="WID145" s="41"/>
      <c r="WIE145" s="41"/>
      <c r="WIF145" s="41"/>
      <c r="WIG145" s="41"/>
      <c r="WIH145" s="41"/>
      <c r="WII145" s="41"/>
      <c r="WIJ145" s="41"/>
      <c r="WIK145" s="41"/>
      <c r="WIL145" s="41"/>
      <c r="WIM145" s="41"/>
      <c r="WIN145" s="41"/>
      <c r="WIO145" s="41"/>
      <c r="WIP145" s="41"/>
      <c r="WIQ145" s="41"/>
      <c r="WIR145" s="41"/>
      <c r="WIS145" s="41"/>
      <c r="WIT145" s="41"/>
      <c r="WIU145" s="41"/>
      <c r="WIV145" s="41"/>
      <c r="WIW145" s="41"/>
      <c r="WIX145" s="41"/>
      <c r="WIY145" s="41"/>
      <c r="WIZ145" s="41"/>
      <c r="WJA145" s="41"/>
      <c r="WJB145" s="41"/>
      <c r="WJC145" s="41"/>
      <c r="WJD145" s="41"/>
      <c r="WJE145" s="41"/>
      <c r="WJF145" s="41"/>
      <c r="WJG145" s="41"/>
      <c r="WJH145" s="41"/>
      <c r="WJI145" s="41"/>
      <c r="WJJ145" s="41"/>
      <c r="WJK145" s="41"/>
      <c r="WJL145" s="41"/>
      <c r="WJM145" s="41"/>
      <c r="WJN145" s="41"/>
      <c r="WJO145" s="41"/>
      <c r="WJP145" s="41"/>
      <c r="WJQ145" s="41"/>
      <c r="WJR145" s="41"/>
      <c r="WJS145" s="41"/>
      <c r="WJT145" s="41"/>
      <c r="WJU145" s="41"/>
      <c r="WJV145" s="41"/>
      <c r="WJW145" s="41"/>
      <c r="WJX145" s="41"/>
      <c r="WJY145" s="41"/>
      <c r="WJZ145" s="41"/>
      <c r="WKA145" s="41"/>
      <c r="WKB145" s="41"/>
      <c r="WKC145" s="41"/>
      <c r="WKD145" s="41"/>
      <c r="WKE145" s="41"/>
      <c r="WKF145" s="41"/>
      <c r="WKG145" s="41"/>
      <c r="WKH145" s="41"/>
      <c r="WKI145" s="41"/>
      <c r="WKJ145" s="41"/>
      <c r="WKK145" s="41"/>
      <c r="WKL145" s="41"/>
      <c r="WKM145" s="41"/>
      <c r="WKN145" s="41"/>
      <c r="WKO145" s="41"/>
      <c r="WKP145" s="41"/>
      <c r="WKQ145" s="41"/>
      <c r="WKR145" s="41"/>
      <c r="WKS145" s="41"/>
      <c r="WKT145" s="41"/>
      <c r="WKU145" s="41"/>
      <c r="WKV145" s="41"/>
      <c r="WKW145" s="41"/>
      <c r="WKX145" s="41"/>
      <c r="WKY145" s="41"/>
      <c r="WKZ145" s="41"/>
      <c r="WLA145" s="41"/>
      <c r="WLB145" s="41"/>
      <c r="WLC145" s="41"/>
      <c r="WLD145" s="41"/>
      <c r="WLE145" s="41"/>
      <c r="WLF145" s="41"/>
      <c r="WLG145" s="41"/>
      <c r="WLH145" s="41"/>
      <c r="WLI145" s="41"/>
      <c r="WLJ145" s="41"/>
      <c r="WLK145" s="41"/>
      <c r="WLL145" s="41"/>
      <c r="WLM145" s="41"/>
      <c r="WLN145" s="41"/>
      <c r="WLO145" s="41"/>
      <c r="WLP145" s="41"/>
      <c r="WLQ145" s="41"/>
      <c r="WLR145" s="41"/>
      <c r="WLS145" s="41"/>
      <c r="WLT145" s="41"/>
      <c r="WLU145" s="41"/>
      <c r="WLV145" s="41"/>
      <c r="WLW145" s="41"/>
      <c r="WLX145" s="41"/>
      <c r="WLY145" s="41"/>
      <c r="WLZ145" s="41"/>
      <c r="WMA145" s="41"/>
      <c r="WMB145" s="41"/>
      <c r="WMC145" s="41"/>
      <c r="WMD145" s="41"/>
      <c r="WME145" s="41"/>
      <c r="WMF145" s="41"/>
      <c r="WMG145" s="41"/>
      <c r="WMH145" s="41"/>
      <c r="WMI145" s="41"/>
      <c r="WMJ145" s="41"/>
      <c r="WMK145" s="41"/>
      <c r="WML145" s="41"/>
      <c r="WMM145" s="41"/>
      <c r="WMN145" s="41"/>
      <c r="WMO145" s="41"/>
      <c r="WMP145" s="41"/>
      <c r="WMQ145" s="41"/>
      <c r="WMR145" s="41"/>
      <c r="WMS145" s="41"/>
      <c r="WMT145" s="41"/>
      <c r="WMU145" s="41"/>
      <c r="WMV145" s="41"/>
      <c r="WMW145" s="41"/>
      <c r="WMX145" s="41"/>
      <c r="WMY145" s="41"/>
      <c r="WMZ145" s="41"/>
      <c r="WNA145" s="41"/>
      <c r="WNB145" s="41"/>
      <c r="WNC145" s="41"/>
      <c r="WND145" s="41"/>
      <c r="WNE145" s="41"/>
      <c r="WNF145" s="41"/>
      <c r="WNG145" s="41"/>
      <c r="WNH145" s="41"/>
      <c r="WNI145" s="41"/>
      <c r="WNJ145" s="41"/>
      <c r="WNK145" s="41"/>
      <c r="WNL145" s="41"/>
      <c r="WNM145" s="41"/>
      <c r="WNN145" s="41"/>
      <c r="WNO145" s="41"/>
      <c r="WNP145" s="41"/>
      <c r="WNQ145" s="41"/>
      <c r="WNR145" s="41"/>
      <c r="WNS145" s="41"/>
      <c r="WNT145" s="41"/>
      <c r="WNU145" s="41"/>
      <c r="WNV145" s="41"/>
      <c r="WNW145" s="41"/>
      <c r="WNX145" s="41"/>
      <c r="WNY145" s="41"/>
      <c r="WNZ145" s="41"/>
      <c r="WOA145" s="41"/>
      <c r="WOB145" s="41"/>
      <c r="WOC145" s="41"/>
      <c r="WOD145" s="41"/>
      <c r="WOE145" s="41"/>
      <c r="WOF145" s="41"/>
      <c r="WOG145" s="41"/>
      <c r="WOH145" s="41"/>
      <c r="WOI145" s="41"/>
      <c r="WOJ145" s="41"/>
      <c r="WOK145" s="41"/>
      <c r="WOL145" s="41"/>
      <c r="WOM145" s="41"/>
      <c r="WON145" s="41"/>
      <c r="WOO145" s="41"/>
      <c r="WOP145" s="41"/>
      <c r="WOQ145" s="41"/>
      <c r="WOR145" s="41"/>
      <c r="WOS145" s="41"/>
      <c r="WOT145" s="41"/>
      <c r="WOU145" s="41"/>
      <c r="WOV145" s="41"/>
      <c r="WOW145" s="41"/>
      <c r="WOX145" s="41"/>
      <c r="WOY145" s="41"/>
      <c r="WOZ145" s="41"/>
      <c r="WPA145" s="41"/>
      <c r="WPB145" s="41"/>
      <c r="WPC145" s="41"/>
      <c r="WPD145" s="41"/>
      <c r="WPE145" s="41"/>
      <c r="WPF145" s="41"/>
      <c r="WPG145" s="41"/>
      <c r="WPH145" s="41"/>
      <c r="WPI145" s="41"/>
      <c r="WPJ145" s="41"/>
      <c r="WPK145" s="41"/>
      <c r="WPL145" s="41"/>
      <c r="WPM145" s="41"/>
      <c r="WPN145" s="41"/>
      <c r="WPO145" s="41"/>
      <c r="WPP145" s="41"/>
      <c r="WPQ145" s="41"/>
      <c r="WPR145" s="41"/>
      <c r="WPS145" s="41"/>
      <c r="WPT145" s="41"/>
      <c r="WPU145" s="41"/>
      <c r="WPV145" s="41"/>
      <c r="WPW145" s="41"/>
      <c r="WPX145" s="41"/>
      <c r="WPY145" s="41"/>
      <c r="WPZ145" s="41"/>
      <c r="WQA145" s="41"/>
      <c r="WQB145" s="41"/>
      <c r="WQC145" s="41"/>
      <c r="WQD145" s="41"/>
      <c r="WQE145" s="41"/>
      <c r="WQF145" s="41"/>
      <c r="WQG145" s="41"/>
      <c r="WQH145" s="41"/>
      <c r="WQI145" s="41"/>
      <c r="WQJ145" s="41"/>
      <c r="WQK145" s="41"/>
      <c r="WQL145" s="41"/>
      <c r="WQM145" s="41"/>
      <c r="WQN145" s="41"/>
      <c r="WQO145" s="41"/>
      <c r="WQP145" s="41"/>
      <c r="WQQ145" s="41"/>
      <c r="WQR145" s="41"/>
      <c r="WQS145" s="41"/>
      <c r="WQT145" s="41"/>
      <c r="WQU145" s="41"/>
      <c r="WQV145" s="41"/>
      <c r="WQW145" s="41"/>
      <c r="WQX145" s="41"/>
      <c r="WQY145" s="41"/>
      <c r="WQZ145" s="41"/>
      <c r="WRA145" s="41"/>
      <c r="WRB145" s="41"/>
      <c r="WRC145" s="41"/>
      <c r="WRD145" s="41"/>
      <c r="WRE145" s="41"/>
      <c r="WRF145" s="41"/>
      <c r="WRG145" s="41"/>
      <c r="WRH145" s="41"/>
      <c r="WRI145" s="41"/>
      <c r="WRJ145" s="41"/>
      <c r="WRK145" s="41"/>
      <c r="WRL145" s="41"/>
      <c r="WRM145" s="41"/>
      <c r="WRN145" s="41"/>
      <c r="WRO145" s="41"/>
      <c r="WRP145" s="41"/>
      <c r="WRQ145" s="41"/>
      <c r="WRR145" s="41"/>
      <c r="WRS145" s="41"/>
      <c r="WRT145" s="41"/>
      <c r="WRU145" s="41"/>
      <c r="WRV145" s="41"/>
      <c r="WRW145" s="41"/>
      <c r="WRX145" s="41"/>
      <c r="WRY145" s="41"/>
      <c r="WRZ145" s="41"/>
      <c r="WSA145" s="41"/>
      <c r="WSB145" s="41"/>
      <c r="WSC145" s="41"/>
      <c r="WSD145" s="41"/>
      <c r="WSE145" s="41"/>
      <c r="WSF145" s="41"/>
      <c r="WSG145" s="41"/>
      <c r="WSH145" s="41"/>
      <c r="WSI145" s="41"/>
      <c r="WSJ145" s="41"/>
      <c r="WSK145" s="41"/>
      <c r="WSL145" s="41"/>
      <c r="WSM145" s="41"/>
      <c r="WSN145" s="41"/>
      <c r="WSO145" s="41"/>
      <c r="WSP145" s="41"/>
      <c r="WSQ145" s="41"/>
      <c r="WSR145" s="41"/>
      <c r="WSS145" s="41"/>
      <c r="WST145" s="41"/>
      <c r="WSU145" s="41"/>
      <c r="WSV145" s="41"/>
      <c r="WSW145" s="41"/>
      <c r="WSX145" s="41"/>
      <c r="WSY145" s="41"/>
      <c r="WSZ145" s="41"/>
      <c r="WTA145" s="41"/>
      <c r="WTB145" s="41"/>
      <c r="WTC145" s="41"/>
      <c r="WTD145" s="41"/>
      <c r="WTE145" s="41"/>
      <c r="WTF145" s="41"/>
      <c r="WTG145" s="41"/>
      <c r="WTH145" s="41"/>
      <c r="WTI145" s="41"/>
      <c r="WTJ145" s="41"/>
      <c r="WTK145" s="41"/>
      <c r="WTL145" s="41"/>
      <c r="WTM145" s="41"/>
      <c r="WTN145" s="41"/>
      <c r="WTO145" s="41"/>
      <c r="WTP145" s="41"/>
      <c r="WTQ145" s="41"/>
      <c r="WTR145" s="41"/>
      <c r="WTS145" s="41"/>
      <c r="WTT145" s="41"/>
      <c r="WTU145" s="41"/>
      <c r="WTV145" s="41"/>
      <c r="WTW145" s="41"/>
      <c r="WTX145" s="41"/>
      <c r="WTY145" s="41"/>
      <c r="WTZ145" s="41"/>
      <c r="WUA145" s="41"/>
      <c r="WUB145" s="41"/>
      <c r="WUC145" s="41"/>
      <c r="WUD145" s="41"/>
      <c r="WUE145" s="41"/>
      <c r="WUF145" s="41"/>
      <c r="WUG145" s="41"/>
      <c r="WUH145" s="41"/>
      <c r="WUI145" s="41"/>
      <c r="WUJ145" s="41"/>
      <c r="WUK145" s="41"/>
      <c r="WUL145" s="41"/>
      <c r="WUM145" s="41"/>
      <c r="WUN145" s="41"/>
      <c r="WUO145" s="41"/>
      <c r="WUP145" s="41"/>
      <c r="WUQ145" s="41"/>
      <c r="WUR145" s="41"/>
      <c r="WUS145" s="41"/>
      <c r="WUT145" s="41"/>
      <c r="WUU145" s="41"/>
      <c r="WUV145" s="41"/>
      <c r="WUW145" s="41"/>
      <c r="WUX145" s="41"/>
      <c r="WUY145" s="41"/>
      <c r="WUZ145" s="41"/>
      <c r="WVA145" s="41"/>
      <c r="WVB145" s="41"/>
      <c r="WVC145" s="41"/>
      <c r="WVD145" s="41"/>
      <c r="WVE145" s="41"/>
      <c r="WVF145" s="41"/>
      <c r="WVG145" s="41"/>
      <c r="WVH145" s="41"/>
      <c r="WVI145" s="41"/>
      <c r="WVJ145" s="41"/>
      <c r="WVK145" s="41"/>
      <c r="WVL145" s="41"/>
      <c r="WVM145" s="41"/>
      <c r="WVN145" s="41"/>
      <c r="WVO145" s="41"/>
      <c r="WVP145" s="41"/>
      <c r="WVQ145" s="41"/>
      <c r="WVR145" s="41"/>
      <c r="WVS145" s="41"/>
      <c r="WVT145" s="41"/>
      <c r="WVU145" s="41"/>
      <c r="WVV145" s="41"/>
      <c r="WVW145" s="41"/>
      <c r="WVX145" s="41"/>
      <c r="WVY145" s="41"/>
      <c r="WVZ145" s="41"/>
      <c r="WWA145" s="41"/>
      <c r="WWB145" s="41"/>
      <c r="WWC145" s="41"/>
      <c r="WWD145" s="41"/>
      <c r="WWE145" s="41"/>
      <c r="WWF145" s="41"/>
      <c r="WWG145" s="41"/>
      <c r="WWH145" s="41"/>
      <c r="WWI145" s="41"/>
      <c r="WWJ145" s="41"/>
      <c r="WWK145" s="41"/>
      <c r="WWL145" s="41"/>
      <c r="WWM145" s="41"/>
      <c r="WWN145" s="41"/>
      <c r="WWO145" s="41"/>
      <c r="WWP145" s="41"/>
      <c r="WWQ145" s="41"/>
      <c r="WWR145" s="41"/>
      <c r="WWS145" s="41"/>
      <c r="WWT145" s="41"/>
      <c r="WWU145" s="41"/>
      <c r="WWV145" s="41"/>
      <c r="WWW145" s="41"/>
      <c r="WWX145" s="41"/>
      <c r="WWY145" s="41"/>
      <c r="WWZ145" s="41"/>
      <c r="WXA145" s="41"/>
      <c r="WXB145" s="41"/>
      <c r="WXC145" s="41"/>
      <c r="WXD145" s="41"/>
      <c r="WXE145" s="41"/>
      <c r="WXF145" s="41"/>
      <c r="WXG145" s="41"/>
      <c r="WXH145" s="41"/>
      <c r="WXI145" s="41"/>
      <c r="WXJ145" s="41"/>
      <c r="WXK145" s="41"/>
      <c r="WXL145" s="41"/>
      <c r="WXM145" s="41"/>
      <c r="WXN145" s="41"/>
      <c r="WXO145" s="41"/>
      <c r="WXP145" s="41"/>
      <c r="WXQ145" s="41"/>
      <c r="WXR145" s="41"/>
      <c r="WXS145" s="41"/>
      <c r="WXT145" s="41"/>
      <c r="WXU145" s="41"/>
      <c r="WXV145" s="41"/>
      <c r="WXW145" s="41"/>
      <c r="WXX145" s="41"/>
      <c r="WXY145" s="41"/>
      <c r="WXZ145" s="41"/>
      <c r="WYA145" s="41"/>
      <c r="WYB145" s="41"/>
      <c r="WYC145" s="41"/>
      <c r="WYD145" s="41"/>
      <c r="WYE145" s="41"/>
      <c r="WYF145" s="41"/>
      <c r="WYG145" s="41"/>
      <c r="WYH145" s="41"/>
      <c r="WYI145" s="41"/>
      <c r="WYJ145" s="41"/>
      <c r="WYK145" s="41"/>
      <c r="WYL145" s="41"/>
      <c r="WYM145" s="41"/>
      <c r="WYN145" s="41"/>
      <c r="WYO145" s="41"/>
      <c r="WYP145" s="41"/>
      <c r="WYQ145" s="41"/>
      <c r="WYR145" s="41"/>
      <c r="WYS145" s="41"/>
      <c r="WYT145" s="41"/>
      <c r="WYU145" s="41"/>
      <c r="WYV145" s="41"/>
      <c r="WYW145" s="41"/>
      <c r="WYX145" s="41"/>
      <c r="WYY145" s="41"/>
      <c r="WYZ145" s="41"/>
      <c r="WZA145" s="41"/>
      <c r="WZB145" s="41"/>
      <c r="WZC145" s="41"/>
      <c r="WZD145" s="41"/>
      <c r="WZE145" s="41"/>
      <c r="WZF145" s="41"/>
      <c r="WZG145" s="41"/>
      <c r="WZH145" s="41"/>
      <c r="WZI145" s="41"/>
      <c r="WZJ145" s="41"/>
      <c r="WZK145" s="41"/>
      <c r="WZL145" s="41"/>
      <c r="WZM145" s="41"/>
      <c r="WZN145" s="41"/>
      <c r="WZO145" s="41"/>
      <c r="WZP145" s="41"/>
      <c r="WZQ145" s="41"/>
      <c r="WZR145" s="41"/>
      <c r="WZS145" s="41"/>
      <c r="WZT145" s="41"/>
      <c r="WZU145" s="41"/>
      <c r="WZV145" s="41"/>
      <c r="WZW145" s="41"/>
      <c r="WZX145" s="41"/>
      <c r="WZY145" s="41"/>
      <c r="WZZ145" s="41"/>
      <c r="XAA145" s="41"/>
      <c r="XAB145" s="41"/>
      <c r="XAC145" s="41"/>
      <c r="XAD145" s="41"/>
      <c r="XAE145" s="41"/>
      <c r="XAF145" s="41"/>
      <c r="XAG145" s="41"/>
      <c r="XAH145" s="41"/>
      <c r="XAI145" s="41"/>
      <c r="XAJ145" s="41"/>
      <c r="XAK145" s="41"/>
      <c r="XAL145" s="41"/>
      <c r="XAM145" s="41"/>
      <c r="XAN145" s="41"/>
      <c r="XAO145" s="41"/>
      <c r="XAP145" s="41"/>
      <c r="XAQ145" s="41"/>
      <c r="XAR145" s="41"/>
      <c r="XAS145" s="41"/>
      <c r="XAT145" s="41"/>
      <c r="XAU145" s="41"/>
      <c r="XAV145" s="41"/>
      <c r="XAW145" s="41"/>
      <c r="XAX145" s="41"/>
      <c r="XAY145" s="41"/>
      <c r="XAZ145" s="41"/>
      <c r="XBA145" s="41"/>
      <c r="XBB145" s="41"/>
      <c r="XBC145" s="41"/>
      <c r="XBD145" s="41"/>
      <c r="XBE145" s="41"/>
      <c r="XBF145" s="41"/>
      <c r="XBG145" s="41"/>
      <c r="XBH145" s="41"/>
      <c r="XBI145" s="41"/>
      <c r="XBJ145" s="41"/>
      <c r="XBK145" s="41"/>
      <c r="XBL145" s="41"/>
      <c r="XBM145" s="41"/>
      <c r="XBN145" s="41"/>
      <c r="XBO145" s="41"/>
      <c r="XBP145" s="41"/>
      <c r="XBQ145" s="41"/>
      <c r="XBR145" s="41"/>
      <c r="XBS145" s="41"/>
      <c r="XBT145" s="41"/>
      <c r="XBU145" s="41"/>
      <c r="XBV145" s="41"/>
      <c r="XBW145" s="41"/>
      <c r="XBX145" s="41"/>
      <c r="XBY145" s="41"/>
      <c r="XBZ145" s="41"/>
      <c r="XCA145" s="41"/>
      <c r="XCB145" s="41"/>
      <c r="XCC145" s="41"/>
      <c r="XCD145" s="41"/>
      <c r="XCE145" s="41"/>
      <c r="XCF145" s="41"/>
      <c r="XCG145" s="41"/>
      <c r="XCH145" s="41"/>
      <c r="XCI145" s="41"/>
      <c r="XCJ145" s="41"/>
      <c r="XCK145" s="41"/>
      <c r="XCL145" s="41"/>
      <c r="XCM145" s="41"/>
      <c r="XCN145" s="41"/>
      <c r="XCO145" s="41"/>
      <c r="XCP145" s="41"/>
      <c r="XCQ145" s="41"/>
      <c r="XCR145" s="41"/>
      <c r="XCS145" s="41"/>
      <c r="XCT145" s="41"/>
      <c r="XCU145" s="41"/>
      <c r="XCV145" s="41"/>
      <c r="XCW145" s="41"/>
      <c r="XCX145" s="41"/>
      <c r="XCY145" s="41"/>
      <c r="XCZ145" s="41"/>
      <c r="XDA145" s="41"/>
      <c r="XDB145" s="41"/>
      <c r="XDC145" s="41"/>
      <c r="XDD145" s="41"/>
      <c r="XDE145" s="41"/>
      <c r="XDF145" s="41"/>
      <c r="XDG145" s="41"/>
      <c r="XDH145" s="41"/>
      <c r="XDI145" s="41"/>
      <c r="XDJ145" s="41"/>
      <c r="XDK145" s="41"/>
      <c r="XDL145" s="41"/>
      <c r="XDM145" s="41"/>
      <c r="XDN145" s="41"/>
      <c r="XDO145" s="41"/>
      <c r="XDP145" s="41"/>
      <c r="XDQ145" s="41"/>
      <c r="XDR145" s="41"/>
      <c r="XDS145" s="41"/>
      <c r="XDT145" s="41"/>
      <c r="XDU145" s="41"/>
      <c r="XDV145" s="41"/>
      <c r="XDW145" s="41"/>
      <c r="XDX145" s="41"/>
      <c r="XDY145" s="41"/>
      <c r="XDZ145" s="41"/>
      <c r="XEA145" s="41"/>
      <c r="XEB145" s="41"/>
      <c r="XEC145" s="41"/>
      <c r="XED145" s="41"/>
      <c r="XEE145" s="41"/>
      <c r="XEF145" s="41"/>
      <c r="XEG145" s="41"/>
      <c r="XEH145" s="41"/>
      <c r="XEI145" s="41"/>
      <c r="XEJ145" s="41"/>
      <c r="XEK145" s="41"/>
      <c r="XEL145" s="41"/>
      <c r="XEM145" s="41"/>
      <c r="XEN145" s="41"/>
      <c r="XEO145" s="41"/>
      <c r="XEP145" s="41"/>
      <c r="XEQ145" s="41"/>
      <c r="XER145" s="41"/>
      <c r="XES145" s="41"/>
      <c r="XET145" s="41"/>
      <c r="XEU145" s="41"/>
      <c r="XEV145" s="41"/>
      <c r="XEW145" s="41"/>
      <c r="XEX145" s="41"/>
      <c r="XEY145" s="41"/>
      <c r="XEZ145" s="41"/>
      <c r="XFA145" s="41"/>
      <c r="XFB145" s="41"/>
      <c r="XFC145" s="41"/>
      <c r="XFD145" s="41"/>
    </row>
    <row r="146" spans="1:16384" x14ac:dyDescent="0.35">
      <c r="A146" s="8" t="s">
        <v>507</v>
      </c>
      <c r="B146" s="1" t="s">
        <v>1</v>
      </c>
      <c r="F146" s="1" t="s">
        <v>76</v>
      </c>
      <c r="G146" s="1" t="s">
        <v>48</v>
      </c>
      <c r="H146" s="1" t="s">
        <v>38</v>
      </c>
      <c r="I146" s="1" t="s">
        <v>162</v>
      </c>
      <c r="J146" s="6" t="s">
        <v>51</v>
      </c>
      <c r="K146" s="46"/>
      <c r="L146" s="46"/>
      <c r="N146" s="3">
        <v>0.1</v>
      </c>
      <c r="O146" s="9">
        <v>600000</v>
      </c>
      <c r="P146" s="10"/>
      <c r="Q146" s="10">
        <f>+O146*N146</f>
        <v>60000</v>
      </c>
      <c r="R146" s="10"/>
      <c r="S146" s="10"/>
      <c r="T146" s="10">
        <f>+P146+Q146+R146+S146</f>
        <v>60000</v>
      </c>
      <c r="W146" s="4" t="s">
        <v>508</v>
      </c>
      <c r="AH146" s="60"/>
      <c r="AI146" s="60"/>
    </row>
    <row r="147" spans="1:16384" x14ac:dyDescent="0.35">
      <c r="A147" s="8" t="s">
        <v>200</v>
      </c>
      <c r="B147" s="1" t="s">
        <v>1</v>
      </c>
      <c r="F147" s="1" t="s">
        <v>80</v>
      </c>
      <c r="G147" s="1" t="s">
        <v>48</v>
      </c>
      <c r="H147" s="1" t="s">
        <v>46</v>
      </c>
      <c r="I147" s="1" t="s">
        <v>176</v>
      </c>
      <c r="J147" s="1" t="s">
        <v>51</v>
      </c>
      <c r="K147" s="6"/>
      <c r="L147" s="6"/>
      <c r="N147" s="3">
        <v>0.1</v>
      </c>
      <c r="O147" s="9">
        <v>250000</v>
      </c>
      <c r="P147" s="13"/>
      <c r="Q147" s="10">
        <f>+O147*N147</f>
        <v>25000</v>
      </c>
      <c r="R147" s="10"/>
      <c r="S147" s="10"/>
      <c r="T147" s="10">
        <f>+P147+Q147+R147+S147</f>
        <v>25000</v>
      </c>
      <c r="U147" s="10"/>
      <c r="W147" s="4" t="s">
        <v>471</v>
      </c>
      <c r="AH147" s="60"/>
      <c r="AI147" s="60"/>
    </row>
    <row r="148" spans="1:16384" x14ac:dyDescent="0.35">
      <c r="A148" s="8" t="s">
        <v>425</v>
      </c>
      <c r="B148" s="1" t="s">
        <v>1</v>
      </c>
      <c r="F148" s="1" t="s">
        <v>80</v>
      </c>
      <c r="G148" s="1" t="s">
        <v>48</v>
      </c>
      <c r="H148" s="1" t="s">
        <v>345</v>
      </c>
      <c r="I148" s="1" t="s">
        <v>10</v>
      </c>
      <c r="J148" s="6" t="s">
        <v>51</v>
      </c>
      <c r="K148" s="6"/>
      <c r="L148" s="6"/>
      <c r="M148" s="6"/>
      <c r="N148" s="3">
        <v>0.1</v>
      </c>
      <c r="O148" s="9">
        <v>100000</v>
      </c>
      <c r="P148" s="10"/>
      <c r="Q148" s="10">
        <f>+O148*N148</f>
        <v>10000</v>
      </c>
      <c r="R148" s="10"/>
      <c r="S148" s="10"/>
      <c r="T148" s="10">
        <f>+P148+Q148+R148+S148</f>
        <v>10000</v>
      </c>
      <c r="U148" s="10"/>
      <c r="W148" s="4" t="s">
        <v>473</v>
      </c>
      <c r="AB148" s="60"/>
      <c r="AC148" s="60"/>
      <c r="AD148" s="60"/>
      <c r="AE148" s="60"/>
      <c r="AF148" s="60"/>
      <c r="AG148" s="60"/>
    </row>
    <row r="149" spans="1:16384" x14ac:dyDescent="0.35">
      <c r="A149" s="8" t="s">
        <v>286</v>
      </c>
      <c r="B149" s="1" t="s">
        <v>1</v>
      </c>
      <c r="F149" s="1" t="s">
        <v>174</v>
      </c>
      <c r="G149" s="1" t="s">
        <v>48</v>
      </c>
      <c r="H149" s="1" t="s">
        <v>178</v>
      </c>
      <c r="I149" s="1" t="s">
        <v>9</v>
      </c>
      <c r="J149" s="1" t="s">
        <v>51</v>
      </c>
      <c r="K149" s="6"/>
      <c r="L149" s="6"/>
      <c r="N149" s="3">
        <v>0.1</v>
      </c>
      <c r="O149" s="9">
        <v>50000</v>
      </c>
      <c r="P149" s="13"/>
      <c r="Q149" s="10">
        <f>+O149*N149</f>
        <v>5000</v>
      </c>
      <c r="R149" s="10"/>
      <c r="S149" s="10"/>
      <c r="T149" s="10">
        <f>+P149+Q149+R149+S149</f>
        <v>5000</v>
      </c>
      <c r="U149" s="10"/>
      <c r="W149" s="4" t="s">
        <v>550</v>
      </c>
    </row>
    <row r="150" spans="1:16384" x14ac:dyDescent="0.35">
      <c r="A150" s="8" t="s">
        <v>132</v>
      </c>
      <c r="B150" s="1" t="s">
        <v>1</v>
      </c>
      <c r="F150" s="1" t="s">
        <v>77</v>
      </c>
      <c r="G150" s="1" t="s">
        <v>48</v>
      </c>
      <c r="H150" s="1" t="s">
        <v>71</v>
      </c>
      <c r="I150" s="1" t="s">
        <v>70</v>
      </c>
      <c r="J150" s="6" t="s">
        <v>51</v>
      </c>
      <c r="K150" s="6"/>
      <c r="L150" s="6"/>
      <c r="N150" s="3">
        <v>0.1</v>
      </c>
      <c r="O150" s="45">
        <v>30000</v>
      </c>
      <c r="P150" s="10"/>
      <c r="Q150" s="10">
        <f>+O150*N150</f>
        <v>3000</v>
      </c>
      <c r="R150" s="10"/>
      <c r="S150" s="10"/>
      <c r="T150" s="10">
        <f>+P150+Q150+R150+S150</f>
        <v>3000</v>
      </c>
      <c r="U150" s="10"/>
      <c r="W150" s="4" t="s">
        <v>465</v>
      </c>
    </row>
    <row r="151" spans="1:16384" x14ac:dyDescent="0.35">
      <c r="A151" s="8" t="s">
        <v>170</v>
      </c>
      <c r="B151" s="1" t="s">
        <v>1</v>
      </c>
      <c r="F151" s="1" t="s">
        <v>80</v>
      </c>
      <c r="G151" s="1" t="s">
        <v>48</v>
      </c>
      <c r="H151" s="1" t="s">
        <v>46</v>
      </c>
      <c r="I151" s="1" t="s">
        <v>10</v>
      </c>
      <c r="J151" s="1" t="s">
        <v>51</v>
      </c>
      <c r="K151" s="6"/>
      <c r="L151" s="6"/>
      <c r="N151" s="3">
        <v>0.1</v>
      </c>
      <c r="O151" s="9">
        <v>15000</v>
      </c>
      <c r="P151" s="13"/>
      <c r="Q151" s="10">
        <f>+O151*N151</f>
        <v>1500</v>
      </c>
      <c r="R151" s="10"/>
      <c r="S151" s="10"/>
      <c r="T151" s="10">
        <f>+P151+Q151+R151+S151</f>
        <v>1500</v>
      </c>
      <c r="U151" s="10"/>
      <c r="W151" s="4" t="s">
        <v>201</v>
      </c>
      <c r="Y151" s="41"/>
    </row>
    <row r="152" spans="1:16384" x14ac:dyDescent="0.35">
      <c r="A152" s="54" t="s">
        <v>168</v>
      </c>
      <c r="B152" s="103" t="s">
        <v>1</v>
      </c>
      <c r="C152" s="103"/>
      <c r="F152" s="1" t="s">
        <v>174</v>
      </c>
      <c r="G152" s="1" t="s">
        <v>48</v>
      </c>
      <c r="H152" s="1" t="s">
        <v>46</v>
      </c>
      <c r="I152" s="1" t="s">
        <v>10</v>
      </c>
      <c r="J152" s="1" t="s">
        <v>51</v>
      </c>
      <c r="K152" s="6"/>
      <c r="L152" s="6"/>
      <c r="N152" s="3">
        <v>0.1</v>
      </c>
      <c r="O152" s="9">
        <v>10000</v>
      </c>
      <c r="P152" s="13"/>
      <c r="Q152" s="10">
        <f>+O152*N152</f>
        <v>1000</v>
      </c>
      <c r="R152" s="10"/>
      <c r="S152" s="10"/>
      <c r="T152" s="10">
        <f>+P152+Q152+R152+S152</f>
        <v>1000</v>
      </c>
      <c r="U152" s="10"/>
      <c r="Y152" s="73"/>
      <c r="Z152" s="72"/>
    </row>
    <row r="153" spans="1:16384" x14ac:dyDescent="0.35">
      <c r="A153" s="8" t="s">
        <v>169</v>
      </c>
      <c r="B153" s="1" t="s">
        <v>1</v>
      </c>
      <c r="F153" s="1" t="s">
        <v>80</v>
      </c>
      <c r="G153" s="1" t="s">
        <v>48</v>
      </c>
      <c r="H153" s="1" t="s">
        <v>47</v>
      </c>
      <c r="I153" s="1" t="s">
        <v>175</v>
      </c>
      <c r="J153" s="6" t="s">
        <v>51</v>
      </c>
      <c r="K153" s="6"/>
      <c r="L153" s="6"/>
      <c r="N153" s="3">
        <v>0.1</v>
      </c>
      <c r="O153" s="9">
        <v>10000</v>
      </c>
      <c r="P153" s="13"/>
      <c r="Q153" s="10">
        <f>+O153*N153</f>
        <v>1000</v>
      </c>
      <c r="R153" s="10"/>
      <c r="S153" s="10"/>
      <c r="T153" s="10">
        <f>+P153+Q153+R153+S153</f>
        <v>1000</v>
      </c>
      <c r="U153" s="10"/>
      <c r="W153" s="4" t="s">
        <v>474</v>
      </c>
      <c r="Z153" s="41"/>
    </row>
    <row r="154" spans="1:16384" x14ac:dyDescent="0.35">
      <c r="A154" s="106" t="s">
        <v>63</v>
      </c>
      <c r="B154" s="107" t="s">
        <v>1</v>
      </c>
      <c r="C154" s="107"/>
      <c r="D154" s="106"/>
      <c r="E154" s="106"/>
      <c r="F154" s="107" t="s">
        <v>76</v>
      </c>
      <c r="G154" s="107" t="s">
        <v>48</v>
      </c>
      <c r="H154" s="108" t="s">
        <v>46</v>
      </c>
      <c r="I154" s="108" t="s">
        <v>10</v>
      </c>
      <c r="J154" s="108" t="s">
        <v>11</v>
      </c>
      <c r="K154" s="108" t="s">
        <v>25</v>
      </c>
      <c r="L154" s="109"/>
      <c r="M154" s="110" t="s">
        <v>10</v>
      </c>
      <c r="N154" s="109">
        <v>1</v>
      </c>
      <c r="O154" s="111">
        <v>440000</v>
      </c>
      <c r="P154" s="111"/>
      <c r="Q154" s="110">
        <f>+O154*N154</f>
        <v>440000</v>
      </c>
      <c r="R154" s="110"/>
      <c r="S154" s="112"/>
      <c r="T154" s="110">
        <f>+P154+Q154+R154+S154</f>
        <v>440000</v>
      </c>
      <c r="U154" s="110">
        <f>+T154*0.04</f>
        <v>17600</v>
      </c>
      <c r="V154" s="112"/>
      <c r="W154" s="112" t="s">
        <v>536</v>
      </c>
      <c r="X154" s="112"/>
      <c r="Y154" s="60"/>
      <c r="Z154" s="72"/>
    </row>
    <row r="155" spans="1:16384" x14ac:dyDescent="0.35">
      <c r="A155" s="106" t="s">
        <v>421</v>
      </c>
      <c r="B155" s="107" t="s">
        <v>1</v>
      </c>
      <c r="C155" s="107"/>
      <c r="D155" s="106"/>
      <c r="E155" s="106"/>
      <c r="F155" s="107" t="s">
        <v>88</v>
      </c>
      <c r="G155" s="107" t="s">
        <v>48</v>
      </c>
      <c r="H155" s="108" t="s">
        <v>46</v>
      </c>
      <c r="I155" s="108" t="s">
        <v>10</v>
      </c>
      <c r="J155" s="108" t="s">
        <v>11</v>
      </c>
      <c r="K155" s="108"/>
      <c r="L155" s="109"/>
      <c r="M155" s="110"/>
      <c r="N155" s="109">
        <v>1</v>
      </c>
      <c r="O155" s="111">
        <f>44997.85+2677.85+2455</f>
        <v>50130.7</v>
      </c>
      <c r="P155" s="111">
        <v>40000</v>
      </c>
      <c r="Q155" s="110">
        <v>10130.700000000001</v>
      </c>
      <c r="R155" s="110"/>
      <c r="S155" s="112"/>
      <c r="T155" s="110">
        <f>+P155+Q155+R155+S155</f>
        <v>50130.7</v>
      </c>
      <c r="U155" s="112"/>
      <c r="V155" s="112"/>
      <c r="W155" s="112" t="s">
        <v>422</v>
      </c>
      <c r="X155" s="112"/>
      <c r="Z155" s="67"/>
      <c r="AA155" s="41"/>
      <c r="AH155" s="41"/>
      <c r="AI155" s="41"/>
    </row>
    <row r="156" spans="1:16384" x14ac:dyDescent="0.35">
      <c r="A156" s="106" t="s">
        <v>275</v>
      </c>
      <c r="B156" s="107" t="s">
        <v>1</v>
      </c>
      <c r="C156" s="107"/>
      <c r="D156" s="106"/>
      <c r="E156" s="106"/>
      <c r="F156" s="107" t="s">
        <v>73</v>
      </c>
      <c r="G156" s="107" t="s">
        <v>48</v>
      </c>
      <c r="H156" s="108" t="s">
        <v>38</v>
      </c>
      <c r="I156" s="108" t="s">
        <v>9</v>
      </c>
      <c r="J156" s="108" t="s">
        <v>11</v>
      </c>
      <c r="K156" s="108"/>
      <c r="L156" s="109"/>
      <c r="M156" s="110"/>
      <c r="N156" s="109">
        <v>1</v>
      </c>
      <c r="O156" s="111">
        <v>31000</v>
      </c>
      <c r="P156" s="111"/>
      <c r="Q156" s="110">
        <f>+O156*N156</f>
        <v>31000</v>
      </c>
      <c r="R156" s="110"/>
      <c r="S156" s="112"/>
      <c r="T156" s="110">
        <f>+P156+Q156+R156+S156</f>
        <v>31000</v>
      </c>
      <c r="U156" s="112"/>
      <c r="V156" s="112"/>
      <c r="W156" s="112" t="s">
        <v>386</v>
      </c>
      <c r="X156" s="112"/>
      <c r="Z156" s="41"/>
      <c r="AH156" s="41"/>
      <c r="AI156" s="41"/>
      <c r="AJ156" s="41"/>
      <c r="AK156" s="41"/>
      <c r="AL156" s="41"/>
      <c r="AM156" s="41"/>
      <c r="AN156" s="41"/>
      <c r="AO156" s="41"/>
    </row>
    <row r="157" spans="1:16384" s="41" customFormat="1" x14ac:dyDescent="0.35">
      <c r="A157" s="106" t="s">
        <v>274</v>
      </c>
      <c r="B157" s="107" t="s">
        <v>1</v>
      </c>
      <c r="C157" s="107"/>
      <c r="D157" s="106"/>
      <c r="E157" s="106"/>
      <c r="F157" s="107" t="s">
        <v>73</v>
      </c>
      <c r="G157" s="107" t="s">
        <v>48</v>
      </c>
      <c r="H157" s="108" t="s">
        <v>46</v>
      </c>
      <c r="I157" s="108" t="s">
        <v>10</v>
      </c>
      <c r="J157" s="108" t="s">
        <v>11</v>
      </c>
      <c r="K157" s="108"/>
      <c r="L157" s="109"/>
      <c r="M157" s="110"/>
      <c r="N157" s="109">
        <v>1</v>
      </c>
      <c r="O157" s="111">
        <v>11500</v>
      </c>
      <c r="P157" s="111"/>
      <c r="Q157" s="110">
        <f>+O157*N157</f>
        <v>11500</v>
      </c>
      <c r="R157" s="110"/>
      <c r="S157" s="112"/>
      <c r="T157" s="110">
        <f>+P157+Q157+R157+S157</f>
        <v>11500</v>
      </c>
      <c r="U157" s="112"/>
      <c r="V157" s="112"/>
      <c r="W157" s="112" t="s">
        <v>385</v>
      </c>
      <c r="X157" s="112"/>
      <c r="Y157" s="4"/>
      <c r="Z157" s="67"/>
      <c r="AA157" s="4"/>
      <c r="AH157" s="4"/>
      <c r="AI157" s="4"/>
    </row>
    <row r="158" spans="1:16384" s="41" customFormat="1" x14ac:dyDescent="0.35">
      <c r="A158" s="8" t="s">
        <v>329</v>
      </c>
      <c r="B158" s="1" t="s">
        <v>2</v>
      </c>
      <c r="C158" s="1"/>
      <c r="D158" s="8"/>
      <c r="E158" s="8"/>
      <c r="F158" s="1" t="s">
        <v>76</v>
      </c>
      <c r="G158" s="1" t="s">
        <v>48</v>
      </c>
      <c r="H158" s="1" t="s">
        <v>47</v>
      </c>
      <c r="I158" s="1" t="s">
        <v>21</v>
      </c>
      <c r="J158" s="6" t="s">
        <v>50</v>
      </c>
      <c r="K158" s="46" t="s">
        <v>26</v>
      </c>
      <c r="L158" s="46"/>
      <c r="M158" s="4"/>
      <c r="N158" s="3">
        <v>0.25</v>
      </c>
      <c r="O158" s="9">
        <v>45000</v>
      </c>
      <c r="P158" s="10"/>
      <c r="Q158" s="10"/>
      <c r="R158" s="10">
        <f>+O158*N158</f>
        <v>11250</v>
      </c>
      <c r="S158" s="10"/>
      <c r="T158" s="10">
        <f>+P158+Q158+R158+S158</f>
        <v>11250</v>
      </c>
      <c r="U158" s="10"/>
      <c r="V158" s="4"/>
      <c r="W158" s="4" t="s">
        <v>407</v>
      </c>
      <c r="X158" s="4"/>
      <c r="Y158" s="4"/>
      <c r="Z158" s="4"/>
      <c r="AH158" s="4"/>
      <c r="AI158" s="4"/>
      <c r="AJ158" s="4"/>
      <c r="AK158" s="4"/>
      <c r="AL158" s="4"/>
      <c r="AM158" s="4"/>
      <c r="AN158" s="4"/>
      <c r="AO158" s="4"/>
    </row>
    <row r="159" spans="1:16384" s="41" customFormat="1" x14ac:dyDescent="0.35">
      <c r="A159" s="8" t="s">
        <v>257</v>
      </c>
      <c r="B159" s="1" t="s">
        <v>2</v>
      </c>
      <c r="C159" s="1"/>
      <c r="D159" s="8"/>
      <c r="E159" s="8"/>
      <c r="F159" s="1" t="s">
        <v>75</v>
      </c>
      <c r="G159" s="1" t="s">
        <v>48</v>
      </c>
      <c r="H159" s="1" t="s">
        <v>46</v>
      </c>
      <c r="I159" s="1" t="s">
        <v>10</v>
      </c>
      <c r="J159" s="6" t="s">
        <v>50</v>
      </c>
      <c r="K159" s="6"/>
      <c r="L159" s="6"/>
      <c r="M159" s="4"/>
      <c r="N159" s="3">
        <v>0.1</v>
      </c>
      <c r="O159" s="9">
        <v>50000</v>
      </c>
      <c r="P159" s="10"/>
      <c r="Q159" s="10"/>
      <c r="R159" s="10">
        <f>+O159*N159</f>
        <v>5000</v>
      </c>
      <c r="S159" s="10"/>
      <c r="T159" s="10">
        <f>+P159+Q159+R159+S159</f>
        <v>5000</v>
      </c>
      <c r="U159" s="10"/>
      <c r="V159" s="4"/>
      <c r="W159" s="4" t="s">
        <v>258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16384" s="41" customFormat="1" x14ac:dyDescent="0.35">
      <c r="A160" s="54" t="s">
        <v>232</v>
      </c>
      <c r="B160" s="1" t="s">
        <v>2</v>
      </c>
      <c r="C160" s="1"/>
      <c r="D160" s="54"/>
      <c r="E160" s="54"/>
      <c r="F160" s="1" t="s">
        <v>77</v>
      </c>
      <c r="G160" s="1" t="s">
        <v>48</v>
      </c>
      <c r="H160" s="1" t="s">
        <v>46</v>
      </c>
      <c r="I160" s="1" t="s">
        <v>10</v>
      </c>
      <c r="J160" s="6" t="s">
        <v>50</v>
      </c>
      <c r="K160" s="46"/>
      <c r="L160" s="46"/>
      <c r="M160" s="72"/>
      <c r="N160" s="3">
        <v>0.1</v>
      </c>
      <c r="O160" s="45">
        <v>40000</v>
      </c>
      <c r="P160" s="10"/>
      <c r="Q160" s="10"/>
      <c r="R160" s="10">
        <f>+O160*N160</f>
        <v>4000</v>
      </c>
      <c r="S160" s="10"/>
      <c r="T160" s="10">
        <f>+P160+Q160+R160+S160</f>
        <v>4000</v>
      </c>
      <c r="U160" s="20"/>
      <c r="V160" s="60"/>
      <c r="W160" s="72" t="s">
        <v>323</v>
      </c>
      <c r="X160" s="72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16384" s="41" customFormat="1" x14ac:dyDescent="0.35">
      <c r="A161" s="8" t="s">
        <v>331</v>
      </c>
      <c r="B161" s="1" t="s">
        <v>2</v>
      </c>
      <c r="C161" s="1"/>
      <c r="D161" s="8"/>
      <c r="E161" s="8"/>
      <c r="F161" s="1" t="s">
        <v>76</v>
      </c>
      <c r="G161" s="1" t="s">
        <v>48</v>
      </c>
      <c r="H161" s="1" t="s">
        <v>38</v>
      </c>
      <c r="I161" s="1" t="s">
        <v>9</v>
      </c>
      <c r="J161" s="6" t="s">
        <v>50</v>
      </c>
      <c r="K161" s="6"/>
      <c r="L161" s="6"/>
      <c r="M161" s="4"/>
      <c r="N161" s="3">
        <v>0.1</v>
      </c>
      <c r="O161" s="45">
        <v>10000</v>
      </c>
      <c r="P161" s="10"/>
      <c r="Q161" s="10"/>
      <c r="R161" s="10">
        <f>+O161*N161</f>
        <v>1000</v>
      </c>
      <c r="S161" s="10"/>
      <c r="T161" s="10">
        <f>+P161+Q161+R161+S161</f>
        <v>1000</v>
      </c>
      <c r="U161" s="10"/>
      <c r="V161" s="4"/>
      <c r="W161" s="4" t="s">
        <v>553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  <c r="ADQ161" s="4"/>
      <c r="ADR161" s="4"/>
      <c r="ADS161" s="4"/>
      <c r="ADT161" s="4"/>
      <c r="ADU161" s="4"/>
      <c r="ADV161" s="4"/>
      <c r="ADW161" s="4"/>
      <c r="ADX161" s="4"/>
      <c r="ADY161" s="4"/>
      <c r="ADZ161" s="4"/>
      <c r="AEA161" s="4"/>
      <c r="AEB161" s="4"/>
      <c r="AEC161" s="4"/>
      <c r="AED161" s="4"/>
      <c r="AEE161" s="4"/>
      <c r="AEF161" s="4"/>
      <c r="AEG161" s="4"/>
      <c r="AEH161" s="4"/>
      <c r="AEI161" s="4"/>
      <c r="AEJ161" s="4"/>
      <c r="AEK161" s="4"/>
      <c r="AEL161" s="4"/>
      <c r="AEM161" s="4"/>
      <c r="AEN161" s="4"/>
      <c r="AEO161" s="4"/>
      <c r="AEP161" s="4"/>
      <c r="AEQ161" s="4"/>
      <c r="AER161" s="4"/>
      <c r="AES161" s="4"/>
      <c r="AET161" s="4"/>
      <c r="AEU161" s="4"/>
      <c r="AEV161" s="4"/>
      <c r="AEW161" s="4"/>
      <c r="AEX161" s="4"/>
      <c r="AEY161" s="4"/>
      <c r="AEZ161" s="4"/>
      <c r="AFA161" s="4"/>
      <c r="AFB161" s="4"/>
      <c r="AFC161" s="4"/>
      <c r="AFD161" s="4"/>
      <c r="AFE161" s="4"/>
      <c r="AFF161" s="4"/>
      <c r="AFG161" s="4"/>
      <c r="AFH161" s="4"/>
      <c r="AFI161" s="4"/>
      <c r="AFJ161" s="4"/>
      <c r="AFK161" s="4"/>
      <c r="AFL161" s="4"/>
      <c r="AFM161" s="4"/>
      <c r="AFN161" s="4"/>
      <c r="AFO161" s="4"/>
      <c r="AFP161" s="4"/>
      <c r="AFQ161" s="4"/>
      <c r="AFR161" s="4"/>
      <c r="AFS161" s="4"/>
      <c r="AFT161" s="4"/>
      <c r="AFU161" s="4"/>
      <c r="AFV161" s="4"/>
      <c r="AFW161" s="4"/>
      <c r="AFX161" s="4"/>
      <c r="AFY161" s="4"/>
      <c r="AFZ161" s="4"/>
      <c r="AGA161" s="4"/>
      <c r="AGB161" s="4"/>
      <c r="AGC161" s="4"/>
      <c r="AGD161" s="4"/>
      <c r="AGE161" s="4"/>
      <c r="AGF161" s="4"/>
      <c r="AGG161" s="4"/>
      <c r="AGH161" s="4"/>
      <c r="AGI161" s="4"/>
      <c r="AGJ161" s="4"/>
      <c r="AGK161" s="4"/>
      <c r="AGL161" s="4"/>
      <c r="AGM161" s="4"/>
      <c r="AGN161" s="4"/>
      <c r="AGO161" s="4"/>
      <c r="AGP161" s="4"/>
      <c r="AGQ161" s="4"/>
      <c r="AGR161" s="4"/>
      <c r="AGS161" s="4"/>
      <c r="AGT161" s="4"/>
      <c r="AGU161" s="4"/>
      <c r="AGV161" s="4"/>
      <c r="AGW161" s="4"/>
      <c r="AGX161" s="4"/>
      <c r="AGY161" s="4"/>
      <c r="AGZ161" s="4"/>
      <c r="AHA161" s="4"/>
      <c r="AHB161" s="4"/>
      <c r="AHC161" s="4"/>
      <c r="AHD161" s="4"/>
      <c r="AHE161" s="4"/>
      <c r="AHF161" s="4"/>
      <c r="AHG161" s="4"/>
      <c r="AHH161" s="4"/>
      <c r="AHI161" s="4"/>
      <c r="AHJ161" s="4"/>
      <c r="AHK161" s="4"/>
      <c r="AHL161" s="4"/>
      <c r="AHM161" s="4"/>
      <c r="AHN161" s="4"/>
      <c r="AHO161" s="4"/>
      <c r="AHP161" s="4"/>
      <c r="AHQ161" s="4"/>
      <c r="AHR161" s="4"/>
      <c r="AHS161" s="4"/>
      <c r="AHT161" s="4"/>
      <c r="AHU161" s="4"/>
      <c r="AHV161" s="4"/>
      <c r="AHW161" s="4"/>
      <c r="AHX161" s="4"/>
      <c r="AHY161" s="4"/>
      <c r="AHZ161" s="4"/>
      <c r="AIA161" s="4"/>
      <c r="AIB161" s="4"/>
      <c r="AIC161" s="4"/>
      <c r="AID161" s="4"/>
      <c r="AIE161" s="4"/>
      <c r="AIF161" s="4"/>
      <c r="AIG161" s="4"/>
      <c r="AIH161" s="4"/>
      <c r="AII161" s="4"/>
      <c r="AIJ161" s="4"/>
      <c r="AIK161" s="4"/>
      <c r="AIL161" s="4"/>
      <c r="AIM161" s="4"/>
      <c r="AIN161" s="4"/>
      <c r="AIO161" s="4"/>
      <c r="AIP161" s="4"/>
      <c r="AIQ161" s="4"/>
      <c r="AIR161" s="4"/>
      <c r="AIS161" s="4"/>
      <c r="AIT161" s="4"/>
      <c r="AIU161" s="4"/>
      <c r="AIV161" s="4"/>
      <c r="AIW161" s="4"/>
      <c r="AIX161" s="4"/>
      <c r="AIY161" s="4"/>
      <c r="AIZ161" s="4"/>
      <c r="AJA161" s="4"/>
      <c r="AJB161" s="4"/>
      <c r="AJC161" s="4"/>
      <c r="AJD161" s="4"/>
      <c r="AJE161" s="4"/>
      <c r="AJF161" s="4"/>
      <c r="AJG161" s="4"/>
      <c r="AJH161" s="4"/>
      <c r="AJI161" s="4"/>
      <c r="AJJ161" s="4"/>
      <c r="AJK161" s="4"/>
      <c r="AJL161" s="4"/>
      <c r="AJM161" s="4"/>
      <c r="AJN161" s="4"/>
      <c r="AJO161" s="4"/>
      <c r="AJP161" s="4"/>
      <c r="AJQ161" s="4"/>
      <c r="AJR161" s="4"/>
      <c r="AJS161" s="4"/>
      <c r="AJT161" s="4"/>
      <c r="AJU161" s="4"/>
      <c r="AJV161" s="4"/>
      <c r="AJW161" s="4"/>
      <c r="AJX161" s="4"/>
      <c r="AJY161" s="4"/>
      <c r="AJZ161" s="4"/>
      <c r="AKA161" s="4"/>
      <c r="AKB161" s="4"/>
      <c r="AKC161" s="4"/>
      <c r="AKD161" s="4"/>
      <c r="AKE161" s="4"/>
      <c r="AKF161" s="4"/>
      <c r="AKG161" s="4"/>
      <c r="AKH161" s="4"/>
      <c r="AKI161" s="4"/>
      <c r="AKJ161" s="4"/>
      <c r="AKK161" s="4"/>
      <c r="AKL161" s="4"/>
      <c r="AKM161" s="4"/>
      <c r="AKN161" s="4"/>
      <c r="AKO161" s="4"/>
      <c r="AKP161" s="4"/>
      <c r="AKQ161" s="4"/>
      <c r="AKR161" s="4"/>
      <c r="AKS161" s="4"/>
      <c r="AKT161" s="4"/>
      <c r="AKU161" s="4"/>
      <c r="AKV161" s="4"/>
      <c r="AKW161" s="4"/>
      <c r="AKX161" s="4"/>
      <c r="AKY161" s="4"/>
      <c r="AKZ161" s="4"/>
      <c r="ALA161" s="4"/>
      <c r="ALB161" s="4"/>
      <c r="ALC161" s="4"/>
      <c r="ALD161" s="4"/>
      <c r="ALE161" s="4"/>
      <c r="ALF161" s="4"/>
      <c r="ALG161" s="4"/>
      <c r="ALH161" s="4"/>
      <c r="ALI161" s="4"/>
      <c r="ALJ161" s="4"/>
      <c r="ALK161" s="4"/>
      <c r="ALL161" s="4"/>
      <c r="ALM161" s="4"/>
      <c r="ALN161" s="4"/>
      <c r="ALO161" s="4"/>
      <c r="ALP161" s="4"/>
      <c r="ALQ161" s="4"/>
      <c r="ALR161" s="4"/>
      <c r="ALS161" s="4"/>
      <c r="ALT161" s="4"/>
      <c r="ALU161" s="4"/>
      <c r="ALV161" s="4"/>
      <c r="ALW161" s="4"/>
      <c r="ALX161" s="4"/>
      <c r="ALY161" s="4"/>
      <c r="ALZ161" s="4"/>
      <c r="AMA161" s="4"/>
      <c r="AMB161" s="4"/>
      <c r="AMC161" s="4"/>
      <c r="AMD161" s="4"/>
      <c r="AME161" s="4"/>
      <c r="AMF161" s="4"/>
      <c r="AMG161" s="4"/>
      <c r="AMH161" s="4"/>
      <c r="AMI161" s="4"/>
      <c r="AMJ161" s="4"/>
      <c r="AMK161" s="4"/>
      <c r="AML161" s="4"/>
      <c r="AMM161" s="4"/>
      <c r="AMN161" s="4"/>
      <c r="AMO161" s="4"/>
      <c r="AMP161" s="4"/>
      <c r="AMQ161" s="4"/>
      <c r="AMR161" s="4"/>
      <c r="AMS161" s="4"/>
      <c r="AMT161" s="4"/>
      <c r="AMU161" s="4"/>
      <c r="AMV161" s="4"/>
      <c r="AMW161" s="4"/>
      <c r="AMX161" s="4"/>
      <c r="AMY161" s="4"/>
      <c r="AMZ161" s="4"/>
      <c r="ANA161" s="4"/>
      <c r="ANB161" s="4"/>
      <c r="ANC161" s="4"/>
      <c r="AND161" s="4"/>
      <c r="ANE161" s="4"/>
      <c r="ANF161" s="4"/>
      <c r="ANG161" s="4"/>
      <c r="ANH161" s="4"/>
      <c r="ANI161" s="4"/>
      <c r="ANJ161" s="4"/>
      <c r="ANK161" s="4"/>
      <c r="ANL161" s="4"/>
      <c r="ANM161" s="4"/>
      <c r="ANN161" s="4"/>
      <c r="ANO161" s="4"/>
      <c r="ANP161" s="4"/>
      <c r="ANQ161" s="4"/>
      <c r="ANR161" s="4"/>
      <c r="ANS161" s="4"/>
      <c r="ANT161" s="4"/>
      <c r="ANU161" s="4"/>
      <c r="ANV161" s="4"/>
      <c r="ANW161" s="4"/>
      <c r="ANX161" s="4"/>
      <c r="ANY161" s="4"/>
      <c r="ANZ161" s="4"/>
      <c r="AOA161" s="4"/>
      <c r="AOB161" s="4"/>
      <c r="AOC161" s="4"/>
      <c r="AOD161" s="4"/>
      <c r="AOE161" s="4"/>
      <c r="AOF161" s="4"/>
      <c r="AOG161" s="4"/>
      <c r="AOH161" s="4"/>
      <c r="AOI161" s="4"/>
      <c r="AOJ161" s="4"/>
      <c r="AOK161" s="4"/>
      <c r="AOL161" s="4"/>
      <c r="AOM161" s="4"/>
      <c r="AON161" s="4"/>
      <c r="AOO161" s="4"/>
      <c r="AOP161" s="4"/>
      <c r="AOQ161" s="4"/>
      <c r="AOR161" s="4"/>
      <c r="AOS161" s="4"/>
      <c r="AOT161" s="4"/>
      <c r="AOU161" s="4"/>
      <c r="AOV161" s="4"/>
      <c r="AOW161" s="4"/>
      <c r="AOX161" s="4"/>
      <c r="AOY161" s="4"/>
      <c r="AOZ161" s="4"/>
      <c r="APA161" s="4"/>
      <c r="APB161" s="4"/>
      <c r="APC161" s="4"/>
      <c r="APD161" s="4"/>
      <c r="APE161" s="4"/>
      <c r="APF161" s="4"/>
      <c r="APG161" s="4"/>
      <c r="APH161" s="4"/>
      <c r="API161" s="4"/>
      <c r="APJ161" s="4"/>
      <c r="APK161" s="4"/>
      <c r="APL161" s="4"/>
      <c r="APM161" s="4"/>
      <c r="APN161" s="4"/>
      <c r="APO161" s="4"/>
      <c r="APP161" s="4"/>
      <c r="APQ161" s="4"/>
      <c r="APR161" s="4"/>
      <c r="APS161" s="4"/>
      <c r="APT161" s="4"/>
      <c r="APU161" s="4"/>
      <c r="APV161" s="4"/>
      <c r="APW161" s="4"/>
      <c r="APX161" s="4"/>
      <c r="APY161" s="4"/>
      <c r="APZ161" s="4"/>
      <c r="AQA161" s="4"/>
      <c r="AQB161" s="4"/>
      <c r="AQC161" s="4"/>
      <c r="AQD161" s="4"/>
      <c r="AQE161" s="4"/>
      <c r="AQF161" s="4"/>
      <c r="AQG161" s="4"/>
      <c r="AQH161" s="4"/>
      <c r="AQI161" s="4"/>
      <c r="AQJ161" s="4"/>
      <c r="AQK161" s="4"/>
      <c r="AQL161" s="4"/>
      <c r="AQM161" s="4"/>
      <c r="AQN161" s="4"/>
      <c r="AQO161" s="4"/>
      <c r="AQP161" s="4"/>
      <c r="AQQ161" s="4"/>
      <c r="AQR161" s="4"/>
      <c r="AQS161" s="4"/>
      <c r="AQT161" s="4"/>
      <c r="AQU161" s="4"/>
      <c r="AQV161" s="4"/>
      <c r="AQW161" s="4"/>
      <c r="AQX161" s="4"/>
      <c r="AQY161" s="4"/>
      <c r="AQZ161" s="4"/>
      <c r="ARA161" s="4"/>
      <c r="ARB161" s="4"/>
      <c r="ARC161" s="4"/>
      <c r="ARD161" s="4"/>
      <c r="ARE161" s="4"/>
      <c r="ARF161" s="4"/>
      <c r="ARG161" s="4"/>
      <c r="ARH161" s="4"/>
      <c r="ARI161" s="4"/>
      <c r="ARJ161" s="4"/>
      <c r="ARK161" s="4"/>
      <c r="ARL161" s="4"/>
      <c r="ARM161" s="4"/>
      <c r="ARN161" s="4"/>
      <c r="ARO161" s="4"/>
      <c r="ARP161" s="4"/>
      <c r="ARQ161" s="4"/>
      <c r="ARR161" s="4"/>
      <c r="ARS161" s="4"/>
      <c r="ART161" s="4"/>
      <c r="ARU161" s="4"/>
      <c r="ARV161" s="4"/>
      <c r="ARW161" s="4"/>
      <c r="ARX161" s="4"/>
      <c r="ARY161" s="4"/>
      <c r="ARZ161" s="4"/>
      <c r="ASA161" s="4"/>
      <c r="ASB161" s="4"/>
      <c r="ASC161" s="4"/>
      <c r="ASD161" s="4"/>
      <c r="ASE161" s="4"/>
      <c r="ASF161" s="4"/>
      <c r="ASG161" s="4"/>
      <c r="ASH161" s="4"/>
      <c r="ASI161" s="4"/>
      <c r="ASJ161" s="4"/>
      <c r="ASK161" s="4"/>
      <c r="ASL161" s="4"/>
      <c r="ASM161" s="4"/>
      <c r="ASN161" s="4"/>
      <c r="ASO161" s="4"/>
      <c r="ASP161" s="4"/>
      <c r="ASQ161" s="4"/>
      <c r="ASR161" s="4"/>
      <c r="ASS161" s="4"/>
      <c r="AST161" s="4"/>
      <c r="ASU161" s="4"/>
      <c r="ASV161" s="4"/>
      <c r="ASW161" s="4"/>
      <c r="ASX161" s="4"/>
      <c r="ASY161" s="4"/>
      <c r="ASZ161" s="4"/>
      <c r="ATA161" s="4"/>
      <c r="ATB161" s="4"/>
      <c r="ATC161" s="4"/>
      <c r="ATD161" s="4"/>
      <c r="ATE161" s="4"/>
      <c r="ATF161" s="4"/>
      <c r="ATG161" s="4"/>
      <c r="ATH161" s="4"/>
      <c r="ATI161" s="4"/>
      <c r="ATJ161" s="4"/>
      <c r="ATK161" s="4"/>
      <c r="ATL161" s="4"/>
      <c r="ATM161" s="4"/>
      <c r="ATN161" s="4"/>
      <c r="ATO161" s="4"/>
      <c r="ATP161" s="4"/>
      <c r="ATQ161" s="4"/>
      <c r="ATR161" s="4"/>
      <c r="ATS161" s="4"/>
      <c r="ATT161" s="4"/>
      <c r="ATU161" s="4"/>
      <c r="ATV161" s="4"/>
      <c r="ATW161" s="4"/>
      <c r="ATX161" s="4"/>
      <c r="ATY161" s="4"/>
      <c r="ATZ161" s="4"/>
      <c r="AUA161" s="4"/>
      <c r="AUB161" s="4"/>
      <c r="AUC161" s="4"/>
      <c r="AUD161" s="4"/>
      <c r="AUE161" s="4"/>
      <c r="AUF161" s="4"/>
      <c r="AUG161" s="4"/>
      <c r="AUH161" s="4"/>
      <c r="AUI161" s="4"/>
      <c r="AUJ161" s="4"/>
      <c r="AUK161" s="4"/>
      <c r="AUL161" s="4"/>
      <c r="AUM161" s="4"/>
      <c r="AUN161" s="4"/>
      <c r="AUO161" s="4"/>
      <c r="AUP161" s="4"/>
      <c r="AUQ161" s="4"/>
      <c r="AUR161" s="4"/>
      <c r="AUS161" s="4"/>
      <c r="AUT161" s="4"/>
      <c r="AUU161" s="4"/>
      <c r="AUV161" s="4"/>
      <c r="AUW161" s="4"/>
      <c r="AUX161" s="4"/>
      <c r="AUY161" s="4"/>
      <c r="AUZ161" s="4"/>
      <c r="AVA161" s="4"/>
      <c r="AVB161" s="4"/>
      <c r="AVC161" s="4"/>
      <c r="AVD161" s="4"/>
      <c r="AVE161" s="4"/>
      <c r="AVF161" s="4"/>
      <c r="AVG161" s="4"/>
      <c r="AVH161" s="4"/>
      <c r="AVI161" s="4"/>
      <c r="AVJ161" s="4"/>
      <c r="AVK161" s="4"/>
      <c r="AVL161" s="4"/>
      <c r="AVM161" s="4"/>
      <c r="AVN161" s="4"/>
      <c r="AVO161" s="4"/>
      <c r="AVP161" s="4"/>
      <c r="AVQ161" s="4"/>
      <c r="AVR161" s="4"/>
      <c r="AVS161" s="4"/>
      <c r="AVT161" s="4"/>
      <c r="AVU161" s="4"/>
      <c r="AVV161" s="4"/>
      <c r="AVW161" s="4"/>
      <c r="AVX161" s="4"/>
      <c r="AVY161" s="4"/>
      <c r="AVZ161" s="4"/>
      <c r="AWA161" s="4"/>
      <c r="AWB161" s="4"/>
      <c r="AWC161" s="4"/>
      <c r="AWD161" s="4"/>
      <c r="AWE161" s="4"/>
      <c r="AWF161" s="4"/>
      <c r="AWG161" s="4"/>
      <c r="AWH161" s="4"/>
      <c r="AWI161" s="4"/>
      <c r="AWJ161" s="4"/>
      <c r="AWK161" s="4"/>
      <c r="AWL161" s="4"/>
      <c r="AWM161" s="4"/>
      <c r="AWN161" s="4"/>
      <c r="AWO161" s="4"/>
      <c r="AWP161" s="4"/>
      <c r="AWQ161" s="4"/>
      <c r="AWR161" s="4"/>
      <c r="AWS161" s="4"/>
      <c r="AWT161" s="4"/>
      <c r="AWU161" s="4"/>
      <c r="AWV161" s="4"/>
      <c r="AWW161" s="4"/>
      <c r="AWX161" s="4"/>
      <c r="AWY161" s="4"/>
      <c r="AWZ161" s="4"/>
      <c r="AXA161" s="4"/>
      <c r="AXB161" s="4"/>
      <c r="AXC161" s="4"/>
      <c r="AXD161" s="4"/>
      <c r="AXE161" s="4"/>
      <c r="AXF161" s="4"/>
      <c r="AXG161" s="4"/>
      <c r="AXH161" s="4"/>
      <c r="AXI161" s="4"/>
      <c r="AXJ161" s="4"/>
      <c r="AXK161" s="4"/>
      <c r="AXL161" s="4"/>
      <c r="AXM161" s="4"/>
      <c r="AXN161" s="4"/>
      <c r="AXO161" s="4"/>
      <c r="AXP161" s="4"/>
      <c r="AXQ161" s="4"/>
      <c r="AXR161" s="4"/>
      <c r="AXS161" s="4"/>
      <c r="AXT161" s="4"/>
      <c r="AXU161" s="4"/>
      <c r="AXV161" s="4"/>
      <c r="AXW161" s="4"/>
      <c r="AXX161" s="4"/>
      <c r="AXY161" s="4"/>
      <c r="AXZ161" s="4"/>
      <c r="AYA161" s="4"/>
      <c r="AYB161" s="4"/>
      <c r="AYC161" s="4"/>
      <c r="AYD161" s="4"/>
      <c r="AYE161" s="4"/>
      <c r="AYF161" s="4"/>
      <c r="AYG161" s="4"/>
      <c r="AYH161" s="4"/>
      <c r="AYI161" s="4"/>
      <c r="AYJ161" s="4"/>
      <c r="AYK161" s="4"/>
      <c r="AYL161" s="4"/>
      <c r="AYM161" s="4"/>
      <c r="AYN161" s="4"/>
      <c r="AYO161" s="4"/>
      <c r="AYP161" s="4"/>
      <c r="AYQ161" s="4"/>
      <c r="AYR161" s="4"/>
      <c r="AYS161" s="4"/>
      <c r="AYT161" s="4"/>
      <c r="AYU161" s="4"/>
      <c r="AYV161" s="4"/>
      <c r="AYW161" s="4"/>
      <c r="AYX161" s="4"/>
      <c r="AYY161" s="4"/>
      <c r="AYZ161" s="4"/>
      <c r="AZA161" s="4"/>
      <c r="AZB161" s="4"/>
      <c r="AZC161" s="4"/>
      <c r="AZD161" s="4"/>
      <c r="AZE161" s="4"/>
      <c r="AZF161" s="4"/>
      <c r="AZG161" s="4"/>
      <c r="AZH161" s="4"/>
      <c r="AZI161" s="4"/>
      <c r="AZJ161" s="4"/>
      <c r="AZK161" s="4"/>
      <c r="AZL161" s="4"/>
      <c r="AZM161" s="4"/>
      <c r="AZN161" s="4"/>
      <c r="AZO161" s="4"/>
      <c r="AZP161" s="4"/>
      <c r="AZQ161" s="4"/>
      <c r="AZR161" s="4"/>
      <c r="AZS161" s="4"/>
      <c r="AZT161" s="4"/>
      <c r="AZU161" s="4"/>
      <c r="AZV161" s="4"/>
      <c r="AZW161" s="4"/>
      <c r="AZX161" s="4"/>
      <c r="AZY161" s="4"/>
      <c r="AZZ161" s="4"/>
      <c r="BAA161" s="4"/>
      <c r="BAB161" s="4"/>
      <c r="BAC161" s="4"/>
      <c r="BAD161" s="4"/>
      <c r="BAE161" s="4"/>
      <c r="BAF161" s="4"/>
      <c r="BAG161" s="4"/>
      <c r="BAH161" s="4"/>
      <c r="BAI161" s="4"/>
      <c r="BAJ161" s="4"/>
      <c r="BAK161" s="4"/>
      <c r="BAL161" s="4"/>
      <c r="BAM161" s="4"/>
      <c r="BAN161" s="4"/>
      <c r="BAO161" s="4"/>
      <c r="BAP161" s="4"/>
      <c r="BAQ161" s="4"/>
      <c r="BAR161" s="4"/>
      <c r="BAS161" s="4"/>
      <c r="BAT161" s="4"/>
      <c r="BAU161" s="4"/>
      <c r="BAV161" s="4"/>
      <c r="BAW161" s="4"/>
      <c r="BAX161" s="4"/>
      <c r="BAY161" s="4"/>
      <c r="BAZ161" s="4"/>
      <c r="BBA161" s="4"/>
      <c r="BBB161" s="4"/>
      <c r="BBC161" s="4"/>
      <c r="BBD161" s="4"/>
      <c r="BBE161" s="4"/>
      <c r="BBF161" s="4"/>
      <c r="BBG161" s="4"/>
      <c r="BBH161" s="4"/>
      <c r="BBI161" s="4"/>
      <c r="BBJ161" s="4"/>
      <c r="BBK161" s="4"/>
      <c r="BBL161" s="4"/>
      <c r="BBM161" s="4"/>
      <c r="BBN161" s="4"/>
      <c r="BBO161" s="4"/>
      <c r="BBP161" s="4"/>
      <c r="BBQ161" s="4"/>
      <c r="BBR161" s="4"/>
      <c r="BBS161" s="4"/>
      <c r="BBT161" s="4"/>
      <c r="BBU161" s="4"/>
      <c r="BBV161" s="4"/>
      <c r="BBW161" s="4"/>
      <c r="BBX161" s="4"/>
      <c r="BBY161" s="4"/>
      <c r="BBZ161" s="4"/>
      <c r="BCA161" s="4"/>
      <c r="BCB161" s="4"/>
      <c r="BCC161" s="4"/>
      <c r="BCD161" s="4"/>
      <c r="BCE161" s="4"/>
      <c r="BCF161" s="4"/>
      <c r="BCG161" s="4"/>
      <c r="BCH161" s="4"/>
      <c r="BCI161" s="4"/>
      <c r="BCJ161" s="4"/>
      <c r="BCK161" s="4"/>
      <c r="BCL161" s="4"/>
      <c r="BCM161" s="4"/>
      <c r="BCN161" s="4"/>
      <c r="BCO161" s="4"/>
      <c r="BCP161" s="4"/>
      <c r="BCQ161" s="4"/>
      <c r="BCR161" s="4"/>
      <c r="BCS161" s="4"/>
      <c r="BCT161" s="4"/>
      <c r="BCU161" s="4"/>
      <c r="BCV161" s="4"/>
      <c r="BCW161" s="4"/>
      <c r="BCX161" s="4"/>
      <c r="BCY161" s="4"/>
      <c r="BCZ161" s="4"/>
      <c r="BDA161" s="4"/>
      <c r="BDB161" s="4"/>
      <c r="BDC161" s="4"/>
      <c r="BDD161" s="4"/>
      <c r="BDE161" s="4"/>
      <c r="BDF161" s="4"/>
      <c r="BDG161" s="4"/>
      <c r="BDH161" s="4"/>
      <c r="BDI161" s="4"/>
      <c r="BDJ161" s="4"/>
      <c r="BDK161" s="4"/>
      <c r="BDL161" s="4"/>
      <c r="BDM161" s="4"/>
      <c r="BDN161" s="4"/>
      <c r="BDO161" s="4"/>
      <c r="BDP161" s="4"/>
      <c r="BDQ161" s="4"/>
      <c r="BDR161" s="4"/>
      <c r="BDS161" s="4"/>
      <c r="BDT161" s="4"/>
      <c r="BDU161" s="4"/>
      <c r="BDV161" s="4"/>
      <c r="BDW161" s="4"/>
      <c r="BDX161" s="4"/>
      <c r="BDY161" s="4"/>
      <c r="BDZ161" s="4"/>
      <c r="BEA161" s="4"/>
      <c r="BEB161" s="4"/>
      <c r="BEC161" s="4"/>
      <c r="BED161" s="4"/>
      <c r="BEE161" s="4"/>
      <c r="BEF161" s="4"/>
      <c r="BEG161" s="4"/>
      <c r="BEH161" s="4"/>
      <c r="BEI161" s="4"/>
      <c r="BEJ161" s="4"/>
      <c r="BEK161" s="4"/>
      <c r="BEL161" s="4"/>
      <c r="BEM161" s="4"/>
      <c r="BEN161" s="4"/>
      <c r="BEO161" s="4"/>
      <c r="BEP161" s="4"/>
      <c r="BEQ161" s="4"/>
      <c r="BER161" s="4"/>
      <c r="BES161" s="4"/>
      <c r="BET161" s="4"/>
      <c r="BEU161" s="4"/>
      <c r="BEV161" s="4"/>
      <c r="BEW161" s="4"/>
      <c r="BEX161" s="4"/>
      <c r="BEY161" s="4"/>
      <c r="BEZ161" s="4"/>
      <c r="BFA161" s="4"/>
      <c r="BFB161" s="4"/>
      <c r="BFC161" s="4"/>
      <c r="BFD161" s="4"/>
      <c r="BFE161" s="4"/>
      <c r="BFF161" s="4"/>
      <c r="BFG161" s="4"/>
      <c r="BFH161" s="4"/>
      <c r="BFI161" s="4"/>
      <c r="BFJ161" s="4"/>
      <c r="BFK161" s="4"/>
      <c r="BFL161" s="4"/>
      <c r="BFM161" s="4"/>
      <c r="BFN161" s="4"/>
      <c r="BFO161" s="4"/>
      <c r="BFP161" s="4"/>
      <c r="BFQ161" s="4"/>
      <c r="BFR161" s="4"/>
      <c r="BFS161" s="4"/>
      <c r="BFT161" s="4"/>
      <c r="BFU161" s="4"/>
      <c r="BFV161" s="4"/>
      <c r="BFW161" s="4"/>
      <c r="BFX161" s="4"/>
      <c r="BFY161" s="4"/>
      <c r="BFZ161" s="4"/>
      <c r="BGA161" s="4"/>
      <c r="BGB161" s="4"/>
      <c r="BGC161" s="4"/>
      <c r="BGD161" s="4"/>
      <c r="BGE161" s="4"/>
      <c r="BGF161" s="4"/>
      <c r="BGG161" s="4"/>
      <c r="BGH161" s="4"/>
      <c r="BGI161" s="4"/>
      <c r="BGJ161" s="4"/>
      <c r="BGK161" s="4"/>
      <c r="BGL161" s="4"/>
      <c r="BGM161" s="4"/>
      <c r="BGN161" s="4"/>
      <c r="BGO161" s="4"/>
      <c r="BGP161" s="4"/>
      <c r="BGQ161" s="4"/>
      <c r="BGR161" s="4"/>
      <c r="BGS161" s="4"/>
      <c r="BGT161" s="4"/>
      <c r="BGU161" s="4"/>
      <c r="BGV161" s="4"/>
      <c r="BGW161" s="4"/>
      <c r="BGX161" s="4"/>
      <c r="BGY161" s="4"/>
      <c r="BGZ161" s="4"/>
      <c r="BHA161" s="4"/>
      <c r="BHB161" s="4"/>
      <c r="BHC161" s="4"/>
      <c r="BHD161" s="4"/>
      <c r="BHE161" s="4"/>
      <c r="BHF161" s="4"/>
      <c r="BHG161" s="4"/>
      <c r="BHH161" s="4"/>
      <c r="BHI161" s="4"/>
      <c r="BHJ161" s="4"/>
      <c r="BHK161" s="4"/>
      <c r="BHL161" s="4"/>
      <c r="BHM161" s="4"/>
      <c r="BHN161" s="4"/>
      <c r="BHO161" s="4"/>
      <c r="BHP161" s="4"/>
      <c r="BHQ161" s="4"/>
      <c r="BHR161" s="4"/>
      <c r="BHS161" s="4"/>
      <c r="BHT161" s="4"/>
      <c r="BHU161" s="4"/>
      <c r="BHV161" s="4"/>
      <c r="BHW161" s="4"/>
      <c r="BHX161" s="4"/>
      <c r="BHY161" s="4"/>
      <c r="BHZ161" s="4"/>
      <c r="BIA161" s="4"/>
      <c r="BIB161" s="4"/>
      <c r="BIC161" s="4"/>
      <c r="BID161" s="4"/>
      <c r="BIE161" s="4"/>
      <c r="BIF161" s="4"/>
      <c r="BIG161" s="4"/>
      <c r="BIH161" s="4"/>
      <c r="BII161" s="4"/>
      <c r="BIJ161" s="4"/>
      <c r="BIK161" s="4"/>
      <c r="BIL161" s="4"/>
      <c r="BIM161" s="4"/>
      <c r="BIN161" s="4"/>
      <c r="BIO161" s="4"/>
      <c r="BIP161" s="4"/>
      <c r="BIQ161" s="4"/>
      <c r="BIR161" s="4"/>
      <c r="BIS161" s="4"/>
      <c r="BIT161" s="4"/>
      <c r="BIU161" s="4"/>
      <c r="BIV161" s="4"/>
      <c r="BIW161" s="4"/>
      <c r="BIX161" s="4"/>
      <c r="BIY161" s="4"/>
      <c r="BIZ161" s="4"/>
      <c r="BJA161" s="4"/>
      <c r="BJB161" s="4"/>
      <c r="BJC161" s="4"/>
      <c r="BJD161" s="4"/>
      <c r="BJE161" s="4"/>
      <c r="BJF161" s="4"/>
      <c r="BJG161" s="4"/>
      <c r="BJH161" s="4"/>
      <c r="BJI161" s="4"/>
      <c r="BJJ161" s="4"/>
      <c r="BJK161" s="4"/>
      <c r="BJL161" s="4"/>
      <c r="BJM161" s="4"/>
      <c r="BJN161" s="4"/>
      <c r="BJO161" s="4"/>
      <c r="BJP161" s="4"/>
      <c r="BJQ161" s="4"/>
      <c r="BJR161" s="4"/>
      <c r="BJS161" s="4"/>
      <c r="BJT161" s="4"/>
      <c r="BJU161" s="4"/>
      <c r="BJV161" s="4"/>
      <c r="BJW161" s="4"/>
      <c r="BJX161" s="4"/>
      <c r="BJY161" s="4"/>
      <c r="BJZ161" s="4"/>
      <c r="BKA161" s="4"/>
      <c r="BKB161" s="4"/>
      <c r="BKC161" s="4"/>
      <c r="BKD161" s="4"/>
      <c r="BKE161" s="4"/>
      <c r="BKF161" s="4"/>
      <c r="BKG161" s="4"/>
      <c r="BKH161" s="4"/>
      <c r="BKI161" s="4"/>
      <c r="BKJ161" s="4"/>
      <c r="BKK161" s="4"/>
      <c r="BKL161" s="4"/>
      <c r="BKM161" s="4"/>
      <c r="BKN161" s="4"/>
      <c r="BKO161" s="4"/>
      <c r="BKP161" s="4"/>
      <c r="BKQ161" s="4"/>
      <c r="BKR161" s="4"/>
      <c r="BKS161" s="4"/>
      <c r="BKT161" s="4"/>
      <c r="BKU161" s="4"/>
      <c r="BKV161" s="4"/>
      <c r="BKW161" s="4"/>
      <c r="BKX161" s="4"/>
      <c r="BKY161" s="4"/>
      <c r="BKZ161" s="4"/>
      <c r="BLA161" s="4"/>
      <c r="BLB161" s="4"/>
      <c r="BLC161" s="4"/>
      <c r="BLD161" s="4"/>
      <c r="BLE161" s="4"/>
      <c r="BLF161" s="4"/>
      <c r="BLG161" s="4"/>
      <c r="BLH161" s="4"/>
      <c r="BLI161" s="4"/>
      <c r="BLJ161" s="4"/>
      <c r="BLK161" s="4"/>
      <c r="BLL161" s="4"/>
      <c r="BLM161" s="4"/>
      <c r="BLN161" s="4"/>
      <c r="BLO161" s="4"/>
      <c r="BLP161" s="4"/>
      <c r="BLQ161" s="4"/>
      <c r="BLR161" s="4"/>
      <c r="BLS161" s="4"/>
      <c r="BLT161" s="4"/>
      <c r="BLU161" s="4"/>
      <c r="BLV161" s="4"/>
      <c r="BLW161" s="4"/>
      <c r="BLX161" s="4"/>
      <c r="BLY161" s="4"/>
      <c r="BLZ161" s="4"/>
      <c r="BMA161" s="4"/>
      <c r="BMB161" s="4"/>
      <c r="BMC161" s="4"/>
      <c r="BMD161" s="4"/>
      <c r="BME161" s="4"/>
      <c r="BMF161" s="4"/>
      <c r="BMG161" s="4"/>
      <c r="BMH161" s="4"/>
      <c r="BMI161" s="4"/>
      <c r="BMJ161" s="4"/>
      <c r="BMK161" s="4"/>
      <c r="BML161" s="4"/>
      <c r="BMM161" s="4"/>
      <c r="BMN161" s="4"/>
      <c r="BMO161" s="4"/>
      <c r="BMP161" s="4"/>
      <c r="BMQ161" s="4"/>
      <c r="BMR161" s="4"/>
      <c r="BMS161" s="4"/>
      <c r="BMT161" s="4"/>
      <c r="BMU161" s="4"/>
      <c r="BMV161" s="4"/>
      <c r="BMW161" s="4"/>
      <c r="BMX161" s="4"/>
      <c r="BMY161" s="4"/>
      <c r="BMZ161" s="4"/>
      <c r="BNA161" s="4"/>
      <c r="BNB161" s="4"/>
      <c r="BNC161" s="4"/>
      <c r="BND161" s="4"/>
      <c r="BNE161" s="4"/>
      <c r="BNF161" s="4"/>
      <c r="BNG161" s="4"/>
      <c r="BNH161" s="4"/>
      <c r="BNI161" s="4"/>
      <c r="BNJ161" s="4"/>
      <c r="BNK161" s="4"/>
      <c r="BNL161" s="4"/>
      <c r="BNM161" s="4"/>
      <c r="BNN161" s="4"/>
      <c r="BNO161" s="4"/>
      <c r="BNP161" s="4"/>
      <c r="BNQ161" s="4"/>
      <c r="BNR161" s="4"/>
      <c r="BNS161" s="4"/>
      <c r="BNT161" s="4"/>
      <c r="BNU161" s="4"/>
      <c r="BNV161" s="4"/>
      <c r="BNW161" s="4"/>
      <c r="BNX161" s="4"/>
      <c r="BNY161" s="4"/>
      <c r="BNZ161" s="4"/>
      <c r="BOA161" s="4"/>
      <c r="BOB161" s="4"/>
      <c r="BOC161" s="4"/>
      <c r="BOD161" s="4"/>
      <c r="BOE161" s="4"/>
      <c r="BOF161" s="4"/>
      <c r="BOG161" s="4"/>
      <c r="BOH161" s="4"/>
      <c r="BOI161" s="4"/>
      <c r="BOJ161" s="4"/>
      <c r="BOK161" s="4"/>
      <c r="BOL161" s="4"/>
      <c r="BOM161" s="4"/>
      <c r="BON161" s="4"/>
      <c r="BOO161" s="4"/>
      <c r="BOP161" s="4"/>
      <c r="BOQ161" s="4"/>
      <c r="BOR161" s="4"/>
      <c r="BOS161" s="4"/>
      <c r="BOT161" s="4"/>
      <c r="BOU161" s="4"/>
      <c r="BOV161" s="4"/>
      <c r="BOW161" s="4"/>
      <c r="BOX161" s="4"/>
      <c r="BOY161" s="4"/>
      <c r="BOZ161" s="4"/>
      <c r="BPA161" s="4"/>
      <c r="BPB161" s="4"/>
      <c r="BPC161" s="4"/>
      <c r="BPD161" s="4"/>
      <c r="BPE161" s="4"/>
      <c r="BPF161" s="4"/>
      <c r="BPG161" s="4"/>
      <c r="BPH161" s="4"/>
      <c r="BPI161" s="4"/>
      <c r="BPJ161" s="4"/>
      <c r="BPK161" s="4"/>
      <c r="BPL161" s="4"/>
      <c r="BPM161" s="4"/>
      <c r="BPN161" s="4"/>
      <c r="BPO161" s="4"/>
      <c r="BPP161" s="4"/>
      <c r="BPQ161" s="4"/>
      <c r="BPR161" s="4"/>
      <c r="BPS161" s="4"/>
      <c r="BPT161" s="4"/>
      <c r="BPU161" s="4"/>
      <c r="BPV161" s="4"/>
      <c r="BPW161" s="4"/>
      <c r="BPX161" s="4"/>
      <c r="BPY161" s="4"/>
      <c r="BPZ161" s="4"/>
      <c r="BQA161" s="4"/>
      <c r="BQB161" s="4"/>
      <c r="BQC161" s="4"/>
      <c r="BQD161" s="4"/>
      <c r="BQE161" s="4"/>
      <c r="BQF161" s="4"/>
      <c r="BQG161" s="4"/>
      <c r="BQH161" s="4"/>
      <c r="BQI161" s="4"/>
      <c r="BQJ161" s="4"/>
      <c r="BQK161" s="4"/>
      <c r="BQL161" s="4"/>
      <c r="BQM161" s="4"/>
      <c r="BQN161" s="4"/>
      <c r="BQO161" s="4"/>
      <c r="BQP161" s="4"/>
      <c r="BQQ161" s="4"/>
      <c r="BQR161" s="4"/>
      <c r="BQS161" s="4"/>
      <c r="BQT161" s="4"/>
      <c r="BQU161" s="4"/>
      <c r="BQV161" s="4"/>
      <c r="BQW161" s="4"/>
      <c r="BQX161" s="4"/>
      <c r="BQY161" s="4"/>
      <c r="BQZ161" s="4"/>
      <c r="BRA161" s="4"/>
      <c r="BRB161" s="4"/>
      <c r="BRC161" s="4"/>
      <c r="BRD161" s="4"/>
      <c r="BRE161" s="4"/>
      <c r="BRF161" s="4"/>
      <c r="BRG161" s="4"/>
      <c r="BRH161" s="4"/>
      <c r="BRI161" s="4"/>
      <c r="BRJ161" s="4"/>
      <c r="BRK161" s="4"/>
      <c r="BRL161" s="4"/>
      <c r="BRM161" s="4"/>
      <c r="BRN161" s="4"/>
      <c r="BRO161" s="4"/>
      <c r="BRP161" s="4"/>
      <c r="BRQ161" s="4"/>
      <c r="BRR161" s="4"/>
      <c r="BRS161" s="4"/>
      <c r="BRT161" s="4"/>
      <c r="BRU161" s="4"/>
      <c r="BRV161" s="4"/>
      <c r="BRW161" s="4"/>
      <c r="BRX161" s="4"/>
      <c r="BRY161" s="4"/>
      <c r="BRZ161" s="4"/>
      <c r="BSA161" s="4"/>
      <c r="BSB161" s="4"/>
      <c r="BSC161" s="4"/>
      <c r="BSD161" s="4"/>
      <c r="BSE161" s="4"/>
      <c r="BSF161" s="4"/>
      <c r="BSG161" s="4"/>
      <c r="BSH161" s="4"/>
      <c r="BSI161" s="4"/>
      <c r="BSJ161" s="4"/>
      <c r="BSK161" s="4"/>
      <c r="BSL161" s="4"/>
      <c r="BSM161" s="4"/>
      <c r="BSN161" s="4"/>
      <c r="BSO161" s="4"/>
      <c r="BSP161" s="4"/>
      <c r="BSQ161" s="4"/>
      <c r="BSR161" s="4"/>
      <c r="BSS161" s="4"/>
      <c r="BST161" s="4"/>
      <c r="BSU161" s="4"/>
      <c r="BSV161" s="4"/>
      <c r="BSW161" s="4"/>
      <c r="BSX161" s="4"/>
      <c r="BSY161" s="4"/>
      <c r="BSZ161" s="4"/>
      <c r="BTA161" s="4"/>
      <c r="BTB161" s="4"/>
      <c r="BTC161" s="4"/>
      <c r="BTD161" s="4"/>
      <c r="BTE161" s="4"/>
      <c r="BTF161" s="4"/>
      <c r="BTG161" s="4"/>
      <c r="BTH161" s="4"/>
      <c r="BTI161" s="4"/>
      <c r="BTJ161" s="4"/>
      <c r="BTK161" s="4"/>
      <c r="BTL161" s="4"/>
      <c r="BTM161" s="4"/>
      <c r="BTN161" s="4"/>
      <c r="BTO161" s="4"/>
      <c r="BTP161" s="4"/>
      <c r="BTQ161" s="4"/>
      <c r="BTR161" s="4"/>
      <c r="BTS161" s="4"/>
      <c r="BTT161" s="4"/>
      <c r="BTU161" s="4"/>
      <c r="BTV161" s="4"/>
      <c r="BTW161" s="4"/>
      <c r="BTX161" s="4"/>
      <c r="BTY161" s="4"/>
      <c r="BTZ161" s="4"/>
      <c r="BUA161" s="4"/>
      <c r="BUB161" s="4"/>
      <c r="BUC161" s="4"/>
      <c r="BUD161" s="4"/>
      <c r="BUE161" s="4"/>
      <c r="BUF161" s="4"/>
      <c r="BUG161" s="4"/>
      <c r="BUH161" s="4"/>
      <c r="BUI161" s="4"/>
      <c r="BUJ161" s="4"/>
      <c r="BUK161" s="4"/>
      <c r="BUL161" s="4"/>
      <c r="BUM161" s="4"/>
      <c r="BUN161" s="4"/>
      <c r="BUO161" s="4"/>
      <c r="BUP161" s="4"/>
      <c r="BUQ161" s="4"/>
      <c r="BUR161" s="4"/>
      <c r="BUS161" s="4"/>
      <c r="BUT161" s="4"/>
      <c r="BUU161" s="4"/>
      <c r="BUV161" s="4"/>
      <c r="BUW161" s="4"/>
      <c r="BUX161" s="4"/>
      <c r="BUY161" s="4"/>
      <c r="BUZ161" s="4"/>
      <c r="BVA161" s="4"/>
      <c r="BVB161" s="4"/>
      <c r="BVC161" s="4"/>
      <c r="BVD161" s="4"/>
      <c r="BVE161" s="4"/>
      <c r="BVF161" s="4"/>
      <c r="BVG161" s="4"/>
      <c r="BVH161" s="4"/>
      <c r="BVI161" s="4"/>
      <c r="BVJ161" s="4"/>
      <c r="BVK161" s="4"/>
      <c r="BVL161" s="4"/>
      <c r="BVM161" s="4"/>
      <c r="BVN161" s="4"/>
      <c r="BVO161" s="4"/>
      <c r="BVP161" s="4"/>
      <c r="BVQ161" s="4"/>
      <c r="BVR161" s="4"/>
      <c r="BVS161" s="4"/>
      <c r="BVT161" s="4"/>
      <c r="BVU161" s="4"/>
      <c r="BVV161" s="4"/>
      <c r="BVW161" s="4"/>
      <c r="BVX161" s="4"/>
      <c r="BVY161" s="4"/>
      <c r="BVZ161" s="4"/>
      <c r="BWA161" s="4"/>
      <c r="BWB161" s="4"/>
      <c r="BWC161" s="4"/>
      <c r="BWD161" s="4"/>
      <c r="BWE161" s="4"/>
      <c r="BWF161" s="4"/>
      <c r="BWG161" s="4"/>
      <c r="BWH161" s="4"/>
      <c r="BWI161" s="4"/>
      <c r="BWJ161" s="4"/>
      <c r="BWK161" s="4"/>
      <c r="BWL161" s="4"/>
      <c r="BWM161" s="4"/>
      <c r="BWN161" s="4"/>
      <c r="BWO161" s="4"/>
      <c r="BWP161" s="4"/>
      <c r="BWQ161" s="4"/>
      <c r="BWR161" s="4"/>
      <c r="BWS161" s="4"/>
      <c r="BWT161" s="4"/>
      <c r="BWU161" s="4"/>
      <c r="BWV161" s="4"/>
      <c r="BWW161" s="4"/>
      <c r="BWX161" s="4"/>
      <c r="BWY161" s="4"/>
      <c r="BWZ161" s="4"/>
      <c r="BXA161" s="4"/>
      <c r="BXB161" s="4"/>
      <c r="BXC161" s="4"/>
      <c r="BXD161" s="4"/>
      <c r="BXE161" s="4"/>
      <c r="BXF161" s="4"/>
      <c r="BXG161" s="4"/>
      <c r="BXH161" s="4"/>
      <c r="BXI161" s="4"/>
      <c r="BXJ161" s="4"/>
      <c r="BXK161" s="4"/>
      <c r="BXL161" s="4"/>
      <c r="BXM161" s="4"/>
      <c r="BXN161" s="4"/>
      <c r="BXO161" s="4"/>
      <c r="BXP161" s="4"/>
      <c r="BXQ161" s="4"/>
      <c r="BXR161" s="4"/>
      <c r="BXS161" s="4"/>
      <c r="BXT161" s="4"/>
      <c r="BXU161" s="4"/>
      <c r="BXV161" s="4"/>
      <c r="BXW161" s="4"/>
      <c r="BXX161" s="4"/>
      <c r="BXY161" s="4"/>
      <c r="BXZ161" s="4"/>
      <c r="BYA161" s="4"/>
      <c r="BYB161" s="4"/>
      <c r="BYC161" s="4"/>
      <c r="BYD161" s="4"/>
      <c r="BYE161" s="4"/>
      <c r="BYF161" s="4"/>
      <c r="BYG161" s="4"/>
      <c r="BYH161" s="4"/>
      <c r="BYI161" s="4"/>
      <c r="BYJ161" s="4"/>
      <c r="BYK161" s="4"/>
      <c r="BYL161" s="4"/>
      <c r="BYM161" s="4"/>
      <c r="BYN161" s="4"/>
      <c r="BYO161" s="4"/>
      <c r="BYP161" s="4"/>
      <c r="BYQ161" s="4"/>
      <c r="BYR161" s="4"/>
      <c r="BYS161" s="4"/>
      <c r="BYT161" s="4"/>
      <c r="BYU161" s="4"/>
      <c r="BYV161" s="4"/>
      <c r="BYW161" s="4"/>
      <c r="BYX161" s="4"/>
      <c r="BYY161" s="4"/>
      <c r="BYZ161" s="4"/>
      <c r="BZA161" s="4"/>
      <c r="BZB161" s="4"/>
      <c r="BZC161" s="4"/>
      <c r="BZD161" s="4"/>
      <c r="BZE161" s="4"/>
      <c r="BZF161" s="4"/>
      <c r="BZG161" s="4"/>
      <c r="BZH161" s="4"/>
      <c r="BZI161" s="4"/>
      <c r="BZJ161" s="4"/>
      <c r="BZK161" s="4"/>
      <c r="BZL161" s="4"/>
      <c r="BZM161" s="4"/>
      <c r="BZN161" s="4"/>
      <c r="BZO161" s="4"/>
      <c r="BZP161" s="4"/>
      <c r="BZQ161" s="4"/>
      <c r="BZR161" s="4"/>
      <c r="BZS161" s="4"/>
      <c r="BZT161" s="4"/>
      <c r="BZU161" s="4"/>
      <c r="BZV161" s="4"/>
      <c r="BZW161" s="4"/>
      <c r="BZX161" s="4"/>
      <c r="BZY161" s="4"/>
      <c r="BZZ161" s="4"/>
      <c r="CAA161" s="4"/>
      <c r="CAB161" s="4"/>
      <c r="CAC161" s="4"/>
      <c r="CAD161" s="4"/>
      <c r="CAE161" s="4"/>
      <c r="CAF161" s="4"/>
      <c r="CAG161" s="4"/>
      <c r="CAH161" s="4"/>
      <c r="CAI161" s="4"/>
      <c r="CAJ161" s="4"/>
      <c r="CAK161" s="4"/>
      <c r="CAL161" s="4"/>
      <c r="CAM161" s="4"/>
      <c r="CAN161" s="4"/>
      <c r="CAO161" s="4"/>
      <c r="CAP161" s="4"/>
      <c r="CAQ161" s="4"/>
      <c r="CAR161" s="4"/>
      <c r="CAS161" s="4"/>
      <c r="CAT161" s="4"/>
      <c r="CAU161" s="4"/>
      <c r="CAV161" s="4"/>
      <c r="CAW161" s="4"/>
      <c r="CAX161" s="4"/>
      <c r="CAY161" s="4"/>
      <c r="CAZ161" s="4"/>
      <c r="CBA161" s="4"/>
      <c r="CBB161" s="4"/>
      <c r="CBC161" s="4"/>
      <c r="CBD161" s="4"/>
      <c r="CBE161" s="4"/>
      <c r="CBF161" s="4"/>
      <c r="CBG161" s="4"/>
      <c r="CBH161" s="4"/>
      <c r="CBI161" s="4"/>
      <c r="CBJ161" s="4"/>
      <c r="CBK161" s="4"/>
      <c r="CBL161" s="4"/>
      <c r="CBM161" s="4"/>
      <c r="CBN161" s="4"/>
      <c r="CBO161" s="4"/>
      <c r="CBP161" s="4"/>
      <c r="CBQ161" s="4"/>
      <c r="CBR161" s="4"/>
      <c r="CBS161" s="4"/>
      <c r="CBT161" s="4"/>
      <c r="CBU161" s="4"/>
      <c r="CBV161" s="4"/>
      <c r="CBW161" s="4"/>
      <c r="CBX161" s="4"/>
      <c r="CBY161" s="4"/>
      <c r="CBZ161" s="4"/>
      <c r="CCA161" s="4"/>
      <c r="CCB161" s="4"/>
      <c r="CCC161" s="4"/>
      <c r="CCD161" s="4"/>
      <c r="CCE161" s="4"/>
      <c r="CCF161" s="4"/>
      <c r="CCG161" s="4"/>
      <c r="CCH161" s="4"/>
      <c r="CCI161" s="4"/>
      <c r="CCJ161" s="4"/>
      <c r="CCK161" s="4"/>
      <c r="CCL161" s="4"/>
      <c r="CCM161" s="4"/>
      <c r="CCN161" s="4"/>
      <c r="CCO161" s="4"/>
      <c r="CCP161" s="4"/>
      <c r="CCQ161" s="4"/>
      <c r="CCR161" s="4"/>
      <c r="CCS161" s="4"/>
      <c r="CCT161" s="4"/>
      <c r="CCU161" s="4"/>
      <c r="CCV161" s="4"/>
      <c r="CCW161" s="4"/>
      <c r="CCX161" s="4"/>
      <c r="CCY161" s="4"/>
      <c r="CCZ161" s="4"/>
      <c r="CDA161" s="4"/>
      <c r="CDB161" s="4"/>
      <c r="CDC161" s="4"/>
      <c r="CDD161" s="4"/>
      <c r="CDE161" s="4"/>
      <c r="CDF161" s="4"/>
      <c r="CDG161" s="4"/>
      <c r="CDH161" s="4"/>
      <c r="CDI161" s="4"/>
      <c r="CDJ161" s="4"/>
      <c r="CDK161" s="4"/>
      <c r="CDL161" s="4"/>
      <c r="CDM161" s="4"/>
      <c r="CDN161" s="4"/>
      <c r="CDO161" s="4"/>
      <c r="CDP161" s="4"/>
      <c r="CDQ161" s="4"/>
      <c r="CDR161" s="4"/>
      <c r="CDS161" s="4"/>
      <c r="CDT161" s="4"/>
      <c r="CDU161" s="4"/>
      <c r="CDV161" s="4"/>
      <c r="CDW161" s="4"/>
      <c r="CDX161" s="4"/>
      <c r="CDY161" s="4"/>
      <c r="CDZ161" s="4"/>
      <c r="CEA161" s="4"/>
      <c r="CEB161" s="4"/>
      <c r="CEC161" s="4"/>
      <c r="CED161" s="4"/>
      <c r="CEE161" s="4"/>
      <c r="CEF161" s="4"/>
      <c r="CEG161" s="4"/>
      <c r="CEH161" s="4"/>
      <c r="CEI161" s="4"/>
      <c r="CEJ161" s="4"/>
      <c r="CEK161" s="4"/>
      <c r="CEL161" s="4"/>
      <c r="CEM161" s="4"/>
      <c r="CEN161" s="4"/>
      <c r="CEO161" s="4"/>
      <c r="CEP161" s="4"/>
      <c r="CEQ161" s="4"/>
      <c r="CER161" s="4"/>
      <c r="CES161" s="4"/>
      <c r="CET161" s="4"/>
      <c r="CEU161" s="4"/>
      <c r="CEV161" s="4"/>
      <c r="CEW161" s="4"/>
      <c r="CEX161" s="4"/>
      <c r="CEY161" s="4"/>
      <c r="CEZ161" s="4"/>
      <c r="CFA161" s="4"/>
      <c r="CFB161" s="4"/>
      <c r="CFC161" s="4"/>
      <c r="CFD161" s="4"/>
      <c r="CFE161" s="4"/>
      <c r="CFF161" s="4"/>
      <c r="CFG161" s="4"/>
      <c r="CFH161" s="4"/>
      <c r="CFI161" s="4"/>
      <c r="CFJ161" s="4"/>
      <c r="CFK161" s="4"/>
      <c r="CFL161" s="4"/>
      <c r="CFM161" s="4"/>
      <c r="CFN161" s="4"/>
      <c r="CFO161" s="4"/>
      <c r="CFP161" s="4"/>
      <c r="CFQ161" s="4"/>
      <c r="CFR161" s="4"/>
      <c r="CFS161" s="4"/>
      <c r="CFT161" s="4"/>
      <c r="CFU161" s="4"/>
      <c r="CFV161" s="4"/>
      <c r="CFW161" s="4"/>
      <c r="CFX161" s="4"/>
      <c r="CFY161" s="4"/>
      <c r="CFZ161" s="4"/>
      <c r="CGA161" s="4"/>
      <c r="CGB161" s="4"/>
      <c r="CGC161" s="4"/>
      <c r="CGD161" s="4"/>
      <c r="CGE161" s="4"/>
      <c r="CGF161" s="4"/>
      <c r="CGG161" s="4"/>
      <c r="CGH161" s="4"/>
      <c r="CGI161" s="4"/>
      <c r="CGJ161" s="4"/>
      <c r="CGK161" s="4"/>
      <c r="CGL161" s="4"/>
      <c r="CGM161" s="4"/>
      <c r="CGN161" s="4"/>
      <c r="CGO161" s="4"/>
      <c r="CGP161" s="4"/>
      <c r="CGQ161" s="4"/>
      <c r="CGR161" s="4"/>
      <c r="CGS161" s="4"/>
      <c r="CGT161" s="4"/>
      <c r="CGU161" s="4"/>
      <c r="CGV161" s="4"/>
      <c r="CGW161" s="4"/>
      <c r="CGX161" s="4"/>
      <c r="CGY161" s="4"/>
      <c r="CGZ161" s="4"/>
      <c r="CHA161" s="4"/>
      <c r="CHB161" s="4"/>
      <c r="CHC161" s="4"/>
      <c r="CHD161" s="4"/>
      <c r="CHE161" s="4"/>
      <c r="CHF161" s="4"/>
      <c r="CHG161" s="4"/>
      <c r="CHH161" s="4"/>
      <c r="CHI161" s="4"/>
      <c r="CHJ161" s="4"/>
      <c r="CHK161" s="4"/>
      <c r="CHL161" s="4"/>
      <c r="CHM161" s="4"/>
      <c r="CHN161" s="4"/>
      <c r="CHO161" s="4"/>
      <c r="CHP161" s="4"/>
      <c r="CHQ161" s="4"/>
      <c r="CHR161" s="4"/>
      <c r="CHS161" s="4"/>
      <c r="CHT161" s="4"/>
      <c r="CHU161" s="4"/>
      <c r="CHV161" s="4"/>
      <c r="CHW161" s="4"/>
      <c r="CHX161" s="4"/>
      <c r="CHY161" s="4"/>
      <c r="CHZ161" s="4"/>
      <c r="CIA161" s="4"/>
      <c r="CIB161" s="4"/>
      <c r="CIC161" s="4"/>
      <c r="CID161" s="4"/>
      <c r="CIE161" s="4"/>
      <c r="CIF161" s="4"/>
      <c r="CIG161" s="4"/>
      <c r="CIH161" s="4"/>
      <c r="CII161" s="4"/>
      <c r="CIJ161" s="4"/>
      <c r="CIK161" s="4"/>
      <c r="CIL161" s="4"/>
      <c r="CIM161" s="4"/>
      <c r="CIN161" s="4"/>
      <c r="CIO161" s="4"/>
      <c r="CIP161" s="4"/>
      <c r="CIQ161" s="4"/>
      <c r="CIR161" s="4"/>
      <c r="CIS161" s="4"/>
      <c r="CIT161" s="4"/>
      <c r="CIU161" s="4"/>
      <c r="CIV161" s="4"/>
      <c r="CIW161" s="4"/>
      <c r="CIX161" s="4"/>
      <c r="CIY161" s="4"/>
      <c r="CIZ161" s="4"/>
      <c r="CJA161" s="4"/>
      <c r="CJB161" s="4"/>
      <c r="CJC161" s="4"/>
      <c r="CJD161" s="4"/>
      <c r="CJE161" s="4"/>
      <c r="CJF161" s="4"/>
      <c r="CJG161" s="4"/>
      <c r="CJH161" s="4"/>
      <c r="CJI161" s="4"/>
      <c r="CJJ161" s="4"/>
      <c r="CJK161" s="4"/>
      <c r="CJL161" s="4"/>
      <c r="CJM161" s="4"/>
      <c r="CJN161" s="4"/>
      <c r="CJO161" s="4"/>
      <c r="CJP161" s="4"/>
      <c r="CJQ161" s="4"/>
      <c r="CJR161" s="4"/>
      <c r="CJS161" s="4"/>
      <c r="CJT161" s="4"/>
      <c r="CJU161" s="4"/>
      <c r="CJV161" s="4"/>
      <c r="CJW161" s="4"/>
      <c r="CJX161" s="4"/>
      <c r="CJY161" s="4"/>
      <c r="CJZ161" s="4"/>
      <c r="CKA161" s="4"/>
      <c r="CKB161" s="4"/>
      <c r="CKC161" s="4"/>
      <c r="CKD161" s="4"/>
      <c r="CKE161" s="4"/>
      <c r="CKF161" s="4"/>
      <c r="CKG161" s="4"/>
      <c r="CKH161" s="4"/>
      <c r="CKI161" s="4"/>
      <c r="CKJ161" s="4"/>
      <c r="CKK161" s="4"/>
      <c r="CKL161" s="4"/>
      <c r="CKM161" s="4"/>
      <c r="CKN161" s="4"/>
      <c r="CKO161" s="4"/>
      <c r="CKP161" s="4"/>
      <c r="CKQ161" s="4"/>
      <c r="CKR161" s="4"/>
      <c r="CKS161" s="4"/>
      <c r="CKT161" s="4"/>
      <c r="CKU161" s="4"/>
      <c r="CKV161" s="4"/>
      <c r="CKW161" s="4"/>
      <c r="CKX161" s="4"/>
      <c r="CKY161" s="4"/>
      <c r="CKZ161" s="4"/>
      <c r="CLA161" s="4"/>
      <c r="CLB161" s="4"/>
      <c r="CLC161" s="4"/>
      <c r="CLD161" s="4"/>
      <c r="CLE161" s="4"/>
      <c r="CLF161" s="4"/>
      <c r="CLG161" s="4"/>
      <c r="CLH161" s="4"/>
      <c r="CLI161" s="4"/>
      <c r="CLJ161" s="4"/>
      <c r="CLK161" s="4"/>
      <c r="CLL161" s="4"/>
      <c r="CLM161" s="4"/>
      <c r="CLN161" s="4"/>
      <c r="CLO161" s="4"/>
      <c r="CLP161" s="4"/>
      <c r="CLQ161" s="4"/>
      <c r="CLR161" s="4"/>
      <c r="CLS161" s="4"/>
      <c r="CLT161" s="4"/>
      <c r="CLU161" s="4"/>
      <c r="CLV161" s="4"/>
      <c r="CLW161" s="4"/>
      <c r="CLX161" s="4"/>
      <c r="CLY161" s="4"/>
      <c r="CLZ161" s="4"/>
      <c r="CMA161" s="4"/>
      <c r="CMB161" s="4"/>
      <c r="CMC161" s="4"/>
      <c r="CMD161" s="4"/>
      <c r="CME161" s="4"/>
      <c r="CMF161" s="4"/>
      <c r="CMG161" s="4"/>
      <c r="CMH161" s="4"/>
      <c r="CMI161" s="4"/>
      <c r="CMJ161" s="4"/>
      <c r="CMK161" s="4"/>
      <c r="CML161" s="4"/>
      <c r="CMM161" s="4"/>
      <c r="CMN161" s="4"/>
      <c r="CMO161" s="4"/>
      <c r="CMP161" s="4"/>
      <c r="CMQ161" s="4"/>
      <c r="CMR161" s="4"/>
      <c r="CMS161" s="4"/>
      <c r="CMT161" s="4"/>
      <c r="CMU161" s="4"/>
      <c r="CMV161" s="4"/>
      <c r="CMW161" s="4"/>
      <c r="CMX161" s="4"/>
      <c r="CMY161" s="4"/>
      <c r="CMZ161" s="4"/>
      <c r="CNA161" s="4"/>
      <c r="CNB161" s="4"/>
      <c r="CNC161" s="4"/>
      <c r="CND161" s="4"/>
      <c r="CNE161" s="4"/>
      <c r="CNF161" s="4"/>
      <c r="CNG161" s="4"/>
      <c r="CNH161" s="4"/>
      <c r="CNI161" s="4"/>
      <c r="CNJ161" s="4"/>
      <c r="CNK161" s="4"/>
      <c r="CNL161" s="4"/>
      <c r="CNM161" s="4"/>
      <c r="CNN161" s="4"/>
      <c r="CNO161" s="4"/>
      <c r="CNP161" s="4"/>
      <c r="CNQ161" s="4"/>
      <c r="CNR161" s="4"/>
      <c r="CNS161" s="4"/>
      <c r="CNT161" s="4"/>
      <c r="CNU161" s="4"/>
      <c r="CNV161" s="4"/>
      <c r="CNW161" s="4"/>
      <c r="CNX161" s="4"/>
      <c r="CNY161" s="4"/>
      <c r="CNZ161" s="4"/>
      <c r="COA161" s="4"/>
      <c r="COB161" s="4"/>
      <c r="COC161" s="4"/>
      <c r="COD161" s="4"/>
      <c r="COE161" s="4"/>
      <c r="COF161" s="4"/>
      <c r="COG161" s="4"/>
      <c r="COH161" s="4"/>
      <c r="COI161" s="4"/>
      <c r="COJ161" s="4"/>
      <c r="COK161" s="4"/>
      <c r="COL161" s="4"/>
      <c r="COM161" s="4"/>
      <c r="CON161" s="4"/>
      <c r="COO161" s="4"/>
      <c r="COP161" s="4"/>
      <c r="COQ161" s="4"/>
      <c r="COR161" s="4"/>
      <c r="COS161" s="4"/>
      <c r="COT161" s="4"/>
      <c r="COU161" s="4"/>
      <c r="COV161" s="4"/>
      <c r="COW161" s="4"/>
      <c r="COX161" s="4"/>
      <c r="COY161" s="4"/>
      <c r="COZ161" s="4"/>
      <c r="CPA161" s="4"/>
      <c r="CPB161" s="4"/>
      <c r="CPC161" s="4"/>
      <c r="CPD161" s="4"/>
      <c r="CPE161" s="4"/>
      <c r="CPF161" s="4"/>
      <c r="CPG161" s="4"/>
      <c r="CPH161" s="4"/>
      <c r="CPI161" s="4"/>
      <c r="CPJ161" s="4"/>
      <c r="CPK161" s="4"/>
      <c r="CPL161" s="4"/>
      <c r="CPM161" s="4"/>
      <c r="CPN161" s="4"/>
      <c r="CPO161" s="4"/>
      <c r="CPP161" s="4"/>
      <c r="CPQ161" s="4"/>
      <c r="CPR161" s="4"/>
      <c r="CPS161" s="4"/>
      <c r="CPT161" s="4"/>
      <c r="CPU161" s="4"/>
      <c r="CPV161" s="4"/>
      <c r="CPW161" s="4"/>
      <c r="CPX161" s="4"/>
      <c r="CPY161" s="4"/>
      <c r="CPZ161" s="4"/>
      <c r="CQA161" s="4"/>
      <c r="CQB161" s="4"/>
      <c r="CQC161" s="4"/>
      <c r="CQD161" s="4"/>
      <c r="CQE161" s="4"/>
      <c r="CQF161" s="4"/>
      <c r="CQG161" s="4"/>
      <c r="CQH161" s="4"/>
      <c r="CQI161" s="4"/>
      <c r="CQJ161" s="4"/>
      <c r="CQK161" s="4"/>
      <c r="CQL161" s="4"/>
      <c r="CQM161" s="4"/>
      <c r="CQN161" s="4"/>
      <c r="CQO161" s="4"/>
      <c r="CQP161" s="4"/>
      <c r="CQQ161" s="4"/>
      <c r="CQR161" s="4"/>
      <c r="CQS161" s="4"/>
      <c r="CQT161" s="4"/>
      <c r="CQU161" s="4"/>
      <c r="CQV161" s="4"/>
      <c r="CQW161" s="4"/>
      <c r="CQX161" s="4"/>
      <c r="CQY161" s="4"/>
      <c r="CQZ161" s="4"/>
      <c r="CRA161" s="4"/>
      <c r="CRB161" s="4"/>
      <c r="CRC161" s="4"/>
      <c r="CRD161" s="4"/>
      <c r="CRE161" s="4"/>
      <c r="CRF161" s="4"/>
      <c r="CRG161" s="4"/>
      <c r="CRH161" s="4"/>
      <c r="CRI161" s="4"/>
      <c r="CRJ161" s="4"/>
      <c r="CRK161" s="4"/>
      <c r="CRL161" s="4"/>
      <c r="CRM161" s="4"/>
      <c r="CRN161" s="4"/>
      <c r="CRO161" s="4"/>
      <c r="CRP161" s="4"/>
      <c r="CRQ161" s="4"/>
      <c r="CRR161" s="4"/>
      <c r="CRS161" s="4"/>
      <c r="CRT161" s="4"/>
      <c r="CRU161" s="4"/>
      <c r="CRV161" s="4"/>
      <c r="CRW161" s="4"/>
      <c r="CRX161" s="4"/>
      <c r="CRY161" s="4"/>
      <c r="CRZ161" s="4"/>
      <c r="CSA161" s="4"/>
      <c r="CSB161" s="4"/>
      <c r="CSC161" s="4"/>
      <c r="CSD161" s="4"/>
      <c r="CSE161" s="4"/>
      <c r="CSF161" s="4"/>
      <c r="CSG161" s="4"/>
      <c r="CSH161" s="4"/>
      <c r="CSI161" s="4"/>
      <c r="CSJ161" s="4"/>
      <c r="CSK161" s="4"/>
      <c r="CSL161" s="4"/>
      <c r="CSM161" s="4"/>
      <c r="CSN161" s="4"/>
      <c r="CSO161" s="4"/>
      <c r="CSP161" s="4"/>
      <c r="CSQ161" s="4"/>
      <c r="CSR161" s="4"/>
      <c r="CSS161" s="4"/>
      <c r="CST161" s="4"/>
      <c r="CSU161" s="4"/>
      <c r="CSV161" s="4"/>
      <c r="CSW161" s="4"/>
      <c r="CSX161" s="4"/>
      <c r="CSY161" s="4"/>
      <c r="CSZ161" s="4"/>
      <c r="CTA161" s="4"/>
      <c r="CTB161" s="4"/>
      <c r="CTC161" s="4"/>
      <c r="CTD161" s="4"/>
      <c r="CTE161" s="4"/>
      <c r="CTF161" s="4"/>
      <c r="CTG161" s="4"/>
      <c r="CTH161" s="4"/>
      <c r="CTI161" s="4"/>
      <c r="CTJ161" s="4"/>
      <c r="CTK161" s="4"/>
      <c r="CTL161" s="4"/>
      <c r="CTM161" s="4"/>
      <c r="CTN161" s="4"/>
      <c r="CTO161" s="4"/>
      <c r="CTP161" s="4"/>
      <c r="CTQ161" s="4"/>
      <c r="CTR161" s="4"/>
      <c r="CTS161" s="4"/>
      <c r="CTT161" s="4"/>
      <c r="CTU161" s="4"/>
      <c r="CTV161" s="4"/>
      <c r="CTW161" s="4"/>
      <c r="CTX161" s="4"/>
      <c r="CTY161" s="4"/>
      <c r="CTZ161" s="4"/>
      <c r="CUA161" s="4"/>
      <c r="CUB161" s="4"/>
      <c r="CUC161" s="4"/>
      <c r="CUD161" s="4"/>
      <c r="CUE161" s="4"/>
      <c r="CUF161" s="4"/>
      <c r="CUG161" s="4"/>
      <c r="CUH161" s="4"/>
      <c r="CUI161" s="4"/>
      <c r="CUJ161" s="4"/>
      <c r="CUK161" s="4"/>
      <c r="CUL161" s="4"/>
      <c r="CUM161" s="4"/>
      <c r="CUN161" s="4"/>
      <c r="CUO161" s="4"/>
      <c r="CUP161" s="4"/>
      <c r="CUQ161" s="4"/>
      <c r="CUR161" s="4"/>
      <c r="CUS161" s="4"/>
      <c r="CUT161" s="4"/>
      <c r="CUU161" s="4"/>
      <c r="CUV161" s="4"/>
      <c r="CUW161" s="4"/>
      <c r="CUX161" s="4"/>
      <c r="CUY161" s="4"/>
      <c r="CUZ161" s="4"/>
      <c r="CVA161" s="4"/>
      <c r="CVB161" s="4"/>
      <c r="CVC161" s="4"/>
      <c r="CVD161" s="4"/>
      <c r="CVE161" s="4"/>
      <c r="CVF161" s="4"/>
      <c r="CVG161" s="4"/>
      <c r="CVH161" s="4"/>
      <c r="CVI161" s="4"/>
      <c r="CVJ161" s="4"/>
      <c r="CVK161" s="4"/>
      <c r="CVL161" s="4"/>
      <c r="CVM161" s="4"/>
      <c r="CVN161" s="4"/>
      <c r="CVO161" s="4"/>
      <c r="CVP161" s="4"/>
      <c r="CVQ161" s="4"/>
      <c r="CVR161" s="4"/>
      <c r="CVS161" s="4"/>
      <c r="CVT161" s="4"/>
      <c r="CVU161" s="4"/>
      <c r="CVV161" s="4"/>
      <c r="CVW161" s="4"/>
      <c r="CVX161" s="4"/>
      <c r="CVY161" s="4"/>
      <c r="CVZ161" s="4"/>
      <c r="CWA161" s="4"/>
      <c r="CWB161" s="4"/>
      <c r="CWC161" s="4"/>
      <c r="CWD161" s="4"/>
      <c r="CWE161" s="4"/>
      <c r="CWF161" s="4"/>
      <c r="CWG161" s="4"/>
      <c r="CWH161" s="4"/>
      <c r="CWI161" s="4"/>
      <c r="CWJ161" s="4"/>
      <c r="CWK161" s="4"/>
      <c r="CWL161" s="4"/>
      <c r="CWM161" s="4"/>
      <c r="CWN161" s="4"/>
      <c r="CWO161" s="4"/>
      <c r="CWP161" s="4"/>
      <c r="CWQ161" s="4"/>
      <c r="CWR161" s="4"/>
      <c r="CWS161" s="4"/>
      <c r="CWT161" s="4"/>
      <c r="CWU161" s="4"/>
      <c r="CWV161" s="4"/>
      <c r="CWW161" s="4"/>
      <c r="CWX161" s="4"/>
      <c r="CWY161" s="4"/>
      <c r="CWZ161" s="4"/>
      <c r="CXA161" s="4"/>
      <c r="CXB161" s="4"/>
      <c r="CXC161" s="4"/>
      <c r="CXD161" s="4"/>
      <c r="CXE161" s="4"/>
      <c r="CXF161" s="4"/>
      <c r="CXG161" s="4"/>
      <c r="CXH161" s="4"/>
      <c r="CXI161" s="4"/>
      <c r="CXJ161" s="4"/>
      <c r="CXK161" s="4"/>
      <c r="CXL161" s="4"/>
      <c r="CXM161" s="4"/>
      <c r="CXN161" s="4"/>
      <c r="CXO161" s="4"/>
      <c r="CXP161" s="4"/>
      <c r="CXQ161" s="4"/>
      <c r="CXR161" s="4"/>
      <c r="CXS161" s="4"/>
      <c r="CXT161" s="4"/>
      <c r="CXU161" s="4"/>
      <c r="CXV161" s="4"/>
      <c r="CXW161" s="4"/>
      <c r="CXX161" s="4"/>
      <c r="CXY161" s="4"/>
      <c r="CXZ161" s="4"/>
      <c r="CYA161" s="4"/>
      <c r="CYB161" s="4"/>
      <c r="CYC161" s="4"/>
      <c r="CYD161" s="4"/>
      <c r="CYE161" s="4"/>
      <c r="CYF161" s="4"/>
      <c r="CYG161" s="4"/>
      <c r="CYH161" s="4"/>
      <c r="CYI161" s="4"/>
      <c r="CYJ161" s="4"/>
      <c r="CYK161" s="4"/>
      <c r="CYL161" s="4"/>
      <c r="CYM161" s="4"/>
      <c r="CYN161" s="4"/>
      <c r="CYO161" s="4"/>
      <c r="CYP161" s="4"/>
      <c r="CYQ161" s="4"/>
      <c r="CYR161" s="4"/>
      <c r="CYS161" s="4"/>
      <c r="CYT161" s="4"/>
      <c r="CYU161" s="4"/>
      <c r="CYV161" s="4"/>
      <c r="CYW161" s="4"/>
      <c r="CYX161" s="4"/>
      <c r="CYY161" s="4"/>
      <c r="CYZ161" s="4"/>
      <c r="CZA161" s="4"/>
      <c r="CZB161" s="4"/>
      <c r="CZC161" s="4"/>
      <c r="CZD161" s="4"/>
      <c r="CZE161" s="4"/>
      <c r="CZF161" s="4"/>
      <c r="CZG161" s="4"/>
      <c r="CZH161" s="4"/>
      <c r="CZI161" s="4"/>
      <c r="CZJ161" s="4"/>
      <c r="CZK161" s="4"/>
      <c r="CZL161" s="4"/>
      <c r="CZM161" s="4"/>
      <c r="CZN161" s="4"/>
      <c r="CZO161" s="4"/>
      <c r="CZP161" s="4"/>
      <c r="CZQ161" s="4"/>
      <c r="CZR161" s="4"/>
      <c r="CZS161" s="4"/>
      <c r="CZT161" s="4"/>
      <c r="CZU161" s="4"/>
      <c r="CZV161" s="4"/>
      <c r="CZW161" s="4"/>
      <c r="CZX161" s="4"/>
      <c r="CZY161" s="4"/>
      <c r="CZZ161" s="4"/>
      <c r="DAA161" s="4"/>
      <c r="DAB161" s="4"/>
      <c r="DAC161" s="4"/>
      <c r="DAD161" s="4"/>
      <c r="DAE161" s="4"/>
      <c r="DAF161" s="4"/>
      <c r="DAG161" s="4"/>
      <c r="DAH161" s="4"/>
      <c r="DAI161" s="4"/>
      <c r="DAJ161" s="4"/>
      <c r="DAK161" s="4"/>
      <c r="DAL161" s="4"/>
      <c r="DAM161" s="4"/>
      <c r="DAN161" s="4"/>
      <c r="DAO161" s="4"/>
      <c r="DAP161" s="4"/>
      <c r="DAQ161" s="4"/>
      <c r="DAR161" s="4"/>
      <c r="DAS161" s="4"/>
      <c r="DAT161" s="4"/>
      <c r="DAU161" s="4"/>
      <c r="DAV161" s="4"/>
      <c r="DAW161" s="4"/>
      <c r="DAX161" s="4"/>
      <c r="DAY161" s="4"/>
      <c r="DAZ161" s="4"/>
      <c r="DBA161" s="4"/>
      <c r="DBB161" s="4"/>
      <c r="DBC161" s="4"/>
      <c r="DBD161" s="4"/>
      <c r="DBE161" s="4"/>
      <c r="DBF161" s="4"/>
      <c r="DBG161" s="4"/>
      <c r="DBH161" s="4"/>
      <c r="DBI161" s="4"/>
      <c r="DBJ161" s="4"/>
      <c r="DBK161" s="4"/>
      <c r="DBL161" s="4"/>
      <c r="DBM161" s="4"/>
      <c r="DBN161" s="4"/>
      <c r="DBO161" s="4"/>
      <c r="DBP161" s="4"/>
      <c r="DBQ161" s="4"/>
      <c r="DBR161" s="4"/>
      <c r="DBS161" s="4"/>
      <c r="DBT161" s="4"/>
      <c r="DBU161" s="4"/>
      <c r="DBV161" s="4"/>
      <c r="DBW161" s="4"/>
      <c r="DBX161" s="4"/>
      <c r="DBY161" s="4"/>
      <c r="DBZ161" s="4"/>
      <c r="DCA161" s="4"/>
      <c r="DCB161" s="4"/>
      <c r="DCC161" s="4"/>
      <c r="DCD161" s="4"/>
      <c r="DCE161" s="4"/>
      <c r="DCF161" s="4"/>
      <c r="DCG161" s="4"/>
      <c r="DCH161" s="4"/>
      <c r="DCI161" s="4"/>
      <c r="DCJ161" s="4"/>
      <c r="DCK161" s="4"/>
      <c r="DCL161" s="4"/>
      <c r="DCM161" s="4"/>
      <c r="DCN161" s="4"/>
      <c r="DCO161" s="4"/>
      <c r="DCP161" s="4"/>
      <c r="DCQ161" s="4"/>
      <c r="DCR161" s="4"/>
      <c r="DCS161" s="4"/>
      <c r="DCT161" s="4"/>
      <c r="DCU161" s="4"/>
      <c r="DCV161" s="4"/>
      <c r="DCW161" s="4"/>
      <c r="DCX161" s="4"/>
      <c r="DCY161" s="4"/>
      <c r="DCZ161" s="4"/>
      <c r="DDA161" s="4"/>
      <c r="DDB161" s="4"/>
      <c r="DDC161" s="4"/>
      <c r="DDD161" s="4"/>
      <c r="DDE161" s="4"/>
      <c r="DDF161" s="4"/>
      <c r="DDG161" s="4"/>
      <c r="DDH161" s="4"/>
      <c r="DDI161" s="4"/>
      <c r="DDJ161" s="4"/>
      <c r="DDK161" s="4"/>
      <c r="DDL161" s="4"/>
      <c r="DDM161" s="4"/>
      <c r="DDN161" s="4"/>
      <c r="DDO161" s="4"/>
      <c r="DDP161" s="4"/>
      <c r="DDQ161" s="4"/>
      <c r="DDR161" s="4"/>
      <c r="DDS161" s="4"/>
      <c r="DDT161" s="4"/>
      <c r="DDU161" s="4"/>
      <c r="DDV161" s="4"/>
      <c r="DDW161" s="4"/>
      <c r="DDX161" s="4"/>
      <c r="DDY161" s="4"/>
      <c r="DDZ161" s="4"/>
      <c r="DEA161" s="4"/>
      <c r="DEB161" s="4"/>
      <c r="DEC161" s="4"/>
      <c r="DED161" s="4"/>
      <c r="DEE161" s="4"/>
      <c r="DEF161" s="4"/>
      <c r="DEG161" s="4"/>
      <c r="DEH161" s="4"/>
      <c r="DEI161" s="4"/>
      <c r="DEJ161" s="4"/>
      <c r="DEK161" s="4"/>
      <c r="DEL161" s="4"/>
      <c r="DEM161" s="4"/>
      <c r="DEN161" s="4"/>
      <c r="DEO161" s="4"/>
      <c r="DEP161" s="4"/>
      <c r="DEQ161" s="4"/>
      <c r="DER161" s="4"/>
      <c r="DES161" s="4"/>
      <c r="DET161" s="4"/>
      <c r="DEU161" s="4"/>
      <c r="DEV161" s="4"/>
      <c r="DEW161" s="4"/>
      <c r="DEX161" s="4"/>
      <c r="DEY161" s="4"/>
      <c r="DEZ161" s="4"/>
      <c r="DFA161" s="4"/>
      <c r="DFB161" s="4"/>
      <c r="DFC161" s="4"/>
      <c r="DFD161" s="4"/>
      <c r="DFE161" s="4"/>
      <c r="DFF161" s="4"/>
      <c r="DFG161" s="4"/>
      <c r="DFH161" s="4"/>
      <c r="DFI161" s="4"/>
      <c r="DFJ161" s="4"/>
      <c r="DFK161" s="4"/>
      <c r="DFL161" s="4"/>
      <c r="DFM161" s="4"/>
      <c r="DFN161" s="4"/>
      <c r="DFO161" s="4"/>
      <c r="DFP161" s="4"/>
      <c r="DFQ161" s="4"/>
      <c r="DFR161" s="4"/>
      <c r="DFS161" s="4"/>
      <c r="DFT161" s="4"/>
      <c r="DFU161" s="4"/>
      <c r="DFV161" s="4"/>
      <c r="DFW161" s="4"/>
      <c r="DFX161" s="4"/>
      <c r="DFY161" s="4"/>
      <c r="DFZ161" s="4"/>
      <c r="DGA161" s="4"/>
      <c r="DGB161" s="4"/>
      <c r="DGC161" s="4"/>
      <c r="DGD161" s="4"/>
      <c r="DGE161" s="4"/>
      <c r="DGF161" s="4"/>
      <c r="DGG161" s="4"/>
      <c r="DGH161" s="4"/>
      <c r="DGI161" s="4"/>
      <c r="DGJ161" s="4"/>
      <c r="DGK161" s="4"/>
      <c r="DGL161" s="4"/>
      <c r="DGM161" s="4"/>
      <c r="DGN161" s="4"/>
      <c r="DGO161" s="4"/>
      <c r="DGP161" s="4"/>
      <c r="DGQ161" s="4"/>
      <c r="DGR161" s="4"/>
      <c r="DGS161" s="4"/>
      <c r="DGT161" s="4"/>
      <c r="DGU161" s="4"/>
      <c r="DGV161" s="4"/>
      <c r="DGW161" s="4"/>
      <c r="DGX161" s="4"/>
      <c r="DGY161" s="4"/>
      <c r="DGZ161" s="4"/>
      <c r="DHA161" s="4"/>
      <c r="DHB161" s="4"/>
      <c r="DHC161" s="4"/>
      <c r="DHD161" s="4"/>
      <c r="DHE161" s="4"/>
      <c r="DHF161" s="4"/>
      <c r="DHG161" s="4"/>
      <c r="DHH161" s="4"/>
      <c r="DHI161" s="4"/>
      <c r="DHJ161" s="4"/>
      <c r="DHK161" s="4"/>
      <c r="DHL161" s="4"/>
      <c r="DHM161" s="4"/>
      <c r="DHN161" s="4"/>
      <c r="DHO161" s="4"/>
      <c r="DHP161" s="4"/>
      <c r="DHQ161" s="4"/>
      <c r="DHR161" s="4"/>
      <c r="DHS161" s="4"/>
      <c r="DHT161" s="4"/>
      <c r="DHU161" s="4"/>
      <c r="DHV161" s="4"/>
      <c r="DHW161" s="4"/>
      <c r="DHX161" s="4"/>
      <c r="DHY161" s="4"/>
      <c r="DHZ161" s="4"/>
      <c r="DIA161" s="4"/>
      <c r="DIB161" s="4"/>
      <c r="DIC161" s="4"/>
      <c r="DID161" s="4"/>
      <c r="DIE161" s="4"/>
      <c r="DIF161" s="4"/>
      <c r="DIG161" s="4"/>
      <c r="DIH161" s="4"/>
      <c r="DII161" s="4"/>
      <c r="DIJ161" s="4"/>
      <c r="DIK161" s="4"/>
      <c r="DIL161" s="4"/>
      <c r="DIM161" s="4"/>
      <c r="DIN161" s="4"/>
      <c r="DIO161" s="4"/>
      <c r="DIP161" s="4"/>
      <c r="DIQ161" s="4"/>
      <c r="DIR161" s="4"/>
      <c r="DIS161" s="4"/>
      <c r="DIT161" s="4"/>
      <c r="DIU161" s="4"/>
      <c r="DIV161" s="4"/>
      <c r="DIW161" s="4"/>
      <c r="DIX161" s="4"/>
      <c r="DIY161" s="4"/>
      <c r="DIZ161" s="4"/>
      <c r="DJA161" s="4"/>
      <c r="DJB161" s="4"/>
      <c r="DJC161" s="4"/>
      <c r="DJD161" s="4"/>
      <c r="DJE161" s="4"/>
      <c r="DJF161" s="4"/>
      <c r="DJG161" s="4"/>
      <c r="DJH161" s="4"/>
      <c r="DJI161" s="4"/>
      <c r="DJJ161" s="4"/>
      <c r="DJK161" s="4"/>
      <c r="DJL161" s="4"/>
      <c r="DJM161" s="4"/>
      <c r="DJN161" s="4"/>
      <c r="DJO161" s="4"/>
      <c r="DJP161" s="4"/>
      <c r="DJQ161" s="4"/>
      <c r="DJR161" s="4"/>
      <c r="DJS161" s="4"/>
      <c r="DJT161" s="4"/>
      <c r="DJU161" s="4"/>
      <c r="DJV161" s="4"/>
      <c r="DJW161" s="4"/>
      <c r="DJX161" s="4"/>
      <c r="DJY161" s="4"/>
      <c r="DJZ161" s="4"/>
      <c r="DKA161" s="4"/>
      <c r="DKB161" s="4"/>
      <c r="DKC161" s="4"/>
      <c r="DKD161" s="4"/>
      <c r="DKE161" s="4"/>
      <c r="DKF161" s="4"/>
      <c r="DKG161" s="4"/>
      <c r="DKH161" s="4"/>
      <c r="DKI161" s="4"/>
      <c r="DKJ161" s="4"/>
      <c r="DKK161" s="4"/>
      <c r="DKL161" s="4"/>
      <c r="DKM161" s="4"/>
      <c r="DKN161" s="4"/>
      <c r="DKO161" s="4"/>
      <c r="DKP161" s="4"/>
      <c r="DKQ161" s="4"/>
      <c r="DKR161" s="4"/>
      <c r="DKS161" s="4"/>
      <c r="DKT161" s="4"/>
      <c r="DKU161" s="4"/>
      <c r="DKV161" s="4"/>
      <c r="DKW161" s="4"/>
      <c r="DKX161" s="4"/>
      <c r="DKY161" s="4"/>
      <c r="DKZ161" s="4"/>
      <c r="DLA161" s="4"/>
      <c r="DLB161" s="4"/>
      <c r="DLC161" s="4"/>
      <c r="DLD161" s="4"/>
      <c r="DLE161" s="4"/>
      <c r="DLF161" s="4"/>
      <c r="DLG161" s="4"/>
      <c r="DLH161" s="4"/>
      <c r="DLI161" s="4"/>
      <c r="DLJ161" s="4"/>
      <c r="DLK161" s="4"/>
      <c r="DLL161" s="4"/>
      <c r="DLM161" s="4"/>
      <c r="DLN161" s="4"/>
      <c r="DLO161" s="4"/>
      <c r="DLP161" s="4"/>
      <c r="DLQ161" s="4"/>
      <c r="DLR161" s="4"/>
      <c r="DLS161" s="4"/>
      <c r="DLT161" s="4"/>
      <c r="DLU161" s="4"/>
      <c r="DLV161" s="4"/>
      <c r="DLW161" s="4"/>
      <c r="DLX161" s="4"/>
      <c r="DLY161" s="4"/>
      <c r="DLZ161" s="4"/>
      <c r="DMA161" s="4"/>
      <c r="DMB161" s="4"/>
      <c r="DMC161" s="4"/>
      <c r="DMD161" s="4"/>
      <c r="DME161" s="4"/>
      <c r="DMF161" s="4"/>
      <c r="DMG161" s="4"/>
      <c r="DMH161" s="4"/>
      <c r="DMI161" s="4"/>
      <c r="DMJ161" s="4"/>
      <c r="DMK161" s="4"/>
      <c r="DML161" s="4"/>
      <c r="DMM161" s="4"/>
      <c r="DMN161" s="4"/>
      <c r="DMO161" s="4"/>
      <c r="DMP161" s="4"/>
      <c r="DMQ161" s="4"/>
      <c r="DMR161" s="4"/>
      <c r="DMS161" s="4"/>
      <c r="DMT161" s="4"/>
      <c r="DMU161" s="4"/>
      <c r="DMV161" s="4"/>
      <c r="DMW161" s="4"/>
      <c r="DMX161" s="4"/>
      <c r="DMY161" s="4"/>
      <c r="DMZ161" s="4"/>
      <c r="DNA161" s="4"/>
      <c r="DNB161" s="4"/>
      <c r="DNC161" s="4"/>
      <c r="DND161" s="4"/>
      <c r="DNE161" s="4"/>
      <c r="DNF161" s="4"/>
      <c r="DNG161" s="4"/>
      <c r="DNH161" s="4"/>
      <c r="DNI161" s="4"/>
      <c r="DNJ161" s="4"/>
      <c r="DNK161" s="4"/>
      <c r="DNL161" s="4"/>
      <c r="DNM161" s="4"/>
      <c r="DNN161" s="4"/>
      <c r="DNO161" s="4"/>
      <c r="DNP161" s="4"/>
      <c r="DNQ161" s="4"/>
      <c r="DNR161" s="4"/>
      <c r="DNS161" s="4"/>
      <c r="DNT161" s="4"/>
      <c r="DNU161" s="4"/>
      <c r="DNV161" s="4"/>
      <c r="DNW161" s="4"/>
      <c r="DNX161" s="4"/>
      <c r="DNY161" s="4"/>
      <c r="DNZ161" s="4"/>
      <c r="DOA161" s="4"/>
      <c r="DOB161" s="4"/>
      <c r="DOC161" s="4"/>
      <c r="DOD161" s="4"/>
      <c r="DOE161" s="4"/>
      <c r="DOF161" s="4"/>
      <c r="DOG161" s="4"/>
      <c r="DOH161" s="4"/>
      <c r="DOI161" s="4"/>
      <c r="DOJ161" s="4"/>
      <c r="DOK161" s="4"/>
      <c r="DOL161" s="4"/>
      <c r="DOM161" s="4"/>
      <c r="DON161" s="4"/>
      <c r="DOO161" s="4"/>
      <c r="DOP161" s="4"/>
      <c r="DOQ161" s="4"/>
      <c r="DOR161" s="4"/>
      <c r="DOS161" s="4"/>
      <c r="DOT161" s="4"/>
      <c r="DOU161" s="4"/>
      <c r="DOV161" s="4"/>
      <c r="DOW161" s="4"/>
      <c r="DOX161" s="4"/>
      <c r="DOY161" s="4"/>
      <c r="DOZ161" s="4"/>
      <c r="DPA161" s="4"/>
      <c r="DPB161" s="4"/>
      <c r="DPC161" s="4"/>
      <c r="DPD161" s="4"/>
      <c r="DPE161" s="4"/>
      <c r="DPF161" s="4"/>
      <c r="DPG161" s="4"/>
      <c r="DPH161" s="4"/>
      <c r="DPI161" s="4"/>
      <c r="DPJ161" s="4"/>
      <c r="DPK161" s="4"/>
      <c r="DPL161" s="4"/>
      <c r="DPM161" s="4"/>
      <c r="DPN161" s="4"/>
      <c r="DPO161" s="4"/>
      <c r="DPP161" s="4"/>
      <c r="DPQ161" s="4"/>
      <c r="DPR161" s="4"/>
      <c r="DPS161" s="4"/>
      <c r="DPT161" s="4"/>
      <c r="DPU161" s="4"/>
      <c r="DPV161" s="4"/>
      <c r="DPW161" s="4"/>
      <c r="DPX161" s="4"/>
      <c r="DPY161" s="4"/>
      <c r="DPZ161" s="4"/>
      <c r="DQA161" s="4"/>
      <c r="DQB161" s="4"/>
      <c r="DQC161" s="4"/>
      <c r="DQD161" s="4"/>
      <c r="DQE161" s="4"/>
      <c r="DQF161" s="4"/>
      <c r="DQG161" s="4"/>
      <c r="DQH161" s="4"/>
      <c r="DQI161" s="4"/>
      <c r="DQJ161" s="4"/>
      <c r="DQK161" s="4"/>
      <c r="DQL161" s="4"/>
      <c r="DQM161" s="4"/>
      <c r="DQN161" s="4"/>
      <c r="DQO161" s="4"/>
      <c r="DQP161" s="4"/>
      <c r="DQQ161" s="4"/>
      <c r="DQR161" s="4"/>
      <c r="DQS161" s="4"/>
      <c r="DQT161" s="4"/>
      <c r="DQU161" s="4"/>
      <c r="DQV161" s="4"/>
      <c r="DQW161" s="4"/>
      <c r="DQX161" s="4"/>
      <c r="DQY161" s="4"/>
      <c r="DQZ161" s="4"/>
      <c r="DRA161" s="4"/>
      <c r="DRB161" s="4"/>
      <c r="DRC161" s="4"/>
      <c r="DRD161" s="4"/>
      <c r="DRE161" s="4"/>
      <c r="DRF161" s="4"/>
      <c r="DRG161" s="4"/>
      <c r="DRH161" s="4"/>
      <c r="DRI161" s="4"/>
      <c r="DRJ161" s="4"/>
      <c r="DRK161" s="4"/>
      <c r="DRL161" s="4"/>
      <c r="DRM161" s="4"/>
      <c r="DRN161" s="4"/>
      <c r="DRO161" s="4"/>
      <c r="DRP161" s="4"/>
      <c r="DRQ161" s="4"/>
      <c r="DRR161" s="4"/>
      <c r="DRS161" s="4"/>
      <c r="DRT161" s="4"/>
      <c r="DRU161" s="4"/>
      <c r="DRV161" s="4"/>
      <c r="DRW161" s="4"/>
      <c r="DRX161" s="4"/>
      <c r="DRY161" s="4"/>
      <c r="DRZ161" s="4"/>
      <c r="DSA161" s="4"/>
      <c r="DSB161" s="4"/>
      <c r="DSC161" s="4"/>
      <c r="DSD161" s="4"/>
      <c r="DSE161" s="4"/>
      <c r="DSF161" s="4"/>
      <c r="DSG161" s="4"/>
      <c r="DSH161" s="4"/>
      <c r="DSI161" s="4"/>
      <c r="DSJ161" s="4"/>
      <c r="DSK161" s="4"/>
      <c r="DSL161" s="4"/>
      <c r="DSM161" s="4"/>
      <c r="DSN161" s="4"/>
      <c r="DSO161" s="4"/>
      <c r="DSP161" s="4"/>
      <c r="DSQ161" s="4"/>
      <c r="DSR161" s="4"/>
      <c r="DSS161" s="4"/>
      <c r="DST161" s="4"/>
      <c r="DSU161" s="4"/>
      <c r="DSV161" s="4"/>
      <c r="DSW161" s="4"/>
      <c r="DSX161" s="4"/>
      <c r="DSY161" s="4"/>
      <c r="DSZ161" s="4"/>
      <c r="DTA161" s="4"/>
      <c r="DTB161" s="4"/>
      <c r="DTC161" s="4"/>
      <c r="DTD161" s="4"/>
      <c r="DTE161" s="4"/>
      <c r="DTF161" s="4"/>
      <c r="DTG161" s="4"/>
      <c r="DTH161" s="4"/>
      <c r="DTI161" s="4"/>
      <c r="DTJ161" s="4"/>
      <c r="DTK161" s="4"/>
      <c r="DTL161" s="4"/>
      <c r="DTM161" s="4"/>
      <c r="DTN161" s="4"/>
      <c r="DTO161" s="4"/>
      <c r="DTP161" s="4"/>
      <c r="DTQ161" s="4"/>
      <c r="DTR161" s="4"/>
      <c r="DTS161" s="4"/>
      <c r="DTT161" s="4"/>
      <c r="DTU161" s="4"/>
      <c r="DTV161" s="4"/>
      <c r="DTW161" s="4"/>
      <c r="DTX161" s="4"/>
      <c r="DTY161" s="4"/>
      <c r="DTZ161" s="4"/>
      <c r="DUA161" s="4"/>
      <c r="DUB161" s="4"/>
      <c r="DUC161" s="4"/>
      <c r="DUD161" s="4"/>
      <c r="DUE161" s="4"/>
      <c r="DUF161" s="4"/>
      <c r="DUG161" s="4"/>
      <c r="DUH161" s="4"/>
      <c r="DUI161" s="4"/>
      <c r="DUJ161" s="4"/>
      <c r="DUK161" s="4"/>
      <c r="DUL161" s="4"/>
      <c r="DUM161" s="4"/>
      <c r="DUN161" s="4"/>
      <c r="DUO161" s="4"/>
      <c r="DUP161" s="4"/>
      <c r="DUQ161" s="4"/>
      <c r="DUR161" s="4"/>
      <c r="DUS161" s="4"/>
      <c r="DUT161" s="4"/>
      <c r="DUU161" s="4"/>
      <c r="DUV161" s="4"/>
      <c r="DUW161" s="4"/>
      <c r="DUX161" s="4"/>
      <c r="DUY161" s="4"/>
      <c r="DUZ161" s="4"/>
      <c r="DVA161" s="4"/>
      <c r="DVB161" s="4"/>
      <c r="DVC161" s="4"/>
      <c r="DVD161" s="4"/>
      <c r="DVE161" s="4"/>
      <c r="DVF161" s="4"/>
      <c r="DVG161" s="4"/>
      <c r="DVH161" s="4"/>
      <c r="DVI161" s="4"/>
      <c r="DVJ161" s="4"/>
      <c r="DVK161" s="4"/>
      <c r="DVL161" s="4"/>
      <c r="DVM161" s="4"/>
      <c r="DVN161" s="4"/>
      <c r="DVO161" s="4"/>
      <c r="DVP161" s="4"/>
      <c r="DVQ161" s="4"/>
      <c r="DVR161" s="4"/>
      <c r="DVS161" s="4"/>
      <c r="DVT161" s="4"/>
      <c r="DVU161" s="4"/>
      <c r="DVV161" s="4"/>
      <c r="DVW161" s="4"/>
      <c r="DVX161" s="4"/>
      <c r="DVY161" s="4"/>
      <c r="DVZ161" s="4"/>
      <c r="DWA161" s="4"/>
      <c r="DWB161" s="4"/>
      <c r="DWC161" s="4"/>
      <c r="DWD161" s="4"/>
      <c r="DWE161" s="4"/>
      <c r="DWF161" s="4"/>
      <c r="DWG161" s="4"/>
      <c r="DWH161" s="4"/>
      <c r="DWI161" s="4"/>
      <c r="DWJ161" s="4"/>
      <c r="DWK161" s="4"/>
      <c r="DWL161" s="4"/>
      <c r="DWM161" s="4"/>
      <c r="DWN161" s="4"/>
      <c r="DWO161" s="4"/>
      <c r="DWP161" s="4"/>
      <c r="DWQ161" s="4"/>
      <c r="DWR161" s="4"/>
      <c r="DWS161" s="4"/>
      <c r="DWT161" s="4"/>
      <c r="DWU161" s="4"/>
      <c r="DWV161" s="4"/>
      <c r="DWW161" s="4"/>
      <c r="DWX161" s="4"/>
      <c r="DWY161" s="4"/>
      <c r="DWZ161" s="4"/>
      <c r="DXA161" s="4"/>
      <c r="DXB161" s="4"/>
      <c r="DXC161" s="4"/>
      <c r="DXD161" s="4"/>
      <c r="DXE161" s="4"/>
      <c r="DXF161" s="4"/>
      <c r="DXG161" s="4"/>
      <c r="DXH161" s="4"/>
      <c r="DXI161" s="4"/>
      <c r="DXJ161" s="4"/>
      <c r="DXK161" s="4"/>
      <c r="DXL161" s="4"/>
      <c r="DXM161" s="4"/>
      <c r="DXN161" s="4"/>
      <c r="DXO161" s="4"/>
      <c r="DXP161" s="4"/>
      <c r="DXQ161" s="4"/>
      <c r="DXR161" s="4"/>
      <c r="DXS161" s="4"/>
      <c r="DXT161" s="4"/>
      <c r="DXU161" s="4"/>
      <c r="DXV161" s="4"/>
      <c r="DXW161" s="4"/>
      <c r="DXX161" s="4"/>
      <c r="DXY161" s="4"/>
      <c r="DXZ161" s="4"/>
      <c r="DYA161" s="4"/>
      <c r="DYB161" s="4"/>
      <c r="DYC161" s="4"/>
      <c r="DYD161" s="4"/>
      <c r="DYE161" s="4"/>
      <c r="DYF161" s="4"/>
      <c r="DYG161" s="4"/>
      <c r="DYH161" s="4"/>
      <c r="DYI161" s="4"/>
      <c r="DYJ161" s="4"/>
      <c r="DYK161" s="4"/>
      <c r="DYL161" s="4"/>
      <c r="DYM161" s="4"/>
      <c r="DYN161" s="4"/>
      <c r="DYO161" s="4"/>
      <c r="DYP161" s="4"/>
      <c r="DYQ161" s="4"/>
      <c r="DYR161" s="4"/>
      <c r="DYS161" s="4"/>
      <c r="DYT161" s="4"/>
      <c r="DYU161" s="4"/>
      <c r="DYV161" s="4"/>
      <c r="DYW161" s="4"/>
      <c r="DYX161" s="4"/>
      <c r="DYY161" s="4"/>
      <c r="DYZ161" s="4"/>
      <c r="DZA161" s="4"/>
      <c r="DZB161" s="4"/>
      <c r="DZC161" s="4"/>
      <c r="DZD161" s="4"/>
      <c r="DZE161" s="4"/>
      <c r="DZF161" s="4"/>
      <c r="DZG161" s="4"/>
      <c r="DZH161" s="4"/>
      <c r="DZI161" s="4"/>
      <c r="DZJ161" s="4"/>
      <c r="DZK161" s="4"/>
      <c r="DZL161" s="4"/>
      <c r="DZM161" s="4"/>
      <c r="DZN161" s="4"/>
      <c r="DZO161" s="4"/>
      <c r="DZP161" s="4"/>
      <c r="DZQ161" s="4"/>
      <c r="DZR161" s="4"/>
      <c r="DZS161" s="4"/>
      <c r="DZT161" s="4"/>
      <c r="DZU161" s="4"/>
      <c r="DZV161" s="4"/>
      <c r="DZW161" s="4"/>
      <c r="DZX161" s="4"/>
      <c r="DZY161" s="4"/>
      <c r="DZZ161" s="4"/>
      <c r="EAA161" s="4"/>
      <c r="EAB161" s="4"/>
      <c r="EAC161" s="4"/>
      <c r="EAD161" s="4"/>
      <c r="EAE161" s="4"/>
      <c r="EAF161" s="4"/>
      <c r="EAG161" s="4"/>
      <c r="EAH161" s="4"/>
      <c r="EAI161" s="4"/>
      <c r="EAJ161" s="4"/>
      <c r="EAK161" s="4"/>
      <c r="EAL161" s="4"/>
      <c r="EAM161" s="4"/>
      <c r="EAN161" s="4"/>
      <c r="EAO161" s="4"/>
      <c r="EAP161" s="4"/>
      <c r="EAQ161" s="4"/>
      <c r="EAR161" s="4"/>
      <c r="EAS161" s="4"/>
      <c r="EAT161" s="4"/>
      <c r="EAU161" s="4"/>
      <c r="EAV161" s="4"/>
      <c r="EAW161" s="4"/>
      <c r="EAX161" s="4"/>
      <c r="EAY161" s="4"/>
      <c r="EAZ161" s="4"/>
      <c r="EBA161" s="4"/>
      <c r="EBB161" s="4"/>
      <c r="EBC161" s="4"/>
      <c r="EBD161" s="4"/>
      <c r="EBE161" s="4"/>
      <c r="EBF161" s="4"/>
      <c r="EBG161" s="4"/>
      <c r="EBH161" s="4"/>
      <c r="EBI161" s="4"/>
      <c r="EBJ161" s="4"/>
      <c r="EBK161" s="4"/>
      <c r="EBL161" s="4"/>
      <c r="EBM161" s="4"/>
      <c r="EBN161" s="4"/>
      <c r="EBO161" s="4"/>
      <c r="EBP161" s="4"/>
      <c r="EBQ161" s="4"/>
      <c r="EBR161" s="4"/>
      <c r="EBS161" s="4"/>
      <c r="EBT161" s="4"/>
      <c r="EBU161" s="4"/>
      <c r="EBV161" s="4"/>
      <c r="EBW161" s="4"/>
      <c r="EBX161" s="4"/>
      <c r="EBY161" s="4"/>
      <c r="EBZ161" s="4"/>
      <c r="ECA161" s="4"/>
      <c r="ECB161" s="4"/>
      <c r="ECC161" s="4"/>
      <c r="ECD161" s="4"/>
      <c r="ECE161" s="4"/>
      <c r="ECF161" s="4"/>
      <c r="ECG161" s="4"/>
      <c r="ECH161" s="4"/>
      <c r="ECI161" s="4"/>
      <c r="ECJ161" s="4"/>
      <c r="ECK161" s="4"/>
      <c r="ECL161" s="4"/>
      <c r="ECM161" s="4"/>
      <c r="ECN161" s="4"/>
      <c r="ECO161" s="4"/>
      <c r="ECP161" s="4"/>
      <c r="ECQ161" s="4"/>
      <c r="ECR161" s="4"/>
      <c r="ECS161" s="4"/>
      <c r="ECT161" s="4"/>
      <c r="ECU161" s="4"/>
      <c r="ECV161" s="4"/>
      <c r="ECW161" s="4"/>
      <c r="ECX161" s="4"/>
      <c r="ECY161" s="4"/>
      <c r="ECZ161" s="4"/>
      <c r="EDA161" s="4"/>
      <c r="EDB161" s="4"/>
      <c r="EDC161" s="4"/>
      <c r="EDD161" s="4"/>
      <c r="EDE161" s="4"/>
      <c r="EDF161" s="4"/>
      <c r="EDG161" s="4"/>
      <c r="EDH161" s="4"/>
      <c r="EDI161" s="4"/>
      <c r="EDJ161" s="4"/>
      <c r="EDK161" s="4"/>
      <c r="EDL161" s="4"/>
      <c r="EDM161" s="4"/>
      <c r="EDN161" s="4"/>
      <c r="EDO161" s="4"/>
      <c r="EDP161" s="4"/>
      <c r="EDQ161" s="4"/>
      <c r="EDR161" s="4"/>
      <c r="EDS161" s="4"/>
      <c r="EDT161" s="4"/>
      <c r="EDU161" s="4"/>
      <c r="EDV161" s="4"/>
      <c r="EDW161" s="4"/>
      <c r="EDX161" s="4"/>
      <c r="EDY161" s="4"/>
      <c r="EDZ161" s="4"/>
      <c r="EEA161" s="4"/>
      <c r="EEB161" s="4"/>
      <c r="EEC161" s="4"/>
      <c r="EED161" s="4"/>
      <c r="EEE161" s="4"/>
      <c r="EEF161" s="4"/>
      <c r="EEG161" s="4"/>
      <c r="EEH161" s="4"/>
      <c r="EEI161" s="4"/>
      <c r="EEJ161" s="4"/>
      <c r="EEK161" s="4"/>
      <c r="EEL161" s="4"/>
      <c r="EEM161" s="4"/>
      <c r="EEN161" s="4"/>
      <c r="EEO161" s="4"/>
      <c r="EEP161" s="4"/>
      <c r="EEQ161" s="4"/>
      <c r="EER161" s="4"/>
      <c r="EES161" s="4"/>
      <c r="EET161" s="4"/>
      <c r="EEU161" s="4"/>
      <c r="EEV161" s="4"/>
      <c r="EEW161" s="4"/>
      <c r="EEX161" s="4"/>
      <c r="EEY161" s="4"/>
      <c r="EEZ161" s="4"/>
      <c r="EFA161" s="4"/>
      <c r="EFB161" s="4"/>
      <c r="EFC161" s="4"/>
      <c r="EFD161" s="4"/>
      <c r="EFE161" s="4"/>
      <c r="EFF161" s="4"/>
      <c r="EFG161" s="4"/>
      <c r="EFH161" s="4"/>
      <c r="EFI161" s="4"/>
      <c r="EFJ161" s="4"/>
      <c r="EFK161" s="4"/>
      <c r="EFL161" s="4"/>
      <c r="EFM161" s="4"/>
      <c r="EFN161" s="4"/>
      <c r="EFO161" s="4"/>
      <c r="EFP161" s="4"/>
      <c r="EFQ161" s="4"/>
      <c r="EFR161" s="4"/>
      <c r="EFS161" s="4"/>
      <c r="EFT161" s="4"/>
      <c r="EFU161" s="4"/>
      <c r="EFV161" s="4"/>
      <c r="EFW161" s="4"/>
      <c r="EFX161" s="4"/>
      <c r="EFY161" s="4"/>
      <c r="EFZ161" s="4"/>
      <c r="EGA161" s="4"/>
      <c r="EGB161" s="4"/>
      <c r="EGC161" s="4"/>
      <c r="EGD161" s="4"/>
      <c r="EGE161" s="4"/>
      <c r="EGF161" s="4"/>
      <c r="EGG161" s="4"/>
      <c r="EGH161" s="4"/>
      <c r="EGI161" s="4"/>
      <c r="EGJ161" s="4"/>
      <c r="EGK161" s="4"/>
      <c r="EGL161" s="4"/>
      <c r="EGM161" s="4"/>
      <c r="EGN161" s="4"/>
      <c r="EGO161" s="4"/>
      <c r="EGP161" s="4"/>
      <c r="EGQ161" s="4"/>
      <c r="EGR161" s="4"/>
      <c r="EGS161" s="4"/>
      <c r="EGT161" s="4"/>
      <c r="EGU161" s="4"/>
      <c r="EGV161" s="4"/>
      <c r="EGW161" s="4"/>
      <c r="EGX161" s="4"/>
      <c r="EGY161" s="4"/>
      <c r="EGZ161" s="4"/>
      <c r="EHA161" s="4"/>
      <c r="EHB161" s="4"/>
      <c r="EHC161" s="4"/>
      <c r="EHD161" s="4"/>
      <c r="EHE161" s="4"/>
      <c r="EHF161" s="4"/>
      <c r="EHG161" s="4"/>
      <c r="EHH161" s="4"/>
      <c r="EHI161" s="4"/>
      <c r="EHJ161" s="4"/>
      <c r="EHK161" s="4"/>
      <c r="EHL161" s="4"/>
      <c r="EHM161" s="4"/>
      <c r="EHN161" s="4"/>
      <c r="EHO161" s="4"/>
      <c r="EHP161" s="4"/>
      <c r="EHQ161" s="4"/>
      <c r="EHR161" s="4"/>
      <c r="EHS161" s="4"/>
      <c r="EHT161" s="4"/>
      <c r="EHU161" s="4"/>
      <c r="EHV161" s="4"/>
      <c r="EHW161" s="4"/>
      <c r="EHX161" s="4"/>
      <c r="EHY161" s="4"/>
      <c r="EHZ161" s="4"/>
      <c r="EIA161" s="4"/>
      <c r="EIB161" s="4"/>
      <c r="EIC161" s="4"/>
      <c r="EID161" s="4"/>
      <c r="EIE161" s="4"/>
      <c r="EIF161" s="4"/>
      <c r="EIG161" s="4"/>
      <c r="EIH161" s="4"/>
      <c r="EII161" s="4"/>
      <c r="EIJ161" s="4"/>
      <c r="EIK161" s="4"/>
      <c r="EIL161" s="4"/>
      <c r="EIM161" s="4"/>
      <c r="EIN161" s="4"/>
      <c r="EIO161" s="4"/>
      <c r="EIP161" s="4"/>
      <c r="EIQ161" s="4"/>
      <c r="EIR161" s="4"/>
      <c r="EIS161" s="4"/>
      <c r="EIT161" s="4"/>
      <c r="EIU161" s="4"/>
      <c r="EIV161" s="4"/>
      <c r="EIW161" s="4"/>
      <c r="EIX161" s="4"/>
      <c r="EIY161" s="4"/>
      <c r="EIZ161" s="4"/>
      <c r="EJA161" s="4"/>
      <c r="EJB161" s="4"/>
      <c r="EJC161" s="4"/>
      <c r="EJD161" s="4"/>
      <c r="EJE161" s="4"/>
      <c r="EJF161" s="4"/>
      <c r="EJG161" s="4"/>
      <c r="EJH161" s="4"/>
      <c r="EJI161" s="4"/>
      <c r="EJJ161" s="4"/>
      <c r="EJK161" s="4"/>
      <c r="EJL161" s="4"/>
      <c r="EJM161" s="4"/>
      <c r="EJN161" s="4"/>
      <c r="EJO161" s="4"/>
      <c r="EJP161" s="4"/>
      <c r="EJQ161" s="4"/>
      <c r="EJR161" s="4"/>
      <c r="EJS161" s="4"/>
      <c r="EJT161" s="4"/>
      <c r="EJU161" s="4"/>
      <c r="EJV161" s="4"/>
      <c r="EJW161" s="4"/>
      <c r="EJX161" s="4"/>
      <c r="EJY161" s="4"/>
      <c r="EJZ161" s="4"/>
      <c r="EKA161" s="4"/>
      <c r="EKB161" s="4"/>
      <c r="EKC161" s="4"/>
      <c r="EKD161" s="4"/>
      <c r="EKE161" s="4"/>
      <c r="EKF161" s="4"/>
      <c r="EKG161" s="4"/>
      <c r="EKH161" s="4"/>
      <c r="EKI161" s="4"/>
      <c r="EKJ161" s="4"/>
      <c r="EKK161" s="4"/>
      <c r="EKL161" s="4"/>
      <c r="EKM161" s="4"/>
      <c r="EKN161" s="4"/>
      <c r="EKO161" s="4"/>
      <c r="EKP161" s="4"/>
      <c r="EKQ161" s="4"/>
      <c r="EKR161" s="4"/>
      <c r="EKS161" s="4"/>
      <c r="EKT161" s="4"/>
      <c r="EKU161" s="4"/>
      <c r="EKV161" s="4"/>
      <c r="EKW161" s="4"/>
      <c r="EKX161" s="4"/>
      <c r="EKY161" s="4"/>
      <c r="EKZ161" s="4"/>
      <c r="ELA161" s="4"/>
      <c r="ELB161" s="4"/>
      <c r="ELC161" s="4"/>
      <c r="ELD161" s="4"/>
      <c r="ELE161" s="4"/>
      <c r="ELF161" s="4"/>
      <c r="ELG161" s="4"/>
      <c r="ELH161" s="4"/>
      <c r="ELI161" s="4"/>
      <c r="ELJ161" s="4"/>
      <c r="ELK161" s="4"/>
      <c r="ELL161" s="4"/>
      <c r="ELM161" s="4"/>
      <c r="ELN161" s="4"/>
      <c r="ELO161" s="4"/>
      <c r="ELP161" s="4"/>
      <c r="ELQ161" s="4"/>
      <c r="ELR161" s="4"/>
      <c r="ELS161" s="4"/>
      <c r="ELT161" s="4"/>
      <c r="ELU161" s="4"/>
      <c r="ELV161" s="4"/>
      <c r="ELW161" s="4"/>
      <c r="ELX161" s="4"/>
      <c r="ELY161" s="4"/>
      <c r="ELZ161" s="4"/>
      <c r="EMA161" s="4"/>
      <c r="EMB161" s="4"/>
      <c r="EMC161" s="4"/>
      <c r="EMD161" s="4"/>
      <c r="EME161" s="4"/>
      <c r="EMF161" s="4"/>
      <c r="EMG161" s="4"/>
      <c r="EMH161" s="4"/>
      <c r="EMI161" s="4"/>
      <c r="EMJ161" s="4"/>
      <c r="EMK161" s="4"/>
      <c r="EML161" s="4"/>
      <c r="EMM161" s="4"/>
      <c r="EMN161" s="4"/>
      <c r="EMO161" s="4"/>
      <c r="EMP161" s="4"/>
      <c r="EMQ161" s="4"/>
      <c r="EMR161" s="4"/>
      <c r="EMS161" s="4"/>
      <c r="EMT161" s="4"/>
      <c r="EMU161" s="4"/>
      <c r="EMV161" s="4"/>
      <c r="EMW161" s="4"/>
      <c r="EMX161" s="4"/>
      <c r="EMY161" s="4"/>
      <c r="EMZ161" s="4"/>
      <c r="ENA161" s="4"/>
      <c r="ENB161" s="4"/>
      <c r="ENC161" s="4"/>
      <c r="END161" s="4"/>
      <c r="ENE161" s="4"/>
      <c r="ENF161" s="4"/>
      <c r="ENG161" s="4"/>
      <c r="ENH161" s="4"/>
      <c r="ENI161" s="4"/>
      <c r="ENJ161" s="4"/>
      <c r="ENK161" s="4"/>
      <c r="ENL161" s="4"/>
      <c r="ENM161" s="4"/>
      <c r="ENN161" s="4"/>
      <c r="ENO161" s="4"/>
      <c r="ENP161" s="4"/>
      <c r="ENQ161" s="4"/>
      <c r="ENR161" s="4"/>
      <c r="ENS161" s="4"/>
      <c r="ENT161" s="4"/>
      <c r="ENU161" s="4"/>
      <c r="ENV161" s="4"/>
      <c r="ENW161" s="4"/>
      <c r="ENX161" s="4"/>
      <c r="ENY161" s="4"/>
      <c r="ENZ161" s="4"/>
      <c r="EOA161" s="4"/>
      <c r="EOB161" s="4"/>
      <c r="EOC161" s="4"/>
      <c r="EOD161" s="4"/>
      <c r="EOE161" s="4"/>
      <c r="EOF161" s="4"/>
      <c r="EOG161" s="4"/>
      <c r="EOH161" s="4"/>
      <c r="EOI161" s="4"/>
      <c r="EOJ161" s="4"/>
      <c r="EOK161" s="4"/>
      <c r="EOL161" s="4"/>
      <c r="EOM161" s="4"/>
      <c r="EON161" s="4"/>
      <c r="EOO161" s="4"/>
      <c r="EOP161" s="4"/>
      <c r="EOQ161" s="4"/>
      <c r="EOR161" s="4"/>
      <c r="EOS161" s="4"/>
      <c r="EOT161" s="4"/>
      <c r="EOU161" s="4"/>
      <c r="EOV161" s="4"/>
      <c r="EOW161" s="4"/>
      <c r="EOX161" s="4"/>
      <c r="EOY161" s="4"/>
      <c r="EOZ161" s="4"/>
      <c r="EPA161" s="4"/>
      <c r="EPB161" s="4"/>
      <c r="EPC161" s="4"/>
      <c r="EPD161" s="4"/>
      <c r="EPE161" s="4"/>
      <c r="EPF161" s="4"/>
      <c r="EPG161" s="4"/>
      <c r="EPH161" s="4"/>
      <c r="EPI161" s="4"/>
      <c r="EPJ161" s="4"/>
      <c r="EPK161" s="4"/>
      <c r="EPL161" s="4"/>
      <c r="EPM161" s="4"/>
      <c r="EPN161" s="4"/>
      <c r="EPO161" s="4"/>
      <c r="EPP161" s="4"/>
      <c r="EPQ161" s="4"/>
      <c r="EPR161" s="4"/>
      <c r="EPS161" s="4"/>
      <c r="EPT161" s="4"/>
      <c r="EPU161" s="4"/>
      <c r="EPV161" s="4"/>
      <c r="EPW161" s="4"/>
      <c r="EPX161" s="4"/>
      <c r="EPY161" s="4"/>
      <c r="EPZ161" s="4"/>
      <c r="EQA161" s="4"/>
      <c r="EQB161" s="4"/>
      <c r="EQC161" s="4"/>
      <c r="EQD161" s="4"/>
      <c r="EQE161" s="4"/>
      <c r="EQF161" s="4"/>
      <c r="EQG161" s="4"/>
      <c r="EQH161" s="4"/>
      <c r="EQI161" s="4"/>
      <c r="EQJ161" s="4"/>
      <c r="EQK161" s="4"/>
      <c r="EQL161" s="4"/>
      <c r="EQM161" s="4"/>
      <c r="EQN161" s="4"/>
      <c r="EQO161" s="4"/>
      <c r="EQP161" s="4"/>
      <c r="EQQ161" s="4"/>
      <c r="EQR161" s="4"/>
      <c r="EQS161" s="4"/>
      <c r="EQT161" s="4"/>
      <c r="EQU161" s="4"/>
      <c r="EQV161" s="4"/>
      <c r="EQW161" s="4"/>
      <c r="EQX161" s="4"/>
      <c r="EQY161" s="4"/>
      <c r="EQZ161" s="4"/>
      <c r="ERA161" s="4"/>
      <c r="ERB161" s="4"/>
      <c r="ERC161" s="4"/>
      <c r="ERD161" s="4"/>
      <c r="ERE161" s="4"/>
      <c r="ERF161" s="4"/>
      <c r="ERG161" s="4"/>
      <c r="ERH161" s="4"/>
      <c r="ERI161" s="4"/>
      <c r="ERJ161" s="4"/>
      <c r="ERK161" s="4"/>
      <c r="ERL161" s="4"/>
      <c r="ERM161" s="4"/>
      <c r="ERN161" s="4"/>
      <c r="ERO161" s="4"/>
      <c r="ERP161" s="4"/>
      <c r="ERQ161" s="4"/>
      <c r="ERR161" s="4"/>
      <c r="ERS161" s="4"/>
      <c r="ERT161" s="4"/>
      <c r="ERU161" s="4"/>
      <c r="ERV161" s="4"/>
      <c r="ERW161" s="4"/>
      <c r="ERX161" s="4"/>
      <c r="ERY161" s="4"/>
      <c r="ERZ161" s="4"/>
      <c r="ESA161" s="4"/>
      <c r="ESB161" s="4"/>
      <c r="ESC161" s="4"/>
      <c r="ESD161" s="4"/>
      <c r="ESE161" s="4"/>
      <c r="ESF161" s="4"/>
      <c r="ESG161" s="4"/>
      <c r="ESH161" s="4"/>
      <c r="ESI161" s="4"/>
      <c r="ESJ161" s="4"/>
      <c r="ESK161" s="4"/>
      <c r="ESL161" s="4"/>
      <c r="ESM161" s="4"/>
      <c r="ESN161" s="4"/>
      <c r="ESO161" s="4"/>
      <c r="ESP161" s="4"/>
      <c r="ESQ161" s="4"/>
      <c r="ESR161" s="4"/>
      <c r="ESS161" s="4"/>
      <c r="EST161" s="4"/>
      <c r="ESU161" s="4"/>
      <c r="ESV161" s="4"/>
      <c r="ESW161" s="4"/>
      <c r="ESX161" s="4"/>
      <c r="ESY161" s="4"/>
      <c r="ESZ161" s="4"/>
      <c r="ETA161" s="4"/>
      <c r="ETB161" s="4"/>
      <c r="ETC161" s="4"/>
      <c r="ETD161" s="4"/>
      <c r="ETE161" s="4"/>
      <c r="ETF161" s="4"/>
      <c r="ETG161" s="4"/>
      <c r="ETH161" s="4"/>
      <c r="ETI161" s="4"/>
      <c r="ETJ161" s="4"/>
      <c r="ETK161" s="4"/>
      <c r="ETL161" s="4"/>
      <c r="ETM161" s="4"/>
      <c r="ETN161" s="4"/>
      <c r="ETO161" s="4"/>
      <c r="ETP161" s="4"/>
      <c r="ETQ161" s="4"/>
      <c r="ETR161" s="4"/>
      <c r="ETS161" s="4"/>
      <c r="ETT161" s="4"/>
      <c r="ETU161" s="4"/>
      <c r="ETV161" s="4"/>
      <c r="ETW161" s="4"/>
      <c r="ETX161" s="4"/>
      <c r="ETY161" s="4"/>
      <c r="ETZ161" s="4"/>
      <c r="EUA161" s="4"/>
      <c r="EUB161" s="4"/>
      <c r="EUC161" s="4"/>
      <c r="EUD161" s="4"/>
      <c r="EUE161" s="4"/>
      <c r="EUF161" s="4"/>
      <c r="EUG161" s="4"/>
      <c r="EUH161" s="4"/>
      <c r="EUI161" s="4"/>
      <c r="EUJ161" s="4"/>
      <c r="EUK161" s="4"/>
      <c r="EUL161" s="4"/>
      <c r="EUM161" s="4"/>
      <c r="EUN161" s="4"/>
      <c r="EUO161" s="4"/>
      <c r="EUP161" s="4"/>
      <c r="EUQ161" s="4"/>
      <c r="EUR161" s="4"/>
      <c r="EUS161" s="4"/>
      <c r="EUT161" s="4"/>
      <c r="EUU161" s="4"/>
      <c r="EUV161" s="4"/>
      <c r="EUW161" s="4"/>
      <c r="EUX161" s="4"/>
      <c r="EUY161" s="4"/>
      <c r="EUZ161" s="4"/>
      <c r="EVA161" s="4"/>
      <c r="EVB161" s="4"/>
      <c r="EVC161" s="4"/>
      <c r="EVD161" s="4"/>
      <c r="EVE161" s="4"/>
      <c r="EVF161" s="4"/>
      <c r="EVG161" s="4"/>
      <c r="EVH161" s="4"/>
      <c r="EVI161" s="4"/>
      <c r="EVJ161" s="4"/>
      <c r="EVK161" s="4"/>
      <c r="EVL161" s="4"/>
      <c r="EVM161" s="4"/>
      <c r="EVN161" s="4"/>
      <c r="EVO161" s="4"/>
      <c r="EVP161" s="4"/>
      <c r="EVQ161" s="4"/>
      <c r="EVR161" s="4"/>
      <c r="EVS161" s="4"/>
      <c r="EVT161" s="4"/>
      <c r="EVU161" s="4"/>
      <c r="EVV161" s="4"/>
      <c r="EVW161" s="4"/>
      <c r="EVX161" s="4"/>
      <c r="EVY161" s="4"/>
      <c r="EVZ161" s="4"/>
      <c r="EWA161" s="4"/>
      <c r="EWB161" s="4"/>
      <c r="EWC161" s="4"/>
      <c r="EWD161" s="4"/>
      <c r="EWE161" s="4"/>
      <c r="EWF161" s="4"/>
      <c r="EWG161" s="4"/>
      <c r="EWH161" s="4"/>
      <c r="EWI161" s="4"/>
      <c r="EWJ161" s="4"/>
      <c r="EWK161" s="4"/>
      <c r="EWL161" s="4"/>
      <c r="EWM161" s="4"/>
      <c r="EWN161" s="4"/>
      <c r="EWO161" s="4"/>
      <c r="EWP161" s="4"/>
      <c r="EWQ161" s="4"/>
      <c r="EWR161" s="4"/>
      <c r="EWS161" s="4"/>
      <c r="EWT161" s="4"/>
      <c r="EWU161" s="4"/>
      <c r="EWV161" s="4"/>
      <c r="EWW161" s="4"/>
      <c r="EWX161" s="4"/>
      <c r="EWY161" s="4"/>
      <c r="EWZ161" s="4"/>
      <c r="EXA161" s="4"/>
      <c r="EXB161" s="4"/>
      <c r="EXC161" s="4"/>
      <c r="EXD161" s="4"/>
      <c r="EXE161" s="4"/>
      <c r="EXF161" s="4"/>
      <c r="EXG161" s="4"/>
      <c r="EXH161" s="4"/>
      <c r="EXI161" s="4"/>
      <c r="EXJ161" s="4"/>
      <c r="EXK161" s="4"/>
      <c r="EXL161" s="4"/>
      <c r="EXM161" s="4"/>
      <c r="EXN161" s="4"/>
      <c r="EXO161" s="4"/>
      <c r="EXP161" s="4"/>
      <c r="EXQ161" s="4"/>
      <c r="EXR161" s="4"/>
      <c r="EXS161" s="4"/>
      <c r="EXT161" s="4"/>
      <c r="EXU161" s="4"/>
      <c r="EXV161" s="4"/>
      <c r="EXW161" s="4"/>
      <c r="EXX161" s="4"/>
      <c r="EXY161" s="4"/>
      <c r="EXZ161" s="4"/>
      <c r="EYA161" s="4"/>
      <c r="EYB161" s="4"/>
      <c r="EYC161" s="4"/>
      <c r="EYD161" s="4"/>
      <c r="EYE161" s="4"/>
      <c r="EYF161" s="4"/>
      <c r="EYG161" s="4"/>
      <c r="EYH161" s="4"/>
      <c r="EYI161" s="4"/>
      <c r="EYJ161" s="4"/>
      <c r="EYK161" s="4"/>
      <c r="EYL161" s="4"/>
      <c r="EYM161" s="4"/>
      <c r="EYN161" s="4"/>
      <c r="EYO161" s="4"/>
      <c r="EYP161" s="4"/>
      <c r="EYQ161" s="4"/>
      <c r="EYR161" s="4"/>
      <c r="EYS161" s="4"/>
      <c r="EYT161" s="4"/>
      <c r="EYU161" s="4"/>
      <c r="EYV161" s="4"/>
      <c r="EYW161" s="4"/>
      <c r="EYX161" s="4"/>
      <c r="EYY161" s="4"/>
      <c r="EYZ161" s="4"/>
      <c r="EZA161" s="4"/>
      <c r="EZB161" s="4"/>
      <c r="EZC161" s="4"/>
      <c r="EZD161" s="4"/>
      <c r="EZE161" s="4"/>
      <c r="EZF161" s="4"/>
      <c r="EZG161" s="4"/>
      <c r="EZH161" s="4"/>
      <c r="EZI161" s="4"/>
      <c r="EZJ161" s="4"/>
      <c r="EZK161" s="4"/>
      <c r="EZL161" s="4"/>
      <c r="EZM161" s="4"/>
      <c r="EZN161" s="4"/>
      <c r="EZO161" s="4"/>
      <c r="EZP161" s="4"/>
      <c r="EZQ161" s="4"/>
      <c r="EZR161" s="4"/>
      <c r="EZS161" s="4"/>
      <c r="EZT161" s="4"/>
      <c r="EZU161" s="4"/>
      <c r="EZV161" s="4"/>
      <c r="EZW161" s="4"/>
      <c r="EZX161" s="4"/>
      <c r="EZY161" s="4"/>
      <c r="EZZ161" s="4"/>
      <c r="FAA161" s="4"/>
      <c r="FAB161" s="4"/>
      <c r="FAC161" s="4"/>
      <c r="FAD161" s="4"/>
      <c r="FAE161" s="4"/>
      <c r="FAF161" s="4"/>
      <c r="FAG161" s="4"/>
      <c r="FAH161" s="4"/>
      <c r="FAI161" s="4"/>
      <c r="FAJ161" s="4"/>
      <c r="FAK161" s="4"/>
      <c r="FAL161" s="4"/>
      <c r="FAM161" s="4"/>
      <c r="FAN161" s="4"/>
      <c r="FAO161" s="4"/>
      <c r="FAP161" s="4"/>
      <c r="FAQ161" s="4"/>
      <c r="FAR161" s="4"/>
      <c r="FAS161" s="4"/>
      <c r="FAT161" s="4"/>
      <c r="FAU161" s="4"/>
      <c r="FAV161" s="4"/>
      <c r="FAW161" s="4"/>
      <c r="FAX161" s="4"/>
      <c r="FAY161" s="4"/>
      <c r="FAZ161" s="4"/>
      <c r="FBA161" s="4"/>
      <c r="FBB161" s="4"/>
      <c r="FBC161" s="4"/>
      <c r="FBD161" s="4"/>
      <c r="FBE161" s="4"/>
      <c r="FBF161" s="4"/>
      <c r="FBG161" s="4"/>
      <c r="FBH161" s="4"/>
      <c r="FBI161" s="4"/>
      <c r="FBJ161" s="4"/>
      <c r="FBK161" s="4"/>
      <c r="FBL161" s="4"/>
      <c r="FBM161" s="4"/>
      <c r="FBN161" s="4"/>
      <c r="FBO161" s="4"/>
      <c r="FBP161" s="4"/>
      <c r="FBQ161" s="4"/>
      <c r="FBR161" s="4"/>
      <c r="FBS161" s="4"/>
      <c r="FBT161" s="4"/>
      <c r="FBU161" s="4"/>
      <c r="FBV161" s="4"/>
      <c r="FBW161" s="4"/>
      <c r="FBX161" s="4"/>
      <c r="FBY161" s="4"/>
      <c r="FBZ161" s="4"/>
      <c r="FCA161" s="4"/>
      <c r="FCB161" s="4"/>
      <c r="FCC161" s="4"/>
      <c r="FCD161" s="4"/>
      <c r="FCE161" s="4"/>
      <c r="FCF161" s="4"/>
      <c r="FCG161" s="4"/>
      <c r="FCH161" s="4"/>
      <c r="FCI161" s="4"/>
      <c r="FCJ161" s="4"/>
      <c r="FCK161" s="4"/>
      <c r="FCL161" s="4"/>
      <c r="FCM161" s="4"/>
      <c r="FCN161" s="4"/>
      <c r="FCO161" s="4"/>
      <c r="FCP161" s="4"/>
      <c r="FCQ161" s="4"/>
      <c r="FCR161" s="4"/>
      <c r="FCS161" s="4"/>
      <c r="FCT161" s="4"/>
      <c r="FCU161" s="4"/>
      <c r="FCV161" s="4"/>
      <c r="FCW161" s="4"/>
      <c r="FCX161" s="4"/>
      <c r="FCY161" s="4"/>
      <c r="FCZ161" s="4"/>
      <c r="FDA161" s="4"/>
      <c r="FDB161" s="4"/>
      <c r="FDC161" s="4"/>
      <c r="FDD161" s="4"/>
      <c r="FDE161" s="4"/>
      <c r="FDF161" s="4"/>
      <c r="FDG161" s="4"/>
      <c r="FDH161" s="4"/>
      <c r="FDI161" s="4"/>
      <c r="FDJ161" s="4"/>
      <c r="FDK161" s="4"/>
      <c r="FDL161" s="4"/>
      <c r="FDM161" s="4"/>
      <c r="FDN161" s="4"/>
      <c r="FDO161" s="4"/>
      <c r="FDP161" s="4"/>
      <c r="FDQ161" s="4"/>
      <c r="FDR161" s="4"/>
      <c r="FDS161" s="4"/>
      <c r="FDT161" s="4"/>
      <c r="FDU161" s="4"/>
      <c r="FDV161" s="4"/>
      <c r="FDW161" s="4"/>
      <c r="FDX161" s="4"/>
      <c r="FDY161" s="4"/>
      <c r="FDZ161" s="4"/>
      <c r="FEA161" s="4"/>
      <c r="FEB161" s="4"/>
      <c r="FEC161" s="4"/>
      <c r="FED161" s="4"/>
      <c r="FEE161" s="4"/>
      <c r="FEF161" s="4"/>
      <c r="FEG161" s="4"/>
      <c r="FEH161" s="4"/>
      <c r="FEI161" s="4"/>
      <c r="FEJ161" s="4"/>
      <c r="FEK161" s="4"/>
      <c r="FEL161" s="4"/>
      <c r="FEM161" s="4"/>
      <c r="FEN161" s="4"/>
      <c r="FEO161" s="4"/>
      <c r="FEP161" s="4"/>
      <c r="FEQ161" s="4"/>
      <c r="FER161" s="4"/>
      <c r="FES161" s="4"/>
      <c r="FET161" s="4"/>
      <c r="FEU161" s="4"/>
      <c r="FEV161" s="4"/>
      <c r="FEW161" s="4"/>
      <c r="FEX161" s="4"/>
      <c r="FEY161" s="4"/>
      <c r="FEZ161" s="4"/>
      <c r="FFA161" s="4"/>
      <c r="FFB161" s="4"/>
      <c r="FFC161" s="4"/>
      <c r="FFD161" s="4"/>
      <c r="FFE161" s="4"/>
      <c r="FFF161" s="4"/>
      <c r="FFG161" s="4"/>
      <c r="FFH161" s="4"/>
      <c r="FFI161" s="4"/>
      <c r="FFJ161" s="4"/>
      <c r="FFK161" s="4"/>
      <c r="FFL161" s="4"/>
      <c r="FFM161" s="4"/>
      <c r="FFN161" s="4"/>
      <c r="FFO161" s="4"/>
      <c r="FFP161" s="4"/>
      <c r="FFQ161" s="4"/>
      <c r="FFR161" s="4"/>
      <c r="FFS161" s="4"/>
      <c r="FFT161" s="4"/>
      <c r="FFU161" s="4"/>
      <c r="FFV161" s="4"/>
      <c r="FFW161" s="4"/>
      <c r="FFX161" s="4"/>
      <c r="FFY161" s="4"/>
      <c r="FFZ161" s="4"/>
      <c r="FGA161" s="4"/>
      <c r="FGB161" s="4"/>
      <c r="FGC161" s="4"/>
      <c r="FGD161" s="4"/>
      <c r="FGE161" s="4"/>
      <c r="FGF161" s="4"/>
      <c r="FGG161" s="4"/>
      <c r="FGH161" s="4"/>
      <c r="FGI161" s="4"/>
      <c r="FGJ161" s="4"/>
      <c r="FGK161" s="4"/>
      <c r="FGL161" s="4"/>
      <c r="FGM161" s="4"/>
      <c r="FGN161" s="4"/>
      <c r="FGO161" s="4"/>
      <c r="FGP161" s="4"/>
      <c r="FGQ161" s="4"/>
      <c r="FGR161" s="4"/>
      <c r="FGS161" s="4"/>
      <c r="FGT161" s="4"/>
      <c r="FGU161" s="4"/>
      <c r="FGV161" s="4"/>
      <c r="FGW161" s="4"/>
      <c r="FGX161" s="4"/>
      <c r="FGY161" s="4"/>
      <c r="FGZ161" s="4"/>
      <c r="FHA161" s="4"/>
      <c r="FHB161" s="4"/>
      <c r="FHC161" s="4"/>
      <c r="FHD161" s="4"/>
      <c r="FHE161" s="4"/>
      <c r="FHF161" s="4"/>
      <c r="FHG161" s="4"/>
      <c r="FHH161" s="4"/>
      <c r="FHI161" s="4"/>
      <c r="FHJ161" s="4"/>
      <c r="FHK161" s="4"/>
      <c r="FHL161" s="4"/>
      <c r="FHM161" s="4"/>
      <c r="FHN161" s="4"/>
      <c r="FHO161" s="4"/>
      <c r="FHP161" s="4"/>
      <c r="FHQ161" s="4"/>
      <c r="FHR161" s="4"/>
      <c r="FHS161" s="4"/>
      <c r="FHT161" s="4"/>
      <c r="FHU161" s="4"/>
      <c r="FHV161" s="4"/>
      <c r="FHW161" s="4"/>
      <c r="FHX161" s="4"/>
      <c r="FHY161" s="4"/>
      <c r="FHZ161" s="4"/>
      <c r="FIA161" s="4"/>
      <c r="FIB161" s="4"/>
      <c r="FIC161" s="4"/>
      <c r="FID161" s="4"/>
      <c r="FIE161" s="4"/>
      <c r="FIF161" s="4"/>
      <c r="FIG161" s="4"/>
      <c r="FIH161" s="4"/>
      <c r="FII161" s="4"/>
      <c r="FIJ161" s="4"/>
      <c r="FIK161" s="4"/>
      <c r="FIL161" s="4"/>
      <c r="FIM161" s="4"/>
      <c r="FIN161" s="4"/>
      <c r="FIO161" s="4"/>
      <c r="FIP161" s="4"/>
      <c r="FIQ161" s="4"/>
      <c r="FIR161" s="4"/>
      <c r="FIS161" s="4"/>
      <c r="FIT161" s="4"/>
      <c r="FIU161" s="4"/>
      <c r="FIV161" s="4"/>
      <c r="FIW161" s="4"/>
      <c r="FIX161" s="4"/>
      <c r="FIY161" s="4"/>
      <c r="FIZ161" s="4"/>
      <c r="FJA161" s="4"/>
      <c r="FJB161" s="4"/>
      <c r="FJC161" s="4"/>
      <c r="FJD161" s="4"/>
      <c r="FJE161" s="4"/>
      <c r="FJF161" s="4"/>
      <c r="FJG161" s="4"/>
      <c r="FJH161" s="4"/>
      <c r="FJI161" s="4"/>
      <c r="FJJ161" s="4"/>
      <c r="FJK161" s="4"/>
      <c r="FJL161" s="4"/>
      <c r="FJM161" s="4"/>
      <c r="FJN161" s="4"/>
      <c r="FJO161" s="4"/>
      <c r="FJP161" s="4"/>
      <c r="FJQ161" s="4"/>
      <c r="FJR161" s="4"/>
      <c r="FJS161" s="4"/>
      <c r="FJT161" s="4"/>
      <c r="FJU161" s="4"/>
      <c r="FJV161" s="4"/>
      <c r="FJW161" s="4"/>
      <c r="FJX161" s="4"/>
      <c r="FJY161" s="4"/>
      <c r="FJZ161" s="4"/>
      <c r="FKA161" s="4"/>
      <c r="FKB161" s="4"/>
      <c r="FKC161" s="4"/>
      <c r="FKD161" s="4"/>
      <c r="FKE161" s="4"/>
      <c r="FKF161" s="4"/>
      <c r="FKG161" s="4"/>
      <c r="FKH161" s="4"/>
      <c r="FKI161" s="4"/>
      <c r="FKJ161" s="4"/>
      <c r="FKK161" s="4"/>
      <c r="FKL161" s="4"/>
      <c r="FKM161" s="4"/>
      <c r="FKN161" s="4"/>
      <c r="FKO161" s="4"/>
      <c r="FKP161" s="4"/>
      <c r="FKQ161" s="4"/>
      <c r="FKR161" s="4"/>
      <c r="FKS161" s="4"/>
      <c r="FKT161" s="4"/>
      <c r="FKU161" s="4"/>
      <c r="FKV161" s="4"/>
      <c r="FKW161" s="4"/>
      <c r="FKX161" s="4"/>
      <c r="FKY161" s="4"/>
      <c r="FKZ161" s="4"/>
      <c r="FLA161" s="4"/>
      <c r="FLB161" s="4"/>
      <c r="FLC161" s="4"/>
      <c r="FLD161" s="4"/>
      <c r="FLE161" s="4"/>
      <c r="FLF161" s="4"/>
      <c r="FLG161" s="4"/>
      <c r="FLH161" s="4"/>
      <c r="FLI161" s="4"/>
      <c r="FLJ161" s="4"/>
      <c r="FLK161" s="4"/>
      <c r="FLL161" s="4"/>
      <c r="FLM161" s="4"/>
      <c r="FLN161" s="4"/>
      <c r="FLO161" s="4"/>
      <c r="FLP161" s="4"/>
      <c r="FLQ161" s="4"/>
      <c r="FLR161" s="4"/>
      <c r="FLS161" s="4"/>
      <c r="FLT161" s="4"/>
      <c r="FLU161" s="4"/>
      <c r="FLV161" s="4"/>
      <c r="FLW161" s="4"/>
      <c r="FLX161" s="4"/>
      <c r="FLY161" s="4"/>
      <c r="FLZ161" s="4"/>
      <c r="FMA161" s="4"/>
      <c r="FMB161" s="4"/>
      <c r="FMC161" s="4"/>
      <c r="FMD161" s="4"/>
      <c r="FME161" s="4"/>
      <c r="FMF161" s="4"/>
      <c r="FMG161" s="4"/>
      <c r="FMH161" s="4"/>
      <c r="FMI161" s="4"/>
      <c r="FMJ161" s="4"/>
      <c r="FMK161" s="4"/>
      <c r="FML161" s="4"/>
      <c r="FMM161" s="4"/>
      <c r="FMN161" s="4"/>
      <c r="FMO161" s="4"/>
      <c r="FMP161" s="4"/>
      <c r="FMQ161" s="4"/>
      <c r="FMR161" s="4"/>
      <c r="FMS161" s="4"/>
      <c r="FMT161" s="4"/>
      <c r="FMU161" s="4"/>
      <c r="FMV161" s="4"/>
      <c r="FMW161" s="4"/>
      <c r="FMX161" s="4"/>
      <c r="FMY161" s="4"/>
      <c r="FMZ161" s="4"/>
      <c r="FNA161" s="4"/>
      <c r="FNB161" s="4"/>
      <c r="FNC161" s="4"/>
      <c r="FND161" s="4"/>
      <c r="FNE161" s="4"/>
      <c r="FNF161" s="4"/>
      <c r="FNG161" s="4"/>
      <c r="FNH161" s="4"/>
      <c r="FNI161" s="4"/>
      <c r="FNJ161" s="4"/>
      <c r="FNK161" s="4"/>
      <c r="FNL161" s="4"/>
      <c r="FNM161" s="4"/>
      <c r="FNN161" s="4"/>
      <c r="FNO161" s="4"/>
      <c r="FNP161" s="4"/>
      <c r="FNQ161" s="4"/>
      <c r="FNR161" s="4"/>
      <c r="FNS161" s="4"/>
      <c r="FNT161" s="4"/>
      <c r="FNU161" s="4"/>
      <c r="FNV161" s="4"/>
      <c r="FNW161" s="4"/>
      <c r="FNX161" s="4"/>
      <c r="FNY161" s="4"/>
      <c r="FNZ161" s="4"/>
      <c r="FOA161" s="4"/>
      <c r="FOB161" s="4"/>
      <c r="FOC161" s="4"/>
      <c r="FOD161" s="4"/>
      <c r="FOE161" s="4"/>
      <c r="FOF161" s="4"/>
      <c r="FOG161" s="4"/>
      <c r="FOH161" s="4"/>
      <c r="FOI161" s="4"/>
      <c r="FOJ161" s="4"/>
      <c r="FOK161" s="4"/>
      <c r="FOL161" s="4"/>
      <c r="FOM161" s="4"/>
      <c r="FON161" s="4"/>
      <c r="FOO161" s="4"/>
      <c r="FOP161" s="4"/>
      <c r="FOQ161" s="4"/>
      <c r="FOR161" s="4"/>
      <c r="FOS161" s="4"/>
      <c r="FOT161" s="4"/>
      <c r="FOU161" s="4"/>
      <c r="FOV161" s="4"/>
      <c r="FOW161" s="4"/>
      <c r="FOX161" s="4"/>
      <c r="FOY161" s="4"/>
      <c r="FOZ161" s="4"/>
      <c r="FPA161" s="4"/>
      <c r="FPB161" s="4"/>
      <c r="FPC161" s="4"/>
      <c r="FPD161" s="4"/>
      <c r="FPE161" s="4"/>
      <c r="FPF161" s="4"/>
      <c r="FPG161" s="4"/>
      <c r="FPH161" s="4"/>
      <c r="FPI161" s="4"/>
      <c r="FPJ161" s="4"/>
      <c r="FPK161" s="4"/>
      <c r="FPL161" s="4"/>
      <c r="FPM161" s="4"/>
      <c r="FPN161" s="4"/>
      <c r="FPO161" s="4"/>
      <c r="FPP161" s="4"/>
      <c r="FPQ161" s="4"/>
      <c r="FPR161" s="4"/>
      <c r="FPS161" s="4"/>
      <c r="FPT161" s="4"/>
      <c r="FPU161" s="4"/>
      <c r="FPV161" s="4"/>
      <c r="FPW161" s="4"/>
      <c r="FPX161" s="4"/>
      <c r="FPY161" s="4"/>
      <c r="FPZ161" s="4"/>
      <c r="FQA161" s="4"/>
      <c r="FQB161" s="4"/>
      <c r="FQC161" s="4"/>
      <c r="FQD161" s="4"/>
      <c r="FQE161" s="4"/>
      <c r="FQF161" s="4"/>
      <c r="FQG161" s="4"/>
      <c r="FQH161" s="4"/>
      <c r="FQI161" s="4"/>
      <c r="FQJ161" s="4"/>
      <c r="FQK161" s="4"/>
      <c r="FQL161" s="4"/>
      <c r="FQM161" s="4"/>
      <c r="FQN161" s="4"/>
      <c r="FQO161" s="4"/>
      <c r="FQP161" s="4"/>
      <c r="FQQ161" s="4"/>
      <c r="FQR161" s="4"/>
      <c r="FQS161" s="4"/>
      <c r="FQT161" s="4"/>
      <c r="FQU161" s="4"/>
      <c r="FQV161" s="4"/>
      <c r="FQW161" s="4"/>
      <c r="FQX161" s="4"/>
      <c r="FQY161" s="4"/>
      <c r="FQZ161" s="4"/>
      <c r="FRA161" s="4"/>
      <c r="FRB161" s="4"/>
      <c r="FRC161" s="4"/>
      <c r="FRD161" s="4"/>
      <c r="FRE161" s="4"/>
      <c r="FRF161" s="4"/>
      <c r="FRG161" s="4"/>
      <c r="FRH161" s="4"/>
      <c r="FRI161" s="4"/>
      <c r="FRJ161" s="4"/>
      <c r="FRK161" s="4"/>
      <c r="FRL161" s="4"/>
      <c r="FRM161" s="4"/>
      <c r="FRN161" s="4"/>
      <c r="FRO161" s="4"/>
      <c r="FRP161" s="4"/>
      <c r="FRQ161" s="4"/>
      <c r="FRR161" s="4"/>
      <c r="FRS161" s="4"/>
      <c r="FRT161" s="4"/>
      <c r="FRU161" s="4"/>
      <c r="FRV161" s="4"/>
      <c r="FRW161" s="4"/>
      <c r="FRX161" s="4"/>
      <c r="FRY161" s="4"/>
      <c r="FRZ161" s="4"/>
      <c r="FSA161" s="4"/>
      <c r="FSB161" s="4"/>
      <c r="FSC161" s="4"/>
      <c r="FSD161" s="4"/>
      <c r="FSE161" s="4"/>
      <c r="FSF161" s="4"/>
      <c r="FSG161" s="4"/>
      <c r="FSH161" s="4"/>
      <c r="FSI161" s="4"/>
      <c r="FSJ161" s="4"/>
      <c r="FSK161" s="4"/>
      <c r="FSL161" s="4"/>
      <c r="FSM161" s="4"/>
      <c r="FSN161" s="4"/>
      <c r="FSO161" s="4"/>
      <c r="FSP161" s="4"/>
      <c r="FSQ161" s="4"/>
      <c r="FSR161" s="4"/>
      <c r="FSS161" s="4"/>
      <c r="FST161" s="4"/>
      <c r="FSU161" s="4"/>
      <c r="FSV161" s="4"/>
      <c r="FSW161" s="4"/>
      <c r="FSX161" s="4"/>
      <c r="FSY161" s="4"/>
      <c r="FSZ161" s="4"/>
      <c r="FTA161" s="4"/>
      <c r="FTB161" s="4"/>
      <c r="FTC161" s="4"/>
      <c r="FTD161" s="4"/>
      <c r="FTE161" s="4"/>
      <c r="FTF161" s="4"/>
      <c r="FTG161" s="4"/>
      <c r="FTH161" s="4"/>
      <c r="FTI161" s="4"/>
      <c r="FTJ161" s="4"/>
      <c r="FTK161" s="4"/>
      <c r="FTL161" s="4"/>
      <c r="FTM161" s="4"/>
      <c r="FTN161" s="4"/>
      <c r="FTO161" s="4"/>
      <c r="FTP161" s="4"/>
      <c r="FTQ161" s="4"/>
      <c r="FTR161" s="4"/>
      <c r="FTS161" s="4"/>
      <c r="FTT161" s="4"/>
      <c r="FTU161" s="4"/>
      <c r="FTV161" s="4"/>
      <c r="FTW161" s="4"/>
      <c r="FTX161" s="4"/>
      <c r="FTY161" s="4"/>
      <c r="FTZ161" s="4"/>
      <c r="FUA161" s="4"/>
      <c r="FUB161" s="4"/>
      <c r="FUC161" s="4"/>
      <c r="FUD161" s="4"/>
      <c r="FUE161" s="4"/>
      <c r="FUF161" s="4"/>
      <c r="FUG161" s="4"/>
      <c r="FUH161" s="4"/>
      <c r="FUI161" s="4"/>
      <c r="FUJ161" s="4"/>
      <c r="FUK161" s="4"/>
      <c r="FUL161" s="4"/>
      <c r="FUM161" s="4"/>
      <c r="FUN161" s="4"/>
      <c r="FUO161" s="4"/>
      <c r="FUP161" s="4"/>
      <c r="FUQ161" s="4"/>
      <c r="FUR161" s="4"/>
      <c r="FUS161" s="4"/>
      <c r="FUT161" s="4"/>
      <c r="FUU161" s="4"/>
      <c r="FUV161" s="4"/>
      <c r="FUW161" s="4"/>
      <c r="FUX161" s="4"/>
      <c r="FUY161" s="4"/>
      <c r="FUZ161" s="4"/>
      <c r="FVA161" s="4"/>
      <c r="FVB161" s="4"/>
      <c r="FVC161" s="4"/>
      <c r="FVD161" s="4"/>
      <c r="FVE161" s="4"/>
      <c r="FVF161" s="4"/>
      <c r="FVG161" s="4"/>
      <c r="FVH161" s="4"/>
      <c r="FVI161" s="4"/>
      <c r="FVJ161" s="4"/>
      <c r="FVK161" s="4"/>
      <c r="FVL161" s="4"/>
      <c r="FVM161" s="4"/>
      <c r="FVN161" s="4"/>
      <c r="FVO161" s="4"/>
      <c r="FVP161" s="4"/>
      <c r="FVQ161" s="4"/>
      <c r="FVR161" s="4"/>
      <c r="FVS161" s="4"/>
      <c r="FVT161" s="4"/>
      <c r="FVU161" s="4"/>
      <c r="FVV161" s="4"/>
      <c r="FVW161" s="4"/>
      <c r="FVX161" s="4"/>
      <c r="FVY161" s="4"/>
      <c r="FVZ161" s="4"/>
      <c r="FWA161" s="4"/>
      <c r="FWB161" s="4"/>
      <c r="FWC161" s="4"/>
      <c r="FWD161" s="4"/>
      <c r="FWE161" s="4"/>
      <c r="FWF161" s="4"/>
      <c r="FWG161" s="4"/>
      <c r="FWH161" s="4"/>
      <c r="FWI161" s="4"/>
      <c r="FWJ161" s="4"/>
      <c r="FWK161" s="4"/>
      <c r="FWL161" s="4"/>
      <c r="FWM161" s="4"/>
      <c r="FWN161" s="4"/>
      <c r="FWO161" s="4"/>
      <c r="FWP161" s="4"/>
      <c r="FWQ161" s="4"/>
      <c r="FWR161" s="4"/>
      <c r="FWS161" s="4"/>
      <c r="FWT161" s="4"/>
      <c r="FWU161" s="4"/>
      <c r="FWV161" s="4"/>
      <c r="FWW161" s="4"/>
      <c r="FWX161" s="4"/>
      <c r="FWY161" s="4"/>
      <c r="FWZ161" s="4"/>
      <c r="FXA161" s="4"/>
      <c r="FXB161" s="4"/>
      <c r="FXC161" s="4"/>
      <c r="FXD161" s="4"/>
      <c r="FXE161" s="4"/>
      <c r="FXF161" s="4"/>
      <c r="FXG161" s="4"/>
      <c r="FXH161" s="4"/>
      <c r="FXI161" s="4"/>
      <c r="FXJ161" s="4"/>
      <c r="FXK161" s="4"/>
      <c r="FXL161" s="4"/>
      <c r="FXM161" s="4"/>
      <c r="FXN161" s="4"/>
      <c r="FXO161" s="4"/>
      <c r="FXP161" s="4"/>
      <c r="FXQ161" s="4"/>
      <c r="FXR161" s="4"/>
      <c r="FXS161" s="4"/>
      <c r="FXT161" s="4"/>
      <c r="FXU161" s="4"/>
      <c r="FXV161" s="4"/>
      <c r="FXW161" s="4"/>
      <c r="FXX161" s="4"/>
      <c r="FXY161" s="4"/>
      <c r="FXZ161" s="4"/>
      <c r="FYA161" s="4"/>
      <c r="FYB161" s="4"/>
      <c r="FYC161" s="4"/>
      <c r="FYD161" s="4"/>
      <c r="FYE161" s="4"/>
      <c r="FYF161" s="4"/>
      <c r="FYG161" s="4"/>
      <c r="FYH161" s="4"/>
      <c r="FYI161" s="4"/>
      <c r="FYJ161" s="4"/>
      <c r="FYK161" s="4"/>
      <c r="FYL161" s="4"/>
      <c r="FYM161" s="4"/>
      <c r="FYN161" s="4"/>
      <c r="FYO161" s="4"/>
      <c r="FYP161" s="4"/>
      <c r="FYQ161" s="4"/>
      <c r="FYR161" s="4"/>
      <c r="FYS161" s="4"/>
      <c r="FYT161" s="4"/>
      <c r="FYU161" s="4"/>
      <c r="FYV161" s="4"/>
      <c r="FYW161" s="4"/>
      <c r="FYX161" s="4"/>
      <c r="FYY161" s="4"/>
      <c r="FYZ161" s="4"/>
      <c r="FZA161" s="4"/>
      <c r="FZB161" s="4"/>
      <c r="FZC161" s="4"/>
      <c r="FZD161" s="4"/>
      <c r="FZE161" s="4"/>
      <c r="FZF161" s="4"/>
      <c r="FZG161" s="4"/>
      <c r="FZH161" s="4"/>
      <c r="FZI161" s="4"/>
      <c r="FZJ161" s="4"/>
      <c r="FZK161" s="4"/>
      <c r="FZL161" s="4"/>
      <c r="FZM161" s="4"/>
      <c r="FZN161" s="4"/>
      <c r="FZO161" s="4"/>
      <c r="FZP161" s="4"/>
      <c r="FZQ161" s="4"/>
      <c r="FZR161" s="4"/>
      <c r="FZS161" s="4"/>
      <c r="FZT161" s="4"/>
      <c r="FZU161" s="4"/>
      <c r="FZV161" s="4"/>
      <c r="FZW161" s="4"/>
      <c r="FZX161" s="4"/>
      <c r="FZY161" s="4"/>
      <c r="FZZ161" s="4"/>
      <c r="GAA161" s="4"/>
      <c r="GAB161" s="4"/>
      <c r="GAC161" s="4"/>
      <c r="GAD161" s="4"/>
      <c r="GAE161" s="4"/>
      <c r="GAF161" s="4"/>
      <c r="GAG161" s="4"/>
      <c r="GAH161" s="4"/>
      <c r="GAI161" s="4"/>
      <c r="GAJ161" s="4"/>
      <c r="GAK161" s="4"/>
      <c r="GAL161" s="4"/>
      <c r="GAM161" s="4"/>
      <c r="GAN161" s="4"/>
      <c r="GAO161" s="4"/>
      <c r="GAP161" s="4"/>
      <c r="GAQ161" s="4"/>
      <c r="GAR161" s="4"/>
      <c r="GAS161" s="4"/>
      <c r="GAT161" s="4"/>
      <c r="GAU161" s="4"/>
      <c r="GAV161" s="4"/>
      <c r="GAW161" s="4"/>
      <c r="GAX161" s="4"/>
      <c r="GAY161" s="4"/>
      <c r="GAZ161" s="4"/>
      <c r="GBA161" s="4"/>
      <c r="GBB161" s="4"/>
      <c r="GBC161" s="4"/>
      <c r="GBD161" s="4"/>
      <c r="GBE161" s="4"/>
      <c r="GBF161" s="4"/>
      <c r="GBG161" s="4"/>
      <c r="GBH161" s="4"/>
      <c r="GBI161" s="4"/>
      <c r="GBJ161" s="4"/>
      <c r="GBK161" s="4"/>
      <c r="GBL161" s="4"/>
      <c r="GBM161" s="4"/>
      <c r="GBN161" s="4"/>
      <c r="GBO161" s="4"/>
      <c r="GBP161" s="4"/>
      <c r="GBQ161" s="4"/>
      <c r="GBR161" s="4"/>
      <c r="GBS161" s="4"/>
      <c r="GBT161" s="4"/>
      <c r="GBU161" s="4"/>
      <c r="GBV161" s="4"/>
      <c r="GBW161" s="4"/>
      <c r="GBX161" s="4"/>
      <c r="GBY161" s="4"/>
      <c r="GBZ161" s="4"/>
      <c r="GCA161" s="4"/>
      <c r="GCB161" s="4"/>
      <c r="GCC161" s="4"/>
      <c r="GCD161" s="4"/>
      <c r="GCE161" s="4"/>
      <c r="GCF161" s="4"/>
      <c r="GCG161" s="4"/>
      <c r="GCH161" s="4"/>
      <c r="GCI161" s="4"/>
      <c r="GCJ161" s="4"/>
      <c r="GCK161" s="4"/>
      <c r="GCL161" s="4"/>
      <c r="GCM161" s="4"/>
      <c r="GCN161" s="4"/>
      <c r="GCO161" s="4"/>
      <c r="GCP161" s="4"/>
      <c r="GCQ161" s="4"/>
      <c r="GCR161" s="4"/>
      <c r="GCS161" s="4"/>
      <c r="GCT161" s="4"/>
      <c r="GCU161" s="4"/>
      <c r="GCV161" s="4"/>
      <c r="GCW161" s="4"/>
      <c r="GCX161" s="4"/>
      <c r="GCY161" s="4"/>
      <c r="GCZ161" s="4"/>
      <c r="GDA161" s="4"/>
      <c r="GDB161" s="4"/>
      <c r="GDC161" s="4"/>
      <c r="GDD161" s="4"/>
      <c r="GDE161" s="4"/>
      <c r="GDF161" s="4"/>
      <c r="GDG161" s="4"/>
      <c r="GDH161" s="4"/>
      <c r="GDI161" s="4"/>
      <c r="GDJ161" s="4"/>
      <c r="GDK161" s="4"/>
      <c r="GDL161" s="4"/>
      <c r="GDM161" s="4"/>
      <c r="GDN161" s="4"/>
      <c r="GDO161" s="4"/>
      <c r="GDP161" s="4"/>
      <c r="GDQ161" s="4"/>
      <c r="GDR161" s="4"/>
      <c r="GDS161" s="4"/>
      <c r="GDT161" s="4"/>
      <c r="GDU161" s="4"/>
      <c r="GDV161" s="4"/>
      <c r="GDW161" s="4"/>
      <c r="GDX161" s="4"/>
      <c r="GDY161" s="4"/>
      <c r="GDZ161" s="4"/>
      <c r="GEA161" s="4"/>
      <c r="GEB161" s="4"/>
      <c r="GEC161" s="4"/>
      <c r="GED161" s="4"/>
      <c r="GEE161" s="4"/>
      <c r="GEF161" s="4"/>
      <c r="GEG161" s="4"/>
      <c r="GEH161" s="4"/>
      <c r="GEI161" s="4"/>
      <c r="GEJ161" s="4"/>
      <c r="GEK161" s="4"/>
      <c r="GEL161" s="4"/>
      <c r="GEM161" s="4"/>
      <c r="GEN161" s="4"/>
      <c r="GEO161" s="4"/>
      <c r="GEP161" s="4"/>
      <c r="GEQ161" s="4"/>
      <c r="GER161" s="4"/>
      <c r="GES161" s="4"/>
      <c r="GET161" s="4"/>
      <c r="GEU161" s="4"/>
      <c r="GEV161" s="4"/>
      <c r="GEW161" s="4"/>
      <c r="GEX161" s="4"/>
      <c r="GEY161" s="4"/>
      <c r="GEZ161" s="4"/>
      <c r="GFA161" s="4"/>
      <c r="GFB161" s="4"/>
      <c r="GFC161" s="4"/>
      <c r="GFD161" s="4"/>
      <c r="GFE161" s="4"/>
      <c r="GFF161" s="4"/>
      <c r="GFG161" s="4"/>
      <c r="GFH161" s="4"/>
      <c r="GFI161" s="4"/>
      <c r="GFJ161" s="4"/>
      <c r="GFK161" s="4"/>
      <c r="GFL161" s="4"/>
      <c r="GFM161" s="4"/>
      <c r="GFN161" s="4"/>
      <c r="GFO161" s="4"/>
      <c r="GFP161" s="4"/>
      <c r="GFQ161" s="4"/>
      <c r="GFR161" s="4"/>
      <c r="GFS161" s="4"/>
      <c r="GFT161" s="4"/>
      <c r="GFU161" s="4"/>
      <c r="GFV161" s="4"/>
      <c r="GFW161" s="4"/>
      <c r="GFX161" s="4"/>
      <c r="GFY161" s="4"/>
      <c r="GFZ161" s="4"/>
      <c r="GGA161" s="4"/>
      <c r="GGB161" s="4"/>
      <c r="GGC161" s="4"/>
      <c r="GGD161" s="4"/>
      <c r="GGE161" s="4"/>
      <c r="GGF161" s="4"/>
      <c r="GGG161" s="4"/>
      <c r="GGH161" s="4"/>
      <c r="GGI161" s="4"/>
      <c r="GGJ161" s="4"/>
      <c r="GGK161" s="4"/>
      <c r="GGL161" s="4"/>
      <c r="GGM161" s="4"/>
      <c r="GGN161" s="4"/>
      <c r="GGO161" s="4"/>
      <c r="GGP161" s="4"/>
      <c r="GGQ161" s="4"/>
      <c r="GGR161" s="4"/>
      <c r="GGS161" s="4"/>
      <c r="GGT161" s="4"/>
      <c r="GGU161" s="4"/>
      <c r="GGV161" s="4"/>
      <c r="GGW161" s="4"/>
      <c r="GGX161" s="4"/>
      <c r="GGY161" s="4"/>
      <c r="GGZ161" s="4"/>
      <c r="GHA161" s="4"/>
      <c r="GHB161" s="4"/>
      <c r="GHC161" s="4"/>
      <c r="GHD161" s="4"/>
      <c r="GHE161" s="4"/>
      <c r="GHF161" s="4"/>
      <c r="GHG161" s="4"/>
      <c r="GHH161" s="4"/>
      <c r="GHI161" s="4"/>
      <c r="GHJ161" s="4"/>
      <c r="GHK161" s="4"/>
      <c r="GHL161" s="4"/>
      <c r="GHM161" s="4"/>
      <c r="GHN161" s="4"/>
      <c r="GHO161" s="4"/>
      <c r="GHP161" s="4"/>
      <c r="GHQ161" s="4"/>
      <c r="GHR161" s="4"/>
      <c r="GHS161" s="4"/>
      <c r="GHT161" s="4"/>
      <c r="GHU161" s="4"/>
      <c r="GHV161" s="4"/>
      <c r="GHW161" s="4"/>
      <c r="GHX161" s="4"/>
      <c r="GHY161" s="4"/>
      <c r="GHZ161" s="4"/>
      <c r="GIA161" s="4"/>
      <c r="GIB161" s="4"/>
      <c r="GIC161" s="4"/>
      <c r="GID161" s="4"/>
      <c r="GIE161" s="4"/>
      <c r="GIF161" s="4"/>
      <c r="GIG161" s="4"/>
      <c r="GIH161" s="4"/>
      <c r="GII161" s="4"/>
      <c r="GIJ161" s="4"/>
      <c r="GIK161" s="4"/>
      <c r="GIL161" s="4"/>
      <c r="GIM161" s="4"/>
      <c r="GIN161" s="4"/>
      <c r="GIO161" s="4"/>
      <c r="GIP161" s="4"/>
      <c r="GIQ161" s="4"/>
      <c r="GIR161" s="4"/>
      <c r="GIS161" s="4"/>
      <c r="GIT161" s="4"/>
      <c r="GIU161" s="4"/>
      <c r="GIV161" s="4"/>
      <c r="GIW161" s="4"/>
      <c r="GIX161" s="4"/>
      <c r="GIY161" s="4"/>
      <c r="GIZ161" s="4"/>
      <c r="GJA161" s="4"/>
      <c r="GJB161" s="4"/>
      <c r="GJC161" s="4"/>
      <c r="GJD161" s="4"/>
      <c r="GJE161" s="4"/>
      <c r="GJF161" s="4"/>
      <c r="GJG161" s="4"/>
      <c r="GJH161" s="4"/>
      <c r="GJI161" s="4"/>
      <c r="GJJ161" s="4"/>
      <c r="GJK161" s="4"/>
      <c r="GJL161" s="4"/>
      <c r="GJM161" s="4"/>
      <c r="GJN161" s="4"/>
      <c r="GJO161" s="4"/>
      <c r="GJP161" s="4"/>
      <c r="GJQ161" s="4"/>
      <c r="GJR161" s="4"/>
      <c r="GJS161" s="4"/>
      <c r="GJT161" s="4"/>
      <c r="GJU161" s="4"/>
      <c r="GJV161" s="4"/>
      <c r="GJW161" s="4"/>
      <c r="GJX161" s="4"/>
      <c r="GJY161" s="4"/>
      <c r="GJZ161" s="4"/>
      <c r="GKA161" s="4"/>
      <c r="GKB161" s="4"/>
      <c r="GKC161" s="4"/>
      <c r="GKD161" s="4"/>
      <c r="GKE161" s="4"/>
      <c r="GKF161" s="4"/>
      <c r="GKG161" s="4"/>
      <c r="GKH161" s="4"/>
      <c r="GKI161" s="4"/>
      <c r="GKJ161" s="4"/>
      <c r="GKK161" s="4"/>
      <c r="GKL161" s="4"/>
      <c r="GKM161" s="4"/>
      <c r="GKN161" s="4"/>
      <c r="GKO161" s="4"/>
      <c r="GKP161" s="4"/>
      <c r="GKQ161" s="4"/>
      <c r="GKR161" s="4"/>
      <c r="GKS161" s="4"/>
      <c r="GKT161" s="4"/>
      <c r="GKU161" s="4"/>
      <c r="GKV161" s="4"/>
      <c r="GKW161" s="4"/>
      <c r="GKX161" s="4"/>
      <c r="GKY161" s="4"/>
      <c r="GKZ161" s="4"/>
      <c r="GLA161" s="4"/>
      <c r="GLB161" s="4"/>
      <c r="GLC161" s="4"/>
      <c r="GLD161" s="4"/>
      <c r="GLE161" s="4"/>
      <c r="GLF161" s="4"/>
      <c r="GLG161" s="4"/>
      <c r="GLH161" s="4"/>
      <c r="GLI161" s="4"/>
      <c r="GLJ161" s="4"/>
      <c r="GLK161" s="4"/>
      <c r="GLL161" s="4"/>
      <c r="GLM161" s="4"/>
      <c r="GLN161" s="4"/>
      <c r="GLO161" s="4"/>
      <c r="GLP161" s="4"/>
      <c r="GLQ161" s="4"/>
      <c r="GLR161" s="4"/>
      <c r="GLS161" s="4"/>
      <c r="GLT161" s="4"/>
      <c r="GLU161" s="4"/>
      <c r="GLV161" s="4"/>
      <c r="GLW161" s="4"/>
      <c r="GLX161" s="4"/>
      <c r="GLY161" s="4"/>
      <c r="GLZ161" s="4"/>
      <c r="GMA161" s="4"/>
      <c r="GMB161" s="4"/>
      <c r="GMC161" s="4"/>
      <c r="GMD161" s="4"/>
      <c r="GME161" s="4"/>
      <c r="GMF161" s="4"/>
      <c r="GMG161" s="4"/>
      <c r="GMH161" s="4"/>
      <c r="GMI161" s="4"/>
      <c r="GMJ161" s="4"/>
      <c r="GMK161" s="4"/>
      <c r="GML161" s="4"/>
      <c r="GMM161" s="4"/>
      <c r="GMN161" s="4"/>
      <c r="GMO161" s="4"/>
      <c r="GMP161" s="4"/>
      <c r="GMQ161" s="4"/>
      <c r="GMR161" s="4"/>
      <c r="GMS161" s="4"/>
      <c r="GMT161" s="4"/>
      <c r="GMU161" s="4"/>
      <c r="GMV161" s="4"/>
      <c r="GMW161" s="4"/>
      <c r="GMX161" s="4"/>
      <c r="GMY161" s="4"/>
      <c r="GMZ161" s="4"/>
      <c r="GNA161" s="4"/>
      <c r="GNB161" s="4"/>
      <c r="GNC161" s="4"/>
      <c r="GND161" s="4"/>
      <c r="GNE161" s="4"/>
      <c r="GNF161" s="4"/>
      <c r="GNG161" s="4"/>
      <c r="GNH161" s="4"/>
      <c r="GNI161" s="4"/>
      <c r="GNJ161" s="4"/>
      <c r="GNK161" s="4"/>
      <c r="GNL161" s="4"/>
      <c r="GNM161" s="4"/>
      <c r="GNN161" s="4"/>
      <c r="GNO161" s="4"/>
      <c r="GNP161" s="4"/>
      <c r="GNQ161" s="4"/>
      <c r="GNR161" s="4"/>
      <c r="GNS161" s="4"/>
      <c r="GNT161" s="4"/>
      <c r="GNU161" s="4"/>
      <c r="GNV161" s="4"/>
      <c r="GNW161" s="4"/>
      <c r="GNX161" s="4"/>
      <c r="GNY161" s="4"/>
      <c r="GNZ161" s="4"/>
      <c r="GOA161" s="4"/>
      <c r="GOB161" s="4"/>
      <c r="GOC161" s="4"/>
      <c r="GOD161" s="4"/>
      <c r="GOE161" s="4"/>
      <c r="GOF161" s="4"/>
      <c r="GOG161" s="4"/>
      <c r="GOH161" s="4"/>
      <c r="GOI161" s="4"/>
      <c r="GOJ161" s="4"/>
      <c r="GOK161" s="4"/>
      <c r="GOL161" s="4"/>
      <c r="GOM161" s="4"/>
      <c r="GON161" s="4"/>
      <c r="GOO161" s="4"/>
      <c r="GOP161" s="4"/>
      <c r="GOQ161" s="4"/>
      <c r="GOR161" s="4"/>
      <c r="GOS161" s="4"/>
      <c r="GOT161" s="4"/>
      <c r="GOU161" s="4"/>
      <c r="GOV161" s="4"/>
      <c r="GOW161" s="4"/>
      <c r="GOX161" s="4"/>
      <c r="GOY161" s="4"/>
      <c r="GOZ161" s="4"/>
      <c r="GPA161" s="4"/>
      <c r="GPB161" s="4"/>
      <c r="GPC161" s="4"/>
      <c r="GPD161" s="4"/>
      <c r="GPE161" s="4"/>
      <c r="GPF161" s="4"/>
      <c r="GPG161" s="4"/>
      <c r="GPH161" s="4"/>
      <c r="GPI161" s="4"/>
      <c r="GPJ161" s="4"/>
      <c r="GPK161" s="4"/>
      <c r="GPL161" s="4"/>
      <c r="GPM161" s="4"/>
      <c r="GPN161" s="4"/>
      <c r="GPO161" s="4"/>
      <c r="GPP161" s="4"/>
      <c r="GPQ161" s="4"/>
      <c r="GPR161" s="4"/>
      <c r="GPS161" s="4"/>
      <c r="GPT161" s="4"/>
      <c r="GPU161" s="4"/>
      <c r="GPV161" s="4"/>
      <c r="GPW161" s="4"/>
      <c r="GPX161" s="4"/>
      <c r="GPY161" s="4"/>
      <c r="GPZ161" s="4"/>
      <c r="GQA161" s="4"/>
      <c r="GQB161" s="4"/>
      <c r="GQC161" s="4"/>
      <c r="GQD161" s="4"/>
      <c r="GQE161" s="4"/>
      <c r="GQF161" s="4"/>
      <c r="GQG161" s="4"/>
      <c r="GQH161" s="4"/>
      <c r="GQI161" s="4"/>
      <c r="GQJ161" s="4"/>
      <c r="GQK161" s="4"/>
      <c r="GQL161" s="4"/>
      <c r="GQM161" s="4"/>
      <c r="GQN161" s="4"/>
      <c r="GQO161" s="4"/>
      <c r="GQP161" s="4"/>
      <c r="GQQ161" s="4"/>
      <c r="GQR161" s="4"/>
      <c r="GQS161" s="4"/>
      <c r="GQT161" s="4"/>
      <c r="GQU161" s="4"/>
      <c r="GQV161" s="4"/>
      <c r="GQW161" s="4"/>
      <c r="GQX161" s="4"/>
      <c r="GQY161" s="4"/>
      <c r="GQZ161" s="4"/>
      <c r="GRA161" s="4"/>
      <c r="GRB161" s="4"/>
      <c r="GRC161" s="4"/>
      <c r="GRD161" s="4"/>
      <c r="GRE161" s="4"/>
      <c r="GRF161" s="4"/>
      <c r="GRG161" s="4"/>
      <c r="GRH161" s="4"/>
      <c r="GRI161" s="4"/>
      <c r="GRJ161" s="4"/>
      <c r="GRK161" s="4"/>
      <c r="GRL161" s="4"/>
      <c r="GRM161" s="4"/>
      <c r="GRN161" s="4"/>
      <c r="GRO161" s="4"/>
      <c r="GRP161" s="4"/>
      <c r="GRQ161" s="4"/>
      <c r="GRR161" s="4"/>
      <c r="GRS161" s="4"/>
      <c r="GRT161" s="4"/>
      <c r="GRU161" s="4"/>
      <c r="GRV161" s="4"/>
      <c r="GRW161" s="4"/>
      <c r="GRX161" s="4"/>
      <c r="GRY161" s="4"/>
      <c r="GRZ161" s="4"/>
      <c r="GSA161" s="4"/>
      <c r="GSB161" s="4"/>
      <c r="GSC161" s="4"/>
      <c r="GSD161" s="4"/>
      <c r="GSE161" s="4"/>
      <c r="GSF161" s="4"/>
      <c r="GSG161" s="4"/>
      <c r="GSH161" s="4"/>
      <c r="GSI161" s="4"/>
      <c r="GSJ161" s="4"/>
      <c r="GSK161" s="4"/>
      <c r="GSL161" s="4"/>
      <c r="GSM161" s="4"/>
      <c r="GSN161" s="4"/>
      <c r="GSO161" s="4"/>
      <c r="GSP161" s="4"/>
      <c r="GSQ161" s="4"/>
      <c r="GSR161" s="4"/>
      <c r="GSS161" s="4"/>
      <c r="GST161" s="4"/>
      <c r="GSU161" s="4"/>
      <c r="GSV161" s="4"/>
      <c r="GSW161" s="4"/>
      <c r="GSX161" s="4"/>
      <c r="GSY161" s="4"/>
      <c r="GSZ161" s="4"/>
      <c r="GTA161" s="4"/>
      <c r="GTB161" s="4"/>
      <c r="GTC161" s="4"/>
      <c r="GTD161" s="4"/>
      <c r="GTE161" s="4"/>
      <c r="GTF161" s="4"/>
      <c r="GTG161" s="4"/>
      <c r="GTH161" s="4"/>
      <c r="GTI161" s="4"/>
      <c r="GTJ161" s="4"/>
      <c r="GTK161" s="4"/>
      <c r="GTL161" s="4"/>
      <c r="GTM161" s="4"/>
      <c r="GTN161" s="4"/>
      <c r="GTO161" s="4"/>
      <c r="GTP161" s="4"/>
      <c r="GTQ161" s="4"/>
      <c r="GTR161" s="4"/>
      <c r="GTS161" s="4"/>
      <c r="GTT161" s="4"/>
      <c r="GTU161" s="4"/>
      <c r="GTV161" s="4"/>
      <c r="GTW161" s="4"/>
      <c r="GTX161" s="4"/>
      <c r="GTY161" s="4"/>
      <c r="GTZ161" s="4"/>
      <c r="GUA161" s="4"/>
      <c r="GUB161" s="4"/>
      <c r="GUC161" s="4"/>
      <c r="GUD161" s="4"/>
      <c r="GUE161" s="4"/>
      <c r="GUF161" s="4"/>
      <c r="GUG161" s="4"/>
      <c r="GUH161" s="4"/>
      <c r="GUI161" s="4"/>
      <c r="GUJ161" s="4"/>
      <c r="GUK161" s="4"/>
      <c r="GUL161" s="4"/>
      <c r="GUM161" s="4"/>
      <c r="GUN161" s="4"/>
      <c r="GUO161" s="4"/>
      <c r="GUP161" s="4"/>
      <c r="GUQ161" s="4"/>
      <c r="GUR161" s="4"/>
      <c r="GUS161" s="4"/>
      <c r="GUT161" s="4"/>
      <c r="GUU161" s="4"/>
      <c r="GUV161" s="4"/>
      <c r="GUW161" s="4"/>
      <c r="GUX161" s="4"/>
      <c r="GUY161" s="4"/>
      <c r="GUZ161" s="4"/>
      <c r="GVA161" s="4"/>
      <c r="GVB161" s="4"/>
      <c r="GVC161" s="4"/>
      <c r="GVD161" s="4"/>
      <c r="GVE161" s="4"/>
      <c r="GVF161" s="4"/>
      <c r="GVG161" s="4"/>
      <c r="GVH161" s="4"/>
      <c r="GVI161" s="4"/>
      <c r="GVJ161" s="4"/>
      <c r="GVK161" s="4"/>
      <c r="GVL161" s="4"/>
      <c r="GVM161" s="4"/>
      <c r="GVN161" s="4"/>
      <c r="GVO161" s="4"/>
      <c r="GVP161" s="4"/>
      <c r="GVQ161" s="4"/>
      <c r="GVR161" s="4"/>
      <c r="GVS161" s="4"/>
      <c r="GVT161" s="4"/>
      <c r="GVU161" s="4"/>
      <c r="GVV161" s="4"/>
      <c r="GVW161" s="4"/>
      <c r="GVX161" s="4"/>
      <c r="GVY161" s="4"/>
      <c r="GVZ161" s="4"/>
      <c r="GWA161" s="4"/>
      <c r="GWB161" s="4"/>
      <c r="GWC161" s="4"/>
      <c r="GWD161" s="4"/>
      <c r="GWE161" s="4"/>
      <c r="GWF161" s="4"/>
      <c r="GWG161" s="4"/>
      <c r="GWH161" s="4"/>
      <c r="GWI161" s="4"/>
      <c r="GWJ161" s="4"/>
      <c r="GWK161" s="4"/>
      <c r="GWL161" s="4"/>
      <c r="GWM161" s="4"/>
      <c r="GWN161" s="4"/>
      <c r="GWO161" s="4"/>
      <c r="GWP161" s="4"/>
      <c r="GWQ161" s="4"/>
      <c r="GWR161" s="4"/>
      <c r="GWS161" s="4"/>
      <c r="GWT161" s="4"/>
      <c r="GWU161" s="4"/>
      <c r="GWV161" s="4"/>
      <c r="GWW161" s="4"/>
      <c r="GWX161" s="4"/>
      <c r="GWY161" s="4"/>
      <c r="GWZ161" s="4"/>
      <c r="GXA161" s="4"/>
      <c r="GXB161" s="4"/>
      <c r="GXC161" s="4"/>
      <c r="GXD161" s="4"/>
      <c r="GXE161" s="4"/>
      <c r="GXF161" s="4"/>
      <c r="GXG161" s="4"/>
      <c r="GXH161" s="4"/>
      <c r="GXI161" s="4"/>
      <c r="GXJ161" s="4"/>
      <c r="GXK161" s="4"/>
      <c r="GXL161" s="4"/>
      <c r="GXM161" s="4"/>
      <c r="GXN161" s="4"/>
      <c r="GXO161" s="4"/>
      <c r="GXP161" s="4"/>
      <c r="GXQ161" s="4"/>
      <c r="GXR161" s="4"/>
      <c r="GXS161" s="4"/>
      <c r="GXT161" s="4"/>
      <c r="GXU161" s="4"/>
      <c r="GXV161" s="4"/>
      <c r="GXW161" s="4"/>
      <c r="GXX161" s="4"/>
      <c r="GXY161" s="4"/>
      <c r="GXZ161" s="4"/>
      <c r="GYA161" s="4"/>
      <c r="GYB161" s="4"/>
      <c r="GYC161" s="4"/>
      <c r="GYD161" s="4"/>
      <c r="GYE161" s="4"/>
      <c r="GYF161" s="4"/>
      <c r="GYG161" s="4"/>
      <c r="GYH161" s="4"/>
      <c r="GYI161" s="4"/>
      <c r="GYJ161" s="4"/>
      <c r="GYK161" s="4"/>
      <c r="GYL161" s="4"/>
      <c r="GYM161" s="4"/>
      <c r="GYN161" s="4"/>
      <c r="GYO161" s="4"/>
      <c r="GYP161" s="4"/>
      <c r="GYQ161" s="4"/>
      <c r="GYR161" s="4"/>
      <c r="GYS161" s="4"/>
      <c r="GYT161" s="4"/>
      <c r="GYU161" s="4"/>
      <c r="GYV161" s="4"/>
      <c r="GYW161" s="4"/>
      <c r="GYX161" s="4"/>
      <c r="GYY161" s="4"/>
      <c r="GYZ161" s="4"/>
      <c r="GZA161" s="4"/>
      <c r="GZB161" s="4"/>
      <c r="GZC161" s="4"/>
      <c r="GZD161" s="4"/>
      <c r="GZE161" s="4"/>
      <c r="GZF161" s="4"/>
      <c r="GZG161" s="4"/>
      <c r="GZH161" s="4"/>
      <c r="GZI161" s="4"/>
      <c r="GZJ161" s="4"/>
      <c r="GZK161" s="4"/>
      <c r="GZL161" s="4"/>
      <c r="GZM161" s="4"/>
      <c r="GZN161" s="4"/>
      <c r="GZO161" s="4"/>
      <c r="GZP161" s="4"/>
      <c r="GZQ161" s="4"/>
      <c r="GZR161" s="4"/>
      <c r="GZS161" s="4"/>
      <c r="GZT161" s="4"/>
      <c r="GZU161" s="4"/>
      <c r="GZV161" s="4"/>
      <c r="GZW161" s="4"/>
      <c r="GZX161" s="4"/>
      <c r="GZY161" s="4"/>
      <c r="GZZ161" s="4"/>
      <c r="HAA161" s="4"/>
      <c r="HAB161" s="4"/>
      <c r="HAC161" s="4"/>
      <c r="HAD161" s="4"/>
      <c r="HAE161" s="4"/>
      <c r="HAF161" s="4"/>
      <c r="HAG161" s="4"/>
      <c r="HAH161" s="4"/>
      <c r="HAI161" s="4"/>
      <c r="HAJ161" s="4"/>
      <c r="HAK161" s="4"/>
      <c r="HAL161" s="4"/>
      <c r="HAM161" s="4"/>
      <c r="HAN161" s="4"/>
      <c r="HAO161" s="4"/>
      <c r="HAP161" s="4"/>
      <c r="HAQ161" s="4"/>
      <c r="HAR161" s="4"/>
      <c r="HAS161" s="4"/>
      <c r="HAT161" s="4"/>
      <c r="HAU161" s="4"/>
      <c r="HAV161" s="4"/>
      <c r="HAW161" s="4"/>
      <c r="HAX161" s="4"/>
      <c r="HAY161" s="4"/>
      <c r="HAZ161" s="4"/>
      <c r="HBA161" s="4"/>
      <c r="HBB161" s="4"/>
      <c r="HBC161" s="4"/>
      <c r="HBD161" s="4"/>
      <c r="HBE161" s="4"/>
      <c r="HBF161" s="4"/>
      <c r="HBG161" s="4"/>
      <c r="HBH161" s="4"/>
      <c r="HBI161" s="4"/>
      <c r="HBJ161" s="4"/>
      <c r="HBK161" s="4"/>
      <c r="HBL161" s="4"/>
      <c r="HBM161" s="4"/>
      <c r="HBN161" s="4"/>
      <c r="HBO161" s="4"/>
      <c r="HBP161" s="4"/>
      <c r="HBQ161" s="4"/>
      <c r="HBR161" s="4"/>
      <c r="HBS161" s="4"/>
      <c r="HBT161" s="4"/>
      <c r="HBU161" s="4"/>
      <c r="HBV161" s="4"/>
      <c r="HBW161" s="4"/>
      <c r="HBX161" s="4"/>
      <c r="HBY161" s="4"/>
      <c r="HBZ161" s="4"/>
      <c r="HCA161" s="4"/>
      <c r="HCB161" s="4"/>
      <c r="HCC161" s="4"/>
      <c r="HCD161" s="4"/>
      <c r="HCE161" s="4"/>
      <c r="HCF161" s="4"/>
      <c r="HCG161" s="4"/>
      <c r="HCH161" s="4"/>
      <c r="HCI161" s="4"/>
      <c r="HCJ161" s="4"/>
      <c r="HCK161" s="4"/>
      <c r="HCL161" s="4"/>
      <c r="HCM161" s="4"/>
      <c r="HCN161" s="4"/>
      <c r="HCO161" s="4"/>
      <c r="HCP161" s="4"/>
      <c r="HCQ161" s="4"/>
      <c r="HCR161" s="4"/>
      <c r="HCS161" s="4"/>
      <c r="HCT161" s="4"/>
      <c r="HCU161" s="4"/>
      <c r="HCV161" s="4"/>
      <c r="HCW161" s="4"/>
      <c r="HCX161" s="4"/>
      <c r="HCY161" s="4"/>
      <c r="HCZ161" s="4"/>
      <c r="HDA161" s="4"/>
      <c r="HDB161" s="4"/>
      <c r="HDC161" s="4"/>
      <c r="HDD161" s="4"/>
      <c r="HDE161" s="4"/>
      <c r="HDF161" s="4"/>
      <c r="HDG161" s="4"/>
      <c r="HDH161" s="4"/>
      <c r="HDI161" s="4"/>
      <c r="HDJ161" s="4"/>
      <c r="HDK161" s="4"/>
      <c r="HDL161" s="4"/>
      <c r="HDM161" s="4"/>
      <c r="HDN161" s="4"/>
      <c r="HDO161" s="4"/>
      <c r="HDP161" s="4"/>
      <c r="HDQ161" s="4"/>
      <c r="HDR161" s="4"/>
      <c r="HDS161" s="4"/>
      <c r="HDT161" s="4"/>
      <c r="HDU161" s="4"/>
      <c r="HDV161" s="4"/>
      <c r="HDW161" s="4"/>
      <c r="HDX161" s="4"/>
      <c r="HDY161" s="4"/>
      <c r="HDZ161" s="4"/>
      <c r="HEA161" s="4"/>
      <c r="HEB161" s="4"/>
      <c r="HEC161" s="4"/>
      <c r="HED161" s="4"/>
      <c r="HEE161" s="4"/>
      <c r="HEF161" s="4"/>
      <c r="HEG161" s="4"/>
      <c r="HEH161" s="4"/>
      <c r="HEI161" s="4"/>
      <c r="HEJ161" s="4"/>
      <c r="HEK161" s="4"/>
      <c r="HEL161" s="4"/>
      <c r="HEM161" s="4"/>
      <c r="HEN161" s="4"/>
      <c r="HEO161" s="4"/>
      <c r="HEP161" s="4"/>
      <c r="HEQ161" s="4"/>
      <c r="HER161" s="4"/>
      <c r="HES161" s="4"/>
      <c r="HET161" s="4"/>
      <c r="HEU161" s="4"/>
      <c r="HEV161" s="4"/>
      <c r="HEW161" s="4"/>
      <c r="HEX161" s="4"/>
      <c r="HEY161" s="4"/>
      <c r="HEZ161" s="4"/>
      <c r="HFA161" s="4"/>
      <c r="HFB161" s="4"/>
      <c r="HFC161" s="4"/>
      <c r="HFD161" s="4"/>
      <c r="HFE161" s="4"/>
      <c r="HFF161" s="4"/>
      <c r="HFG161" s="4"/>
      <c r="HFH161" s="4"/>
      <c r="HFI161" s="4"/>
      <c r="HFJ161" s="4"/>
      <c r="HFK161" s="4"/>
      <c r="HFL161" s="4"/>
      <c r="HFM161" s="4"/>
      <c r="HFN161" s="4"/>
      <c r="HFO161" s="4"/>
      <c r="HFP161" s="4"/>
      <c r="HFQ161" s="4"/>
      <c r="HFR161" s="4"/>
      <c r="HFS161" s="4"/>
      <c r="HFT161" s="4"/>
      <c r="HFU161" s="4"/>
      <c r="HFV161" s="4"/>
      <c r="HFW161" s="4"/>
      <c r="HFX161" s="4"/>
      <c r="HFY161" s="4"/>
      <c r="HFZ161" s="4"/>
      <c r="HGA161" s="4"/>
      <c r="HGB161" s="4"/>
      <c r="HGC161" s="4"/>
      <c r="HGD161" s="4"/>
      <c r="HGE161" s="4"/>
      <c r="HGF161" s="4"/>
      <c r="HGG161" s="4"/>
      <c r="HGH161" s="4"/>
      <c r="HGI161" s="4"/>
      <c r="HGJ161" s="4"/>
      <c r="HGK161" s="4"/>
      <c r="HGL161" s="4"/>
      <c r="HGM161" s="4"/>
      <c r="HGN161" s="4"/>
      <c r="HGO161" s="4"/>
      <c r="HGP161" s="4"/>
      <c r="HGQ161" s="4"/>
      <c r="HGR161" s="4"/>
      <c r="HGS161" s="4"/>
      <c r="HGT161" s="4"/>
      <c r="HGU161" s="4"/>
      <c r="HGV161" s="4"/>
      <c r="HGW161" s="4"/>
      <c r="HGX161" s="4"/>
      <c r="HGY161" s="4"/>
      <c r="HGZ161" s="4"/>
      <c r="HHA161" s="4"/>
      <c r="HHB161" s="4"/>
      <c r="HHC161" s="4"/>
      <c r="HHD161" s="4"/>
      <c r="HHE161" s="4"/>
      <c r="HHF161" s="4"/>
      <c r="HHG161" s="4"/>
      <c r="HHH161" s="4"/>
      <c r="HHI161" s="4"/>
      <c r="HHJ161" s="4"/>
      <c r="HHK161" s="4"/>
      <c r="HHL161" s="4"/>
      <c r="HHM161" s="4"/>
      <c r="HHN161" s="4"/>
      <c r="HHO161" s="4"/>
      <c r="HHP161" s="4"/>
      <c r="HHQ161" s="4"/>
      <c r="HHR161" s="4"/>
      <c r="HHS161" s="4"/>
      <c r="HHT161" s="4"/>
      <c r="HHU161" s="4"/>
      <c r="HHV161" s="4"/>
      <c r="HHW161" s="4"/>
      <c r="HHX161" s="4"/>
      <c r="HHY161" s="4"/>
      <c r="HHZ161" s="4"/>
      <c r="HIA161" s="4"/>
      <c r="HIB161" s="4"/>
      <c r="HIC161" s="4"/>
      <c r="HID161" s="4"/>
      <c r="HIE161" s="4"/>
      <c r="HIF161" s="4"/>
      <c r="HIG161" s="4"/>
      <c r="HIH161" s="4"/>
      <c r="HII161" s="4"/>
      <c r="HIJ161" s="4"/>
      <c r="HIK161" s="4"/>
      <c r="HIL161" s="4"/>
      <c r="HIM161" s="4"/>
      <c r="HIN161" s="4"/>
      <c r="HIO161" s="4"/>
      <c r="HIP161" s="4"/>
      <c r="HIQ161" s="4"/>
      <c r="HIR161" s="4"/>
      <c r="HIS161" s="4"/>
      <c r="HIT161" s="4"/>
      <c r="HIU161" s="4"/>
      <c r="HIV161" s="4"/>
      <c r="HIW161" s="4"/>
      <c r="HIX161" s="4"/>
      <c r="HIY161" s="4"/>
      <c r="HIZ161" s="4"/>
      <c r="HJA161" s="4"/>
      <c r="HJB161" s="4"/>
      <c r="HJC161" s="4"/>
      <c r="HJD161" s="4"/>
      <c r="HJE161" s="4"/>
      <c r="HJF161" s="4"/>
      <c r="HJG161" s="4"/>
      <c r="HJH161" s="4"/>
      <c r="HJI161" s="4"/>
      <c r="HJJ161" s="4"/>
      <c r="HJK161" s="4"/>
      <c r="HJL161" s="4"/>
      <c r="HJM161" s="4"/>
      <c r="HJN161" s="4"/>
      <c r="HJO161" s="4"/>
      <c r="HJP161" s="4"/>
      <c r="HJQ161" s="4"/>
      <c r="HJR161" s="4"/>
      <c r="HJS161" s="4"/>
      <c r="HJT161" s="4"/>
      <c r="HJU161" s="4"/>
      <c r="HJV161" s="4"/>
      <c r="HJW161" s="4"/>
      <c r="HJX161" s="4"/>
      <c r="HJY161" s="4"/>
      <c r="HJZ161" s="4"/>
      <c r="HKA161" s="4"/>
      <c r="HKB161" s="4"/>
      <c r="HKC161" s="4"/>
      <c r="HKD161" s="4"/>
      <c r="HKE161" s="4"/>
      <c r="HKF161" s="4"/>
      <c r="HKG161" s="4"/>
      <c r="HKH161" s="4"/>
      <c r="HKI161" s="4"/>
      <c r="HKJ161" s="4"/>
      <c r="HKK161" s="4"/>
      <c r="HKL161" s="4"/>
      <c r="HKM161" s="4"/>
      <c r="HKN161" s="4"/>
      <c r="HKO161" s="4"/>
      <c r="HKP161" s="4"/>
      <c r="HKQ161" s="4"/>
      <c r="HKR161" s="4"/>
      <c r="HKS161" s="4"/>
      <c r="HKT161" s="4"/>
      <c r="HKU161" s="4"/>
      <c r="HKV161" s="4"/>
      <c r="HKW161" s="4"/>
      <c r="HKX161" s="4"/>
      <c r="HKY161" s="4"/>
      <c r="HKZ161" s="4"/>
      <c r="HLA161" s="4"/>
      <c r="HLB161" s="4"/>
      <c r="HLC161" s="4"/>
      <c r="HLD161" s="4"/>
      <c r="HLE161" s="4"/>
      <c r="HLF161" s="4"/>
      <c r="HLG161" s="4"/>
      <c r="HLH161" s="4"/>
      <c r="HLI161" s="4"/>
      <c r="HLJ161" s="4"/>
      <c r="HLK161" s="4"/>
      <c r="HLL161" s="4"/>
      <c r="HLM161" s="4"/>
      <c r="HLN161" s="4"/>
      <c r="HLO161" s="4"/>
      <c r="HLP161" s="4"/>
      <c r="HLQ161" s="4"/>
      <c r="HLR161" s="4"/>
      <c r="HLS161" s="4"/>
      <c r="HLT161" s="4"/>
      <c r="HLU161" s="4"/>
      <c r="HLV161" s="4"/>
      <c r="HLW161" s="4"/>
      <c r="HLX161" s="4"/>
      <c r="HLY161" s="4"/>
      <c r="HLZ161" s="4"/>
      <c r="HMA161" s="4"/>
      <c r="HMB161" s="4"/>
      <c r="HMC161" s="4"/>
      <c r="HMD161" s="4"/>
      <c r="HME161" s="4"/>
      <c r="HMF161" s="4"/>
      <c r="HMG161" s="4"/>
      <c r="HMH161" s="4"/>
      <c r="HMI161" s="4"/>
      <c r="HMJ161" s="4"/>
      <c r="HMK161" s="4"/>
      <c r="HML161" s="4"/>
      <c r="HMM161" s="4"/>
      <c r="HMN161" s="4"/>
      <c r="HMO161" s="4"/>
      <c r="HMP161" s="4"/>
      <c r="HMQ161" s="4"/>
      <c r="HMR161" s="4"/>
      <c r="HMS161" s="4"/>
      <c r="HMT161" s="4"/>
      <c r="HMU161" s="4"/>
      <c r="HMV161" s="4"/>
      <c r="HMW161" s="4"/>
      <c r="HMX161" s="4"/>
      <c r="HMY161" s="4"/>
      <c r="HMZ161" s="4"/>
      <c r="HNA161" s="4"/>
      <c r="HNB161" s="4"/>
      <c r="HNC161" s="4"/>
      <c r="HND161" s="4"/>
      <c r="HNE161" s="4"/>
      <c r="HNF161" s="4"/>
      <c r="HNG161" s="4"/>
      <c r="HNH161" s="4"/>
      <c r="HNI161" s="4"/>
      <c r="HNJ161" s="4"/>
      <c r="HNK161" s="4"/>
      <c r="HNL161" s="4"/>
      <c r="HNM161" s="4"/>
      <c r="HNN161" s="4"/>
      <c r="HNO161" s="4"/>
      <c r="HNP161" s="4"/>
      <c r="HNQ161" s="4"/>
      <c r="HNR161" s="4"/>
      <c r="HNS161" s="4"/>
      <c r="HNT161" s="4"/>
      <c r="HNU161" s="4"/>
      <c r="HNV161" s="4"/>
      <c r="HNW161" s="4"/>
      <c r="HNX161" s="4"/>
      <c r="HNY161" s="4"/>
      <c r="HNZ161" s="4"/>
      <c r="HOA161" s="4"/>
      <c r="HOB161" s="4"/>
      <c r="HOC161" s="4"/>
      <c r="HOD161" s="4"/>
      <c r="HOE161" s="4"/>
      <c r="HOF161" s="4"/>
      <c r="HOG161" s="4"/>
      <c r="HOH161" s="4"/>
      <c r="HOI161" s="4"/>
      <c r="HOJ161" s="4"/>
      <c r="HOK161" s="4"/>
      <c r="HOL161" s="4"/>
      <c r="HOM161" s="4"/>
      <c r="HON161" s="4"/>
      <c r="HOO161" s="4"/>
      <c r="HOP161" s="4"/>
      <c r="HOQ161" s="4"/>
      <c r="HOR161" s="4"/>
      <c r="HOS161" s="4"/>
      <c r="HOT161" s="4"/>
      <c r="HOU161" s="4"/>
      <c r="HOV161" s="4"/>
      <c r="HOW161" s="4"/>
      <c r="HOX161" s="4"/>
      <c r="HOY161" s="4"/>
      <c r="HOZ161" s="4"/>
      <c r="HPA161" s="4"/>
      <c r="HPB161" s="4"/>
      <c r="HPC161" s="4"/>
      <c r="HPD161" s="4"/>
      <c r="HPE161" s="4"/>
      <c r="HPF161" s="4"/>
      <c r="HPG161" s="4"/>
      <c r="HPH161" s="4"/>
      <c r="HPI161" s="4"/>
      <c r="HPJ161" s="4"/>
      <c r="HPK161" s="4"/>
      <c r="HPL161" s="4"/>
      <c r="HPM161" s="4"/>
      <c r="HPN161" s="4"/>
      <c r="HPO161" s="4"/>
      <c r="HPP161" s="4"/>
      <c r="HPQ161" s="4"/>
      <c r="HPR161" s="4"/>
      <c r="HPS161" s="4"/>
      <c r="HPT161" s="4"/>
      <c r="HPU161" s="4"/>
      <c r="HPV161" s="4"/>
      <c r="HPW161" s="4"/>
      <c r="HPX161" s="4"/>
      <c r="HPY161" s="4"/>
      <c r="HPZ161" s="4"/>
      <c r="HQA161" s="4"/>
      <c r="HQB161" s="4"/>
      <c r="HQC161" s="4"/>
      <c r="HQD161" s="4"/>
      <c r="HQE161" s="4"/>
      <c r="HQF161" s="4"/>
      <c r="HQG161" s="4"/>
      <c r="HQH161" s="4"/>
      <c r="HQI161" s="4"/>
      <c r="HQJ161" s="4"/>
      <c r="HQK161" s="4"/>
      <c r="HQL161" s="4"/>
      <c r="HQM161" s="4"/>
      <c r="HQN161" s="4"/>
      <c r="HQO161" s="4"/>
      <c r="HQP161" s="4"/>
      <c r="HQQ161" s="4"/>
      <c r="HQR161" s="4"/>
      <c r="HQS161" s="4"/>
      <c r="HQT161" s="4"/>
      <c r="HQU161" s="4"/>
      <c r="HQV161" s="4"/>
      <c r="HQW161" s="4"/>
      <c r="HQX161" s="4"/>
      <c r="HQY161" s="4"/>
      <c r="HQZ161" s="4"/>
      <c r="HRA161" s="4"/>
      <c r="HRB161" s="4"/>
      <c r="HRC161" s="4"/>
      <c r="HRD161" s="4"/>
      <c r="HRE161" s="4"/>
      <c r="HRF161" s="4"/>
      <c r="HRG161" s="4"/>
      <c r="HRH161" s="4"/>
      <c r="HRI161" s="4"/>
      <c r="HRJ161" s="4"/>
      <c r="HRK161" s="4"/>
      <c r="HRL161" s="4"/>
      <c r="HRM161" s="4"/>
      <c r="HRN161" s="4"/>
      <c r="HRO161" s="4"/>
      <c r="HRP161" s="4"/>
      <c r="HRQ161" s="4"/>
      <c r="HRR161" s="4"/>
      <c r="HRS161" s="4"/>
      <c r="HRT161" s="4"/>
      <c r="HRU161" s="4"/>
      <c r="HRV161" s="4"/>
      <c r="HRW161" s="4"/>
      <c r="HRX161" s="4"/>
      <c r="HRY161" s="4"/>
      <c r="HRZ161" s="4"/>
      <c r="HSA161" s="4"/>
      <c r="HSB161" s="4"/>
      <c r="HSC161" s="4"/>
      <c r="HSD161" s="4"/>
      <c r="HSE161" s="4"/>
      <c r="HSF161" s="4"/>
      <c r="HSG161" s="4"/>
      <c r="HSH161" s="4"/>
      <c r="HSI161" s="4"/>
      <c r="HSJ161" s="4"/>
      <c r="HSK161" s="4"/>
      <c r="HSL161" s="4"/>
      <c r="HSM161" s="4"/>
      <c r="HSN161" s="4"/>
      <c r="HSO161" s="4"/>
      <c r="HSP161" s="4"/>
      <c r="HSQ161" s="4"/>
      <c r="HSR161" s="4"/>
      <c r="HSS161" s="4"/>
      <c r="HST161" s="4"/>
      <c r="HSU161" s="4"/>
      <c r="HSV161" s="4"/>
      <c r="HSW161" s="4"/>
      <c r="HSX161" s="4"/>
      <c r="HSY161" s="4"/>
      <c r="HSZ161" s="4"/>
      <c r="HTA161" s="4"/>
      <c r="HTB161" s="4"/>
      <c r="HTC161" s="4"/>
      <c r="HTD161" s="4"/>
      <c r="HTE161" s="4"/>
      <c r="HTF161" s="4"/>
      <c r="HTG161" s="4"/>
      <c r="HTH161" s="4"/>
      <c r="HTI161" s="4"/>
      <c r="HTJ161" s="4"/>
      <c r="HTK161" s="4"/>
      <c r="HTL161" s="4"/>
      <c r="HTM161" s="4"/>
      <c r="HTN161" s="4"/>
      <c r="HTO161" s="4"/>
      <c r="HTP161" s="4"/>
      <c r="HTQ161" s="4"/>
      <c r="HTR161" s="4"/>
      <c r="HTS161" s="4"/>
      <c r="HTT161" s="4"/>
      <c r="HTU161" s="4"/>
      <c r="HTV161" s="4"/>
      <c r="HTW161" s="4"/>
      <c r="HTX161" s="4"/>
      <c r="HTY161" s="4"/>
      <c r="HTZ161" s="4"/>
      <c r="HUA161" s="4"/>
      <c r="HUB161" s="4"/>
      <c r="HUC161" s="4"/>
      <c r="HUD161" s="4"/>
      <c r="HUE161" s="4"/>
      <c r="HUF161" s="4"/>
      <c r="HUG161" s="4"/>
      <c r="HUH161" s="4"/>
      <c r="HUI161" s="4"/>
      <c r="HUJ161" s="4"/>
      <c r="HUK161" s="4"/>
      <c r="HUL161" s="4"/>
      <c r="HUM161" s="4"/>
      <c r="HUN161" s="4"/>
      <c r="HUO161" s="4"/>
      <c r="HUP161" s="4"/>
      <c r="HUQ161" s="4"/>
      <c r="HUR161" s="4"/>
      <c r="HUS161" s="4"/>
      <c r="HUT161" s="4"/>
      <c r="HUU161" s="4"/>
      <c r="HUV161" s="4"/>
      <c r="HUW161" s="4"/>
      <c r="HUX161" s="4"/>
      <c r="HUY161" s="4"/>
      <c r="HUZ161" s="4"/>
      <c r="HVA161" s="4"/>
      <c r="HVB161" s="4"/>
      <c r="HVC161" s="4"/>
      <c r="HVD161" s="4"/>
      <c r="HVE161" s="4"/>
      <c r="HVF161" s="4"/>
      <c r="HVG161" s="4"/>
      <c r="HVH161" s="4"/>
      <c r="HVI161" s="4"/>
      <c r="HVJ161" s="4"/>
      <c r="HVK161" s="4"/>
      <c r="HVL161" s="4"/>
      <c r="HVM161" s="4"/>
      <c r="HVN161" s="4"/>
      <c r="HVO161" s="4"/>
      <c r="HVP161" s="4"/>
      <c r="HVQ161" s="4"/>
      <c r="HVR161" s="4"/>
      <c r="HVS161" s="4"/>
      <c r="HVT161" s="4"/>
      <c r="HVU161" s="4"/>
      <c r="HVV161" s="4"/>
      <c r="HVW161" s="4"/>
      <c r="HVX161" s="4"/>
      <c r="HVY161" s="4"/>
      <c r="HVZ161" s="4"/>
      <c r="HWA161" s="4"/>
      <c r="HWB161" s="4"/>
      <c r="HWC161" s="4"/>
      <c r="HWD161" s="4"/>
      <c r="HWE161" s="4"/>
      <c r="HWF161" s="4"/>
      <c r="HWG161" s="4"/>
      <c r="HWH161" s="4"/>
      <c r="HWI161" s="4"/>
      <c r="HWJ161" s="4"/>
      <c r="HWK161" s="4"/>
      <c r="HWL161" s="4"/>
      <c r="HWM161" s="4"/>
      <c r="HWN161" s="4"/>
      <c r="HWO161" s="4"/>
      <c r="HWP161" s="4"/>
      <c r="HWQ161" s="4"/>
      <c r="HWR161" s="4"/>
      <c r="HWS161" s="4"/>
      <c r="HWT161" s="4"/>
      <c r="HWU161" s="4"/>
      <c r="HWV161" s="4"/>
      <c r="HWW161" s="4"/>
      <c r="HWX161" s="4"/>
      <c r="HWY161" s="4"/>
      <c r="HWZ161" s="4"/>
      <c r="HXA161" s="4"/>
      <c r="HXB161" s="4"/>
      <c r="HXC161" s="4"/>
      <c r="HXD161" s="4"/>
      <c r="HXE161" s="4"/>
      <c r="HXF161" s="4"/>
      <c r="HXG161" s="4"/>
      <c r="HXH161" s="4"/>
      <c r="HXI161" s="4"/>
      <c r="HXJ161" s="4"/>
      <c r="HXK161" s="4"/>
      <c r="HXL161" s="4"/>
      <c r="HXM161" s="4"/>
      <c r="HXN161" s="4"/>
      <c r="HXO161" s="4"/>
      <c r="HXP161" s="4"/>
      <c r="HXQ161" s="4"/>
      <c r="HXR161" s="4"/>
      <c r="HXS161" s="4"/>
      <c r="HXT161" s="4"/>
      <c r="HXU161" s="4"/>
      <c r="HXV161" s="4"/>
      <c r="HXW161" s="4"/>
      <c r="HXX161" s="4"/>
      <c r="HXY161" s="4"/>
      <c r="HXZ161" s="4"/>
      <c r="HYA161" s="4"/>
      <c r="HYB161" s="4"/>
      <c r="HYC161" s="4"/>
      <c r="HYD161" s="4"/>
      <c r="HYE161" s="4"/>
      <c r="HYF161" s="4"/>
      <c r="HYG161" s="4"/>
      <c r="HYH161" s="4"/>
      <c r="HYI161" s="4"/>
      <c r="HYJ161" s="4"/>
      <c r="HYK161" s="4"/>
      <c r="HYL161" s="4"/>
      <c r="HYM161" s="4"/>
      <c r="HYN161" s="4"/>
      <c r="HYO161" s="4"/>
      <c r="HYP161" s="4"/>
      <c r="HYQ161" s="4"/>
      <c r="HYR161" s="4"/>
      <c r="HYS161" s="4"/>
      <c r="HYT161" s="4"/>
      <c r="HYU161" s="4"/>
      <c r="HYV161" s="4"/>
      <c r="HYW161" s="4"/>
      <c r="HYX161" s="4"/>
      <c r="HYY161" s="4"/>
      <c r="HYZ161" s="4"/>
      <c r="HZA161" s="4"/>
      <c r="HZB161" s="4"/>
      <c r="HZC161" s="4"/>
      <c r="HZD161" s="4"/>
      <c r="HZE161" s="4"/>
      <c r="HZF161" s="4"/>
      <c r="HZG161" s="4"/>
      <c r="HZH161" s="4"/>
      <c r="HZI161" s="4"/>
      <c r="HZJ161" s="4"/>
      <c r="HZK161" s="4"/>
      <c r="HZL161" s="4"/>
      <c r="HZM161" s="4"/>
      <c r="HZN161" s="4"/>
      <c r="HZO161" s="4"/>
      <c r="HZP161" s="4"/>
      <c r="HZQ161" s="4"/>
      <c r="HZR161" s="4"/>
      <c r="HZS161" s="4"/>
      <c r="HZT161" s="4"/>
      <c r="HZU161" s="4"/>
      <c r="HZV161" s="4"/>
      <c r="HZW161" s="4"/>
      <c r="HZX161" s="4"/>
      <c r="HZY161" s="4"/>
      <c r="HZZ161" s="4"/>
      <c r="IAA161" s="4"/>
      <c r="IAB161" s="4"/>
      <c r="IAC161" s="4"/>
      <c r="IAD161" s="4"/>
      <c r="IAE161" s="4"/>
      <c r="IAF161" s="4"/>
      <c r="IAG161" s="4"/>
      <c r="IAH161" s="4"/>
      <c r="IAI161" s="4"/>
      <c r="IAJ161" s="4"/>
      <c r="IAK161" s="4"/>
      <c r="IAL161" s="4"/>
      <c r="IAM161" s="4"/>
      <c r="IAN161" s="4"/>
      <c r="IAO161" s="4"/>
      <c r="IAP161" s="4"/>
      <c r="IAQ161" s="4"/>
      <c r="IAR161" s="4"/>
      <c r="IAS161" s="4"/>
      <c r="IAT161" s="4"/>
      <c r="IAU161" s="4"/>
      <c r="IAV161" s="4"/>
      <c r="IAW161" s="4"/>
      <c r="IAX161" s="4"/>
      <c r="IAY161" s="4"/>
      <c r="IAZ161" s="4"/>
      <c r="IBA161" s="4"/>
      <c r="IBB161" s="4"/>
      <c r="IBC161" s="4"/>
      <c r="IBD161" s="4"/>
      <c r="IBE161" s="4"/>
      <c r="IBF161" s="4"/>
      <c r="IBG161" s="4"/>
      <c r="IBH161" s="4"/>
      <c r="IBI161" s="4"/>
      <c r="IBJ161" s="4"/>
      <c r="IBK161" s="4"/>
      <c r="IBL161" s="4"/>
      <c r="IBM161" s="4"/>
      <c r="IBN161" s="4"/>
      <c r="IBO161" s="4"/>
      <c r="IBP161" s="4"/>
      <c r="IBQ161" s="4"/>
      <c r="IBR161" s="4"/>
      <c r="IBS161" s="4"/>
      <c r="IBT161" s="4"/>
      <c r="IBU161" s="4"/>
      <c r="IBV161" s="4"/>
      <c r="IBW161" s="4"/>
      <c r="IBX161" s="4"/>
      <c r="IBY161" s="4"/>
      <c r="IBZ161" s="4"/>
      <c r="ICA161" s="4"/>
      <c r="ICB161" s="4"/>
      <c r="ICC161" s="4"/>
      <c r="ICD161" s="4"/>
      <c r="ICE161" s="4"/>
      <c r="ICF161" s="4"/>
      <c r="ICG161" s="4"/>
      <c r="ICH161" s="4"/>
      <c r="ICI161" s="4"/>
      <c r="ICJ161" s="4"/>
      <c r="ICK161" s="4"/>
      <c r="ICL161" s="4"/>
      <c r="ICM161" s="4"/>
      <c r="ICN161" s="4"/>
      <c r="ICO161" s="4"/>
      <c r="ICP161" s="4"/>
      <c r="ICQ161" s="4"/>
      <c r="ICR161" s="4"/>
      <c r="ICS161" s="4"/>
      <c r="ICT161" s="4"/>
      <c r="ICU161" s="4"/>
      <c r="ICV161" s="4"/>
      <c r="ICW161" s="4"/>
      <c r="ICX161" s="4"/>
      <c r="ICY161" s="4"/>
      <c r="ICZ161" s="4"/>
      <c r="IDA161" s="4"/>
      <c r="IDB161" s="4"/>
      <c r="IDC161" s="4"/>
      <c r="IDD161" s="4"/>
      <c r="IDE161" s="4"/>
      <c r="IDF161" s="4"/>
      <c r="IDG161" s="4"/>
      <c r="IDH161" s="4"/>
      <c r="IDI161" s="4"/>
      <c r="IDJ161" s="4"/>
      <c r="IDK161" s="4"/>
      <c r="IDL161" s="4"/>
      <c r="IDM161" s="4"/>
      <c r="IDN161" s="4"/>
      <c r="IDO161" s="4"/>
      <c r="IDP161" s="4"/>
      <c r="IDQ161" s="4"/>
      <c r="IDR161" s="4"/>
      <c r="IDS161" s="4"/>
      <c r="IDT161" s="4"/>
      <c r="IDU161" s="4"/>
      <c r="IDV161" s="4"/>
      <c r="IDW161" s="4"/>
      <c r="IDX161" s="4"/>
      <c r="IDY161" s="4"/>
      <c r="IDZ161" s="4"/>
      <c r="IEA161" s="4"/>
      <c r="IEB161" s="4"/>
      <c r="IEC161" s="4"/>
      <c r="IED161" s="4"/>
      <c r="IEE161" s="4"/>
      <c r="IEF161" s="4"/>
      <c r="IEG161" s="4"/>
      <c r="IEH161" s="4"/>
      <c r="IEI161" s="4"/>
      <c r="IEJ161" s="4"/>
      <c r="IEK161" s="4"/>
      <c r="IEL161" s="4"/>
      <c r="IEM161" s="4"/>
      <c r="IEN161" s="4"/>
      <c r="IEO161" s="4"/>
      <c r="IEP161" s="4"/>
      <c r="IEQ161" s="4"/>
      <c r="IER161" s="4"/>
      <c r="IES161" s="4"/>
      <c r="IET161" s="4"/>
      <c r="IEU161" s="4"/>
      <c r="IEV161" s="4"/>
      <c r="IEW161" s="4"/>
      <c r="IEX161" s="4"/>
      <c r="IEY161" s="4"/>
      <c r="IEZ161" s="4"/>
      <c r="IFA161" s="4"/>
      <c r="IFB161" s="4"/>
      <c r="IFC161" s="4"/>
      <c r="IFD161" s="4"/>
      <c r="IFE161" s="4"/>
      <c r="IFF161" s="4"/>
      <c r="IFG161" s="4"/>
      <c r="IFH161" s="4"/>
      <c r="IFI161" s="4"/>
      <c r="IFJ161" s="4"/>
      <c r="IFK161" s="4"/>
      <c r="IFL161" s="4"/>
      <c r="IFM161" s="4"/>
      <c r="IFN161" s="4"/>
      <c r="IFO161" s="4"/>
      <c r="IFP161" s="4"/>
      <c r="IFQ161" s="4"/>
      <c r="IFR161" s="4"/>
      <c r="IFS161" s="4"/>
      <c r="IFT161" s="4"/>
      <c r="IFU161" s="4"/>
      <c r="IFV161" s="4"/>
      <c r="IFW161" s="4"/>
      <c r="IFX161" s="4"/>
      <c r="IFY161" s="4"/>
      <c r="IFZ161" s="4"/>
      <c r="IGA161" s="4"/>
      <c r="IGB161" s="4"/>
      <c r="IGC161" s="4"/>
      <c r="IGD161" s="4"/>
      <c r="IGE161" s="4"/>
      <c r="IGF161" s="4"/>
      <c r="IGG161" s="4"/>
      <c r="IGH161" s="4"/>
      <c r="IGI161" s="4"/>
      <c r="IGJ161" s="4"/>
      <c r="IGK161" s="4"/>
      <c r="IGL161" s="4"/>
      <c r="IGM161" s="4"/>
      <c r="IGN161" s="4"/>
      <c r="IGO161" s="4"/>
      <c r="IGP161" s="4"/>
      <c r="IGQ161" s="4"/>
      <c r="IGR161" s="4"/>
      <c r="IGS161" s="4"/>
      <c r="IGT161" s="4"/>
      <c r="IGU161" s="4"/>
      <c r="IGV161" s="4"/>
      <c r="IGW161" s="4"/>
      <c r="IGX161" s="4"/>
      <c r="IGY161" s="4"/>
      <c r="IGZ161" s="4"/>
      <c r="IHA161" s="4"/>
      <c r="IHB161" s="4"/>
      <c r="IHC161" s="4"/>
      <c r="IHD161" s="4"/>
      <c r="IHE161" s="4"/>
      <c r="IHF161" s="4"/>
      <c r="IHG161" s="4"/>
      <c r="IHH161" s="4"/>
      <c r="IHI161" s="4"/>
      <c r="IHJ161" s="4"/>
      <c r="IHK161" s="4"/>
      <c r="IHL161" s="4"/>
      <c r="IHM161" s="4"/>
      <c r="IHN161" s="4"/>
      <c r="IHO161" s="4"/>
      <c r="IHP161" s="4"/>
      <c r="IHQ161" s="4"/>
      <c r="IHR161" s="4"/>
      <c r="IHS161" s="4"/>
      <c r="IHT161" s="4"/>
      <c r="IHU161" s="4"/>
      <c r="IHV161" s="4"/>
      <c r="IHW161" s="4"/>
      <c r="IHX161" s="4"/>
      <c r="IHY161" s="4"/>
      <c r="IHZ161" s="4"/>
      <c r="IIA161" s="4"/>
      <c r="IIB161" s="4"/>
      <c r="IIC161" s="4"/>
      <c r="IID161" s="4"/>
      <c r="IIE161" s="4"/>
      <c r="IIF161" s="4"/>
      <c r="IIG161" s="4"/>
      <c r="IIH161" s="4"/>
      <c r="III161" s="4"/>
      <c r="IIJ161" s="4"/>
      <c r="IIK161" s="4"/>
      <c r="IIL161" s="4"/>
      <c r="IIM161" s="4"/>
      <c r="IIN161" s="4"/>
      <c r="IIO161" s="4"/>
      <c r="IIP161" s="4"/>
      <c r="IIQ161" s="4"/>
      <c r="IIR161" s="4"/>
      <c r="IIS161" s="4"/>
      <c r="IIT161" s="4"/>
      <c r="IIU161" s="4"/>
      <c r="IIV161" s="4"/>
      <c r="IIW161" s="4"/>
      <c r="IIX161" s="4"/>
      <c r="IIY161" s="4"/>
      <c r="IIZ161" s="4"/>
      <c r="IJA161" s="4"/>
      <c r="IJB161" s="4"/>
      <c r="IJC161" s="4"/>
      <c r="IJD161" s="4"/>
      <c r="IJE161" s="4"/>
      <c r="IJF161" s="4"/>
      <c r="IJG161" s="4"/>
      <c r="IJH161" s="4"/>
      <c r="IJI161" s="4"/>
      <c r="IJJ161" s="4"/>
      <c r="IJK161" s="4"/>
      <c r="IJL161" s="4"/>
      <c r="IJM161" s="4"/>
      <c r="IJN161" s="4"/>
      <c r="IJO161" s="4"/>
      <c r="IJP161" s="4"/>
      <c r="IJQ161" s="4"/>
      <c r="IJR161" s="4"/>
      <c r="IJS161" s="4"/>
      <c r="IJT161" s="4"/>
      <c r="IJU161" s="4"/>
      <c r="IJV161" s="4"/>
      <c r="IJW161" s="4"/>
      <c r="IJX161" s="4"/>
      <c r="IJY161" s="4"/>
      <c r="IJZ161" s="4"/>
      <c r="IKA161" s="4"/>
      <c r="IKB161" s="4"/>
      <c r="IKC161" s="4"/>
      <c r="IKD161" s="4"/>
      <c r="IKE161" s="4"/>
      <c r="IKF161" s="4"/>
      <c r="IKG161" s="4"/>
      <c r="IKH161" s="4"/>
      <c r="IKI161" s="4"/>
      <c r="IKJ161" s="4"/>
      <c r="IKK161" s="4"/>
      <c r="IKL161" s="4"/>
      <c r="IKM161" s="4"/>
      <c r="IKN161" s="4"/>
      <c r="IKO161" s="4"/>
      <c r="IKP161" s="4"/>
      <c r="IKQ161" s="4"/>
      <c r="IKR161" s="4"/>
      <c r="IKS161" s="4"/>
      <c r="IKT161" s="4"/>
      <c r="IKU161" s="4"/>
      <c r="IKV161" s="4"/>
      <c r="IKW161" s="4"/>
      <c r="IKX161" s="4"/>
      <c r="IKY161" s="4"/>
      <c r="IKZ161" s="4"/>
      <c r="ILA161" s="4"/>
      <c r="ILB161" s="4"/>
      <c r="ILC161" s="4"/>
      <c r="ILD161" s="4"/>
      <c r="ILE161" s="4"/>
      <c r="ILF161" s="4"/>
      <c r="ILG161" s="4"/>
      <c r="ILH161" s="4"/>
      <c r="ILI161" s="4"/>
      <c r="ILJ161" s="4"/>
      <c r="ILK161" s="4"/>
      <c r="ILL161" s="4"/>
      <c r="ILM161" s="4"/>
      <c r="ILN161" s="4"/>
      <c r="ILO161" s="4"/>
      <c r="ILP161" s="4"/>
      <c r="ILQ161" s="4"/>
      <c r="ILR161" s="4"/>
      <c r="ILS161" s="4"/>
      <c r="ILT161" s="4"/>
      <c r="ILU161" s="4"/>
      <c r="ILV161" s="4"/>
      <c r="ILW161" s="4"/>
      <c r="ILX161" s="4"/>
      <c r="ILY161" s="4"/>
      <c r="ILZ161" s="4"/>
      <c r="IMA161" s="4"/>
      <c r="IMB161" s="4"/>
      <c r="IMC161" s="4"/>
      <c r="IMD161" s="4"/>
      <c r="IME161" s="4"/>
      <c r="IMF161" s="4"/>
      <c r="IMG161" s="4"/>
      <c r="IMH161" s="4"/>
      <c r="IMI161" s="4"/>
      <c r="IMJ161" s="4"/>
      <c r="IMK161" s="4"/>
      <c r="IML161" s="4"/>
      <c r="IMM161" s="4"/>
      <c r="IMN161" s="4"/>
      <c r="IMO161" s="4"/>
      <c r="IMP161" s="4"/>
      <c r="IMQ161" s="4"/>
      <c r="IMR161" s="4"/>
      <c r="IMS161" s="4"/>
      <c r="IMT161" s="4"/>
      <c r="IMU161" s="4"/>
      <c r="IMV161" s="4"/>
      <c r="IMW161" s="4"/>
      <c r="IMX161" s="4"/>
      <c r="IMY161" s="4"/>
      <c r="IMZ161" s="4"/>
      <c r="INA161" s="4"/>
      <c r="INB161" s="4"/>
      <c r="INC161" s="4"/>
      <c r="IND161" s="4"/>
      <c r="INE161" s="4"/>
      <c r="INF161" s="4"/>
      <c r="ING161" s="4"/>
      <c r="INH161" s="4"/>
      <c r="INI161" s="4"/>
      <c r="INJ161" s="4"/>
      <c r="INK161" s="4"/>
      <c r="INL161" s="4"/>
      <c r="INM161" s="4"/>
      <c r="INN161" s="4"/>
      <c r="INO161" s="4"/>
      <c r="INP161" s="4"/>
      <c r="INQ161" s="4"/>
      <c r="INR161" s="4"/>
      <c r="INS161" s="4"/>
      <c r="INT161" s="4"/>
      <c r="INU161" s="4"/>
      <c r="INV161" s="4"/>
      <c r="INW161" s="4"/>
      <c r="INX161" s="4"/>
      <c r="INY161" s="4"/>
      <c r="INZ161" s="4"/>
      <c r="IOA161" s="4"/>
      <c r="IOB161" s="4"/>
      <c r="IOC161" s="4"/>
      <c r="IOD161" s="4"/>
      <c r="IOE161" s="4"/>
      <c r="IOF161" s="4"/>
      <c r="IOG161" s="4"/>
      <c r="IOH161" s="4"/>
      <c r="IOI161" s="4"/>
      <c r="IOJ161" s="4"/>
      <c r="IOK161" s="4"/>
      <c r="IOL161" s="4"/>
      <c r="IOM161" s="4"/>
      <c r="ION161" s="4"/>
      <c r="IOO161" s="4"/>
      <c r="IOP161" s="4"/>
      <c r="IOQ161" s="4"/>
      <c r="IOR161" s="4"/>
      <c r="IOS161" s="4"/>
      <c r="IOT161" s="4"/>
      <c r="IOU161" s="4"/>
      <c r="IOV161" s="4"/>
      <c r="IOW161" s="4"/>
      <c r="IOX161" s="4"/>
      <c r="IOY161" s="4"/>
      <c r="IOZ161" s="4"/>
      <c r="IPA161" s="4"/>
      <c r="IPB161" s="4"/>
      <c r="IPC161" s="4"/>
      <c r="IPD161" s="4"/>
      <c r="IPE161" s="4"/>
      <c r="IPF161" s="4"/>
      <c r="IPG161" s="4"/>
      <c r="IPH161" s="4"/>
      <c r="IPI161" s="4"/>
      <c r="IPJ161" s="4"/>
      <c r="IPK161" s="4"/>
      <c r="IPL161" s="4"/>
      <c r="IPM161" s="4"/>
      <c r="IPN161" s="4"/>
      <c r="IPO161" s="4"/>
      <c r="IPP161" s="4"/>
      <c r="IPQ161" s="4"/>
      <c r="IPR161" s="4"/>
      <c r="IPS161" s="4"/>
      <c r="IPT161" s="4"/>
      <c r="IPU161" s="4"/>
      <c r="IPV161" s="4"/>
      <c r="IPW161" s="4"/>
      <c r="IPX161" s="4"/>
      <c r="IPY161" s="4"/>
      <c r="IPZ161" s="4"/>
      <c r="IQA161" s="4"/>
      <c r="IQB161" s="4"/>
      <c r="IQC161" s="4"/>
      <c r="IQD161" s="4"/>
      <c r="IQE161" s="4"/>
      <c r="IQF161" s="4"/>
      <c r="IQG161" s="4"/>
      <c r="IQH161" s="4"/>
      <c r="IQI161" s="4"/>
      <c r="IQJ161" s="4"/>
      <c r="IQK161" s="4"/>
      <c r="IQL161" s="4"/>
      <c r="IQM161" s="4"/>
      <c r="IQN161" s="4"/>
      <c r="IQO161" s="4"/>
      <c r="IQP161" s="4"/>
      <c r="IQQ161" s="4"/>
      <c r="IQR161" s="4"/>
      <c r="IQS161" s="4"/>
      <c r="IQT161" s="4"/>
      <c r="IQU161" s="4"/>
      <c r="IQV161" s="4"/>
      <c r="IQW161" s="4"/>
      <c r="IQX161" s="4"/>
      <c r="IQY161" s="4"/>
      <c r="IQZ161" s="4"/>
      <c r="IRA161" s="4"/>
      <c r="IRB161" s="4"/>
      <c r="IRC161" s="4"/>
      <c r="IRD161" s="4"/>
      <c r="IRE161" s="4"/>
      <c r="IRF161" s="4"/>
      <c r="IRG161" s="4"/>
      <c r="IRH161" s="4"/>
      <c r="IRI161" s="4"/>
      <c r="IRJ161" s="4"/>
      <c r="IRK161" s="4"/>
      <c r="IRL161" s="4"/>
      <c r="IRM161" s="4"/>
      <c r="IRN161" s="4"/>
      <c r="IRO161" s="4"/>
      <c r="IRP161" s="4"/>
      <c r="IRQ161" s="4"/>
      <c r="IRR161" s="4"/>
      <c r="IRS161" s="4"/>
      <c r="IRT161" s="4"/>
      <c r="IRU161" s="4"/>
      <c r="IRV161" s="4"/>
      <c r="IRW161" s="4"/>
      <c r="IRX161" s="4"/>
      <c r="IRY161" s="4"/>
      <c r="IRZ161" s="4"/>
      <c r="ISA161" s="4"/>
      <c r="ISB161" s="4"/>
      <c r="ISC161" s="4"/>
      <c r="ISD161" s="4"/>
      <c r="ISE161" s="4"/>
      <c r="ISF161" s="4"/>
      <c r="ISG161" s="4"/>
      <c r="ISH161" s="4"/>
      <c r="ISI161" s="4"/>
      <c r="ISJ161" s="4"/>
      <c r="ISK161" s="4"/>
      <c r="ISL161" s="4"/>
      <c r="ISM161" s="4"/>
      <c r="ISN161" s="4"/>
      <c r="ISO161" s="4"/>
      <c r="ISP161" s="4"/>
      <c r="ISQ161" s="4"/>
      <c r="ISR161" s="4"/>
      <c r="ISS161" s="4"/>
      <c r="IST161" s="4"/>
      <c r="ISU161" s="4"/>
      <c r="ISV161" s="4"/>
      <c r="ISW161" s="4"/>
      <c r="ISX161" s="4"/>
      <c r="ISY161" s="4"/>
      <c r="ISZ161" s="4"/>
      <c r="ITA161" s="4"/>
      <c r="ITB161" s="4"/>
      <c r="ITC161" s="4"/>
      <c r="ITD161" s="4"/>
      <c r="ITE161" s="4"/>
      <c r="ITF161" s="4"/>
      <c r="ITG161" s="4"/>
      <c r="ITH161" s="4"/>
      <c r="ITI161" s="4"/>
      <c r="ITJ161" s="4"/>
      <c r="ITK161" s="4"/>
      <c r="ITL161" s="4"/>
      <c r="ITM161" s="4"/>
      <c r="ITN161" s="4"/>
      <c r="ITO161" s="4"/>
      <c r="ITP161" s="4"/>
      <c r="ITQ161" s="4"/>
      <c r="ITR161" s="4"/>
      <c r="ITS161" s="4"/>
      <c r="ITT161" s="4"/>
      <c r="ITU161" s="4"/>
      <c r="ITV161" s="4"/>
      <c r="ITW161" s="4"/>
      <c r="ITX161" s="4"/>
      <c r="ITY161" s="4"/>
      <c r="ITZ161" s="4"/>
      <c r="IUA161" s="4"/>
      <c r="IUB161" s="4"/>
      <c r="IUC161" s="4"/>
      <c r="IUD161" s="4"/>
      <c r="IUE161" s="4"/>
      <c r="IUF161" s="4"/>
      <c r="IUG161" s="4"/>
      <c r="IUH161" s="4"/>
      <c r="IUI161" s="4"/>
      <c r="IUJ161" s="4"/>
      <c r="IUK161" s="4"/>
      <c r="IUL161" s="4"/>
      <c r="IUM161" s="4"/>
      <c r="IUN161" s="4"/>
      <c r="IUO161" s="4"/>
      <c r="IUP161" s="4"/>
      <c r="IUQ161" s="4"/>
      <c r="IUR161" s="4"/>
      <c r="IUS161" s="4"/>
      <c r="IUT161" s="4"/>
      <c r="IUU161" s="4"/>
      <c r="IUV161" s="4"/>
      <c r="IUW161" s="4"/>
      <c r="IUX161" s="4"/>
      <c r="IUY161" s="4"/>
      <c r="IUZ161" s="4"/>
      <c r="IVA161" s="4"/>
      <c r="IVB161" s="4"/>
      <c r="IVC161" s="4"/>
      <c r="IVD161" s="4"/>
      <c r="IVE161" s="4"/>
      <c r="IVF161" s="4"/>
      <c r="IVG161" s="4"/>
      <c r="IVH161" s="4"/>
      <c r="IVI161" s="4"/>
      <c r="IVJ161" s="4"/>
      <c r="IVK161" s="4"/>
      <c r="IVL161" s="4"/>
      <c r="IVM161" s="4"/>
      <c r="IVN161" s="4"/>
      <c r="IVO161" s="4"/>
      <c r="IVP161" s="4"/>
      <c r="IVQ161" s="4"/>
      <c r="IVR161" s="4"/>
      <c r="IVS161" s="4"/>
      <c r="IVT161" s="4"/>
      <c r="IVU161" s="4"/>
      <c r="IVV161" s="4"/>
      <c r="IVW161" s="4"/>
      <c r="IVX161" s="4"/>
      <c r="IVY161" s="4"/>
      <c r="IVZ161" s="4"/>
      <c r="IWA161" s="4"/>
      <c r="IWB161" s="4"/>
      <c r="IWC161" s="4"/>
      <c r="IWD161" s="4"/>
      <c r="IWE161" s="4"/>
      <c r="IWF161" s="4"/>
      <c r="IWG161" s="4"/>
      <c r="IWH161" s="4"/>
      <c r="IWI161" s="4"/>
      <c r="IWJ161" s="4"/>
      <c r="IWK161" s="4"/>
      <c r="IWL161" s="4"/>
      <c r="IWM161" s="4"/>
      <c r="IWN161" s="4"/>
      <c r="IWO161" s="4"/>
      <c r="IWP161" s="4"/>
      <c r="IWQ161" s="4"/>
      <c r="IWR161" s="4"/>
      <c r="IWS161" s="4"/>
      <c r="IWT161" s="4"/>
      <c r="IWU161" s="4"/>
      <c r="IWV161" s="4"/>
      <c r="IWW161" s="4"/>
      <c r="IWX161" s="4"/>
      <c r="IWY161" s="4"/>
      <c r="IWZ161" s="4"/>
      <c r="IXA161" s="4"/>
      <c r="IXB161" s="4"/>
      <c r="IXC161" s="4"/>
      <c r="IXD161" s="4"/>
      <c r="IXE161" s="4"/>
      <c r="IXF161" s="4"/>
      <c r="IXG161" s="4"/>
      <c r="IXH161" s="4"/>
      <c r="IXI161" s="4"/>
      <c r="IXJ161" s="4"/>
      <c r="IXK161" s="4"/>
      <c r="IXL161" s="4"/>
      <c r="IXM161" s="4"/>
      <c r="IXN161" s="4"/>
      <c r="IXO161" s="4"/>
      <c r="IXP161" s="4"/>
      <c r="IXQ161" s="4"/>
      <c r="IXR161" s="4"/>
      <c r="IXS161" s="4"/>
      <c r="IXT161" s="4"/>
      <c r="IXU161" s="4"/>
      <c r="IXV161" s="4"/>
      <c r="IXW161" s="4"/>
      <c r="IXX161" s="4"/>
      <c r="IXY161" s="4"/>
      <c r="IXZ161" s="4"/>
      <c r="IYA161" s="4"/>
      <c r="IYB161" s="4"/>
      <c r="IYC161" s="4"/>
      <c r="IYD161" s="4"/>
      <c r="IYE161" s="4"/>
      <c r="IYF161" s="4"/>
      <c r="IYG161" s="4"/>
      <c r="IYH161" s="4"/>
      <c r="IYI161" s="4"/>
      <c r="IYJ161" s="4"/>
      <c r="IYK161" s="4"/>
      <c r="IYL161" s="4"/>
      <c r="IYM161" s="4"/>
      <c r="IYN161" s="4"/>
      <c r="IYO161" s="4"/>
      <c r="IYP161" s="4"/>
      <c r="IYQ161" s="4"/>
      <c r="IYR161" s="4"/>
      <c r="IYS161" s="4"/>
      <c r="IYT161" s="4"/>
      <c r="IYU161" s="4"/>
      <c r="IYV161" s="4"/>
      <c r="IYW161" s="4"/>
      <c r="IYX161" s="4"/>
      <c r="IYY161" s="4"/>
      <c r="IYZ161" s="4"/>
      <c r="IZA161" s="4"/>
      <c r="IZB161" s="4"/>
      <c r="IZC161" s="4"/>
      <c r="IZD161" s="4"/>
      <c r="IZE161" s="4"/>
      <c r="IZF161" s="4"/>
      <c r="IZG161" s="4"/>
      <c r="IZH161" s="4"/>
      <c r="IZI161" s="4"/>
      <c r="IZJ161" s="4"/>
      <c r="IZK161" s="4"/>
      <c r="IZL161" s="4"/>
      <c r="IZM161" s="4"/>
      <c r="IZN161" s="4"/>
      <c r="IZO161" s="4"/>
      <c r="IZP161" s="4"/>
      <c r="IZQ161" s="4"/>
      <c r="IZR161" s="4"/>
      <c r="IZS161" s="4"/>
      <c r="IZT161" s="4"/>
      <c r="IZU161" s="4"/>
      <c r="IZV161" s="4"/>
      <c r="IZW161" s="4"/>
      <c r="IZX161" s="4"/>
      <c r="IZY161" s="4"/>
      <c r="IZZ161" s="4"/>
      <c r="JAA161" s="4"/>
      <c r="JAB161" s="4"/>
      <c r="JAC161" s="4"/>
      <c r="JAD161" s="4"/>
      <c r="JAE161" s="4"/>
      <c r="JAF161" s="4"/>
      <c r="JAG161" s="4"/>
      <c r="JAH161" s="4"/>
      <c r="JAI161" s="4"/>
      <c r="JAJ161" s="4"/>
      <c r="JAK161" s="4"/>
      <c r="JAL161" s="4"/>
      <c r="JAM161" s="4"/>
      <c r="JAN161" s="4"/>
      <c r="JAO161" s="4"/>
      <c r="JAP161" s="4"/>
      <c r="JAQ161" s="4"/>
      <c r="JAR161" s="4"/>
      <c r="JAS161" s="4"/>
      <c r="JAT161" s="4"/>
      <c r="JAU161" s="4"/>
      <c r="JAV161" s="4"/>
      <c r="JAW161" s="4"/>
      <c r="JAX161" s="4"/>
      <c r="JAY161" s="4"/>
      <c r="JAZ161" s="4"/>
      <c r="JBA161" s="4"/>
      <c r="JBB161" s="4"/>
      <c r="JBC161" s="4"/>
      <c r="JBD161" s="4"/>
      <c r="JBE161" s="4"/>
      <c r="JBF161" s="4"/>
      <c r="JBG161" s="4"/>
      <c r="JBH161" s="4"/>
      <c r="JBI161" s="4"/>
      <c r="JBJ161" s="4"/>
      <c r="JBK161" s="4"/>
      <c r="JBL161" s="4"/>
      <c r="JBM161" s="4"/>
      <c r="JBN161" s="4"/>
      <c r="JBO161" s="4"/>
      <c r="JBP161" s="4"/>
      <c r="JBQ161" s="4"/>
      <c r="JBR161" s="4"/>
      <c r="JBS161" s="4"/>
      <c r="JBT161" s="4"/>
      <c r="JBU161" s="4"/>
      <c r="JBV161" s="4"/>
      <c r="JBW161" s="4"/>
      <c r="JBX161" s="4"/>
      <c r="JBY161" s="4"/>
      <c r="JBZ161" s="4"/>
      <c r="JCA161" s="4"/>
      <c r="JCB161" s="4"/>
      <c r="JCC161" s="4"/>
      <c r="JCD161" s="4"/>
      <c r="JCE161" s="4"/>
      <c r="JCF161" s="4"/>
      <c r="JCG161" s="4"/>
      <c r="JCH161" s="4"/>
      <c r="JCI161" s="4"/>
      <c r="JCJ161" s="4"/>
      <c r="JCK161" s="4"/>
      <c r="JCL161" s="4"/>
      <c r="JCM161" s="4"/>
      <c r="JCN161" s="4"/>
      <c r="JCO161" s="4"/>
      <c r="JCP161" s="4"/>
      <c r="JCQ161" s="4"/>
      <c r="JCR161" s="4"/>
      <c r="JCS161" s="4"/>
      <c r="JCT161" s="4"/>
      <c r="JCU161" s="4"/>
      <c r="JCV161" s="4"/>
      <c r="JCW161" s="4"/>
      <c r="JCX161" s="4"/>
      <c r="JCY161" s="4"/>
      <c r="JCZ161" s="4"/>
      <c r="JDA161" s="4"/>
      <c r="JDB161" s="4"/>
      <c r="JDC161" s="4"/>
      <c r="JDD161" s="4"/>
      <c r="JDE161" s="4"/>
      <c r="JDF161" s="4"/>
      <c r="JDG161" s="4"/>
      <c r="JDH161" s="4"/>
      <c r="JDI161" s="4"/>
      <c r="JDJ161" s="4"/>
      <c r="JDK161" s="4"/>
      <c r="JDL161" s="4"/>
      <c r="JDM161" s="4"/>
      <c r="JDN161" s="4"/>
      <c r="JDO161" s="4"/>
      <c r="JDP161" s="4"/>
      <c r="JDQ161" s="4"/>
      <c r="JDR161" s="4"/>
      <c r="JDS161" s="4"/>
      <c r="JDT161" s="4"/>
      <c r="JDU161" s="4"/>
      <c r="JDV161" s="4"/>
      <c r="JDW161" s="4"/>
      <c r="JDX161" s="4"/>
      <c r="JDY161" s="4"/>
      <c r="JDZ161" s="4"/>
      <c r="JEA161" s="4"/>
      <c r="JEB161" s="4"/>
      <c r="JEC161" s="4"/>
      <c r="JED161" s="4"/>
      <c r="JEE161" s="4"/>
      <c r="JEF161" s="4"/>
      <c r="JEG161" s="4"/>
      <c r="JEH161" s="4"/>
      <c r="JEI161" s="4"/>
      <c r="JEJ161" s="4"/>
      <c r="JEK161" s="4"/>
      <c r="JEL161" s="4"/>
      <c r="JEM161" s="4"/>
      <c r="JEN161" s="4"/>
      <c r="JEO161" s="4"/>
      <c r="JEP161" s="4"/>
      <c r="JEQ161" s="4"/>
      <c r="JER161" s="4"/>
      <c r="JES161" s="4"/>
      <c r="JET161" s="4"/>
      <c r="JEU161" s="4"/>
      <c r="JEV161" s="4"/>
      <c r="JEW161" s="4"/>
      <c r="JEX161" s="4"/>
      <c r="JEY161" s="4"/>
      <c r="JEZ161" s="4"/>
      <c r="JFA161" s="4"/>
      <c r="JFB161" s="4"/>
      <c r="JFC161" s="4"/>
      <c r="JFD161" s="4"/>
      <c r="JFE161" s="4"/>
      <c r="JFF161" s="4"/>
      <c r="JFG161" s="4"/>
      <c r="JFH161" s="4"/>
      <c r="JFI161" s="4"/>
      <c r="JFJ161" s="4"/>
      <c r="JFK161" s="4"/>
      <c r="JFL161" s="4"/>
      <c r="JFM161" s="4"/>
      <c r="JFN161" s="4"/>
      <c r="JFO161" s="4"/>
      <c r="JFP161" s="4"/>
      <c r="JFQ161" s="4"/>
      <c r="JFR161" s="4"/>
      <c r="JFS161" s="4"/>
      <c r="JFT161" s="4"/>
      <c r="JFU161" s="4"/>
      <c r="JFV161" s="4"/>
      <c r="JFW161" s="4"/>
      <c r="JFX161" s="4"/>
      <c r="JFY161" s="4"/>
      <c r="JFZ161" s="4"/>
      <c r="JGA161" s="4"/>
      <c r="JGB161" s="4"/>
      <c r="JGC161" s="4"/>
      <c r="JGD161" s="4"/>
      <c r="JGE161" s="4"/>
      <c r="JGF161" s="4"/>
      <c r="JGG161" s="4"/>
      <c r="JGH161" s="4"/>
      <c r="JGI161" s="4"/>
      <c r="JGJ161" s="4"/>
      <c r="JGK161" s="4"/>
      <c r="JGL161" s="4"/>
      <c r="JGM161" s="4"/>
      <c r="JGN161" s="4"/>
      <c r="JGO161" s="4"/>
      <c r="JGP161" s="4"/>
      <c r="JGQ161" s="4"/>
      <c r="JGR161" s="4"/>
      <c r="JGS161" s="4"/>
      <c r="JGT161" s="4"/>
      <c r="JGU161" s="4"/>
      <c r="JGV161" s="4"/>
      <c r="JGW161" s="4"/>
      <c r="JGX161" s="4"/>
      <c r="JGY161" s="4"/>
      <c r="JGZ161" s="4"/>
      <c r="JHA161" s="4"/>
      <c r="JHB161" s="4"/>
      <c r="JHC161" s="4"/>
      <c r="JHD161" s="4"/>
      <c r="JHE161" s="4"/>
      <c r="JHF161" s="4"/>
      <c r="JHG161" s="4"/>
      <c r="JHH161" s="4"/>
      <c r="JHI161" s="4"/>
      <c r="JHJ161" s="4"/>
      <c r="JHK161" s="4"/>
      <c r="JHL161" s="4"/>
      <c r="JHM161" s="4"/>
      <c r="JHN161" s="4"/>
      <c r="JHO161" s="4"/>
      <c r="JHP161" s="4"/>
      <c r="JHQ161" s="4"/>
      <c r="JHR161" s="4"/>
      <c r="JHS161" s="4"/>
      <c r="JHT161" s="4"/>
      <c r="JHU161" s="4"/>
      <c r="JHV161" s="4"/>
      <c r="JHW161" s="4"/>
      <c r="JHX161" s="4"/>
      <c r="JHY161" s="4"/>
      <c r="JHZ161" s="4"/>
      <c r="JIA161" s="4"/>
      <c r="JIB161" s="4"/>
      <c r="JIC161" s="4"/>
      <c r="JID161" s="4"/>
      <c r="JIE161" s="4"/>
      <c r="JIF161" s="4"/>
      <c r="JIG161" s="4"/>
      <c r="JIH161" s="4"/>
      <c r="JII161" s="4"/>
      <c r="JIJ161" s="4"/>
      <c r="JIK161" s="4"/>
      <c r="JIL161" s="4"/>
      <c r="JIM161" s="4"/>
      <c r="JIN161" s="4"/>
      <c r="JIO161" s="4"/>
      <c r="JIP161" s="4"/>
      <c r="JIQ161" s="4"/>
      <c r="JIR161" s="4"/>
      <c r="JIS161" s="4"/>
      <c r="JIT161" s="4"/>
      <c r="JIU161" s="4"/>
      <c r="JIV161" s="4"/>
      <c r="JIW161" s="4"/>
      <c r="JIX161" s="4"/>
      <c r="JIY161" s="4"/>
      <c r="JIZ161" s="4"/>
      <c r="JJA161" s="4"/>
      <c r="JJB161" s="4"/>
      <c r="JJC161" s="4"/>
      <c r="JJD161" s="4"/>
      <c r="JJE161" s="4"/>
      <c r="JJF161" s="4"/>
      <c r="JJG161" s="4"/>
      <c r="JJH161" s="4"/>
      <c r="JJI161" s="4"/>
      <c r="JJJ161" s="4"/>
      <c r="JJK161" s="4"/>
      <c r="JJL161" s="4"/>
      <c r="JJM161" s="4"/>
      <c r="JJN161" s="4"/>
      <c r="JJO161" s="4"/>
      <c r="JJP161" s="4"/>
      <c r="JJQ161" s="4"/>
      <c r="JJR161" s="4"/>
      <c r="JJS161" s="4"/>
      <c r="JJT161" s="4"/>
      <c r="JJU161" s="4"/>
      <c r="JJV161" s="4"/>
      <c r="JJW161" s="4"/>
      <c r="JJX161" s="4"/>
      <c r="JJY161" s="4"/>
      <c r="JJZ161" s="4"/>
      <c r="JKA161" s="4"/>
      <c r="JKB161" s="4"/>
      <c r="JKC161" s="4"/>
      <c r="JKD161" s="4"/>
      <c r="JKE161" s="4"/>
      <c r="JKF161" s="4"/>
      <c r="JKG161" s="4"/>
      <c r="JKH161" s="4"/>
      <c r="JKI161" s="4"/>
      <c r="JKJ161" s="4"/>
      <c r="JKK161" s="4"/>
      <c r="JKL161" s="4"/>
      <c r="JKM161" s="4"/>
      <c r="JKN161" s="4"/>
      <c r="JKO161" s="4"/>
      <c r="JKP161" s="4"/>
      <c r="JKQ161" s="4"/>
      <c r="JKR161" s="4"/>
      <c r="JKS161" s="4"/>
      <c r="JKT161" s="4"/>
      <c r="JKU161" s="4"/>
      <c r="JKV161" s="4"/>
      <c r="JKW161" s="4"/>
      <c r="JKX161" s="4"/>
      <c r="JKY161" s="4"/>
      <c r="JKZ161" s="4"/>
      <c r="JLA161" s="4"/>
      <c r="JLB161" s="4"/>
      <c r="JLC161" s="4"/>
      <c r="JLD161" s="4"/>
      <c r="JLE161" s="4"/>
      <c r="JLF161" s="4"/>
      <c r="JLG161" s="4"/>
      <c r="JLH161" s="4"/>
      <c r="JLI161" s="4"/>
      <c r="JLJ161" s="4"/>
      <c r="JLK161" s="4"/>
      <c r="JLL161" s="4"/>
      <c r="JLM161" s="4"/>
      <c r="JLN161" s="4"/>
      <c r="JLO161" s="4"/>
      <c r="JLP161" s="4"/>
      <c r="JLQ161" s="4"/>
      <c r="JLR161" s="4"/>
      <c r="JLS161" s="4"/>
      <c r="JLT161" s="4"/>
      <c r="JLU161" s="4"/>
      <c r="JLV161" s="4"/>
      <c r="JLW161" s="4"/>
      <c r="JLX161" s="4"/>
      <c r="JLY161" s="4"/>
      <c r="JLZ161" s="4"/>
      <c r="JMA161" s="4"/>
      <c r="JMB161" s="4"/>
      <c r="JMC161" s="4"/>
      <c r="JMD161" s="4"/>
      <c r="JME161" s="4"/>
      <c r="JMF161" s="4"/>
      <c r="JMG161" s="4"/>
      <c r="JMH161" s="4"/>
      <c r="JMI161" s="4"/>
      <c r="JMJ161" s="4"/>
      <c r="JMK161" s="4"/>
      <c r="JML161" s="4"/>
      <c r="JMM161" s="4"/>
      <c r="JMN161" s="4"/>
      <c r="JMO161" s="4"/>
      <c r="JMP161" s="4"/>
      <c r="JMQ161" s="4"/>
      <c r="JMR161" s="4"/>
      <c r="JMS161" s="4"/>
      <c r="JMT161" s="4"/>
      <c r="JMU161" s="4"/>
      <c r="JMV161" s="4"/>
      <c r="JMW161" s="4"/>
      <c r="JMX161" s="4"/>
      <c r="JMY161" s="4"/>
      <c r="JMZ161" s="4"/>
      <c r="JNA161" s="4"/>
      <c r="JNB161" s="4"/>
      <c r="JNC161" s="4"/>
      <c r="JND161" s="4"/>
      <c r="JNE161" s="4"/>
      <c r="JNF161" s="4"/>
      <c r="JNG161" s="4"/>
      <c r="JNH161" s="4"/>
      <c r="JNI161" s="4"/>
      <c r="JNJ161" s="4"/>
      <c r="JNK161" s="4"/>
      <c r="JNL161" s="4"/>
      <c r="JNM161" s="4"/>
      <c r="JNN161" s="4"/>
      <c r="JNO161" s="4"/>
      <c r="JNP161" s="4"/>
      <c r="JNQ161" s="4"/>
      <c r="JNR161" s="4"/>
      <c r="JNS161" s="4"/>
      <c r="JNT161" s="4"/>
      <c r="JNU161" s="4"/>
      <c r="JNV161" s="4"/>
      <c r="JNW161" s="4"/>
      <c r="JNX161" s="4"/>
      <c r="JNY161" s="4"/>
      <c r="JNZ161" s="4"/>
      <c r="JOA161" s="4"/>
      <c r="JOB161" s="4"/>
      <c r="JOC161" s="4"/>
      <c r="JOD161" s="4"/>
      <c r="JOE161" s="4"/>
      <c r="JOF161" s="4"/>
      <c r="JOG161" s="4"/>
      <c r="JOH161" s="4"/>
      <c r="JOI161" s="4"/>
      <c r="JOJ161" s="4"/>
      <c r="JOK161" s="4"/>
      <c r="JOL161" s="4"/>
      <c r="JOM161" s="4"/>
      <c r="JON161" s="4"/>
      <c r="JOO161" s="4"/>
      <c r="JOP161" s="4"/>
      <c r="JOQ161" s="4"/>
      <c r="JOR161" s="4"/>
      <c r="JOS161" s="4"/>
      <c r="JOT161" s="4"/>
      <c r="JOU161" s="4"/>
      <c r="JOV161" s="4"/>
      <c r="JOW161" s="4"/>
      <c r="JOX161" s="4"/>
      <c r="JOY161" s="4"/>
      <c r="JOZ161" s="4"/>
      <c r="JPA161" s="4"/>
      <c r="JPB161" s="4"/>
      <c r="JPC161" s="4"/>
      <c r="JPD161" s="4"/>
      <c r="JPE161" s="4"/>
      <c r="JPF161" s="4"/>
      <c r="JPG161" s="4"/>
      <c r="JPH161" s="4"/>
      <c r="JPI161" s="4"/>
      <c r="JPJ161" s="4"/>
      <c r="JPK161" s="4"/>
      <c r="JPL161" s="4"/>
      <c r="JPM161" s="4"/>
      <c r="JPN161" s="4"/>
      <c r="JPO161" s="4"/>
      <c r="JPP161" s="4"/>
      <c r="JPQ161" s="4"/>
      <c r="JPR161" s="4"/>
      <c r="JPS161" s="4"/>
      <c r="JPT161" s="4"/>
      <c r="JPU161" s="4"/>
      <c r="JPV161" s="4"/>
      <c r="JPW161" s="4"/>
      <c r="JPX161" s="4"/>
      <c r="JPY161" s="4"/>
      <c r="JPZ161" s="4"/>
      <c r="JQA161" s="4"/>
      <c r="JQB161" s="4"/>
      <c r="JQC161" s="4"/>
      <c r="JQD161" s="4"/>
      <c r="JQE161" s="4"/>
      <c r="JQF161" s="4"/>
      <c r="JQG161" s="4"/>
      <c r="JQH161" s="4"/>
      <c r="JQI161" s="4"/>
      <c r="JQJ161" s="4"/>
      <c r="JQK161" s="4"/>
      <c r="JQL161" s="4"/>
      <c r="JQM161" s="4"/>
      <c r="JQN161" s="4"/>
      <c r="JQO161" s="4"/>
      <c r="JQP161" s="4"/>
      <c r="JQQ161" s="4"/>
      <c r="JQR161" s="4"/>
      <c r="JQS161" s="4"/>
      <c r="JQT161" s="4"/>
      <c r="JQU161" s="4"/>
      <c r="JQV161" s="4"/>
      <c r="JQW161" s="4"/>
      <c r="JQX161" s="4"/>
      <c r="JQY161" s="4"/>
      <c r="JQZ161" s="4"/>
      <c r="JRA161" s="4"/>
      <c r="JRB161" s="4"/>
      <c r="JRC161" s="4"/>
      <c r="JRD161" s="4"/>
      <c r="JRE161" s="4"/>
      <c r="JRF161" s="4"/>
      <c r="JRG161" s="4"/>
      <c r="JRH161" s="4"/>
      <c r="JRI161" s="4"/>
      <c r="JRJ161" s="4"/>
      <c r="JRK161" s="4"/>
      <c r="JRL161" s="4"/>
      <c r="JRM161" s="4"/>
      <c r="JRN161" s="4"/>
      <c r="JRO161" s="4"/>
      <c r="JRP161" s="4"/>
      <c r="JRQ161" s="4"/>
      <c r="JRR161" s="4"/>
      <c r="JRS161" s="4"/>
      <c r="JRT161" s="4"/>
      <c r="JRU161" s="4"/>
      <c r="JRV161" s="4"/>
      <c r="JRW161" s="4"/>
      <c r="JRX161" s="4"/>
      <c r="JRY161" s="4"/>
      <c r="JRZ161" s="4"/>
      <c r="JSA161" s="4"/>
      <c r="JSB161" s="4"/>
      <c r="JSC161" s="4"/>
      <c r="JSD161" s="4"/>
      <c r="JSE161" s="4"/>
      <c r="JSF161" s="4"/>
      <c r="JSG161" s="4"/>
      <c r="JSH161" s="4"/>
      <c r="JSI161" s="4"/>
      <c r="JSJ161" s="4"/>
      <c r="JSK161" s="4"/>
      <c r="JSL161" s="4"/>
      <c r="JSM161" s="4"/>
      <c r="JSN161" s="4"/>
      <c r="JSO161" s="4"/>
      <c r="JSP161" s="4"/>
      <c r="JSQ161" s="4"/>
      <c r="JSR161" s="4"/>
      <c r="JSS161" s="4"/>
      <c r="JST161" s="4"/>
      <c r="JSU161" s="4"/>
      <c r="JSV161" s="4"/>
      <c r="JSW161" s="4"/>
      <c r="JSX161" s="4"/>
      <c r="JSY161" s="4"/>
      <c r="JSZ161" s="4"/>
      <c r="JTA161" s="4"/>
      <c r="JTB161" s="4"/>
      <c r="JTC161" s="4"/>
      <c r="JTD161" s="4"/>
      <c r="JTE161" s="4"/>
      <c r="JTF161" s="4"/>
      <c r="JTG161" s="4"/>
      <c r="JTH161" s="4"/>
      <c r="JTI161" s="4"/>
      <c r="JTJ161" s="4"/>
      <c r="JTK161" s="4"/>
      <c r="JTL161" s="4"/>
      <c r="JTM161" s="4"/>
      <c r="JTN161" s="4"/>
      <c r="JTO161" s="4"/>
      <c r="JTP161" s="4"/>
      <c r="JTQ161" s="4"/>
      <c r="JTR161" s="4"/>
      <c r="JTS161" s="4"/>
      <c r="JTT161" s="4"/>
      <c r="JTU161" s="4"/>
      <c r="JTV161" s="4"/>
      <c r="JTW161" s="4"/>
      <c r="JTX161" s="4"/>
      <c r="JTY161" s="4"/>
      <c r="JTZ161" s="4"/>
      <c r="JUA161" s="4"/>
      <c r="JUB161" s="4"/>
      <c r="JUC161" s="4"/>
      <c r="JUD161" s="4"/>
      <c r="JUE161" s="4"/>
      <c r="JUF161" s="4"/>
      <c r="JUG161" s="4"/>
      <c r="JUH161" s="4"/>
      <c r="JUI161" s="4"/>
      <c r="JUJ161" s="4"/>
      <c r="JUK161" s="4"/>
      <c r="JUL161" s="4"/>
      <c r="JUM161" s="4"/>
      <c r="JUN161" s="4"/>
      <c r="JUO161" s="4"/>
      <c r="JUP161" s="4"/>
      <c r="JUQ161" s="4"/>
      <c r="JUR161" s="4"/>
      <c r="JUS161" s="4"/>
      <c r="JUT161" s="4"/>
      <c r="JUU161" s="4"/>
      <c r="JUV161" s="4"/>
      <c r="JUW161" s="4"/>
      <c r="JUX161" s="4"/>
      <c r="JUY161" s="4"/>
      <c r="JUZ161" s="4"/>
      <c r="JVA161" s="4"/>
      <c r="JVB161" s="4"/>
      <c r="JVC161" s="4"/>
      <c r="JVD161" s="4"/>
      <c r="JVE161" s="4"/>
      <c r="JVF161" s="4"/>
      <c r="JVG161" s="4"/>
      <c r="JVH161" s="4"/>
      <c r="JVI161" s="4"/>
      <c r="JVJ161" s="4"/>
      <c r="JVK161" s="4"/>
      <c r="JVL161" s="4"/>
      <c r="JVM161" s="4"/>
      <c r="JVN161" s="4"/>
      <c r="JVO161" s="4"/>
      <c r="JVP161" s="4"/>
      <c r="JVQ161" s="4"/>
      <c r="JVR161" s="4"/>
      <c r="JVS161" s="4"/>
      <c r="JVT161" s="4"/>
      <c r="JVU161" s="4"/>
      <c r="JVV161" s="4"/>
      <c r="JVW161" s="4"/>
      <c r="JVX161" s="4"/>
      <c r="JVY161" s="4"/>
      <c r="JVZ161" s="4"/>
      <c r="JWA161" s="4"/>
      <c r="JWB161" s="4"/>
      <c r="JWC161" s="4"/>
      <c r="JWD161" s="4"/>
      <c r="JWE161" s="4"/>
      <c r="JWF161" s="4"/>
      <c r="JWG161" s="4"/>
      <c r="JWH161" s="4"/>
      <c r="JWI161" s="4"/>
      <c r="JWJ161" s="4"/>
      <c r="JWK161" s="4"/>
      <c r="JWL161" s="4"/>
      <c r="JWM161" s="4"/>
      <c r="JWN161" s="4"/>
      <c r="JWO161" s="4"/>
      <c r="JWP161" s="4"/>
      <c r="JWQ161" s="4"/>
      <c r="JWR161" s="4"/>
      <c r="JWS161" s="4"/>
      <c r="JWT161" s="4"/>
      <c r="JWU161" s="4"/>
      <c r="JWV161" s="4"/>
      <c r="JWW161" s="4"/>
      <c r="JWX161" s="4"/>
      <c r="JWY161" s="4"/>
      <c r="JWZ161" s="4"/>
      <c r="JXA161" s="4"/>
      <c r="JXB161" s="4"/>
      <c r="JXC161" s="4"/>
      <c r="JXD161" s="4"/>
      <c r="JXE161" s="4"/>
      <c r="JXF161" s="4"/>
      <c r="JXG161" s="4"/>
      <c r="JXH161" s="4"/>
      <c r="JXI161" s="4"/>
      <c r="JXJ161" s="4"/>
      <c r="JXK161" s="4"/>
      <c r="JXL161" s="4"/>
      <c r="JXM161" s="4"/>
      <c r="JXN161" s="4"/>
      <c r="JXO161" s="4"/>
      <c r="JXP161" s="4"/>
      <c r="JXQ161" s="4"/>
      <c r="JXR161" s="4"/>
      <c r="JXS161" s="4"/>
      <c r="JXT161" s="4"/>
      <c r="JXU161" s="4"/>
      <c r="JXV161" s="4"/>
      <c r="JXW161" s="4"/>
      <c r="JXX161" s="4"/>
      <c r="JXY161" s="4"/>
      <c r="JXZ161" s="4"/>
      <c r="JYA161" s="4"/>
      <c r="JYB161" s="4"/>
      <c r="JYC161" s="4"/>
      <c r="JYD161" s="4"/>
      <c r="JYE161" s="4"/>
      <c r="JYF161" s="4"/>
      <c r="JYG161" s="4"/>
      <c r="JYH161" s="4"/>
      <c r="JYI161" s="4"/>
      <c r="JYJ161" s="4"/>
      <c r="JYK161" s="4"/>
      <c r="JYL161" s="4"/>
      <c r="JYM161" s="4"/>
      <c r="JYN161" s="4"/>
      <c r="JYO161" s="4"/>
      <c r="JYP161" s="4"/>
      <c r="JYQ161" s="4"/>
      <c r="JYR161" s="4"/>
      <c r="JYS161" s="4"/>
      <c r="JYT161" s="4"/>
      <c r="JYU161" s="4"/>
      <c r="JYV161" s="4"/>
      <c r="JYW161" s="4"/>
      <c r="JYX161" s="4"/>
      <c r="JYY161" s="4"/>
      <c r="JYZ161" s="4"/>
      <c r="JZA161" s="4"/>
      <c r="JZB161" s="4"/>
      <c r="JZC161" s="4"/>
      <c r="JZD161" s="4"/>
      <c r="JZE161" s="4"/>
      <c r="JZF161" s="4"/>
      <c r="JZG161" s="4"/>
      <c r="JZH161" s="4"/>
      <c r="JZI161" s="4"/>
      <c r="JZJ161" s="4"/>
      <c r="JZK161" s="4"/>
      <c r="JZL161" s="4"/>
      <c r="JZM161" s="4"/>
      <c r="JZN161" s="4"/>
      <c r="JZO161" s="4"/>
      <c r="JZP161" s="4"/>
      <c r="JZQ161" s="4"/>
      <c r="JZR161" s="4"/>
      <c r="JZS161" s="4"/>
      <c r="JZT161" s="4"/>
      <c r="JZU161" s="4"/>
      <c r="JZV161" s="4"/>
      <c r="JZW161" s="4"/>
      <c r="JZX161" s="4"/>
      <c r="JZY161" s="4"/>
      <c r="JZZ161" s="4"/>
      <c r="KAA161" s="4"/>
      <c r="KAB161" s="4"/>
      <c r="KAC161" s="4"/>
      <c r="KAD161" s="4"/>
      <c r="KAE161" s="4"/>
      <c r="KAF161" s="4"/>
      <c r="KAG161" s="4"/>
      <c r="KAH161" s="4"/>
      <c r="KAI161" s="4"/>
      <c r="KAJ161" s="4"/>
      <c r="KAK161" s="4"/>
      <c r="KAL161" s="4"/>
      <c r="KAM161" s="4"/>
      <c r="KAN161" s="4"/>
      <c r="KAO161" s="4"/>
      <c r="KAP161" s="4"/>
      <c r="KAQ161" s="4"/>
      <c r="KAR161" s="4"/>
      <c r="KAS161" s="4"/>
      <c r="KAT161" s="4"/>
      <c r="KAU161" s="4"/>
      <c r="KAV161" s="4"/>
      <c r="KAW161" s="4"/>
      <c r="KAX161" s="4"/>
      <c r="KAY161" s="4"/>
      <c r="KAZ161" s="4"/>
      <c r="KBA161" s="4"/>
      <c r="KBB161" s="4"/>
      <c r="KBC161" s="4"/>
      <c r="KBD161" s="4"/>
      <c r="KBE161" s="4"/>
      <c r="KBF161" s="4"/>
      <c r="KBG161" s="4"/>
      <c r="KBH161" s="4"/>
      <c r="KBI161" s="4"/>
      <c r="KBJ161" s="4"/>
      <c r="KBK161" s="4"/>
      <c r="KBL161" s="4"/>
      <c r="KBM161" s="4"/>
      <c r="KBN161" s="4"/>
      <c r="KBO161" s="4"/>
      <c r="KBP161" s="4"/>
      <c r="KBQ161" s="4"/>
      <c r="KBR161" s="4"/>
      <c r="KBS161" s="4"/>
      <c r="KBT161" s="4"/>
      <c r="KBU161" s="4"/>
      <c r="KBV161" s="4"/>
      <c r="KBW161" s="4"/>
      <c r="KBX161" s="4"/>
      <c r="KBY161" s="4"/>
      <c r="KBZ161" s="4"/>
      <c r="KCA161" s="4"/>
      <c r="KCB161" s="4"/>
      <c r="KCC161" s="4"/>
      <c r="KCD161" s="4"/>
      <c r="KCE161" s="4"/>
      <c r="KCF161" s="4"/>
      <c r="KCG161" s="4"/>
      <c r="KCH161" s="4"/>
      <c r="KCI161" s="4"/>
      <c r="KCJ161" s="4"/>
      <c r="KCK161" s="4"/>
      <c r="KCL161" s="4"/>
      <c r="KCM161" s="4"/>
      <c r="KCN161" s="4"/>
      <c r="KCO161" s="4"/>
      <c r="KCP161" s="4"/>
      <c r="KCQ161" s="4"/>
      <c r="KCR161" s="4"/>
      <c r="KCS161" s="4"/>
      <c r="KCT161" s="4"/>
      <c r="KCU161" s="4"/>
      <c r="KCV161" s="4"/>
      <c r="KCW161" s="4"/>
      <c r="KCX161" s="4"/>
      <c r="KCY161" s="4"/>
      <c r="KCZ161" s="4"/>
      <c r="KDA161" s="4"/>
      <c r="KDB161" s="4"/>
      <c r="KDC161" s="4"/>
      <c r="KDD161" s="4"/>
      <c r="KDE161" s="4"/>
      <c r="KDF161" s="4"/>
      <c r="KDG161" s="4"/>
      <c r="KDH161" s="4"/>
      <c r="KDI161" s="4"/>
      <c r="KDJ161" s="4"/>
      <c r="KDK161" s="4"/>
      <c r="KDL161" s="4"/>
      <c r="KDM161" s="4"/>
      <c r="KDN161" s="4"/>
      <c r="KDO161" s="4"/>
      <c r="KDP161" s="4"/>
      <c r="KDQ161" s="4"/>
      <c r="KDR161" s="4"/>
      <c r="KDS161" s="4"/>
      <c r="KDT161" s="4"/>
      <c r="KDU161" s="4"/>
      <c r="KDV161" s="4"/>
      <c r="KDW161" s="4"/>
      <c r="KDX161" s="4"/>
      <c r="KDY161" s="4"/>
      <c r="KDZ161" s="4"/>
      <c r="KEA161" s="4"/>
      <c r="KEB161" s="4"/>
      <c r="KEC161" s="4"/>
      <c r="KED161" s="4"/>
      <c r="KEE161" s="4"/>
      <c r="KEF161" s="4"/>
      <c r="KEG161" s="4"/>
      <c r="KEH161" s="4"/>
      <c r="KEI161" s="4"/>
      <c r="KEJ161" s="4"/>
      <c r="KEK161" s="4"/>
      <c r="KEL161" s="4"/>
      <c r="KEM161" s="4"/>
      <c r="KEN161" s="4"/>
      <c r="KEO161" s="4"/>
      <c r="KEP161" s="4"/>
      <c r="KEQ161" s="4"/>
      <c r="KER161" s="4"/>
      <c r="KES161" s="4"/>
      <c r="KET161" s="4"/>
      <c r="KEU161" s="4"/>
      <c r="KEV161" s="4"/>
      <c r="KEW161" s="4"/>
      <c r="KEX161" s="4"/>
      <c r="KEY161" s="4"/>
      <c r="KEZ161" s="4"/>
      <c r="KFA161" s="4"/>
      <c r="KFB161" s="4"/>
      <c r="KFC161" s="4"/>
      <c r="KFD161" s="4"/>
      <c r="KFE161" s="4"/>
      <c r="KFF161" s="4"/>
      <c r="KFG161" s="4"/>
      <c r="KFH161" s="4"/>
      <c r="KFI161" s="4"/>
      <c r="KFJ161" s="4"/>
      <c r="KFK161" s="4"/>
      <c r="KFL161" s="4"/>
      <c r="KFM161" s="4"/>
      <c r="KFN161" s="4"/>
      <c r="KFO161" s="4"/>
      <c r="KFP161" s="4"/>
      <c r="KFQ161" s="4"/>
      <c r="KFR161" s="4"/>
      <c r="KFS161" s="4"/>
      <c r="KFT161" s="4"/>
      <c r="KFU161" s="4"/>
      <c r="KFV161" s="4"/>
      <c r="KFW161" s="4"/>
      <c r="KFX161" s="4"/>
      <c r="KFY161" s="4"/>
      <c r="KFZ161" s="4"/>
      <c r="KGA161" s="4"/>
      <c r="KGB161" s="4"/>
      <c r="KGC161" s="4"/>
      <c r="KGD161" s="4"/>
      <c r="KGE161" s="4"/>
      <c r="KGF161" s="4"/>
      <c r="KGG161" s="4"/>
      <c r="KGH161" s="4"/>
      <c r="KGI161" s="4"/>
      <c r="KGJ161" s="4"/>
      <c r="KGK161" s="4"/>
      <c r="KGL161" s="4"/>
      <c r="KGM161" s="4"/>
      <c r="KGN161" s="4"/>
      <c r="KGO161" s="4"/>
      <c r="KGP161" s="4"/>
      <c r="KGQ161" s="4"/>
      <c r="KGR161" s="4"/>
      <c r="KGS161" s="4"/>
      <c r="KGT161" s="4"/>
      <c r="KGU161" s="4"/>
      <c r="KGV161" s="4"/>
      <c r="KGW161" s="4"/>
      <c r="KGX161" s="4"/>
      <c r="KGY161" s="4"/>
      <c r="KGZ161" s="4"/>
      <c r="KHA161" s="4"/>
      <c r="KHB161" s="4"/>
      <c r="KHC161" s="4"/>
      <c r="KHD161" s="4"/>
      <c r="KHE161" s="4"/>
      <c r="KHF161" s="4"/>
      <c r="KHG161" s="4"/>
      <c r="KHH161" s="4"/>
      <c r="KHI161" s="4"/>
      <c r="KHJ161" s="4"/>
      <c r="KHK161" s="4"/>
      <c r="KHL161" s="4"/>
      <c r="KHM161" s="4"/>
      <c r="KHN161" s="4"/>
      <c r="KHO161" s="4"/>
      <c r="KHP161" s="4"/>
      <c r="KHQ161" s="4"/>
      <c r="KHR161" s="4"/>
      <c r="KHS161" s="4"/>
      <c r="KHT161" s="4"/>
      <c r="KHU161" s="4"/>
      <c r="KHV161" s="4"/>
      <c r="KHW161" s="4"/>
      <c r="KHX161" s="4"/>
      <c r="KHY161" s="4"/>
      <c r="KHZ161" s="4"/>
      <c r="KIA161" s="4"/>
      <c r="KIB161" s="4"/>
      <c r="KIC161" s="4"/>
      <c r="KID161" s="4"/>
      <c r="KIE161" s="4"/>
      <c r="KIF161" s="4"/>
      <c r="KIG161" s="4"/>
      <c r="KIH161" s="4"/>
      <c r="KII161" s="4"/>
      <c r="KIJ161" s="4"/>
      <c r="KIK161" s="4"/>
      <c r="KIL161" s="4"/>
      <c r="KIM161" s="4"/>
      <c r="KIN161" s="4"/>
      <c r="KIO161" s="4"/>
      <c r="KIP161" s="4"/>
      <c r="KIQ161" s="4"/>
      <c r="KIR161" s="4"/>
      <c r="KIS161" s="4"/>
      <c r="KIT161" s="4"/>
      <c r="KIU161" s="4"/>
      <c r="KIV161" s="4"/>
      <c r="KIW161" s="4"/>
      <c r="KIX161" s="4"/>
      <c r="KIY161" s="4"/>
      <c r="KIZ161" s="4"/>
      <c r="KJA161" s="4"/>
      <c r="KJB161" s="4"/>
      <c r="KJC161" s="4"/>
      <c r="KJD161" s="4"/>
      <c r="KJE161" s="4"/>
      <c r="KJF161" s="4"/>
      <c r="KJG161" s="4"/>
      <c r="KJH161" s="4"/>
      <c r="KJI161" s="4"/>
      <c r="KJJ161" s="4"/>
      <c r="KJK161" s="4"/>
      <c r="KJL161" s="4"/>
      <c r="KJM161" s="4"/>
      <c r="KJN161" s="4"/>
      <c r="KJO161" s="4"/>
      <c r="KJP161" s="4"/>
      <c r="KJQ161" s="4"/>
      <c r="KJR161" s="4"/>
      <c r="KJS161" s="4"/>
      <c r="KJT161" s="4"/>
      <c r="KJU161" s="4"/>
      <c r="KJV161" s="4"/>
      <c r="KJW161" s="4"/>
      <c r="KJX161" s="4"/>
      <c r="KJY161" s="4"/>
      <c r="KJZ161" s="4"/>
      <c r="KKA161" s="4"/>
      <c r="KKB161" s="4"/>
      <c r="KKC161" s="4"/>
      <c r="KKD161" s="4"/>
      <c r="KKE161" s="4"/>
      <c r="KKF161" s="4"/>
      <c r="KKG161" s="4"/>
      <c r="KKH161" s="4"/>
      <c r="KKI161" s="4"/>
      <c r="KKJ161" s="4"/>
      <c r="KKK161" s="4"/>
      <c r="KKL161" s="4"/>
      <c r="KKM161" s="4"/>
      <c r="KKN161" s="4"/>
      <c r="KKO161" s="4"/>
      <c r="KKP161" s="4"/>
      <c r="KKQ161" s="4"/>
      <c r="KKR161" s="4"/>
      <c r="KKS161" s="4"/>
      <c r="KKT161" s="4"/>
      <c r="KKU161" s="4"/>
      <c r="KKV161" s="4"/>
      <c r="KKW161" s="4"/>
      <c r="KKX161" s="4"/>
      <c r="KKY161" s="4"/>
      <c r="KKZ161" s="4"/>
      <c r="KLA161" s="4"/>
      <c r="KLB161" s="4"/>
      <c r="KLC161" s="4"/>
      <c r="KLD161" s="4"/>
      <c r="KLE161" s="4"/>
      <c r="KLF161" s="4"/>
      <c r="KLG161" s="4"/>
      <c r="KLH161" s="4"/>
      <c r="KLI161" s="4"/>
      <c r="KLJ161" s="4"/>
      <c r="KLK161" s="4"/>
      <c r="KLL161" s="4"/>
      <c r="KLM161" s="4"/>
      <c r="KLN161" s="4"/>
      <c r="KLO161" s="4"/>
      <c r="KLP161" s="4"/>
      <c r="KLQ161" s="4"/>
      <c r="KLR161" s="4"/>
      <c r="KLS161" s="4"/>
      <c r="KLT161" s="4"/>
      <c r="KLU161" s="4"/>
      <c r="KLV161" s="4"/>
      <c r="KLW161" s="4"/>
      <c r="KLX161" s="4"/>
      <c r="KLY161" s="4"/>
      <c r="KLZ161" s="4"/>
      <c r="KMA161" s="4"/>
      <c r="KMB161" s="4"/>
      <c r="KMC161" s="4"/>
      <c r="KMD161" s="4"/>
      <c r="KME161" s="4"/>
      <c r="KMF161" s="4"/>
      <c r="KMG161" s="4"/>
      <c r="KMH161" s="4"/>
      <c r="KMI161" s="4"/>
      <c r="KMJ161" s="4"/>
      <c r="KMK161" s="4"/>
      <c r="KML161" s="4"/>
      <c r="KMM161" s="4"/>
      <c r="KMN161" s="4"/>
      <c r="KMO161" s="4"/>
      <c r="KMP161" s="4"/>
      <c r="KMQ161" s="4"/>
      <c r="KMR161" s="4"/>
      <c r="KMS161" s="4"/>
      <c r="KMT161" s="4"/>
      <c r="KMU161" s="4"/>
      <c r="KMV161" s="4"/>
      <c r="KMW161" s="4"/>
      <c r="KMX161" s="4"/>
      <c r="KMY161" s="4"/>
      <c r="KMZ161" s="4"/>
      <c r="KNA161" s="4"/>
      <c r="KNB161" s="4"/>
      <c r="KNC161" s="4"/>
      <c r="KND161" s="4"/>
      <c r="KNE161" s="4"/>
      <c r="KNF161" s="4"/>
      <c r="KNG161" s="4"/>
      <c r="KNH161" s="4"/>
      <c r="KNI161" s="4"/>
      <c r="KNJ161" s="4"/>
      <c r="KNK161" s="4"/>
      <c r="KNL161" s="4"/>
      <c r="KNM161" s="4"/>
      <c r="KNN161" s="4"/>
      <c r="KNO161" s="4"/>
      <c r="KNP161" s="4"/>
      <c r="KNQ161" s="4"/>
      <c r="KNR161" s="4"/>
      <c r="KNS161" s="4"/>
      <c r="KNT161" s="4"/>
      <c r="KNU161" s="4"/>
      <c r="KNV161" s="4"/>
      <c r="KNW161" s="4"/>
      <c r="KNX161" s="4"/>
      <c r="KNY161" s="4"/>
      <c r="KNZ161" s="4"/>
      <c r="KOA161" s="4"/>
      <c r="KOB161" s="4"/>
      <c r="KOC161" s="4"/>
      <c r="KOD161" s="4"/>
      <c r="KOE161" s="4"/>
      <c r="KOF161" s="4"/>
      <c r="KOG161" s="4"/>
      <c r="KOH161" s="4"/>
      <c r="KOI161" s="4"/>
      <c r="KOJ161" s="4"/>
      <c r="KOK161" s="4"/>
      <c r="KOL161" s="4"/>
      <c r="KOM161" s="4"/>
      <c r="KON161" s="4"/>
      <c r="KOO161" s="4"/>
      <c r="KOP161" s="4"/>
      <c r="KOQ161" s="4"/>
      <c r="KOR161" s="4"/>
      <c r="KOS161" s="4"/>
      <c r="KOT161" s="4"/>
      <c r="KOU161" s="4"/>
      <c r="KOV161" s="4"/>
      <c r="KOW161" s="4"/>
      <c r="KOX161" s="4"/>
      <c r="KOY161" s="4"/>
      <c r="KOZ161" s="4"/>
      <c r="KPA161" s="4"/>
      <c r="KPB161" s="4"/>
      <c r="KPC161" s="4"/>
      <c r="KPD161" s="4"/>
      <c r="KPE161" s="4"/>
      <c r="KPF161" s="4"/>
      <c r="KPG161" s="4"/>
      <c r="KPH161" s="4"/>
      <c r="KPI161" s="4"/>
      <c r="KPJ161" s="4"/>
      <c r="KPK161" s="4"/>
      <c r="KPL161" s="4"/>
      <c r="KPM161" s="4"/>
      <c r="KPN161" s="4"/>
      <c r="KPO161" s="4"/>
      <c r="KPP161" s="4"/>
      <c r="KPQ161" s="4"/>
      <c r="KPR161" s="4"/>
      <c r="KPS161" s="4"/>
      <c r="KPT161" s="4"/>
      <c r="KPU161" s="4"/>
      <c r="KPV161" s="4"/>
      <c r="KPW161" s="4"/>
      <c r="KPX161" s="4"/>
      <c r="KPY161" s="4"/>
      <c r="KPZ161" s="4"/>
      <c r="KQA161" s="4"/>
      <c r="KQB161" s="4"/>
      <c r="KQC161" s="4"/>
      <c r="KQD161" s="4"/>
      <c r="KQE161" s="4"/>
      <c r="KQF161" s="4"/>
      <c r="KQG161" s="4"/>
      <c r="KQH161" s="4"/>
      <c r="KQI161" s="4"/>
      <c r="KQJ161" s="4"/>
      <c r="KQK161" s="4"/>
      <c r="KQL161" s="4"/>
      <c r="KQM161" s="4"/>
      <c r="KQN161" s="4"/>
      <c r="KQO161" s="4"/>
      <c r="KQP161" s="4"/>
      <c r="KQQ161" s="4"/>
      <c r="KQR161" s="4"/>
      <c r="KQS161" s="4"/>
      <c r="KQT161" s="4"/>
      <c r="KQU161" s="4"/>
      <c r="KQV161" s="4"/>
      <c r="KQW161" s="4"/>
      <c r="KQX161" s="4"/>
      <c r="KQY161" s="4"/>
      <c r="KQZ161" s="4"/>
      <c r="KRA161" s="4"/>
      <c r="KRB161" s="4"/>
      <c r="KRC161" s="4"/>
      <c r="KRD161" s="4"/>
      <c r="KRE161" s="4"/>
      <c r="KRF161" s="4"/>
      <c r="KRG161" s="4"/>
      <c r="KRH161" s="4"/>
      <c r="KRI161" s="4"/>
      <c r="KRJ161" s="4"/>
      <c r="KRK161" s="4"/>
      <c r="KRL161" s="4"/>
      <c r="KRM161" s="4"/>
      <c r="KRN161" s="4"/>
      <c r="KRO161" s="4"/>
      <c r="KRP161" s="4"/>
      <c r="KRQ161" s="4"/>
      <c r="KRR161" s="4"/>
      <c r="KRS161" s="4"/>
      <c r="KRT161" s="4"/>
      <c r="KRU161" s="4"/>
      <c r="KRV161" s="4"/>
      <c r="KRW161" s="4"/>
      <c r="KRX161" s="4"/>
      <c r="KRY161" s="4"/>
      <c r="KRZ161" s="4"/>
      <c r="KSA161" s="4"/>
      <c r="KSB161" s="4"/>
      <c r="KSC161" s="4"/>
      <c r="KSD161" s="4"/>
      <c r="KSE161" s="4"/>
      <c r="KSF161" s="4"/>
      <c r="KSG161" s="4"/>
      <c r="KSH161" s="4"/>
      <c r="KSI161" s="4"/>
      <c r="KSJ161" s="4"/>
      <c r="KSK161" s="4"/>
      <c r="KSL161" s="4"/>
      <c r="KSM161" s="4"/>
      <c r="KSN161" s="4"/>
      <c r="KSO161" s="4"/>
      <c r="KSP161" s="4"/>
      <c r="KSQ161" s="4"/>
      <c r="KSR161" s="4"/>
      <c r="KSS161" s="4"/>
      <c r="KST161" s="4"/>
      <c r="KSU161" s="4"/>
      <c r="KSV161" s="4"/>
      <c r="KSW161" s="4"/>
      <c r="KSX161" s="4"/>
      <c r="KSY161" s="4"/>
      <c r="KSZ161" s="4"/>
      <c r="KTA161" s="4"/>
      <c r="KTB161" s="4"/>
      <c r="KTC161" s="4"/>
      <c r="KTD161" s="4"/>
      <c r="KTE161" s="4"/>
      <c r="KTF161" s="4"/>
      <c r="KTG161" s="4"/>
      <c r="KTH161" s="4"/>
      <c r="KTI161" s="4"/>
      <c r="KTJ161" s="4"/>
      <c r="KTK161" s="4"/>
      <c r="KTL161" s="4"/>
      <c r="KTM161" s="4"/>
      <c r="KTN161" s="4"/>
      <c r="KTO161" s="4"/>
      <c r="KTP161" s="4"/>
      <c r="KTQ161" s="4"/>
      <c r="KTR161" s="4"/>
      <c r="KTS161" s="4"/>
      <c r="KTT161" s="4"/>
      <c r="KTU161" s="4"/>
      <c r="KTV161" s="4"/>
      <c r="KTW161" s="4"/>
      <c r="KTX161" s="4"/>
      <c r="KTY161" s="4"/>
      <c r="KTZ161" s="4"/>
      <c r="KUA161" s="4"/>
      <c r="KUB161" s="4"/>
      <c r="KUC161" s="4"/>
      <c r="KUD161" s="4"/>
      <c r="KUE161" s="4"/>
      <c r="KUF161" s="4"/>
      <c r="KUG161" s="4"/>
      <c r="KUH161" s="4"/>
      <c r="KUI161" s="4"/>
      <c r="KUJ161" s="4"/>
      <c r="KUK161" s="4"/>
      <c r="KUL161" s="4"/>
      <c r="KUM161" s="4"/>
      <c r="KUN161" s="4"/>
      <c r="KUO161" s="4"/>
      <c r="KUP161" s="4"/>
      <c r="KUQ161" s="4"/>
      <c r="KUR161" s="4"/>
      <c r="KUS161" s="4"/>
      <c r="KUT161" s="4"/>
      <c r="KUU161" s="4"/>
      <c r="KUV161" s="4"/>
      <c r="KUW161" s="4"/>
      <c r="KUX161" s="4"/>
      <c r="KUY161" s="4"/>
      <c r="KUZ161" s="4"/>
      <c r="KVA161" s="4"/>
      <c r="KVB161" s="4"/>
      <c r="KVC161" s="4"/>
      <c r="KVD161" s="4"/>
      <c r="KVE161" s="4"/>
      <c r="KVF161" s="4"/>
      <c r="KVG161" s="4"/>
      <c r="KVH161" s="4"/>
      <c r="KVI161" s="4"/>
      <c r="KVJ161" s="4"/>
      <c r="KVK161" s="4"/>
      <c r="KVL161" s="4"/>
      <c r="KVM161" s="4"/>
      <c r="KVN161" s="4"/>
      <c r="KVO161" s="4"/>
      <c r="KVP161" s="4"/>
      <c r="KVQ161" s="4"/>
      <c r="KVR161" s="4"/>
      <c r="KVS161" s="4"/>
      <c r="KVT161" s="4"/>
      <c r="KVU161" s="4"/>
      <c r="KVV161" s="4"/>
      <c r="KVW161" s="4"/>
      <c r="KVX161" s="4"/>
      <c r="KVY161" s="4"/>
      <c r="KVZ161" s="4"/>
      <c r="KWA161" s="4"/>
      <c r="KWB161" s="4"/>
      <c r="KWC161" s="4"/>
      <c r="KWD161" s="4"/>
      <c r="KWE161" s="4"/>
      <c r="KWF161" s="4"/>
      <c r="KWG161" s="4"/>
      <c r="KWH161" s="4"/>
      <c r="KWI161" s="4"/>
      <c r="KWJ161" s="4"/>
      <c r="KWK161" s="4"/>
      <c r="KWL161" s="4"/>
      <c r="KWM161" s="4"/>
      <c r="KWN161" s="4"/>
      <c r="KWO161" s="4"/>
      <c r="KWP161" s="4"/>
      <c r="KWQ161" s="4"/>
      <c r="KWR161" s="4"/>
      <c r="KWS161" s="4"/>
      <c r="KWT161" s="4"/>
      <c r="KWU161" s="4"/>
      <c r="KWV161" s="4"/>
      <c r="KWW161" s="4"/>
      <c r="KWX161" s="4"/>
      <c r="KWY161" s="4"/>
      <c r="KWZ161" s="4"/>
      <c r="KXA161" s="4"/>
      <c r="KXB161" s="4"/>
      <c r="KXC161" s="4"/>
      <c r="KXD161" s="4"/>
      <c r="KXE161" s="4"/>
      <c r="KXF161" s="4"/>
      <c r="KXG161" s="4"/>
      <c r="KXH161" s="4"/>
      <c r="KXI161" s="4"/>
      <c r="KXJ161" s="4"/>
      <c r="KXK161" s="4"/>
      <c r="KXL161" s="4"/>
      <c r="KXM161" s="4"/>
      <c r="KXN161" s="4"/>
      <c r="KXO161" s="4"/>
      <c r="KXP161" s="4"/>
      <c r="KXQ161" s="4"/>
      <c r="KXR161" s="4"/>
      <c r="KXS161" s="4"/>
      <c r="KXT161" s="4"/>
      <c r="KXU161" s="4"/>
      <c r="KXV161" s="4"/>
      <c r="KXW161" s="4"/>
      <c r="KXX161" s="4"/>
      <c r="KXY161" s="4"/>
      <c r="KXZ161" s="4"/>
      <c r="KYA161" s="4"/>
      <c r="KYB161" s="4"/>
      <c r="KYC161" s="4"/>
      <c r="KYD161" s="4"/>
      <c r="KYE161" s="4"/>
      <c r="KYF161" s="4"/>
      <c r="KYG161" s="4"/>
      <c r="KYH161" s="4"/>
      <c r="KYI161" s="4"/>
      <c r="KYJ161" s="4"/>
      <c r="KYK161" s="4"/>
      <c r="KYL161" s="4"/>
      <c r="KYM161" s="4"/>
      <c r="KYN161" s="4"/>
      <c r="KYO161" s="4"/>
      <c r="KYP161" s="4"/>
      <c r="KYQ161" s="4"/>
      <c r="KYR161" s="4"/>
      <c r="KYS161" s="4"/>
      <c r="KYT161" s="4"/>
      <c r="KYU161" s="4"/>
      <c r="KYV161" s="4"/>
      <c r="KYW161" s="4"/>
      <c r="KYX161" s="4"/>
      <c r="KYY161" s="4"/>
      <c r="KYZ161" s="4"/>
      <c r="KZA161" s="4"/>
      <c r="KZB161" s="4"/>
      <c r="KZC161" s="4"/>
      <c r="KZD161" s="4"/>
      <c r="KZE161" s="4"/>
      <c r="KZF161" s="4"/>
      <c r="KZG161" s="4"/>
      <c r="KZH161" s="4"/>
      <c r="KZI161" s="4"/>
      <c r="KZJ161" s="4"/>
      <c r="KZK161" s="4"/>
      <c r="KZL161" s="4"/>
      <c r="KZM161" s="4"/>
      <c r="KZN161" s="4"/>
      <c r="KZO161" s="4"/>
      <c r="KZP161" s="4"/>
      <c r="KZQ161" s="4"/>
      <c r="KZR161" s="4"/>
      <c r="KZS161" s="4"/>
      <c r="KZT161" s="4"/>
      <c r="KZU161" s="4"/>
      <c r="KZV161" s="4"/>
      <c r="KZW161" s="4"/>
      <c r="KZX161" s="4"/>
      <c r="KZY161" s="4"/>
      <c r="KZZ161" s="4"/>
      <c r="LAA161" s="4"/>
      <c r="LAB161" s="4"/>
      <c r="LAC161" s="4"/>
      <c r="LAD161" s="4"/>
      <c r="LAE161" s="4"/>
      <c r="LAF161" s="4"/>
      <c r="LAG161" s="4"/>
      <c r="LAH161" s="4"/>
      <c r="LAI161" s="4"/>
      <c r="LAJ161" s="4"/>
      <c r="LAK161" s="4"/>
      <c r="LAL161" s="4"/>
      <c r="LAM161" s="4"/>
      <c r="LAN161" s="4"/>
      <c r="LAO161" s="4"/>
      <c r="LAP161" s="4"/>
      <c r="LAQ161" s="4"/>
      <c r="LAR161" s="4"/>
      <c r="LAS161" s="4"/>
      <c r="LAT161" s="4"/>
      <c r="LAU161" s="4"/>
      <c r="LAV161" s="4"/>
      <c r="LAW161" s="4"/>
      <c r="LAX161" s="4"/>
      <c r="LAY161" s="4"/>
      <c r="LAZ161" s="4"/>
      <c r="LBA161" s="4"/>
      <c r="LBB161" s="4"/>
      <c r="LBC161" s="4"/>
      <c r="LBD161" s="4"/>
      <c r="LBE161" s="4"/>
      <c r="LBF161" s="4"/>
      <c r="LBG161" s="4"/>
      <c r="LBH161" s="4"/>
      <c r="LBI161" s="4"/>
      <c r="LBJ161" s="4"/>
      <c r="LBK161" s="4"/>
      <c r="LBL161" s="4"/>
      <c r="LBM161" s="4"/>
      <c r="LBN161" s="4"/>
      <c r="LBO161" s="4"/>
      <c r="LBP161" s="4"/>
      <c r="LBQ161" s="4"/>
      <c r="LBR161" s="4"/>
      <c r="LBS161" s="4"/>
      <c r="LBT161" s="4"/>
      <c r="LBU161" s="4"/>
      <c r="LBV161" s="4"/>
      <c r="LBW161" s="4"/>
      <c r="LBX161" s="4"/>
      <c r="LBY161" s="4"/>
      <c r="LBZ161" s="4"/>
      <c r="LCA161" s="4"/>
      <c r="LCB161" s="4"/>
      <c r="LCC161" s="4"/>
      <c r="LCD161" s="4"/>
      <c r="LCE161" s="4"/>
      <c r="LCF161" s="4"/>
      <c r="LCG161" s="4"/>
      <c r="LCH161" s="4"/>
      <c r="LCI161" s="4"/>
      <c r="LCJ161" s="4"/>
      <c r="LCK161" s="4"/>
      <c r="LCL161" s="4"/>
      <c r="LCM161" s="4"/>
      <c r="LCN161" s="4"/>
      <c r="LCO161" s="4"/>
      <c r="LCP161" s="4"/>
      <c r="LCQ161" s="4"/>
      <c r="LCR161" s="4"/>
      <c r="LCS161" s="4"/>
      <c r="LCT161" s="4"/>
      <c r="LCU161" s="4"/>
      <c r="LCV161" s="4"/>
      <c r="LCW161" s="4"/>
      <c r="LCX161" s="4"/>
      <c r="LCY161" s="4"/>
      <c r="LCZ161" s="4"/>
      <c r="LDA161" s="4"/>
      <c r="LDB161" s="4"/>
      <c r="LDC161" s="4"/>
      <c r="LDD161" s="4"/>
      <c r="LDE161" s="4"/>
      <c r="LDF161" s="4"/>
      <c r="LDG161" s="4"/>
      <c r="LDH161" s="4"/>
      <c r="LDI161" s="4"/>
      <c r="LDJ161" s="4"/>
      <c r="LDK161" s="4"/>
      <c r="LDL161" s="4"/>
      <c r="LDM161" s="4"/>
      <c r="LDN161" s="4"/>
      <c r="LDO161" s="4"/>
      <c r="LDP161" s="4"/>
      <c r="LDQ161" s="4"/>
      <c r="LDR161" s="4"/>
      <c r="LDS161" s="4"/>
      <c r="LDT161" s="4"/>
      <c r="LDU161" s="4"/>
      <c r="LDV161" s="4"/>
      <c r="LDW161" s="4"/>
      <c r="LDX161" s="4"/>
      <c r="LDY161" s="4"/>
      <c r="LDZ161" s="4"/>
      <c r="LEA161" s="4"/>
      <c r="LEB161" s="4"/>
      <c r="LEC161" s="4"/>
      <c r="LED161" s="4"/>
      <c r="LEE161" s="4"/>
      <c r="LEF161" s="4"/>
      <c r="LEG161" s="4"/>
      <c r="LEH161" s="4"/>
      <c r="LEI161" s="4"/>
      <c r="LEJ161" s="4"/>
      <c r="LEK161" s="4"/>
      <c r="LEL161" s="4"/>
      <c r="LEM161" s="4"/>
      <c r="LEN161" s="4"/>
      <c r="LEO161" s="4"/>
      <c r="LEP161" s="4"/>
      <c r="LEQ161" s="4"/>
      <c r="LER161" s="4"/>
      <c r="LES161" s="4"/>
      <c r="LET161" s="4"/>
      <c r="LEU161" s="4"/>
      <c r="LEV161" s="4"/>
      <c r="LEW161" s="4"/>
      <c r="LEX161" s="4"/>
      <c r="LEY161" s="4"/>
      <c r="LEZ161" s="4"/>
      <c r="LFA161" s="4"/>
      <c r="LFB161" s="4"/>
      <c r="LFC161" s="4"/>
      <c r="LFD161" s="4"/>
      <c r="LFE161" s="4"/>
      <c r="LFF161" s="4"/>
      <c r="LFG161" s="4"/>
      <c r="LFH161" s="4"/>
      <c r="LFI161" s="4"/>
      <c r="LFJ161" s="4"/>
      <c r="LFK161" s="4"/>
      <c r="LFL161" s="4"/>
      <c r="LFM161" s="4"/>
      <c r="LFN161" s="4"/>
      <c r="LFO161" s="4"/>
      <c r="LFP161" s="4"/>
      <c r="LFQ161" s="4"/>
      <c r="LFR161" s="4"/>
      <c r="LFS161" s="4"/>
      <c r="LFT161" s="4"/>
      <c r="LFU161" s="4"/>
      <c r="LFV161" s="4"/>
      <c r="LFW161" s="4"/>
      <c r="LFX161" s="4"/>
      <c r="LFY161" s="4"/>
      <c r="LFZ161" s="4"/>
      <c r="LGA161" s="4"/>
      <c r="LGB161" s="4"/>
      <c r="LGC161" s="4"/>
      <c r="LGD161" s="4"/>
      <c r="LGE161" s="4"/>
      <c r="LGF161" s="4"/>
      <c r="LGG161" s="4"/>
      <c r="LGH161" s="4"/>
      <c r="LGI161" s="4"/>
      <c r="LGJ161" s="4"/>
      <c r="LGK161" s="4"/>
      <c r="LGL161" s="4"/>
      <c r="LGM161" s="4"/>
      <c r="LGN161" s="4"/>
      <c r="LGO161" s="4"/>
      <c r="LGP161" s="4"/>
      <c r="LGQ161" s="4"/>
      <c r="LGR161" s="4"/>
      <c r="LGS161" s="4"/>
      <c r="LGT161" s="4"/>
      <c r="LGU161" s="4"/>
      <c r="LGV161" s="4"/>
      <c r="LGW161" s="4"/>
      <c r="LGX161" s="4"/>
      <c r="LGY161" s="4"/>
      <c r="LGZ161" s="4"/>
      <c r="LHA161" s="4"/>
      <c r="LHB161" s="4"/>
      <c r="LHC161" s="4"/>
      <c r="LHD161" s="4"/>
      <c r="LHE161" s="4"/>
      <c r="LHF161" s="4"/>
      <c r="LHG161" s="4"/>
      <c r="LHH161" s="4"/>
      <c r="LHI161" s="4"/>
      <c r="LHJ161" s="4"/>
      <c r="LHK161" s="4"/>
      <c r="LHL161" s="4"/>
      <c r="LHM161" s="4"/>
      <c r="LHN161" s="4"/>
      <c r="LHO161" s="4"/>
      <c r="LHP161" s="4"/>
      <c r="LHQ161" s="4"/>
      <c r="LHR161" s="4"/>
      <c r="LHS161" s="4"/>
      <c r="LHT161" s="4"/>
      <c r="LHU161" s="4"/>
      <c r="LHV161" s="4"/>
      <c r="LHW161" s="4"/>
      <c r="LHX161" s="4"/>
      <c r="LHY161" s="4"/>
      <c r="LHZ161" s="4"/>
      <c r="LIA161" s="4"/>
      <c r="LIB161" s="4"/>
      <c r="LIC161" s="4"/>
      <c r="LID161" s="4"/>
      <c r="LIE161" s="4"/>
      <c r="LIF161" s="4"/>
      <c r="LIG161" s="4"/>
      <c r="LIH161" s="4"/>
      <c r="LII161" s="4"/>
      <c r="LIJ161" s="4"/>
      <c r="LIK161" s="4"/>
      <c r="LIL161" s="4"/>
      <c r="LIM161" s="4"/>
      <c r="LIN161" s="4"/>
      <c r="LIO161" s="4"/>
      <c r="LIP161" s="4"/>
      <c r="LIQ161" s="4"/>
      <c r="LIR161" s="4"/>
      <c r="LIS161" s="4"/>
      <c r="LIT161" s="4"/>
      <c r="LIU161" s="4"/>
      <c r="LIV161" s="4"/>
      <c r="LIW161" s="4"/>
      <c r="LIX161" s="4"/>
      <c r="LIY161" s="4"/>
      <c r="LIZ161" s="4"/>
      <c r="LJA161" s="4"/>
      <c r="LJB161" s="4"/>
      <c r="LJC161" s="4"/>
      <c r="LJD161" s="4"/>
      <c r="LJE161" s="4"/>
      <c r="LJF161" s="4"/>
      <c r="LJG161" s="4"/>
      <c r="LJH161" s="4"/>
      <c r="LJI161" s="4"/>
      <c r="LJJ161" s="4"/>
      <c r="LJK161" s="4"/>
      <c r="LJL161" s="4"/>
      <c r="LJM161" s="4"/>
      <c r="LJN161" s="4"/>
      <c r="LJO161" s="4"/>
      <c r="LJP161" s="4"/>
      <c r="LJQ161" s="4"/>
      <c r="LJR161" s="4"/>
      <c r="LJS161" s="4"/>
      <c r="LJT161" s="4"/>
      <c r="LJU161" s="4"/>
      <c r="LJV161" s="4"/>
      <c r="LJW161" s="4"/>
      <c r="LJX161" s="4"/>
      <c r="LJY161" s="4"/>
      <c r="LJZ161" s="4"/>
      <c r="LKA161" s="4"/>
      <c r="LKB161" s="4"/>
      <c r="LKC161" s="4"/>
      <c r="LKD161" s="4"/>
      <c r="LKE161" s="4"/>
      <c r="LKF161" s="4"/>
      <c r="LKG161" s="4"/>
      <c r="LKH161" s="4"/>
      <c r="LKI161" s="4"/>
      <c r="LKJ161" s="4"/>
      <c r="LKK161" s="4"/>
      <c r="LKL161" s="4"/>
      <c r="LKM161" s="4"/>
      <c r="LKN161" s="4"/>
      <c r="LKO161" s="4"/>
      <c r="LKP161" s="4"/>
      <c r="LKQ161" s="4"/>
      <c r="LKR161" s="4"/>
      <c r="LKS161" s="4"/>
      <c r="LKT161" s="4"/>
      <c r="LKU161" s="4"/>
      <c r="LKV161" s="4"/>
      <c r="LKW161" s="4"/>
      <c r="LKX161" s="4"/>
      <c r="LKY161" s="4"/>
      <c r="LKZ161" s="4"/>
      <c r="LLA161" s="4"/>
      <c r="LLB161" s="4"/>
      <c r="LLC161" s="4"/>
      <c r="LLD161" s="4"/>
      <c r="LLE161" s="4"/>
      <c r="LLF161" s="4"/>
      <c r="LLG161" s="4"/>
      <c r="LLH161" s="4"/>
      <c r="LLI161" s="4"/>
      <c r="LLJ161" s="4"/>
      <c r="LLK161" s="4"/>
      <c r="LLL161" s="4"/>
      <c r="LLM161" s="4"/>
      <c r="LLN161" s="4"/>
      <c r="LLO161" s="4"/>
      <c r="LLP161" s="4"/>
      <c r="LLQ161" s="4"/>
      <c r="LLR161" s="4"/>
      <c r="LLS161" s="4"/>
      <c r="LLT161" s="4"/>
      <c r="LLU161" s="4"/>
      <c r="LLV161" s="4"/>
      <c r="LLW161" s="4"/>
      <c r="LLX161" s="4"/>
      <c r="LLY161" s="4"/>
      <c r="LLZ161" s="4"/>
      <c r="LMA161" s="4"/>
      <c r="LMB161" s="4"/>
      <c r="LMC161" s="4"/>
      <c r="LMD161" s="4"/>
      <c r="LME161" s="4"/>
      <c r="LMF161" s="4"/>
      <c r="LMG161" s="4"/>
      <c r="LMH161" s="4"/>
      <c r="LMI161" s="4"/>
      <c r="LMJ161" s="4"/>
      <c r="LMK161" s="4"/>
      <c r="LML161" s="4"/>
      <c r="LMM161" s="4"/>
      <c r="LMN161" s="4"/>
      <c r="LMO161" s="4"/>
      <c r="LMP161" s="4"/>
      <c r="LMQ161" s="4"/>
      <c r="LMR161" s="4"/>
      <c r="LMS161" s="4"/>
      <c r="LMT161" s="4"/>
      <c r="LMU161" s="4"/>
      <c r="LMV161" s="4"/>
      <c r="LMW161" s="4"/>
      <c r="LMX161" s="4"/>
      <c r="LMY161" s="4"/>
      <c r="LMZ161" s="4"/>
      <c r="LNA161" s="4"/>
      <c r="LNB161" s="4"/>
      <c r="LNC161" s="4"/>
      <c r="LND161" s="4"/>
      <c r="LNE161" s="4"/>
      <c r="LNF161" s="4"/>
      <c r="LNG161" s="4"/>
      <c r="LNH161" s="4"/>
      <c r="LNI161" s="4"/>
      <c r="LNJ161" s="4"/>
      <c r="LNK161" s="4"/>
      <c r="LNL161" s="4"/>
      <c r="LNM161" s="4"/>
      <c r="LNN161" s="4"/>
      <c r="LNO161" s="4"/>
      <c r="LNP161" s="4"/>
      <c r="LNQ161" s="4"/>
      <c r="LNR161" s="4"/>
      <c r="LNS161" s="4"/>
      <c r="LNT161" s="4"/>
      <c r="LNU161" s="4"/>
      <c r="LNV161" s="4"/>
      <c r="LNW161" s="4"/>
      <c r="LNX161" s="4"/>
      <c r="LNY161" s="4"/>
      <c r="LNZ161" s="4"/>
      <c r="LOA161" s="4"/>
      <c r="LOB161" s="4"/>
      <c r="LOC161" s="4"/>
      <c r="LOD161" s="4"/>
      <c r="LOE161" s="4"/>
      <c r="LOF161" s="4"/>
      <c r="LOG161" s="4"/>
      <c r="LOH161" s="4"/>
      <c r="LOI161" s="4"/>
      <c r="LOJ161" s="4"/>
      <c r="LOK161" s="4"/>
      <c r="LOL161" s="4"/>
      <c r="LOM161" s="4"/>
      <c r="LON161" s="4"/>
      <c r="LOO161" s="4"/>
      <c r="LOP161" s="4"/>
      <c r="LOQ161" s="4"/>
      <c r="LOR161" s="4"/>
      <c r="LOS161" s="4"/>
      <c r="LOT161" s="4"/>
      <c r="LOU161" s="4"/>
      <c r="LOV161" s="4"/>
      <c r="LOW161" s="4"/>
      <c r="LOX161" s="4"/>
      <c r="LOY161" s="4"/>
      <c r="LOZ161" s="4"/>
      <c r="LPA161" s="4"/>
      <c r="LPB161" s="4"/>
      <c r="LPC161" s="4"/>
      <c r="LPD161" s="4"/>
      <c r="LPE161" s="4"/>
      <c r="LPF161" s="4"/>
      <c r="LPG161" s="4"/>
      <c r="LPH161" s="4"/>
      <c r="LPI161" s="4"/>
      <c r="LPJ161" s="4"/>
      <c r="LPK161" s="4"/>
      <c r="LPL161" s="4"/>
      <c r="LPM161" s="4"/>
      <c r="LPN161" s="4"/>
      <c r="LPO161" s="4"/>
      <c r="LPP161" s="4"/>
      <c r="LPQ161" s="4"/>
      <c r="LPR161" s="4"/>
      <c r="LPS161" s="4"/>
      <c r="LPT161" s="4"/>
      <c r="LPU161" s="4"/>
      <c r="LPV161" s="4"/>
      <c r="LPW161" s="4"/>
      <c r="LPX161" s="4"/>
      <c r="LPY161" s="4"/>
      <c r="LPZ161" s="4"/>
      <c r="LQA161" s="4"/>
      <c r="LQB161" s="4"/>
      <c r="LQC161" s="4"/>
      <c r="LQD161" s="4"/>
      <c r="LQE161" s="4"/>
      <c r="LQF161" s="4"/>
      <c r="LQG161" s="4"/>
      <c r="LQH161" s="4"/>
      <c r="LQI161" s="4"/>
      <c r="LQJ161" s="4"/>
      <c r="LQK161" s="4"/>
      <c r="LQL161" s="4"/>
      <c r="LQM161" s="4"/>
      <c r="LQN161" s="4"/>
      <c r="LQO161" s="4"/>
      <c r="LQP161" s="4"/>
      <c r="LQQ161" s="4"/>
      <c r="LQR161" s="4"/>
      <c r="LQS161" s="4"/>
      <c r="LQT161" s="4"/>
      <c r="LQU161" s="4"/>
      <c r="LQV161" s="4"/>
      <c r="LQW161" s="4"/>
      <c r="LQX161" s="4"/>
      <c r="LQY161" s="4"/>
      <c r="LQZ161" s="4"/>
      <c r="LRA161" s="4"/>
      <c r="LRB161" s="4"/>
      <c r="LRC161" s="4"/>
      <c r="LRD161" s="4"/>
      <c r="LRE161" s="4"/>
      <c r="LRF161" s="4"/>
      <c r="LRG161" s="4"/>
      <c r="LRH161" s="4"/>
      <c r="LRI161" s="4"/>
      <c r="LRJ161" s="4"/>
      <c r="LRK161" s="4"/>
      <c r="LRL161" s="4"/>
      <c r="LRM161" s="4"/>
      <c r="LRN161" s="4"/>
      <c r="LRO161" s="4"/>
      <c r="LRP161" s="4"/>
      <c r="LRQ161" s="4"/>
      <c r="LRR161" s="4"/>
      <c r="LRS161" s="4"/>
      <c r="LRT161" s="4"/>
      <c r="LRU161" s="4"/>
      <c r="LRV161" s="4"/>
      <c r="LRW161" s="4"/>
      <c r="LRX161" s="4"/>
      <c r="LRY161" s="4"/>
      <c r="LRZ161" s="4"/>
      <c r="LSA161" s="4"/>
      <c r="LSB161" s="4"/>
      <c r="LSC161" s="4"/>
      <c r="LSD161" s="4"/>
      <c r="LSE161" s="4"/>
      <c r="LSF161" s="4"/>
      <c r="LSG161" s="4"/>
      <c r="LSH161" s="4"/>
      <c r="LSI161" s="4"/>
      <c r="LSJ161" s="4"/>
      <c r="LSK161" s="4"/>
      <c r="LSL161" s="4"/>
      <c r="LSM161" s="4"/>
      <c r="LSN161" s="4"/>
      <c r="LSO161" s="4"/>
      <c r="LSP161" s="4"/>
      <c r="LSQ161" s="4"/>
      <c r="LSR161" s="4"/>
      <c r="LSS161" s="4"/>
      <c r="LST161" s="4"/>
      <c r="LSU161" s="4"/>
      <c r="LSV161" s="4"/>
      <c r="LSW161" s="4"/>
      <c r="LSX161" s="4"/>
      <c r="LSY161" s="4"/>
      <c r="LSZ161" s="4"/>
      <c r="LTA161" s="4"/>
      <c r="LTB161" s="4"/>
      <c r="LTC161" s="4"/>
      <c r="LTD161" s="4"/>
      <c r="LTE161" s="4"/>
      <c r="LTF161" s="4"/>
      <c r="LTG161" s="4"/>
      <c r="LTH161" s="4"/>
      <c r="LTI161" s="4"/>
      <c r="LTJ161" s="4"/>
      <c r="LTK161" s="4"/>
      <c r="LTL161" s="4"/>
      <c r="LTM161" s="4"/>
      <c r="LTN161" s="4"/>
      <c r="LTO161" s="4"/>
      <c r="LTP161" s="4"/>
      <c r="LTQ161" s="4"/>
      <c r="LTR161" s="4"/>
      <c r="LTS161" s="4"/>
      <c r="LTT161" s="4"/>
      <c r="LTU161" s="4"/>
      <c r="LTV161" s="4"/>
      <c r="LTW161" s="4"/>
      <c r="LTX161" s="4"/>
      <c r="LTY161" s="4"/>
      <c r="LTZ161" s="4"/>
      <c r="LUA161" s="4"/>
      <c r="LUB161" s="4"/>
      <c r="LUC161" s="4"/>
      <c r="LUD161" s="4"/>
      <c r="LUE161" s="4"/>
      <c r="LUF161" s="4"/>
      <c r="LUG161" s="4"/>
      <c r="LUH161" s="4"/>
      <c r="LUI161" s="4"/>
      <c r="LUJ161" s="4"/>
      <c r="LUK161" s="4"/>
      <c r="LUL161" s="4"/>
      <c r="LUM161" s="4"/>
      <c r="LUN161" s="4"/>
      <c r="LUO161" s="4"/>
      <c r="LUP161" s="4"/>
      <c r="LUQ161" s="4"/>
      <c r="LUR161" s="4"/>
      <c r="LUS161" s="4"/>
      <c r="LUT161" s="4"/>
      <c r="LUU161" s="4"/>
      <c r="LUV161" s="4"/>
      <c r="LUW161" s="4"/>
      <c r="LUX161" s="4"/>
      <c r="LUY161" s="4"/>
      <c r="LUZ161" s="4"/>
      <c r="LVA161" s="4"/>
      <c r="LVB161" s="4"/>
      <c r="LVC161" s="4"/>
      <c r="LVD161" s="4"/>
      <c r="LVE161" s="4"/>
      <c r="LVF161" s="4"/>
      <c r="LVG161" s="4"/>
      <c r="LVH161" s="4"/>
      <c r="LVI161" s="4"/>
      <c r="LVJ161" s="4"/>
      <c r="LVK161" s="4"/>
      <c r="LVL161" s="4"/>
      <c r="LVM161" s="4"/>
      <c r="LVN161" s="4"/>
      <c r="LVO161" s="4"/>
      <c r="LVP161" s="4"/>
      <c r="LVQ161" s="4"/>
      <c r="LVR161" s="4"/>
      <c r="LVS161" s="4"/>
      <c r="LVT161" s="4"/>
      <c r="LVU161" s="4"/>
      <c r="LVV161" s="4"/>
      <c r="LVW161" s="4"/>
      <c r="LVX161" s="4"/>
      <c r="LVY161" s="4"/>
      <c r="LVZ161" s="4"/>
      <c r="LWA161" s="4"/>
      <c r="LWB161" s="4"/>
      <c r="LWC161" s="4"/>
      <c r="LWD161" s="4"/>
      <c r="LWE161" s="4"/>
      <c r="LWF161" s="4"/>
      <c r="LWG161" s="4"/>
      <c r="LWH161" s="4"/>
      <c r="LWI161" s="4"/>
      <c r="LWJ161" s="4"/>
      <c r="LWK161" s="4"/>
      <c r="LWL161" s="4"/>
      <c r="LWM161" s="4"/>
      <c r="LWN161" s="4"/>
      <c r="LWO161" s="4"/>
      <c r="LWP161" s="4"/>
      <c r="LWQ161" s="4"/>
      <c r="LWR161" s="4"/>
      <c r="LWS161" s="4"/>
      <c r="LWT161" s="4"/>
      <c r="LWU161" s="4"/>
      <c r="LWV161" s="4"/>
      <c r="LWW161" s="4"/>
      <c r="LWX161" s="4"/>
      <c r="LWY161" s="4"/>
      <c r="LWZ161" s="4"/>
      <c r="LXA161" s="4"/>
      <c r="LXB161" s="4"/>
      <c r="LXC161" s="4"/>
      <c r="LXD161" s="4"/>
      <c r="LXE161" s="4"/>
      <c r="LXF161" s="4"/>
      <c r="LXG161" s="4"/>
      <c r="LXH161" s="4"/>
      <c r="LXI161" s="4"/>
      <c r="LXJ161" s="4"/>
      <c r="LXK161" s="4"/>
      <c r="LXL161" s="4"/>
      <c r="LXM161" s="4"/>
      <c r="LXN161" s="4"/>
      <c r="LXO161" s="4"/>
      <c r="LXP161" s="4"/>
      <c r="LXQ161" s="4"/>
      <c r="LXR161" s="4"/>
      <c r="LXS161" s="4"/>
      <c r="LXT161" s="4"/>
      <c r="LXU161" s="4"/>
      <c r="LXV161" s="4"/>
      <c r="LXW161" s="4"/>
      <c r="LXX161" s="4"/>
      <c r="LXY161" s="4"/>
      <c r="LXZ161" s="4"/>
      <c r="LYA161" s="4"/>
      <c r="LYB161" s="4"/>
      <c r="LYC161" s="4"/>
      <c r="LYD161" s="4"/>
      <c r="LYE161" s="4"/>
      <c r="LYF161" s="4"/>
      <c r="LYG161" s="4"/>
      <c r="LYH161" s="4"/>
      <c r="LYI161" s="4"/>
      <c r="LYJ161" s="4"/>
      <c r="LYK161" s="4"/>
      <c r="LYL161" s="4"/>
      <c r="LYM161" s="4"/>
      <c r="LYN161" s="4"/>
      <c r="LYO161" s="4"/>
      <c r="LYP161" s="4"/>
      <c r="LYQ161" s="4"/>
      <c r="LYR161" s="4"/>
      <c r="LYS161" s="4"/>
      <c r="LYT161" s="4"/>
      <c r="LYU161" s="4"/>
      <c r="LYV161" s="4"/>
      <c r="LYW161" s="4"/>
      <c r="LYX161" s="4"/>
      <c r="LYY161" s="4"/>
      <c r="LYZ161" s="4"/>
      <c r="LZA161" s="4"/>
      <c r="LZB161" s="4"/>
      <c r="LZC161" s="4"/>
      <c r="LZD161" s="4"/>
      <c r="LZE161" s="4"/>
      <c r="LZF161" s="4"/>
      <c r="LZG161" s="4"/>
      <c r="LZH161" s="4"/>
      <c r="LZI161" s="4"/>
      <c r="LZJ161" s="4"/>
      <c r="LZK161" s="4"/>
      <c r="LZL161" s="4"/>
      <c r="LZM161" s="4"/>
      <c r="LZN161" s="4"/>
      <c r="LZO161" s="4"/>
      <c r="LZP161" s="4"/>
      <c r="LZQ161" s="4"/>
      <c r="LZR161" s="4"/>
      <c r="LZS161" s="4"/>
      <c r="LZT161" s="4"/>
      <c r="LZU161" s="4"/>
      <c r="LZV161" s="4"/>
      <c r="LZW161" s="4"/>
      <c r="LZX161" s="4"/>
      <c r="LZY161" s="4"/>
      <c r="LZZ161" s="4"/>
      <c r="MAA161" s="4"/>
      <c r="MAB161" s="4"/>
      <c r="MAC161" s="4"/>
      <c r="MAD161" s="4"/>
      <c r="MAE161" s="4"/>
      <c r="MAF161" s="4"/>
      <c r="MAG161" s="4"/>
      <c r="MAH161" s="4"/>
      <c r="MAI161" s="4"/>
      <c r="MAJ161" s="4"/>
      <c r="MAK161" s="4"/>
      <c r="MAL161" s="4"/>
      <c r="MAM161" s="4"/>
      <c r="MAN161" s="4"/>
      <c r="MAO161" s="4"/>
      <c r="MAP161" s="4"/>
      <c r="MAQ161" s="4"/>
      <c r="MAR161" s="4"/>
      <c r="MAS161" s="4"/>
      <c r="MAT161" s="4"/>
      <c r="MAU161" s="4"/>
      <c r="MAV161" s="4"/>
      <c r="MAW161" s="4"/>
      <c r="MAX161" s="4"/>
      <c r="MAY161" s="4"/>
      <c r="MAZ161" s="4"/>
      <c r="MBA161" s="4"/>
      <c r="MBB161" s="4"/>
      <c r="MBC161" s="4"/>
      <c r="MBD161" s="4"/>
      <c r="MBE161" s="4"/>
      <c r="MBF161" s="4"/>
      <c r="MBG161" s="4"/>
      <c r="MBH161" s="4"/>
      <c r="MBI161" s="4"/>
      <c r="MBJ161" s="4"/>
      <c r="MBK161" s="4"/>
      <c r="MBL161" s="4"/>
      <c r="MBM161" s="4"/>
      <c r="MBN161" s="4"/>
      <c r="MBO161" s="4"/>
      <c r="MBP161" s="4"/>
      <c r="MBQ161" s="4"/>
      <c r="MBR161" s="4"/>
      <c r="MBS161" s="4"/>
      <c r="MBT161" s="4"/>
      <c r="MBU161" s="4"/>
      <c r="MBV161" s="4"/>
      <c r="MBW161" s="4"/>
      <c r="MBX161" s="4"/>
      <c r="MBY161" s="4"/>
      <c r="MBZ161" s="4"/>
      <c r="MCA161" s="4"/>
      <c r="MCB161" s="4"/>
      <c r="MCC161" s="4"/>
      <c r="MCD161" s="4"/>
      <c r="MCE161" s="4"/>
      <c r="MCF161" s="4"/>
      <c r="MCG161" s="4"/>
      <c r="MCH161" s="4"/>
      <c r="MCI161" s="4"/>
      <c r="MCJ161" s="4"/>
      <c r="MCK161" s="4"/>
      <c r="MCL161" s="4"/>
      <c r="MCM161" s="4"/>
      <c r="MCN161" s="4"/>
      <c r="MCO161" s="4"/>
      <c r="MCP161" s="4"/>
      <c r="MCQ161" s="4"/>
      <c r="MCR161" s="4"/>
      <c r="MCS161" s="4"/>
      <c r="MCT161" s="4"/>
      <c r="MCU161" s="4"/>
      <c r="MCV161" s="4"/>
      <c r="MCW161" s="4"/>
      <c r="MCX161" s="4"/>
      <c r="MCY161" s="4"/>
      <c r="MCZ161" s="4"/>
      <c r="MDA161" s="4"/>
      <c r="MDB161" s="4"/>
      <c r="MDC161" s="4"/>
      <c r="MDD161" s="4"/>
      <c r="MDE161" s="4"/>
      <c r="MDF161" s="4"/>
      <c r="MDG161" s="4"/>
      <c r="MDH161" s="4"/>
      <c r="MDI161" s="4"/>
      <c r="MDJ161" s="4"/>
      <c r="MDK161" s="4"/>
      <c r="MDL161" s="4"/>
      <c r="MDM161" s="4"/>
      <c r="MDN161" s="4"/>
      <c r="MDO161" s="4"/>
      <c r="MDP161" s="4"/>
      <c r="MDQ161" s="4"/>
      <c r="MDR161" s="4"/>
      <c r="MDS161" s="4"/>
      <c r="MDT161" s="4"/>
      <c r="MDU161" s="4"/>
      <c r="MDV161" s="4"/>
      <c r="MDW161" s="4"/>
      <c r="MDX161" s="4"/>
      <c r="MDY161" s="4"/>
      <c r="MDZ161" s="4"/>
      <c r="MEA161" s="4"/>
      <c r="MEB161" s="4"/>
      <c r="MEC161" s="4"/>
      <c r="MED161" s="4"/>
      <c r="MEE161" s="4"/>
      <c r="MEF161" s="4"/>
      <c r="MEG161" s="4"/>
      <c r="MEH161" s="4"/>
      <c r="MEI161" s="4"/>
      <c r="MEJ161" s="4"/>
      <c r="MEK161" s="4"/>
      <c r="MEL161" s="4"/>
      <c r="MEM161" s="4"/>
      <c r="MEN161" s="4"/>
      <c r="MEO161" s="4"/>
      <c r="MEP161" s="4"/>
      <c r="MEQ161" s="4"/>
      <c r="MER161" s="4"/>
      <c r="MES161" s="4"/>
      <c r="MET161" s="4"/>
      <c r="MEU161" s="4"/>
      <c r="MEV161" s="4"/>
      <c r="MEW161" s="4"/>
      <c r="MEX161" s="4"/>
      <c r="MEY161" s="4"/>
      <c r="MEZ161" s="4"/>
      <c r="MFA161" s="4"/>
      <c r="MFB161" s="4"/>
      <c r="MFC161" s="4"/>
      <c r="MFD161" s="4"/>
      <c r="MFE161" s="4"/>
      <c r="MFF161" s="4"/>
      <c r="MFG161" s="4"/>
      <c r="MFH161" s="4"/>
      <c r="MFI161" s="4"/>
      <c r="MFJ161" s="4"/>
      <c r="MFK161" s="4"/>
      <c r="MFL161" s="4"/>
      <c r="MFM161" s="4"/>
      <c r="MFN161" s="4"/>
      <c r="MFO161" s="4"/>
      <c r="MFP161" s="4"/>
      <c r="MFQ161" s="4"/>
      <c r="MFR161" s="4"/>
      <c r="MFS161" s="4"/>
      <c r="MFT161" s="4"/>
      <c r="MFU161" s="4"/>
      <c r="MFV161" s="4"/>
      <c r="MFW161" s="4"/>
      <c r="MFX161" s="4"/>
      <c r="MFY161" s="4"/>
      <c r="MFZ161" s="4"/>
      <c r="MGA161" s="4"/>
      <c r="MGB161" s="4"/>
      <c r="MGC161" s="4"/>
      <c r="MGD161" s="4"/>
      <c r="MGE161" s="4"/>
      <c r="MGF161" s="4"/>
      <c r="MGG161" s="4"/>
      <c r="MGH161" s="4"/>
      <c r="MGI161" s="4"/>
      <c r="MGJ161" s="4"/>
      <c r="MGK161" s="4"/>
      <c r="MGL161" s="4"/>
      <c r="MGM161" s="4"/>
      <c r="MGN161" s="4"/>
      <c r="MGO161" s="4"/>
      <c r="MGP161" s="4"/>
      <c r="MGQ161" s="4"/>
      <c r="MGR161" s="4"/>
      <c r="MGS161" s="4"/>
      <c r="MGT161" s="4"/>
      <c r="MGU161" s="4"/>
      <c r="MGV161" s="4"/>
      <c r="MGW161" s="4"/>
      <c r="MGX161" s="4"/>
      <c r="MGY161" s="4"/>
      <c r="MGZ161" s="4"/>
      <c r="MHA161" s="4"/>
      <c r="MHB161" s="4"/>
      <c r="MHC161" s="4"/>
      <c r="MHD161" s="4"/>
      <c r="MHE161" s="4"/>
      <c r="MHF161" s="4"/>
      <c r="MHG161" s="4"/>
      <c r="MHH161" s="4"/>
      <c r="MHI161" s="4"/>
      <c r="MHJ161" s="4"/>
      <c r="MHK161" s="4"/>
      <c r="MHL161" s="4"/>
      <c r="MHM161" s="4"/>
      <c r="MHN161" s="4"/>
      <c r="MHO161" s="4"/>
      <c r="MHP161" s="4"/>
      <c r="MHQ161" s="4"/>
      <c r="MHR161" s="4"/>
      <c r="MHS161" s="4"/>
      <c r="MHT161" s="4"/>
      <c r="MHU161" s="4"/>
      <c r="MHV161" s="4"/>
      <c r="MHW161" s="4"/>
      <c r="MHX161" s="4"/>
      <c r="MHY161" s="4"/>
      <c r="MHZ161" s="4"/>
      <c r="MIA161" s="4"/>
      <c r="MIB161" s="4"/>
      <c r="MIC161" s="4"/>
      <c r="MID161" s="4"/>
      <c r="MIE161" s="4"/>
      <c r="MIF161" s="4"/>
      <c r="MIG161" s="4"/>
      <c r="MIH161" s="4"/>
      <c r="MII161" s="4"/>
      <c r="MIJ161" s="4"/>
      <c r="MIK161" s="4"/>
      <c r="MIL161" s="4"/>
      <c r="MIM161" s="4"/>
      <c r="MIN161" s="4"/>
      <c r="MIO161" s="4"/>
      <c r="MIP161" s="4"/>
      <c r="MIQ161" s="4"/>
      <c r="MIR161" s="4"/>
      <c r="MIS161" s="4"/>
      <c r="MIT161" s="4"/>
      <c r="MIU161" s="4"/>
      <c r="MIV161" s="4"/>
      <c r="MIW161" s="4"/>
      <c r="MIX161" s="4"/>
      <c r="MIY161" s="4"/>
      <c r="MIZ161" s="4"/>
      <c r="MJA161" s="4"/>
      <c r="MJB161" s="4"/>
      <c r="MJC161" s="4"/>
      <c r="MJD161" s="4"/>
      <c r="MJE161" s="4"/>
      <c r="MJF161" s="4"/>
      <c r="MJG161" s="4"/>
      <c r="MJH161" s="4"/>
      <c r="MJI161" s="4"/>
      <c r="MJJ161" s="4"/>
      <c r="MJK161" s="4"/>
      <c r="MJL161" s="4"/>
      <c r="MJM161" s="4"/>
      <c r="MJN161" s="4"/>
      <c r="MJO161" s="4"/>
      <c r="MJP161" s="4"/>
      <c r="MJQ161" s="4"/>
      <c r="MJR161" s="4"/>
      <c r="MJS161" s="4"/>
      <c r="MJT161" s="4"/>
      <c r="MJU161" s="4"/>
      <c r="MJV161" s="4"/>
      <c r="MJW161" s="4"/>
      <c r="MJX161" s="4"/>
      <c r="MJY161" s="4"/>
      <c r="MJZ161" s="4"/>
      <c r="MKA161" s="4"/>
      <c r="MKB161" s="4"/>
      <c r="MKC161" s="4"/>
      <c r="MKD161" s="4"/>
      <c r="MKE161" s="4"/>
      <c r="MKF161" s="4"/>
      <c r="MKG161" s="4"/>
      <c r="MKH161" s="4"/>
      <c r="MKI161" s="4"/>
      <c r="MKJ161" s="4"/>
      <c r="MKK161" s="4"/>
      <c r="MKL161" s="4"/>
      <c r="MKM161" s="4"/>
      <c r="MKN161" s="4"/>
      <c r="MKO161" s="4"/>
      <c r="MKP161" s="4"/>
      <c r="MKQ161" s="4"/>
      <c r="MKR161" s="4"/>
      <c r="MKS161" s="4"/>
      <c r="MKT161" s="4"/>
      <c r="MKU161" s="4"/>
      <c r="MKV161" s="4"/>
      <c r="MKW161" s="4"/>
      <c r="MKX161" s="4"/>
      <c r="MKY161" s="4"/>
      <c r="MKZ161" s="4"/>
      <c r="MLA161" s="4"/>
      <c r="MLB161" s="4"/>
      <c r="MLC161" s="4"/>
      <c r="MLD161" s="4"/>
      <c r="MLE161" s="4"/>
      <c r="MLF161" s="4"/>
      <c r="MLG161" s="4"/>
      <c r="MLH161" s="4"/>
      <c r="MLI161" s="4"/>
      <c r="MLJ161" s="4"/>
      <c r="MLK161" s="4"/>
      <c r="MLL161" s="4"/>
      <c r="MLM161" s="4"/>
      <c r="MLN161" s="4"/>
      <c r="MLO161" s="4"/>
      <c r="MLP161" s="4"/>
      <c r="MLQ161" s="4"/>
      <c r="MLR161" s="4"/>
      <c r="MLS161" s="4"/>
      <c r="MLT161" s="4"/>
      <c r="MLU161" s="4"/>
      <c r="MLV161" s="4"/>
      <c r="MLW161" s="4"/>
      <c r="MLX161" s="4"/>
      <c r="MLY161" s="4"/>
      <c r="MLZ161" s="4"/>
      <c r="MMA161" s="4"/>
      <c r="MMB161" s="4"/>
      <c r="MMC161" s="4"/>
      <c r="MMD161" s="4"/>
      <c r="MME161" s="4"/>
      <c r="MMF161" s="4"/>
      <c r="MMG161" s="4"/>
      <c r="MMH161" s="4"/>
      <c r="MMI161" s="4"/>
      <c r="MMJ161" s="4"/>
      <c r="MMK161" s="4"/>
      <c r="MML161" s="4"/>
      <c r="MMM161" s="4"/>
      <c r="MMN161" s="4"/>
      <c r="MMO161" s="4"/>
      <c r="MMP161" s="4"/>
      <c r="MMQ161" s="4"/>
      <c r="MMR161" s="4"/>
      <c r="MMS161" s="4"/>
      <c r="MMT161" s="4"/>
      <c r="MMU161" s="4"/>
      <c r="MMV161" s="4"/>
      <c r="MMW161" s="4"/>
      <c r="MMX161" s="4"/>
      <c r="MMY161" s="4"/>
      <c r="MMZ161" s="4"/>
      <c r="MNA161" s="4"/>
      <c r="MNB161" s="4"/>
      <c r="MNC161" s="4"/>
      <c r="MND161" s="4"/>
      <c r="MNE161" s="4"/>
      <c r="MNF161" s="4"/>
      <c r="MNG161" s="4"/>
      <c r="MNH161" s="4"/>
      <c r="MNI161" s="4"/>
      <c r="MNJ161" s="4"/>
      <c r="MNK161" s="4"/>
      <c r="MNL161" s="4"/>
      <c r="MNM161" s="4"/>
      <c r="MNN161" s="4"/>
      <c r="MNO161" s="4"/>
      <c r="MNP161" s="4"/>
      <c r="MNQ161" s="4"/>
      <c r="MNR161" s="4"/>
      <c r="MNS161" s="4"/>
      <c r="MNT161" s="4"/>
      <c r="MNU161" s="4"/>
      <c r="MNV161" s="4"/>
      <c r="MNW161" s="4"/>
      <c r="MNX161" s="4"/>
      <c r="MNY161" s="4"/>
      <c r="MNZ161" s="4"/>
      <c r="MOA161" s="4"/>
      <c r="MOB161" s="4"/>
      <c r="MOC161" s="4"/>
      <c r="MOD161" s="4"/>
      <c r="MOE161" s="4"/>
      <c r="MOF161" s="4"/>
      <c r="MOG161" s="4"/>
      <c r="MOH161" s="4"/>
      <c r="MOI161" s="4"/>
      <c r="MOJ161" s="4"/>
      <c r="MOK161" s="4"/>
      <c r="MOL161" s="4"/>
      <c r="MOM161" s="4"/>
      <c r="MON161" s="4"/>
      <c r="MOO161" s="4"/>
      <c r="MOP161" s="4"/>
      <c r="MOQ161" s="4"/>
      <c r="MOR161" s="4"/>
      <c r="MOS161" s="4"/>
      <c r="MOT161" s="4"/>
      <c r="MOU161" s="4"/>
      <c r="MOV161" s="4"/>
      <c r="MOW161" s="4"/>
      <c r="MOX161" s="4"/>
      <c r="MOY161" s="4"/>
      <c r="MOZ161" s="4"/>
      <c r="MPA161" s="4"/>
      <c r="MPB161" s="4"/>
      <c r="MPC161" s="4"/>
      <c r="MPD161" s="4"/>
      <c r="MPE161" s="4"/>
      <c r="MPF161" s="4"/>
      <c r="MPG161" s="4"/>
      <c r="MPH161" s="4"/>
      <c r="MPI161" s="4"/>
      <c r="MPJ161" s="4"/>
      <c r="MPK161" s="4"/>
      <c r="MPL161" s="4"/>
      <c r="MPM161" s="4"/>
      <c r="MPN161" s="4"/>
      <c r="MPO161" s="4"/>
      <c r="MPP161" s="4"/>
      <c r="MPQ161" s="4"/>
      <c r="MPR161" s="4"/>
      <c r="MPS161" s="4"/>
      <c r="MPT161" s="4"/>
      <c r="MPU161" s="4"/>
      <c r="MPV161" s="4"/>
      <c r="MPW161" s="4"/>
      <c r="MPX161" s="4"/>
      <c r="MPY161" s="4"/>
      <c r="MPZ161" s="4"/>
      <c r="MQA161" s="4"/>
      <c r="MQB161" s="4"/>
      <c r="MQC161" s="4"/>
      <c r="MQD161" s="4"/>
      <c r="MQE161" s="4"/>
      <c r="MQF161" s="4"/>
      <c r="MQG161" s="4"/>
      <c r="MQH161" s="4"/>
      <c r="MQI161" s="4"/>
      <c r="MQJ161" s="4"/>
      <c r="MQK161" s="4"/>
      <c r="MQL161" s="4"/>
      <c r="MQM161" s="4"/>
      <c r="MQN161" s="4"/>
      <c r="MQO161" s="4"/>
      <c r="MQP161" s="4"/>
      <c r="MQQ161" s="4"/>
      <c r="MQR161" s="4"/>
      <c r="MQS161" s="4"/>
      <c r="MQT161" s="4"/>
      <c r="MQU161" s="4"/>
      <c r="MQV161" s="4"/>
      <c r="MQW161" s="4"/>
      <c r="MQX161" s="4"/>
      <c r="MQY161" s="4"/>
      <c r="MQZ161" s="4"/>
      <c r="MRA161" s="4"/>
      <c r="MRB161" s="4"/>
      <c r="MRC161" s="4"/>
      <c r="MRD161" s="4"/>
      <c r="MRE161" s="4"/>
      <c r="MRF161" s="4"/>
      <c r="MRG161" s="4"/>
      <c r="MRH161" s="4"/>
      <c r="MRI161" s="4"/>
      <c r="MRJ161" s="4"/>
      <c r="MRK161" s="4"/>
      <c r="MRL161" s="4"/>
      <c r="MRM161" s="4"/>
      <c r="MRN161" s="4"/>
      <c r="MRO161" s="4"/>
      <c r="MRP161" s="4"/>
      <c r="MRQ161" s="4"/>
      <c r="MRR161" s="4"/>
      <c r="MRS161" s="4"/>
      <c r="MRT161" s="4"/>
      <c r="MRU161" s="4"/>
      <c r="MRV161" s="4"/>
      <c r="MRW161" s="4"/>
      <c r="MRX161" s="4"/>
      <c r="MRY161" s="4"/>
      <c r="MRZ161" s="4"/>
      <c r="MSA161" s="4"/>
      <c r="MSB161" s="4"/>
      <c r="MSC161" s="4"/>
      <c r="MSD161" s="4"/>
      <c r="MSE161" s="4"/>
      <c r="MSF161" s="4"/>
      <c r="MSG161" s="4"/>
      <c r="MSH161" s="4"/>
      <c r="MSI161" s="4"/>
      <c r="MSJ161" s="4"/>
      <c r="MSK161" s="4"/>
      <c r="MSL161" s="4"/>
      <c r="MSM161" s="4"/>
      <c r="MSN161" s="4"/>
      <c r="MSO161" s="4"/>
      <c r="MSP161" s="4"/>
      <c r="MSQ161" s="4"/>
      <c r="MSR161" s="4"/>
      <c r="MSS161" s="4"/>
      <c r="MST161" s="4"/>
      <c r="MSU161" s="4"/>
      <c r="MSV161" s="4"/>
      <c r="MSW161" s="4"/>
      <c r="MSX161" s="4"/>
      <c r="MSY161" s="4"/>
      <c r="MSZ161" s="4"/>
      <c r="MTA161" s="4"/>
      <c r="MTB161" s="4"/>
      <c r="MTC161" s="4"/>
      <c r="MTD161" s="4"/>
      <c r="MTE161" s="4"/>
      <c r="MTF161" s="4"/>
      <c r="MTG161" s="4"/>
      <c r="MTH161" s="4"/>
      <c r="MTI161" s="4"/>
      <c r="MTJ161" s="4"/>
      <c r="MTK161" s="4"/>
      <c r="MTL161" s="4"/>
      <c r="MTM161" s="4"/>
      <c r="MTN161" s="4"/>
      <c r="MTO161" s="4"/>
      <c r="MTP161" s="4"/>
      <c r="MTQ161" s="4"/>
      <c r="MTR161" s="4"/>
      <c r="MTS161" s="4"/>
      <c r="MTT161" s="4"/>
      <c r="MTU161" s="4"/>
      <c r="MTV161" s="4"/>
      <c r="MTW161" s="4"/>
      <c r="MTX161" s="4"/>
      <c r="MTY161" s="4"/>
      <c r="MTZ161" s="4"/>
      <c r="MUA161" s="4"/>
      <c r="MUB161" s="4"/>
      <c r="MUC161" s="4"/>
      <c r="MUD161" s="4"/>
      <c r="MUE161" s="4"/>
      <c r="MUF161" s="4"/>
      <c r="MUG161" s="4"/>
      <c r="MUH161" s="4"/>
      <c r="MUI161" s="4"/>
      <c r="MUJ161" s="4"/>
      <c r="MUK161" s="4"/>
      <c r="MUL161" s="4"/>
      <c r="MUM161" s="4"/>
      <c r="MUN161" s="4"/>
      <c r="MUO161" s="4"/>
      <c r="MUP161" s="4"/>
      <c r="MUQ161" s="4"/>
      <c r="MUR161" s="4"/>
      <c r="MUS161" s="4"/>
      <c r="MUT161" s="4"/>
      <c r="MUU161" s="4"/>
      <c r="MUV161" s="4"/>
      <c r="MUW161" s="4"/>
      <c r="MUX161" s="4"/>
      <c r="MUY161" s="4"/>
      <c r="MUZ161" s="4"/>
      <c r="MVA161" s="4"/>
      <c r="MVB161" s="4"/>
      <c r="MVC161" s="4"/>
      <c r="MVD161" s="4"/>
      <c r="MVE161" s="4"/>
      <c r="MVF161" s="4"/>
      <c r="MVG161" s="4"/>
      <c r="MVH161" s="4"/>
      <c r="MVI161" s="4"/>
      <c r="MVJ161" s="4"/>
      <c r="MVK161" s="4"/>
      <c r="MVL161" s="4"/>
      <c r="MVM161" s="4"/>
      <c r="MVN161" s="4"/>
      <c r="MVO161" s="4"/>
      <c r="MVP161" s="4"/>
      <c r="MVQ161" s="4"/>
      <c r="MVR161" s="4"/>
      <c r="MVS161" s="4"/>
      <c r="MVT161" s="4"/>
      <c r="MVU161" s="4"/>
      <c r="MVV161" s="4"/>
      <c r="MVW161" s="4"/>
      <c r="MVX161" s="4"/>
      <c r="MVY161" s="4"/>
      <c r="MVZ161" s="4"/>
      <c r="MWA161" s="4"/>
      <c r="MWB161" s="4"/>
      <c r="MWC161" s="4"/>
      <c r="MWD161" s="4"/>
      <c r="MWE161" s="4"/>
      <c r="MWF161" s="4"/>
      <c r="MWG161" s="4"/>
      <c r="MWH161" s="4"/>
      <c r="MWI161" s="4"/>
      <c r="MWJ161" s="4"/>
      <c r="MWK161" s="4"/>
      <c r="MWL161" s="4"/>
      <c r="MWM161" s="4"/>
      <c r="MWN161" s="4"/>
      <c r="MWO161" s="4"/>
      <c r="MWP161" s="4"/>
      <c r="MWQ161" s="4"/>
      <c r="MWR161" s="4"/>
      <c r="MWS161" s="4"/>
      <c r="MWT161" s="4"/>
      <c r="MWU161" s="4"/>
      <c r="MWV161" s="4"/>
      <c r="MWW161" s="4"/>
      <c r="MWX161" s="4"/>
      <c r="MWY161" s="4"/>
      <c r="MWZ161" s="4"/>
      <c r="MXA161" s="4"/>
      <c r="MXB161" s="4"/>
      <c r="MXC161" s="4"/>
      <c r="MXD161" s="4"/>
      <c r="MXE161" s="4"/>
      <c r="MXF161" s="4"/>
      <c r="MXG161" s="4"/>
      <c r="MXH161" s="4"/>
      <c r="MXI161" s="4"/>
      <c r="MXJ161" s="4"/>
      <c r="MXK161" s="4"/>
      <c r="MXL161" s="4"/>
      <c r="MXM161" s="4"/>
      <c r="MXN161" s="4"/>
      <c r="MXO161" s="4"/>
      <c r="MXP161" s="4"/>
      <c r="MXQ161" s="4"/>
      <c r="MXR161" s="4"/>
      <c r="MXS161" s="4"/>
      <c r="MXT161" s="4"/>
      <c r="MXU161" s="4"/>
      <c r="MXV161" s="4"/>
      <c r="MXW161" s="4"/>
      <c r="MXX161" s="4"/>
      <c r="MXY161" s="4"/>
      <c r="MXZ161" s="4"/>
      <c r="MYA161" s="4"/>
      <c r="MYB161" s="4"/>
      <c r="MYC161" s="4"/>
      <c r="MYD161" s="4"/>
      <c r="MYE161" s="4"/>
      <c r="MYF161" s="4"/>
      <c r="MYG161" s="4"/>
      <c r="MYH161" s="4"/>
      <c r="MYI161" s="4"/>
      <c r="MYJ161" s="4"/>
      <c r="MYK161" s="4"/>
      <c r="MYL161" s="4"/>
      <c r="MYM161" s="4"/>
      <c r="MYN161" s="4"/>
      <c r="MYO161" s="4"/>
      <c r="MYP161" s="4"/>
      <c r="MYQ161" s="4"/>
      <c r="MYR161" s="4"/>
      <c r="MYS161" s="4"/>
      <c r="MYT161" s="4"/>
      <c r="MYU161" s="4"/>
      <c r="MYV161" s="4"/>
      <c r="MYW161" s="4"/>
      <c r="MYX161" s="4"/>
      <c r="MYY161" s="4"/>
      <c r="MYZ161" s="4"/>
      <c r="MZA161" s="4"/>
      <c r="MZB161" s="4"/>
      <c r="MZC161" s="4"/>
      <c r="MZD161" s="4"/>
      <c r="MZE161" s="4"/>
      <c r="MZF161" s="4"/>
      <c r="MZG161" s="4"/>
      <c r="MZH161" s="4"/>
      <c r="MZI161" s="4"/>
      <c r="MZJ161" s="4"/>
      <c r="MZK161" s="4"/>
      <c r="MZL161" s="4"/>
      <c r="MZM161" s="4"/>
      <c r="MZN161" s="4"/>
      <c r="MZO161" s="4"/>
      <c r="MZP161" s="4"/>
      <c r="MZQ161" s="4"/>
      <c r="MZR161" s="4"/>
      <c r="MZS161" s="4"/>
      <c r="MZT161" s="4"/>
      <c r="MZU161" s="4"/>
      <c r="MZV161" s="4"/>
      <c r="MZW161" s="4"/>
      <c r="MZX161" s="4"/>
      <c r="MZY161" s="4"/>
      <c r="MZZ161" s="4"/>
      <c r="NAA161" s="4"/>
      <c r="NAB161" s="4"/>
      <c r="NAC161" s="4"/>
      <c r="NAD161" s="4"/>
      <c r="NAE161" s="4"/>
      <c r="NAF161" s="4"/>
      <c r="NAG161" s="4"/>
      <c r="NAH161" s="4"/>
      <c r="NAI161" s="4"/>
      <c r="NAJ161" s="4"/>
      <c r="NAK161" s="4"/>
      <c r="NAL161" s="4"/>
      <c r="NAM161" s="4"/>
      <c r="NAN161" s="4"/>
      <c r="NAO161" s="4"/>
      <c r="NAP161" s="4"/>
      <c r="NAQ161" s="4"/>
      <c r="NAR161" s="4"/>
      <c r="NAS161" s="4"/>
      <c r="NAT161" s="4"/>
      <c r="NAU161" s="4"/>
      <c r="NAV161" s="4"/>
      <c r="NAW161" s="4"/>
      <c r="NAX161" s="4"/>
      <c r="NAY161" s="4"/>
      <c r="NAZ161" s="4"/>
      <c r="NBA161" s="4"/>
      <c r="NBB161" s="4"/>
      <c r="NBC161" s="4"/>
      <c r="NBD161" s="4"/>
      <c r="NBE161" s="4"/>
      <c r="NBF161" s="4"/>
      <c r="NBG161" s="4"/>
      <c r="NBH161" s="4"/>
      <c r="NBI161" s="4"/>
      <c r="NBJ161" s="4"/>
      <c r="NBK161" s="4"/>
      <c r="NBL161" s="4"/>
      <c r="NBM161" s="4"/>
      <c r="NBN161" s="4"/>
      <c r="NBO161" s="4"/>
      <c r="NBP161" s="4"/>
      <c r="NBQ161" s="4"/>
      <c r="NBR161" s="4"/>
      <c r="NBS161" s="4"/>
      <c r="NBT161" s="4"/>
      <c r="NBU161" s="4"/>
      <c r="NBV161" s="4"/>
      <c r="NBW161" s="4"/>
      <c r="NBX161" s="4"/>
      <c r="NBY161" s="4"/>
      <c r="NBZ161" s="4"/>
      <c r="NCA161" s="4"/>
      <c r="NCB161" s="4"/>
      <c r="NCC161" s="4"/>
      <c r="NCD161" s="4"/>
      <c r="NCE161" s="4"/>
      <c r="NCF161" s="4"/>
      <c r="NCG161" s="4"/>
      <c r="NCH161" s="4"/>
      <c r="NCI161" s="4"/>
      <c r="NCJ161" s="4"/>
      <c r="NCK161" s="4"/>
      <c r="NCL161" s="4"/>
      <c r="NCM161" s="4"/>
      <c r="NCN161" s="4"/>
      <c r="NCO161" s="4"/>
      <c r="NCP161" s="4"/>
      <c r="NCQ161" s="4"/>
      <c r="NCR161" s="4"/>
      <c r="NCS161" s="4"/>
      <c r="NCT161" s="4"/>
      <c r="NCU161" s="4"/>
      <c r="NCV161" s="4"/>
      <c r="NCW161" s="4"/>
      <c r="NCX161" s="4"/>
      <c r="NCY161" s="4"/>
      <c r="NCZ161" s="4"/>
      <c r="NDA161" s="4"/>
      <c r="NDB161" s="4"/>
      <c r="NDC161" s="4"/>
      <c r="NDD161" s="4"/>
      <c r="NDE161" s="4"/>
      <c r="NDF161" s="4"/>
      <c r="NDG161" s="4"/>
      <c r="NDH161" s="4"/>
      <c r="NDI161" s="4"/>
      <c r="NDJ161" s="4"/>
      <c r="NDK161" s="4"/>
      <c r="NDL161" s="4"/>
      <c r="NDM161" s="4"/>
      <c r="NDN161" s="4"/>
      <c r="NDO161" s="4"/>
      <c r="NDP161" s="4"/>
      <c r="NDQ161" s="4"/>
      <c r="NDR161" s="4"/>
      <c r="NDS161" s="4"/>
      <c r="NDT161" s="4"/>
      <c r="NDU161" s="4"/>
      <c r="NDV161" s="4"/>
      <c r="NDW161" s="4"/>
      <c r="NDX161" s="4"/>
      <c r="NDY161" s="4"/>
      <c r="NDZ161" s="4"/>
      <c r="NEA161" s="4"/>
      <c r="NEB161" s="4"/>
      <c r="NEC161" s="4"/>
      <c r="NED161" s="4"/>
      <c r="NEE161" s="4"/>
      <c r="NEF161" s="4"/>
      <c r="NEG161" s="4"/>
      <c r="NEH161" s="4"/>
      <c r="NEI161" s="4"/>
      <c r="NEJ161" s="4"/>
      <c r="NEK161" s="4"/>
      <c r="NEL161" s="4"/>
      <c r="NEM161" s="4"/>
      <c r="NEN161" s="4"/>
      <c r="NEO161" s="4"/>
      <c r="NEP161" s="4"/>
      <c r="NEQ161" s="4"/>
      <c r="NER161" s="4"/>
      <c r="NES161" s="4"/>
      <c r="NET161" s="4"/>
      <c r="NEU161" s="4"/>
      <c r="NEV161" s="4"/>
      <c r="NEW161" s="4"/>
      <c r="NEX161" s="4"/>
      <c r="NEY161" s="4"/>
      <c r="NEZ161" s="4"/>
      <c r="NFA161" s="4"/>
      <c r="NFB161" s="4"/>
      <c r="NFC161" s="4"/>
      <c r="NFD161" s="4"/>
      <c r="NFE161" s="4"/>
      <c r="NFF161" s="4"/>
      <c r="NFG161" s="4"/>
      <c r="NFH161" s="4"/>
      <c r="NFI161" s="4"/>
      <c r="NFJ161" s="4"/>
      <c r="NFK161" s="4"/>
      <c r="NFL161" s="4"/>
      <c r="NFM161" s="4"/>
      <c r="NFN161" s="4"/>
      <c r="NFO161" s="4"/>
      <c r="NFP161" s="4"/>
      <c r="NFQ161" s="4"/>
      <c r="NFR161" s="4"/>
      <c r="NFS161" s="4"/>
      <c r="NFT161" s="4"/>
      <c r="NFU161" s="4"/>
      <c r="NFV161" s="4"/>
      <c r="NFW161" s="4"/>
      <c r="NFX161" s="4"/>
      <c r="NFY161" s="4"/>
      <c r="NFZ161" s="4"/>
      <c r="NGA161" s="4"/>
      <c r="NGB161" s="4"/>
      <c r="NGC161" s="4"/>
      <c r="NGD161" s="4"/>
      <c r="NGE161" s="4"/>
      <c r="NGF161" s="4"/>
      <c r="NGG161" s="4"/>
      <c r="NGH161" s="4"/>
      <c r="NGI161" s="4"/>
      <c r="NGJ161" s="4"/>
      <c r="NGK161" s="4"/>
      <c r="NGL161" s="4"/>
      <c r="NGM161" s="4"/>
      <c r="NGN161" s="4"/>
      <c r="NGO161" s="4"/>
      <c r="NGP161" s="4"/>
      <c r="NGQ161" s="4"/>
      <c r="NGR161" s="4"/>
      <c r="NGS161" s="4"/>
      <c r="NGT161" s="4"/>
      <c r="NGU161" s="4"/>
      <c r="NGV161" s="4"/>
      <c r="NGW161" s="4"/>
      <c r="NGX161" s="4"/>
      <c r="NGY161" s="4"/>
      <c r="NGZ161" s="4"/>
      <c r="NHA161" s="4"/>
      <c r="NHB161" s="4"/>
      <c r="NHC161" s="4"/>
      <c r="NHD161" s="4"/>
      <c r="NHE161" s="4"/>
      <c r="NHF161" s="4"/>
      <c r="NHG161" s="4"/>
      <c r="NHH161" s="4"/>
      <c r="NHI161" s="4"/>
      <c r="NHJ161" s="4"/>
      <c r="NHK161" s="4"/>
      <c r="NHL161" s="4"/>
      <c r="NHM161" s="4"/>
      <c r="NHN161" s="4"/>
      <c r="NHO161" s="4"/>
      <c r="NHP161" s="4"/>
      <c r="NHQ161" s="4"/>
      <c r="NHR161" s="4"/>
      <c r="NHS161" s="4"/>
      <c r="NHT161" s="4"/>
      <c r="NHU161" s="4"/>
      <c r="NHV161" s="4"/>
      <c r="NHW161" s="4"/>
      <c r="NHX161" s="4"/>
      <c r="NHY161" s="4"/>
      <c r="NHZ161" s="4"/>
      <c r="NIA161" s="4"/>
      <c r="NIB161" s="4"/>
      <c r="NIC161" s="4"/>
      <c r="NID161" s="4"/>
      <c r="NIE161" s="4"/>
      <c r="NIF161" s="4"/>
      <c r="NIG161" s="4"/>
      <c r="NIH161" s="4"/>
      <c r="NII161" s="4"/>
      <c r="NIJ161" s="4"/>
      <c r="NIK161" s="4"/>
      <c r="NIL161" s="4"/>
      <c r="NIM161" s="4"/>
      <c r="NIN161" s="4"/>
      <c r="NIO161" s="4"/>
      <c r="NIP161" s="4"/>
      <c r="NIQ161" s="4"/>
      <c r="NIR161" s="4"/>
      <c r="NIS161" s="4"/>
      <c r="NIT161" s="4"/>
      <c r="NIU161" s="4"/>
      <c r="NIV161" s="4"/>
      <c r="NIW161" s="4"/>
      <c r="NIX161" s="4"/>
      <c r="NIY161" s="4"/>
      <c r="NIZ161" s="4"/>
      <c r="NJA161" s="4"/>
      <c r="NJB161" s="4"/>
      <c r="NJC161" s="4"/>
      <c r="NJD161" s="4"/>
      <c r="NJE161" s="4"/>
      <c r="NJF161" s="4"/>
      <c r="NJG161" s="4"/>
      <c r="NJH161" s="4"/>
      <c r="NJI161" s="4"/>
      <c r="NJJ161" s="4"/>
      <c r="NJK161" s="4"/>
      <c r="NJL161" s="4"/>
      <c r="NJM161" s="4"/>
      <c r="NJN161" s="4"/>
      <c r="NJO161" s="4"/>
      <c r="NJP161" s="4"/>
      <c r="NJQ161" s="4"/>
      <c r="NJR161" s="4"/>
      <c r="NJS161" s="4"/>
      <c r="NJT161" s="4"/>
      <c r="NJU161" s="4"/>
      <c r="NJV161" s="4"/>
      <c r="NJW161" s="4"/>
      <c r="NJX161" s="4"/>
      <c r="NJY161" s="4"/>
      <c r="NJZ161" s="4"/>
      <c r="NKA161" s="4"/>
      <c r="NKB161" s="4"/>
      <c r="NKC161" s="4"/>
      <c r="NKD161" s="4"/>
      <c r="NKE161" s="4"/>
      <c r="NKF161" s="4"/>
      <c r="NKG161" s="4"/>
      <c r="NKH161" s="4"/>
      <c r="NKI161" s="4"/>
      <c r="NKJ161" s="4"/>
      <c r="NKK161" s="4"/>
      <c r="NKL161" s="4"/>
      <c r="NKM161" s="4"/>
      <c r="NKN161" s="4"/>
      <c r="NKO161" s="4"/>
      <c r="NKP161" s="4"/>
      <c r="NKQ161" s="4"/>
      <c r="NKR161" s="4"/>
      <c r="NKS161" s="4"/>
      <c r="NKT161" s="4"/>
      <c r="NKU161" s="4"/>
      <c r="NKV161" s="4"/>
      <c r="NKW161" s="4"/>
      <c r="NKX161" s="4"/>
      <c r="NKY161" s="4"/>
      <c r="NKZ161" s="4"/>
      <c r="NLA161" s="4"/>
      <c r="NLB161" s="4"/>
      <c r="NLC161" s="4"/>
      <c r="NLD161" s="4"/>
      <c r="NLE161" s="4"/>
      <c r="NLF161" s="4"/>
      <c r="NLG161" s="4"/>
      <c r="NLH161" s="4"/>
      <c r="NLI161" s="4"/>
      <c r="NLJ161" s="4"/>
      <c r="NLK161" s="4"/>
      <c r="NLL161" s="4"/>
      <c r="NLM161" s="4"/>
      <c r="NLN161" s="4"/>
      <c r="NLO161" s="4"/>
      <c r="NLP161" s="4"/>
      <c r="NLQ161" s="4"/>
      <c r="NLR161" s="4"/>
      <c r="NLS161" s="4"/>
      <c r="NLT161" s="4"/>
      <c r="NLU161" s="4"/>
      <c r="NLV161" s="4"/>
      <c r="NLW161" s="4"/>
      <c r="NLX161" s="4"/>
      <c r="NLY161" s="4"/>
      <c r="NLZ161" s="4"/>
      <c r="NMA161" s="4"/>
      <c r="NMB161" s="4"/>
      <c r="NMC161" s="4"/>
      <c r="NMD161" s="4"/>
      <c r="NME161" s="4"/>
      <c r="NMF161" s="4"/>
      <c r="NMG161" s="4"/>
      <c r="NMH161" s="4"/>
      <c r="NMI161" s="4"/>
      <c r="NMJ161" s="4"/>
      <c r="NMK161" s="4"/>
      <c r="NML161" s="4"/>
      <c r="NMM161" s="4"/>
      <c r="NMN161" s="4"/>
      <c r="NMO161" s="4"/>
      <c r="NMP161" s="4"/>
      <c r="NMQ161" s="4"/>
      <c r="NMR161" s="4"/>
      <c r="NMS161" s="4"/>
      <c r="NMT161" s="4"/>
      <c r="NMU161" s="4"/>
      <c r="NMV161" s="4"/>
      <c r="NMW161" s="4"/>
      <c r="NMX161" s="4"/>
      <c r="NMY161" s="4"/>
      <c r="NMZ161" s="4"/>
      <c r="NNA161" s="4"/>
      <c r="NNB161" s="4"/>
      <c r="NNC161" s="4"/>
      <c r="NND161" s="4"/>
      <c r="NNE161" s="4"/>
      <c r="NNF161" s="4"/>
      <c r="NNG161" s="4"/>
      <c r="NNH161" s="4"/>
      <c r="NNI161" s="4"/>
      <c r="NNJ161" s="4"/>
      <c r="NNK161" s="4"/>
      <c r="NNL161" s="4"/>
      <c r="NNM161" s="4"/>
      <c r="NNN161" s="4"/>
      <c r="NNO161" s="4"/>
      <c r="NNP161" s="4"/>
      <c r="NNQ161" s="4"/>
      <c r="NNR161" s="4"/>
      <c r="NNS161" s="4"/>
      <c r="NNT161" s="4"/>
      <c r="NNU161" s="4"/>
      <c r="NNV161" s="4"/>
      <c r="NNW161" s="4"/>
      <c r="NNX161" s="4"/>
      <c r="NNY161" s="4"/>
      <c r="NNZ161" s="4"/>
      <c r="NOA161" s="4"/>
      <c r="NOB161" s="4"/>
      <c r="NOC161" s="4"/>
      <c r="NOD161" s="4"/>
      <c r="NOE161" s="4"/>
      <c r="NOF161" s="4"/>
      <c r="NOG161" s="4"/>
      <c r="NOH161" s="4"/>
      <c r="NOI161" s="4"/>
      <c r="NOJ161" s="4"/>
      <c r="NOK161" s="4"/>
      <c r="NOL161" s="4"/>
      <c r="NOM161" s="4"/>
      <c r="NON161" s="4"/>
      <c r="NOO161" s="4"/>
      <c r="NOP161" s="4"/>
      <c r="NOQ161" s="4"/>
      <c r="NOR161" s="4"/>
      <c r="NOS161" s="4"/>
      <c r="NOT161" s="4"/>
      <c r="NOU161" s="4"/>
      <c r="NOV161" s="4"/>
      <c r="NOW161" s="4"/>
      <c r="NOX161" s="4"/>
      <c r="NOY161" s="4"/>
      <c r="NOZ161" s="4"/>
      <c r="NPA161" s="4"/>
      <c r="NPB161" s="4"/>
      <c r="NPC161" s="4"/>
      <c r="NPD161" s="4"/>
      <c r="NPE161" s="4"/>
      <c r="NPF161" s="4"/>
      <c r="NPG161" s="4"/>
      <c r="NPH161" s="4"/>
      <c r="NPI161" s="4"/>
      <c r="NPJ161" s="4"/>
      <c r="NPK161" s="4"/>
      <c r="NPL161" s="4"/>
      <c r="NPM161" s="4"/>
      <c r="NPN161" s="4"/>
      <c r="NPO161" s="4"/>
      <c r="NPP161" s="4"/>
      <c r="NPQ161" s="4"/>
      <c r="NPR161" s="4"/>
      <c r="NPS161" s="4"/>
      <c r="NPT161" s="4"/>
      <c r="NPU161" s="4"/>
      <c r="NPV161" s="4"/>
      <c r="NPW161" s="4"/>
      <c r="NPX161" s="4"/>
      <c r="NPY161" s="4"/>
      <c r="NPZ161" s="4"/>
      <c r="NQA161" s="4"/>
      <c r="NQB161" s="4"/>
      <c r="NQC161" s="4"/>
      <c r="NQD161" s="4"/>
      <c r="NQE161" s="4"/>
      <c r="NQF161" s="4"/>
      <c r="NQG161" s="4"/>
      <c r="NQH161" s="4"/>
      <c r="NQI161" s="4"/>
      <c r="NQJ161" s="4"/>
      <c r="NQK161" s="4"/>
      <c r="NQL161" s="4"/>
      <c r="NQM161" s="4"/>
      <c r="NQN161" s="4"/>
      <c r="NQO161" s="4"/>
      <c r="NQP161" s="4"/>
      <c r="NQQ161" s="4"/>
      <c r="NQR161" s="4"/>
      <c r="NQS161" s="4"/>
      <c r="NQT161" s="4"/>
      <c r="NQU161" s="4"/>
      <c r="NQV161" s="4"/>
      <c r="NQW161" s="4"/>
      <c r="NQX161" s="4"/>
      <c r="NQY161" s="4"/>
      <c r="NQZ161" s="4"/>
      <c r="NRA161" s="4"/>
      <c r="NRB161" s="4"/>
      <c r="NRC161" s="4"/>
      <c r="NRD161" s="4"/>
      <c r="NRE161" s="4"/>
      <c r="NRF161" s="4"/>
      <c r="NRG161" s="4"/>
      <c r="NRH161" s="4"/>
      <c r="NRI161" s="4"/>
      <c r="NRJ161" s="4"/>
      <c r="NRK161" s="4"/>
      <c r="NRL161" s="4"/>
      <c r="NRM161" s="4"/>
      <c r="NRN161" s="4"/>
      <c r="NRO161" s="4"/>
      <c r="NRP161" s="4"/>
      <c r="NRQ161" s="4"/>
      <c r="NRR161" s="4"/>
      <c r="NRS161" s="4"/>
      <c r="NRT161" s="4"/>
      <c r="NRU161" s="4"/>
      <c r="NRV161" s="4"/>
      <c r="NRW161" s="4"/>
      <c r="NRX161" s="4"/>
      <c r="NRY161" s="4"/>
      <c r="NRZ161" s="4"/>
      <c r="NSA161" s="4"/>
      <c r="NSB161" s="4"/>
      <c r="NSC161" s="4"/>
      <c r="NSD161" s="4"/>
      <c r="NSE161" s="4"/>
      <c r="NSF161" s="4"/>
      <c r="NSG161" s="4"/>
      <c r="NSH161" s="4"/>
      <c r="NSI161" s="4"/>
      <c r="NSJ161" s="4"/>
      <c r="NSK161" s="4"/>
      <c r="NSL161" s="4"/>
      <c r="NSM161" s="4"/>
      <c r="NSN161" s="4"/>
      <c r="NSO161" s="4"/>
      <c r="NSP161" s="4"/>
      <c r="NSQ161" s="4"/>
      <c r="NSR161" s="4"/>
      <c r="NSS161" s="4"/>
      <c r="NST161" s="4"/>
      <c r="NSU161" s="4"/>
      <c r="NSV161" s="4"/>
      <c r="NSW161" s="4"/>
      <c r="NSX161" s="4"/>
      <c r="NSY161" s="4"/>
      <c r="NSZ161" s="4"/>
      <c r="NTA161" s="4"/>
      <c r="NTB161" s="4"/>
      <c r="NTC161" s="4"/>
      <c r="NTD161" s="4"/>
      <c r="NTE161" s="4"/>
      <c r="NTF161" s="4"/>
      <c r="NTG161" s="4"/>
      <c r="NTH161" s="4"/>
      <c r="NTI161" s="4"/>
      <c r="NTJ161" s="4"/>
      <c r="NTK161" s="4"/>
      <c r="NTL161" s="4"/>
      <c r="NTM161" s="4"/>
      <c r="NTN161" s="4"/>
      <c r="NTO161" s="4"/>
      <c r="NTP161" s="4"/>
      <c r="NTQ161" s="4"/>
      <c r="NTR161" s="4"/>
      <c r="NTS161" s="4"/>
      <c r="NTT161" s="4"/>
      <c r="NTU161" s="4"/>
      <c r="NTV161" s="4"/>
      <c r="NTW161" s="4"/>
      <c r="NTX161" s="4"/>
      <c r="NTY161" s="4"/>
      <c r="NTZ161" s="4"/>
      <c r="NUA161" s="4"/>
      <c r="NUB161" s="4"/>
      <c r="NUC161" s="4"/>
      <c r="NUD161" s="4"/>
      <c r="NUE161" s="4"/>
      <c r="NUF161" s="4"/>
      <c r="NUG161" s="4"/>
      <c r="NUH161" s="4"/>
      <c r="NUI161" s="4"/>
      <c r="NUJ161" s="4"/>
      <c r="NUK161" s="4"/>
      <c r="NUL161" s="4"/>
      <c r="NUM161" s="4"/>
      <c r="NUN161" s="4"/>
      <c r="NUO161" s="4"/>
      <c r="NUP161" s="4"/>
      <c r="NUQ161" s="4"/>
      <c r="NUR161" s="4"/>
      <c r="NUS161" s="4"/>
      <c r="NUT161" s="4"/>
      <c r="NUU161" s="4"/>
      <c r="NUV161" s="4"/>
      <c r="NUW161" s="4"/>
      <c r="NUX161" s="4"/>
      <c r="NUY161" s="4"/>
      <c r="NUZ161" s="4"/>
      <c r="NVA161" s="4"/>
      <c r="NVB161" s="4"/>
      <c r="NVC161" s="4"/>
      <c r="NVD161" s="4"/>
      <c r="NVE161" s="4"/>
      <c r="NVF161" s="4"/>
      <c r="NVG161" s="4"/>
      <c r="NVH161" s="4"/>
      <c r="NVI161" s="4"/>
      <c r="NVJ161" s="4"/>
      <c r="NVK161" s="4"/>
      <c r="NVL161" s="4"/>
      <c r="NVM161" s="4"/>
      <c r="NVN161" s="4"/>
      <c r="NVO161" s="4"/>
      <c r="NVP161" s="4"/>
      <c r="NVQ161" s="4"/>
      <c r="NVR161" s="4"/>
      <c r="NVS161" s="4"/>
      <c r="NVT161" s="4"/>
      <c r="NVU161" s="4"/>
      <c r="NVV161" s="4"/>
      <c r="NVW161" s="4"/>
      <c r="NVX161" s="4"/>
      <c r="NVY161" s="4"/>
      <c r="NVZ161" s="4"/>
      <c r="NWA161" s="4"/>
      <c r="NWB161" s="4"/>
      <c r="NWC161" s="4"/>
      <c r="NWD161" s="4"/>
      <c r="NWE161" s="4"/>
      <c r="NWF161" s="4"/>
      <c r="NWG161" s="4"/>
      <c r="NWH161" s="4"/>
      <c r="NWI161" s="4"/>
      <c r="NWJ161" s="4"/>
      <c r="NWK161" s="4"/>
      <c r="NWL161" s="4"/>
      <c r="NWM161" s="4"/>
      <c r="NWN161" s="4"/>
      <c r="NWO161" s="4"/>
      <c r="NWP161" s="4"/>
      <c r="NWQ161" s="4"/>
      <c r="NWR161" s="4"/>
      <c r="NWS161" s="4"/>
      <c r="NWT161" s="4"/>
      <c r="NWU161" s="4"/>
      <c r="NWV161" s="4"/>
      <c r="NWW161" s="4"/>
      <c r="NWX161" s="4"/>
      <c r="NWY161" s="4"/>
      <c r="NWZ161" s="4"/>
      <c r="NXA161" s="4"/>
      <c r="NXB161" s="4"/>
      <c r="NXC161" s="4"/>
      <c r="NXD161" s="4"/>
      <c r="NXE161" s="4"/>
      <c r="NXF161" s="4"/>
      <c r="NXG161" s="4"/>
      <c r="NXH161" s="4"/>
      <c r="NXI161" s="4"/>
      <c r="NXJ161" s="4"/>
      <c r="NXK161" s="4"/>
      <c r="NXL161" s="4"/>
      <c r="NXM161" s="4"/>
      <c r="NXN161" s="4"/>
      <c r="NXO161" s="4"/>
      <c r="NXP161" s="4"/>
      <c r="NXQ161" s="4"/>
      <c r="NXR161" s="4"/>
      <c r="NXS161" s="4"/>
      <c r="NXT161" s="4"/>
      <c r="NXU161" s="4"/>
      <c r="NXV161" s="4"/>
      <c r="NXW161" s="4"/>
      <c r="NXX161" s="4"/>
      <c r="NXY161" s="4"/>
      <c r="NXZ161" s="4"/>
      <c r="NYA161" s="4"/>
      <c r="NYB161" s="4"/>
      <c r="NYC161" s="4"/>
      <c r="NYD161" s="4"/>
      <c r="NYE161" s="4"/>
      <c r="NYF161" s="4"/>
      <c r="NYG161" s="4"/>
      <c r="NYH161" s="4"/>
      <c r="NYI161" s="4"/>
      <c r="NYJ161" s="4"/>
      <c r="NYK161" s="4"/>
      <c r="NYL161" s="4"/>
      <c r="NYM161" s="4"/>
      <c r="NYN161" s="4"/>
      <c r="NYO161" s="4"/>
      <c r="NYP161" s="4"/>
      <c r="NYQ161" s="4"/>
      <c r="NYR161" s="4"/>
      <c r="NYS161" s="4"/>
      <c r="NYT161" s="4"/>
      <c r="NYU161" s="4"/>
      <c r="NYV161" s="4"/>
      <c r="NYW161" s="4"/>
      <c r="NYX161" s="4"/>
      <c r="NYY161" s="4"/>
      <c r="NYZ161" s="4"/>
      <c r="NZA161" s="4"/>
      <c r="NZB161" s="4"/>
      <c r="NZC161" s="4"/>
      <c r="NZD161" s="4"/>
      <c r="NZE161" s="4"/>
      <c r="NZF161" s="4"/>
      <c r="NZG161" s="4"/>
      <c r="NZH161" s="4"/>
      <c r="NZI161" s="4"/>
      <c r="NZJ161" s="4"/>
      <c r="NZK161" s="4"/>
      <c r="NZL161" s="4"/>
      <c r="NZM161" s="4"/>
      <c r="NZN161" s="4"/>
      <c r="NZO161" s="4"/>
      <c r="NZP161" s="4"/>
      <c r="NZQ161" s="4"/>
      <c r="NZR161" s="4"/>
      <c r="NZS161" s="4"/>
      <c r="NZT161" s="4"/>
      <c r="NZU161" s="4"/>
      <c r="NZV161" s="4"/>
      <c r="NZW161" s="4"/>
      <c r="NZX161" s="4"/>
      <c r="NZY161" s="4"/>
      <c r="NZZ161" s="4"/>
      <c r="OAA161" s="4"/>
      <c r="OAB161" s="4"/>
      <c r="OAC161" s="4"/>
      <c r="OAD161" s="4"/>
      <c r="OAE161" s="4"/>
      <c r="OAF161" s="4"/>
      <c r="OAG161" s="4"/>
      <c r="OAH161" s="4"/>
      <c r="OAI161" s="4"/>
      <c r="OAJ161" s="4"/>
      <c r="OAK161" s="4"/>
      <c r="OAL161" s="4"/>
      <c r="OAM161" s="4"/>
      <c r="OAN161" s="4"/>
      <c r="OAO161" s="4"/>
      <c r="OAP161" s="4"/>
      <c r="OAQ161" s="4"/>
      <c r="OAR161" s="4"/>
      <c r="OAS161" s="4"/>
      <c r="OAT161" s="4"/>
      <c r="OAU161" s="4"/>
      <c r="OAV161" s="4"/>
      <c r="OAW161" s="4"/>
      <c r="OAX161" s="4"/>
      <c r="OAY161" s="4"/>
      <c r="OAZ161" s="4"/>
      <c r="OBA161" s="4"/>
      <c r="OBB161" s="4"/>
      <c r="OBC161" s="4"/>
      <c r="OBD161" s="4"/>
      <c r="OBE161" s="4"/>
      <c r="OBF161" s="4"/>
      <c r="OBG161" s="4"/>
      <c r="OBH161" s="4"/>
      <c r="OBI161" s="4"/>
      <c r="OBJ161" s="4"/>
      <c r="OBK161" s="4"/>
      <c r="OBL161" s="4"/>
      <c r="OBM161" s="4"/>
      <c r="OBN161" s="4"/>
      <c r="OBO161" s="4"/>
      <c r="OBP161" s="4"/>
      <c r="OBQ161" s="4"/>
      <c r="OBR161" s="4"/>
      <c r="OBS161" s="4"/>
      <c r="OBT161" s="4"/>
      <c r="OBU161" s="4"/>
      <c r="OBV161" s="4"/>
      <c r="OBW161" s="4"/>
      <c r="OBX161" s="4"/>
      <c r="OBY161" s="4"/>
      <c r="OBZ161" s="4"/>
      <c r="OCA161" s="4"/>
      <c r="OCB161" s="4"/>
      <c r="OCC161" s="4"/>
      <c r="OCD161" s="4"/>
      <c r="OCE161" s="4"/>
      <c r="OCF161" s="4"/>
      <c r="OCG161" s="4"/>
      <c r="OCH161" s="4"/>
      <c r="OCI161" s="4"/>
      <c r="OCJ161" s="4"/>
      <c r="OCK161" s="4"/>
      <c r="OCL161" s="4"/>
      <c r="OCM161" s="4"/>
      <c r="OCN161" s="4"/>
      <c r="OCO161" s="4"/>
      <c r="OCP161" s="4"/>
      <c r="OCQ161" s="4"/>
      <c r="OCR161" s="4"/>
      <c r="OCS161" s="4"/>
      <c r="OCT161" s="4"/>
      <c r="OCU161" s="4"/>
      <c r="OCV161" s="4"/>
      <c r="OCW161" s="4"/>
      <c r="OCX161" s="4"/>
      <c r="OCY161" s="4"/>
      <c r="OCZ161" s="4"/>
      <c r="ODA161" s="4"/>
      <c r="ODB161" s="4"/>
      <c r="ODC161" s="4"/>
      <c r="ODD161" s="4"/>
      <c r="ODE161" s="4"/>
      <c r="ODF161" s="4"/>
      <c r="ODG161" s="4"/>
      <c r="ODH161" s="4"/>
      <c r="ODI161" s="4"/>
      <c r="ODJ161" s="4"/>
      <c r="ODK161" s="4"/>
      <c r="ODL161" s="4"/>
      <c r="ODM161" s="4"/>
      <c r="ODN161" s="4"/>
      <c r="ODO161" s="4"/>
      <c r="ODP161" s="4"/>
      <c r="ODQ161" s="4"/>
      <c r="ODR161" s="4"/>
      <c r="ODS161" s="4"/>
      <c r="ODT161" s="4"/>
      <c r="ODU161" s="4"/>
      <c r="ODV161" s="4"/>
      <c r="ODW161" s="4"/>
      <c r="ODX161" s="4"/>
      <c r="ODY161" s="4"/>
      <c r="ODZ161" s="4"/>
      <c r="OEA161" s="4"/>
      <c r="OEB161" s="4"/>
      <c r="OEC161" s="4"/>
      <c r="OED161" s="4"/>
      <c r="OEE161" s="4"/>
      <c r="OEF161" s="4"/>
      <c r="OEG161" s="4"/>
      <c r="OEH161" s="4"/>
      <c r="OEI161" s="4"/>
      <c r="OEJ161" s="4"/>
      <c r="OEK161" s="4"/>
      <c r="OEL161" s="4"/>
      <c r="OEM161" s="4"/>
      <c r="OEN161" s="4"/>
      <c r="OEO161" s="4"/>
      <c r="OEP161" s="4"/>
      <c r="OEQ161" s="4"/>
      <c r="OER161" s="4"/>
      <c r="OES161" s="4"/>
      <c r="OET161" s="4"/>
      <c r="OEU161" s="4"/>
      <c r="OEV161" s="4"/>
      <c r="OEW161" s="4"/>
      <c r="OEX161" s="4"/>
      <c r="OEY161" s="4"/>
      <c r="OEZ161" s="4"/>
      <c r="OFA161" s="4"/>
      <c r="OFB161" s="4"/>
      <c r="OFC161" s="4"/>
      <c r="OFD161" s="4"/>
      <c r="OFE161" s="4"/>
      <c r="OFF161" s="4"/>
      <c r="OFG161" s="4"/>
      <c r="OFH161" s="4"/>
      <c r="OFI161" s="4"/>
      <c r="OFJ161" s="4"/>
      <c r="OFK161" s="4"/>
      <c r="OFL161" s="4"/>
      <c r="OFM161" s="4"/>
      <c r="OFN161" s="4"/>
      <c r="OFO161" s="4"/>
      <c r="OFP161" s="4"/>
      <c r="OFQ161" s="4"/>
      <c r="OFR161" s="4"/>
      <c r="OFS161" s="4"/>
      <c r="OFT161" s="4"/>
      <c r="OFU161" s="4"/>
      <c r="OFV161" s="4"/>
      <c r="OFW161" s="4"/>
      <c r="OFX161" s="4"/>
      <c r="OFY161" s="4"/>
      <c r="OFZ161" s="4"/>
      <c r="OGA161" s="4"/>
      <c r="OGB161" s="4"/>
      <c r="OGC161" s="4"/>
      <c r="OGD161" s="4"/>
      <c r="OGE161" s="4"/>
      <c r="OGF161" s="4"/>
      <c r="OGG161" s="4"/>
      <c r="OGH161" s="4"/>
      <c r="OGI161" s="4"/>
      <c r="OGJ161" s="4"/>
      <c r="OGK161" s="4"/>
      <c r="OGL161" s="4"/>
      <c r="OGM161" s="4"/>
      <c r="OGN161" s="4"/>
      <c r="OGO161" s="4"/>
      <c r="OGP161" s="4"/>
      <c r="OGQ161" s="4"/>
      <c r="OGR161" s="4"/>
      <c r="OGS161" s="4"/>
      <c r="OGT161" s="4"/>
      <c r="OGU161" s="4"/>
      <c r="OGV161" s="4"/>
      <c r="OGW161" s="4"/>
      <c r="OGX161" s="4"/>
      <c r="OGY161" s="4"/>
      <c r="OGZ161" s="4"/>
      <c r="OHA161" s="4"/>
      <c r="OHB161" s="4"/>
      <c r="OHC161" s="4"/>
      <c r="OHD161" s="4"/>
      <c r="OHE161" s="4"/>
      <c r="OHF161" s="4"/>
      <c r="OHG161" s="4"/>
      <c r="OHH161" s="4"/>
      <c r="OHI161" s="4"/>
      <c r="OHJ161" s="4"/>
      <c r="OHK161" s="4"/>
      <c r="OHL161" s="4"/>
      <c r="OHM161" s="4"/>
      <c r="OHN161" s="4"/>
      <c r="OHO161" s="4"/>
      <c r="OHP161" s="4"/>
      <c r="OHQ161" s="4"/>
      <c r="OHR161" s="4"/>
      <c r="OHS161" s="4"/>
      <c r="OHT161" s="4"/>
      <c r="OHU161" s="4"/>
      <c r="OHV161" s="4"/>
      <c r="OHW161" s="4"/>
      <c r="OHX161" s="4"/>
      <c r="OHY161" s="4"/>
      <c r="OHZ161" s="4"/>
      <c r="OIA161" s="4"/>
      <c r="OIB161" s="4"/>
      <c r="OIC161" s="4"/>
      <c r="OID161" s="4"/>
      <c r="OIE161" s="4"/>
      <c r="OIF161" s="4"/>
      <c r="OIG161" s="4"/>
      <c r="OIH161" s="4"/>
      <c r="OII161" s="4"/>
      <c r="OIJ161" s="4"/>
      <c r="OIK161" s="4"/>
      <c r="OIL161" s="4"/>
      <c r="OIM161" s="4"/>
      <c r="OIN161" s="4"/>
      <c r="OIO161" s="4"/>
      <c r="OIP161" s="4"/>
      <c r="OIQ161" s="4"/>
      <c r="OIR161" s="4"/>
      <c r="OIS161" s="4"/>
      <c r="OIT161" s="4"/>
      <c r="OIU161" s="4"/>
      <c r="OIV161" s="4"/>
      <c r="OIW161" s="4"/>
      <c r="OIX161" s="4"/>
      <c r="OIY161" s="4"/>
      <c r="OIZ161" s="4"/>
      <c r="OJA161" s="4"/>
      <c r="OJB161" s="4"/>
      <c r="OJC161" s="4"/>
      <c r="OJD161" s="4"/>
      <c r="OJE161" s="4"/>
      <c r="OJF161" s="4"/>
      <c r="OJG161" s="4"/>
      <c r="OJH161" s="4"/>
      <c r="OJI161" s="4"/>
      <c r="OJJ161" s="4"/>
      <c r="OJK161" s="4"/>
      <c r="OJL161" s="4"/>
      <c r="OJM161" s="4"/>
      <c r="OJN161" s="4"/>
      <c r="OJO161" s="4"/>
      <c r="OJP161" s="4"/>
      <c r="OJQ161" s="4"/>
      <c r="OJR161" s="4"/>
      <c r="OJS161" s="4"/>
      <c r="OJT161" s="4"/>
      <c r="OJU161" s="4"/>
      <c r="OJV161" s="4"/>
      <c r="OJW161" s="4"/>
      <c r="OJX161" s="4"/>
      <c r="OJY161" s="4"/>
      <c r="OJZ161" s="4"/>
      <c r="OKA161" s="4"/>
      <c r="OKB161" s="4"/>
      <c r="OKC161" s="4"/>
      <c r="OKD161" s="4"/>
      <c r="OKE161" s="4"/>
      <c r="OKF161" s="4"/>
      <c r="OKG161" s="4"/>
      <c r="OKH161" s="4"/>
      <c r="OKI161" s="4"/>
      <c r="OKJ161" s="4"/>
      <c r="OKK161" s="4"/>
      <c r="OKL161" s="4"/>
      <c r="OKM161" s="4"/>
      <c r="OKN161" s="4"/>
      <c r="OKO161" s="4"/>
      <c r="OKP161" s="4"/>
      <c r="OKQ161" s="4"/>
      <c r="OKR161" s="4"/>
      <c r="OKS161" s="4"/>
      <c r="OKT161" s="4"/>
      <c r="OKU161" s="4"/>
      <c r="OKV161" s="4"/>
      <c r="OKW161" s="4"/>
      <c r="OKX161" s="4"/>
      <c r="OKY161" s="4"/>
      <c r="OKZ161" s="4"/>
      <c r="OLA161" s="4"/>
      <c r="OLB161" s="4"/>
      <c r="OLC161" s="4"/>
      <c r="OLD161" s="4"/>
      <c r="OLE161" s="4"/>
      <c r="OLF161" s="4"/>
      <c r="OLG161" s="4"/>
      <c r="OLH161" s="4"/>
      <c r="OLI161" s="4"/>
      <c r="OLJ161" s="4"/>
      <c r="OLK161" s="4"/>
      <c r="OLL161" s="4"/>
      <c r="OLM161" s="4"/>
      <c r="OLN161" s="4"/>
      <c r="OLO161" s="4"/>
      <c r="OLP161" s="4"/>
      <c r="OLQ161" s="4"/>
      <c r="OLR161" s="4"/>
      <c r="OLS161" s="4"/>
      <c r="OLT161" s="4"/>
      <c r="OLU161" s="4"/>
      <c r="OLV161" s="4"/>
      <c r="OLW161" s="4"/>
      <c r="OLX161" s="4"/>
      <c r="OLY161" s="4"/>
      <c r="OLZ161" s="4"/>
      <c r="OMA161" s="4"/>
      <c r="OMB161" s="4"/>
      <c r="OMC161" s="4"/>
      <c r="OMD161" s="4"/>
      <c r="OME161" s="4"/>
      <c r="OMF161" s="4"/>
      <c r="OMG161" s="4"/>
      <c r="OMH161" s="4"/>
      <c r="OMI161" s="4"/>
      <c r="OMJ161" s="4"/>
      <c r="OMK161" s="4"/>
      <c r="OML161" s="4"/>
      <c r="OMM161" s="4"/>
      <c r="OMN161" s="4"/>
      <c r="OMO161" s="4"/>
      <c r="OMP161" s="4"/>
      <c r="OMQ161" s="4"/>
      <c r="OMR161" s="4"/>
      <c r="OMS161" s="4"/>
      <c r="OMT161" s="4"/>
      <c r="OMU161" s="4"/>
      <c r="OMV161" s="4"/>
      <c r="OMW161" s="4"/>
      <c r="OMX161" s="4"/>
      <c r="OMY161" s="4"/>
      <c r="OMZ161" s="4"/>
      <c r="ONA161" s="4"/>
      <c r="ONB161" s="4"/>
      <c r="ONC161" s="4"/>
      <c r="OND161" s="4"/>
      <c r="ONE161" s="4"/>
      <c r="ONF161" s="4"/>
      <c r="ONG161" s="4"/>
      <c r="ONH161" s="4"/>
      <c r="ONI161" s="4"/>
      <c r="ONJ161" s="4"/>
      <c r="ONK161" s="4"/>
      <c r="ONL161" s="4"/>
      <c r="ONM161" s="4"/>
      <c r="ONN161" s="4"/>
      <c r="ONO161" s="4"/>
      <c r="ONP161" s="4"/>
      <c r="ONQ161" s="4"/>
      <c r="ONR161" s="4"/>
      <c r="ONS161" s="4"/>
      <c r="ONT161" s="4"/>
      <c r="ONU161" s="4"/>
      <c r="ONV161" s="4"/>
      <c r="ONW161" s="4"/>
      <c r="ONX161" s="4"/>
      <c r="ONY161" s="4"/>
      <c r="ONZ161" s="4"/>
      <c r="OOA161" s="4"/>
      <c r="OOB161" s="4"/>
      <c r="OOC161" s="4"/>
      <c r="OOD161" s="4"/>
      <c r="OOE161" s="4"/>
      <c r="OOF161" s="4"/>
      <c r="OOG161" s="4"/>
      <c r="OOH161" s="4"/>
      <c r="OOI161" s="4"/>
      <c r="OOJ161" s="4"/>
      <c r="OOK161" s="4"/>
      <c r="OOL161" s="4"/>
      <c r="OOM161" s="4"/>
      <c r="OON161" s="4"/>
      <c r="OOO161" s="4"/>
      <c r="OOP161" s="4"/>
      <c r="OOQ161" s="4"/>
      <c r="OOR161" s="4"/>
      <c r="OOS161" s="4"/>
      <c r="OOT161" s="4"/>
      <c r="OOU161" s="4"/>
      <c r="OOV161" s="4"/>
      <c r="OOW161" s="4"/>
      <c r="OOX161" s="4"/>
      <c r="OOY161" s="4"/>
      <c r="OOZ161" s="4"/>
      <c r="OPA161" s="4"/>
      <c r="OPB161" s="4"/>
      <c r="OPC161" s="4"/>
      <c r="OPD161" s="4"/>
      <c r="OPE161" s="4"/>
      <c r="OPF161" s="4"/>
      <c r="OPG161" s="4"/>
      <c r="OPH161" s="4"/>
      <c r="OPI161" s="4"/>
      <c r="OPJ161" s="4"/>
      <c r="OPK161" s="4"/>
      <c r="OPL161" s="4"/>
      <c r="OPM161" s="4"/>
      <c r="OPN161" s="4"/>
      <c r="OPO161" s="4"/>
      <c r="OPP161" s="4"/>
      <c r="OPQ161" s="4"/>
      <c r="OPR161" s="4"/>
      <c r="OPS161" s="4"/>
      <c r="OPT161" s="4"/>
      <c r="OPU161" s="4"/>
      <c r="OPV161" s="4"/>
      <c r="OPW161" s="4"/>
      <c r="OPX161" s="4"/>
      <c r="OPY161" s="4"/>
      <c r="OPZ161" s="4"/>
      <c r="OQA161" s="4"/>
      <c r="OQB161" s="4"/>
      <c r="OQC161" s="4"/>
      <c r="OQD161" s="4"/>
      <c r="OQE161" s="4"/>
      <c r="OQF161" s="4"/>
      <c r="OQG161" s="4"/>
      <c r="OQH161" s="4"/>
      <c r="OQI161" s="4"/>
      <c r="OQJ161" s="4"/>
      <c r="OQK161" s="4"/>
      <c r="OQL161" s="4"/>
      <c r="OQM161" s="4"/>
      <c r="OQN161" s="4"/>
      <c r="OQO161" s="4"/>
      <c r="OQP161" s="4"/>
      <c r="OQQ161" s="4"/>
      <c r="OQR161" s="4"/>
      <c r="OQS161" s="4"/>
      <c r="OQT161" s="4"/>
      <c r="OQU161" s="4"/>
      <c r="OQV161" s="4"/>
      <c r="OQW161" s="4"/>
      <c r="OQX161" s="4"/>
      <c r="OQY161" s="4"/>
      <c r="OQZ161" s="4"/>
      <c r="ORA161" s="4"/>
      <c r="ORB161" s="4"/>
      <c r="ORC161" s="4"/>
      <c r="ORD161" s="4"/>
      <c r="ORE161" s="4"/>
      <c r="ORF161" s="4"/>
      <c r="ORG161" s="4"/>
      <c r="ORH161" s="4"/>
      <c r="ORI161" s="4"/>
      <c r="ORJ161" s="4"/>
      <c r="ORK161" s="4"/>
      <c r="ORL161" s="4"/>
      <c r="ORM161" s="4"/>
      <c r="ORN161" s="4"/>
      <c r="ORO161" s="4"/>
      <c r="ORP161" s="4"/>
      <c r="ORQ161" s="4"/>
      <c r="ORR161" s="4"/>
      <c r="ORS161" s="4"/>
      <c r="ORT161" s="4"/>
      <c r="ORU161" s="4"/>
      <c r="ORV161" s="4"/>
      <c r="ORW161" s="4"/>
      <c r="ORX161" s="4"/>
      <c r="ORY161" s="4"/>
      <c r="ORZ161" s="4"/>
      <c r="OSA161" s="4"/>
      <c r="OSB161" s="4"/>
      <c r="OSC161" s="4"/>
      <c r="OSD161" s="4"/>
      <c r="OSE161" s="4"/>
      <c r="OSF161" s="4"/>
      <c r="OSG161" s="4"/>
      <c r="OSH161" s="4"/>
      <c r="OSI161" s="4"/>
      <c r="OSJ161" s="4"/>
      <c r="OSK161" s="4"/>
      <c r="OSL161" s="4"/>
      <c r="OSM161" s="4"/>
      <c r="OSN161" s="4"/>
      <c r="OSO161" s="4"/>
      <c r="OSP161" s="4"/>
      <c r="OSQ161" s="4"/>
      <c r="OSR161" s="4"/>
      <c r="OSS161" s="4"/>
      <c r="OST161" s="4"/>
      <c r="OSU161" s="4"/>
      <c r="OSV161" s="4"/>
      <c r="OSW161" s="4"/>
      <c r="OSX161" s="4"/>
      <c r="OSY161" s="4"/>
      <c r="OSZ161" s="4"/>
      <c r="OTA161" s="4"/>
      <c r="OTB161" s="4"/>
      <c r="OTC161" s="4"/>
      <c r="OTD161" s="4"/>
      <c r="OTE161" s="4"/>
      <c r="OTF161" s="4"/>
      <c r="OTG161" s="4"/>
      <c r="OTH161" s="4"/>
      <c r="OTI161" s="4"/>
      <c r="OTJ161" s="4"/>
      <c r="OTK161" s="4"/>
      <c r="OTL161" s="4"/>
      <c r="OTM161" s="4"/>
      <c r="OTN161" s="4"/>
      <c r="OTO161" s="4"/>
      <c r="OTP161" s="4"/>
      <c r="OTQ161" s="4"/>
      <c r="OTR161" s="4"/>
      <c r="OTS161" s="4"/>
      <c r="OTT161" s="4"/>
      <c r="OTU161" s="4"/>
      <c r="OTV161" s="4"/>
      <c r="OTW161" s="4"/>
      <c r="OTX161" s="4"/>
      <c r="OTY161" s="4"/>
      <c r="OTZ161" s="4"/>
      <c r="OUA161" s="4"/>
      <c r="OUB161" s="4"/>
      <c r="OUC161" s="4"/>
      <c r="OUD161" s="4"/>
      <c r="OUE161" s="4"/>
      <c r="OUF161" s="4"/>
      <c r="OUG161" s="4"/>
      <c r="OUH161" s="4"/>
      <c r="OUI161" s="4"/>
      <c r="OUJ161" s="4"/>
      <c r="OUK161" s="4"/>
      <c r="OUL161" s="4"/>
      <c r="OUM161" s="4"/>
      <c r="OUN161" s="4"/>
      <c r="OUO161" s="4"/>
      <c r="OUP161" s="4"/>
      <c r="OUQ161" s="4"/>
      <c r="OUR161" s="4"/>
      <c r="OUS161" s="4"/>
      <c r="OUT161" s="4"/>
      <c r="OUU161" s="4"/>
      <c r="OUV161" s="4"/>
      <c r="OUW161" s="4"/>
      <c r="OUX161" s="4"/>
      <c r="OUY161" s="4"/>
      <c r="OUZ161" s="4"/>
      <c r="OVA161" s="4"/>
      <c r="OVB161" s="4"/>
      <c r="OVC161" s="4"/>
      <c r="OVD161" s="4"/>
      <c r="OVE161" s="4"/>
      <c r="OVF161" s="4"/>
      <c r="OVG161" s="4"/>
      <c r="OVH161" s="4"/>
      <c r="OVI161" s="4"/>
      <c r="OVJ161" s="4"/>
      <c r="OVK161" s="4"/>
      <c r="OVL161" s="4"/>
      <c r="OVM161" s="4"/>
      <c r="OVN161" s="4"/>
      <c r="OVO161" s="4"/>
      <c r="OVP161" s="4"/>
      <c r="OVQ161" s="4"/>
      <c r="OVR161" s="4"/>
      <c r="OVS161" s="4"/>
      <c r="OVT161" s="4"/>
      <c r="OVU161" s="4"/>
      <c r="OVV161" s="4"/>
      <c r="OVW161" s="4"/>
      <c r="OVX161" s="4"/>
      <c r="OVY161" s="4"/>
      <c r="OVZ161" s="4"/>
      <c r="OWA161" s="4"/>
      <c r="OWB161" s="4"/>
      <c r="OWC161" s="4"/>
      <c r="OWD161" s="4"/>
      <c r="OWE161" s="4"/>
      <c r="OWF161" s="4"/>
      <c r="OWG161" s="4"/>
      <c r="OWH161" s="4"/>
      <c r="OWI161" s="4"/>
      <c r="OWJ161" s="4"/>
      <c r="OWK161" s="4"/>
      <c r="OWL161" s="4"/>
      <c r="OWM161" s="4"/>
      <c r="OWN161" s="4"/>
      <c r="OWO161" s="4"/>
      <c r="OWP161" s="4"/>
      <c r="OWQ161" s="4"/>
      <c r="OWR161" s="4"/>
      <c r="OWS161" s="4"/>
      <c r="OWT161" s="4"/>
      <c r="OWU161" s="4"/>
      <c r="OWV161" s="4"/>
      <c r="OWW161" s="4"/>
      <c r="OWX161" s="4"/>
      <c r="OWY161" s="4"/>
      <c r="OWZ161" s="4"/>
      <c r="OXA161" s="4"/>
      <c r="OXB161" s="4"/>
      <c r="OXC161" s="4"/>
      <c r="OXD161" s="4"/>
      <c r="OXE161" s="4"/>
      <c r="OXF161" s="4"/>
      <c r="OXG161" s="4"/>
      <c r="OXH161" s="4"/>
      <c r="OXI161" s="4"/>
      <c r="OXJ161" s="4"/>
      <c r="OXK161" s="4"/>
      <c r="OXL161" s="4"/>
      <c r="OXM161" s="4"/>
      <c r="OXN161" s="4"/>
      <c r="OXO161" s="4"/>
      <c r="OXP161" s="4"/>
      <c r="OXQ161" s="4"/>
      <c r="OXR161" s="4"/>
      <c r="OXS161" s="4"/>
      <c r="OXT161" s="4"/>
      <c r="OXU161" s="4"/>
      <c r="OXV161" s="4"/>
      <c r="OXW161" s="4"/>
      <c r="OXX161" s="4"/>
      <c r="OXY161" s="4"/>
      <c r="OXZ161" s="4"/>
      <c r="OYA161" s="4"/>
      <c r="OYB161" s="4"/>
      <c r="OYC161" s="4"/>
      <c r="OYD161" s="4"/>
      <c r="OYE161" s="4"/>
      <c r="OYF161" s="4"/>
      <c r="OYG161" s="4"/>
      <c r="OYH161" s="4"/>
      <c r="OYI161" s="4"/>
      <c r="OYJ161" s="4"/>
      <c r="OYK161" s="4"/>
      <c r="OYL161" s="4"/>
      <c r="OYM161" s="4"/>
      <c r="OYN161" s="4"/>
      <c r="OYO161" s="4"/>
      <c r="OYP161" s="4"/>
      <c r="OYQ161" s="4"/>
      <c r="OYR161" s="4"/>
      <c r="OYS161" s="4"/>
      <c r="OYT161" s="4"/>
      <c r="OYU161" s="4"/>
      <c r="OYV161" s="4"/>
      <c r="OYW161" s="4"/>
      <c r="OYX161" s="4"/>
      <c r="OYY161" s="4"/>
      <c r="OYZ161" s="4"/>
      <c r="OZA161" s="4"/>
      <c r="OZB161" s="4"/>
      <c r="OZC161" s="4"/>
      <c r="OZD161" s="4"/>
      <c r="OZE161" s="4"/>
      <c r="OZF161" s="4"/>
      <c r="OZG161" s="4"/>
      <c r="OZH161" s="4"/>
      <c r="OZI161" s="4"/>
      <c r="OZJ161" s="4"/>
      <c r="OZK161" s="4"/>
      <c r="OZL161" s="4"/>
      <c r="OZM161" s="4"/>
      <c r="OZN161" s="4"/>
      <c r="OZO161" s="4"/>
      <c r="OZP161" s="4"/>
      <c r="OZQ161" s="4"/>
      <c r="OZR161" s="4"/>
      <c r="OZS161" s="4"/>
      <c r="OZT161" s="4"/>
      <c r="OZU161" s="4"/>
      <c r="OZV161" s="4"/>
      <c r="OZW161" s="4"/>
      <c r="OZX161" s="4"/>
      <c r="OZY161" s="4"/>
      <c r="OZZ161" s="4"/>
      <c r="PAA161" s="4"/>
      <c r="PAB161" s="4"/>
      <c r="PAC161" s="4"/>
      <c r="PAD161" s="4"/>
      <c r="PAE161" s="4"/>
      <c r="PAF161" s="4"/>
      <c r="PAG161" s="4"/>
      <c r="PAH161" s="4"/>
      <c r="PAI161" s="4"/>
      <c r="PAJ161" s="4"/>
      <c r="PAK161" s="4"/>
      <c r="PAL161" s="4"/>
      <c r="PAM161" s="4"/>
      <c r="PAN161" s="4"/>
      <c r="PAO161" s="4"/>
      <c r="PAP161" s="4"/>
      <c r="PAQ161" s="4"/>
      <c r="PAR161" s="4"/>
      <c r="PAS161" s="4"/>
      <c r="PAT161" s="4"/>
      <c r="PAU161" s="4"/>
      <c r="PAV161" s="4"/>
      <c r="PAW161" s="4"/>
      <c r="PAX161" s="4"/>
      <c r="PAY161" s="4"/>
      <c r="PAZ161" s="4"/>
      <c r="PBA161" s="4"/>
      <c r="PBB161" s="4"/>
      <c r="PBC161" s="4"/>
      <c r="PBD161" s="4"/>
      <c r="PBE161" s="4"/>
      <c r="PBF161" s="4"/>
      <c r="PBG161" s="4"/>
      <c r="PBH161" s="4"/>
      <c r="PBI161" s="4"/>
      <c r="PBJ161" s="4"/>
      <c r="PBK161" s="4"/>
      <c r="PBL161" s="4"/>
      <c r="PBM161" s="4"/>
      <c r="PBN161" s="4"/>
      <c r="PBO161" s="4"/>
      <c r="PBP161" s="4"/>
      <c r="PBQ161" s="4"/>
      <c r="PBR161" s="4"/>
      <c r="PBS161" s="4"/>
      <c r="PBT161" s="4"/>
      <c r="PBU161" s="4"/>
      <c r="PBV161" s="4"/>
      <c r="PBW161" s="4"/>
      <c r="PBX161" s="4"/>
      <c r="PBY161" s="4"/>
      <c r="PBZ161" s="4"/>
      <c r="PCA161" s="4"/>
      <c r="PCB161" s="4"/>
      <c r="PCC161" s="4"/>
      <c r="PCD161" s="4"/>
      <c r="PCE161" s="4"/>
      <c r="PCF161" s="4"/>
      <c r="PCG161" s="4"/>
      <c r="PCH161" s="4"/>
      <c r="PCI161" s="4"/>
      <c r="PCJ161" s="4"/>
      <c r="PCK161" s="4"/>
      <c r="PCL161" s="4"/>
      <c r="PCM161" s="4"/>
      <c r="PCN161" s="4"/>
      <c r="PCO161" s="4"/>
      <c r="PCP161" s="4"/>
      <c r="PCQ161" s="4"/>
      <c r="PCR161" s="4"/>
      <c r="PCS161" s="4"/>
      <c r="PCT161" s="4"/>
      <c r="PCU161" s="4"/>
      <c r="PCV161" s="4"/>
      <c r="PCW161" s="4"/>
      <c r="PCX161" s="4"/>
      <c r="PCY161" s="4"/>
      <c r="PCZ161" s="4"/>
      <c r="PDA161" s="4"/>
      <c r="PDB161" s="4"/>
      <c r="PDC161" s="4"/>
      <c r="PDD161" s="4"/>
      <c r="PDE161" s="4"/>
      <c r="PDF161" s="4"/>
      <c r="PDG161" s="4"/>
      <c r="PDH161" s="4"/>
      <c r="PDI161" s="4"/>
      <c r="PDJ161" s="4"/>
      <c r="PDK161" s="4"/>
      <c r="PDL161" s="4"/>
      <c r="PDM161" s="4"/>
      <c r="PDN161" s="4"/>
      <c r="PDO161" s="4"/>
      <c r="PDP161" s="4"/>
      <c r="PDQ161" s="4"/>
      <c r="PDR161" s="4"/>
      <c r="PDS161" s="4"/>
      <c r="PDT161" s="4"/>
      <c r="PDU161" s="4"/>
      <c r="PDV161" s="4"/>
      <c r="PDW161" s="4"/>
      <c r="PDX161" s="4"/>
      <c r="PDY161" s="4"/>
      <c r="PDZ161" s="4"/>
      <c r="PEA161" s="4"/>
      <c r="PEB161" s="4"/>
      <c r="PEC161" s="4"/>
      <c r="PED161" s="4"/>
      <c r="PEE161" s="4"/>
      <c r="PEF161" s="4"/>
      <c r="PEG161" s="4"/>
      <c r="PEH161" s="4"/>
      <c r="PEI161" s="4"/>
      <c r="PEJ161" s="4"/>
      <c r="PEK161" s="4"/>
      <c r="PEL161" s="4"/>
      <c r="PEM161" s="4"/>
      <c r="PEN161" s="4"/>
      <c r="PEO161" s="4"/>
      <c r="PEP161" s="4"/>
      <c r="PEQ161" s="4"/>
      <c r="PER161" s="4"/>
      <c r="PES161" s="4"/>
      <c r="PET161" s="4"/>
      <c r="PEU161" s="4"/>
      <c r="PEV161" s="4"/>
      <c r="PEW161" s="4"/>
      <c r="PEX161" s="4"/>
      <c r="PEY161" s="4"/>
      <c r="PEZ161" s="4"/>
      <c r="PFA161" s="4"/>
      <c r="PFB161" s="4"/>
      <c r="PFC161" s="4"/>
      <c r="PFD161" s="4"/>
      <c r="PFE161" s="4"/>
      <c r="PFF161" s="4"/>
      <c r="PFG161" s="4"/>
      <c r="PFH161" s="4"/>
      <c r="PFI161" s="4"/>
      <c r="PFJ161" s="4"/>
      <c r="PFK161" s="4"/>
      <c r="PFL161" s="4"/>
      <c r="PFM161" s="4"/>
      <c r="PFN161" s="4"/>
      <c r="PFO161" s="4"/>
      <c r="PFP161" s="4"/>
      <c r="PFQ161" s="4"/>
      <c r="PFR161" s="4"/>
      <c r="PFS161" s="4"/>
      <c r="PFT161" s="4"/>
      <c r="PFU161" s="4"/>
      <c r="PFV161" s="4"/>
      <c r="PFW161" s="4"/>
      <c r="PFX161" s="4"/>
      <c r="PFY161" s="4"/>
      <c r="PFZ161" s="4"/>
      <c r="PGA161" s="4"/>
      <c r="PGB161" s="4"/>
      <c r="PGC161" s="4"/>
      <c r="PGD161" s="4"/>
      <c r="PGE161" s="4"/>
      <c r="PGF161" s="4"/>
      <c r="PGG161" s="4"/>
      <c r="PGH161" s="4"/>
      <c r="PGI161" s="4"/>
      <c r="PGJ161" s="4"/>
      <c r="PGK161" s="4"/>
      <c r="PGL161" s="4"/>
      <c r="PGM161" s="4"/>
      <c r="PGN161" s="4"/>
      <c r="PGO161" s="4"/>
      <c r="PGP161" s="4"/>
      <c r="PGQ161" s="4"/>
      <c r="PGR161" s="4"/>
      <c r="PGS161" s="4"/>
      <c r="PGT161" s="4"/>
      <c r="PGU161" s="4"/>
      <c r="PGV161" s="4"/>
      <c r="PGW161" s="4"/>
      <c r="PGX161" s="4"/>
      <c r="PGY161" s="4"/>
      <c r="PGZ161" s="4"/>
      <c r="PHA161" s="4"/>
      <c r="PHB161" s="4"/>
      <c r="PHC161" s="4"/>
      <c r="PHD161" s="4"/>
      <c r="PHE161" s="4"/>
      <c r="PHF161" s="4"/>
      <c r="PHG161" s="4"/>
      <c r="PHH161" s="4"/>
      <c r="PHI161" s="4"/>
      <c r="PHJ161" s="4"/>
      <c r="PHK161" s="4"/>
      <c r="PHL161" s="4"/>
      <c r="PHM161" s="4"/>
      <c r="PHN161" s="4"/>
      <c r="PHO161" s="4"/>
      <c r="PHP161" s="4"/>
      <c r="PHQ161" s="4"/>
      <c r="PHR161" s="4"/>
      <c r="PHS161" s="4"/>
      <c r="PHT161" s="4"/>
      <c r="PHU161" s="4"/>
      <c r="PHV161" s="4"/>
      <c r="PHW161" s="4"/>
      <c r="PHX161" s="4"/>
      <c r="PHY161" s="4"/>
      <c r="PHZ161" s="4"/>
      <c r="PIA161" s="4"/>
      <c r="PIB161" s="4"/>
      <c r="PIC161" s="4"/>
      <c r="PID161" s="4"/>
      <c r="PIE161" s="4"/>
      <c r="PIF161" s="4"/>
      <c r="PIG161" s="4"/>
      <c r="PIH161" s="4"/>
      <c r="PII161" s="4"/>
      <c r="PIJ161" s="4"/>
      <c r="PIK161" s="4"/>
      <c r="PIL161" s="4"/>
      <c r="PIM161" s="4"/>
      <c r="PIN161" s="4"/>
      <c r="PIO161" s="4"/>
      <c r="PIP161" s="4"/>
      <c r="PIQ161" s="4"/>
      <c r="PIR161" s="4"/>
      <c r="PIS161" s="4"/>
      <c r="PIT161" s="4"/>
      <c r="PIU161" s="4"/>
      <c r="PIV161" s="4"/>
      <c r="PIW161" s="4"/>
      <c r="PIX161" s="4"/>
      <c r="PIY161" s="4"/>
      <c r="PIZ161" s="4"/>
      <c r="PJA161" s="4"/>
      <c r="PJB161" s="4"/>
      <c r="PJC161" s="4"/>
      <c r="PJD161" s="4"/>
      <c r="PJE161" s="4"/>
      <c r="PJF161" s="4"/>
      <c r="PJG161" s="4"/>
      <c r="PJH161" s="4"/>
      <c r="PJI161" s="4"/>
      <c r="PJJ161" s="4"/>
      <c r="PJK161" s="4"/>
      <c r="PJL161" s="4"/>
      <c r="PJM161" s="4"/>
      <c r="PJN161" s="4"/>
      <c r="PJO161" s="4"/>
      <c r="PJP161" s="4"/>
      <c r="PJQ161" s="4"/>
      <c r="PJR161" s="4"/>
      <c r="PJS161" s="4"/>
      <c r="PJT161" s="4"/>
      <c r="PJU161" s="4"/>
      <c r="PJV161" s="4"/>
      <c r="PJW161" s="4"/>
      <c r="PJX161" s="4"/>
      <c r="PJY161" s="4"/>
      <c r="PJZ161" s="4"/>
      <c r="PKA161" s="4"/>
      <c r="PKB161" s="4"/>
      <c r="PKC161" s="4"/>
      <c r="PKD161" s="4"/>
      <c r="PKE161" s="4"/>
      <c r="PKF161" s="4"/>
      <c r="PKG161" s="4"/>
      <c r="PKH161" s="4"/>
      <c r="PKI161" s="4"/>
      <c r="PKJ161" s="4"/>
      <c r="PKK161" s="4"/>
      <c r="PKL161" s="4"/>
      <c r="PKM161" s="4"/>
      <c r="PKN161" s="4"/>
      <c r="PKO161" s="4"/>
      <c r="PKP161" s="4"/>
      <c r="PKQ161" s="4"/>
      <c r="PKR161" s="4"/>
      <c r="PKS161" s="4"/>
      <c r="PKT161" s="4"/>
      <c r="PKU161" s="4"/>
      <c r="PKV161" s="4"/>
      <c r="PKW161" s="4"/>
      <c r="PKX161" s="4"/>
      <c r="PKY161" s="4"/>
      <c r="PKZ161" s="4"/>
      <c r="PLA161" s="4"/>
      <c r="PLB161" s="4"/>
      <c r="PLC161" s="4"/>
      <c r="PLD161" s="4"/>
      <c r="PLE161" s="4"/>
      <c r="PLF161" s="4"/>
      <c r="PLG161" s="4"/>
      <c r="PLH161" s="4"/>
      <c r="PLI161" s="4"/>
      <c r="PLJ161" s="4"/>
      <c r="PLK161" s="4"/>
      <c r="PLL161" s="4"/>
      <c r="PLM161" s="4"/>
      <c r="PLN161" s="4"/>
      <c r="PLO161" s="4"/>
      <c r="PLP161" s="4"/>
      <c r="PLQ161" s="4"/>
      <c r="PLR161" s="4"/>
      <c r="PLS161" s="4"/>
      <c r="PLT161" s="4"/>
      <c r="PLU161" s="4"/>
      <c r="PLV161" s="4"/>
      <c r="PLW161" s="4"/>
      <c r="PLX161" s="4"/>
      <c r="PLY161" s="4"/>
      <c r="PLZ161" s="4"/>
      <c r="PMA161" s="4"/>
      <c r="PMB161" s="4"/>
      <c r="PMC161" s="4"/>
      <c r="PMD161" s="4"/>
      <c r="PME161" s="4"/>
      <c r="PMF161" s="4"/>
      <c r="PMG161" s="4"/>
      <c r="PMH161" s="4"/>
      <c r="PMI161" s="4"/>
      <c r="PMJ161" s="4"/>
      <c r="PMK161" s="4"/>
      <c r="PML161" s="4"/>
      <c r="PMM161" s="4"/>
      <c r="PMN161" s="4"/>
      <c r="PMO161" s="4"/>
      <c r="PMP161" s="4"/>
      <c r="PMQ161" s="4"/>
      <c r="PMR161" s="4"/>
      <c r="PMS161" s="4"/>
      <c r="PMT161" s="4"/>
      <c r="PMU161" s="4"/>
      <c r="PMV161" s="4"/>
      <c r="PMW161" s="4"/>
      <c r="PMX161" s="4"/>
      <c r="PMY161" s="4"/>
      <c r="PMZ161" s="4"/>
      <c r="PNA161" s="4"/>
      <c r="PNB161" s="4"/>
      <c r="PNC161" s="4"/>
      <c r="PND161" s="4"/>
      <c r="PNE161" s="4"/>
      <c r="PNF161" s="4"/>
      <c r="PNG161" s="4"/>
      <c r="PNH161" s="4"/>
      <c r="PNI161" s="4"/>
      <c r="PNJ161" s="4"/>
      <c r="PNK161" s="4"/>
      <c r="PNL161" s="4"/>
      <c r="PNM161" s="4"/>
      <c r="PNN161" s="4"/>
      <c r="PNO161" s="4"/>
      <c r="PNP161" s="4"/>
      <c r="PNQ161" s="4"/>
      <c r="PNR161" s="4"/>
      <c r="PNS161" s="4"/>
      <c r="PNT161" s="4"/>
      <c r="PNU161" s="4"/>
      <c r="PNV161" s="4"/>
      <c r="PNW161" s="4"/>
      <c r="PNX161" s="4"/>
      <c r="PNY161" s="4"/>
      <c r="PNZ161" s="4"/>
      <c r="POA161" s="4"/>
      <c r="POB161" s="4"/>
      <c r="POC161" s="4"/>
      <c r="POD161" s="4"/>
      <c r="POE161" s="4"/>
      <c r="POF161" s="4"/>
      <c r="POG161" s="4"/>
      <c r="POH161" s="4"/>
      <c r="POI161" s="4"/>
      <c r="POJ161" s="4"/>
      <c r="POK161" s="4"/>
      <c r="POL161" s="4"/>
      <c r="POM161" s="4"/>
      <c r="PON161" s="4"/>
      <c r="POO161" s="4"/>
      <c r="POP161" s="4"/>
      <c r="POQ161" s="4"/>
      <c r="POR161" s="4"/>
      <c r="POS161" s="4"/>
      <c r="POT161" s="4"/>
      <c r="POU161" s="4"/>
      <c r="POV161" s="4"/>
      <c r="POW161" s="4"/>
      <c r="POX161" s="4"/>
      <c r="POY161" s="4"/>
      <c r="POZ161" s="4"/>
      <c r="PPA161" s="4"/>
      <c r="PPB161" s="4"/>
      <c r="PPC161" s="4"/>
      <c r="PPD161" s="4"/>
      <c r="PPE161" s="4"/>
      <c r="PPF161" s="4"/>
      <c r="PPG161" s="4"/>
      <c r="PPH161" s="4"/>
      <c r="PPI161" s="4"/>
      <c r="PPJ161" s="4"/>
      <c r="PPK161" s="4"/>
      <c r="PPL161" s="4"/>
      <c r="PPM161" s="4"/>
      <c r="PPN161" s="4"/>
      <c r="PPO161" s="4"/>
      <c r="PPP161" s="4"/>
      <c r="PPQ161" s="4"/>
      <c r="PPR161" s="4"/>
      <c r="PPS161" s="4"/>
      <c r="PPT161" s="4"/>
      <c r="PPU161" s="4"/>
      <c r="PPV161" s="4"/>
      <c r="PPW161" s="4"/>
      <c r="PPX161" s="4"/>
      <c r="PPY161" s="4"/>
      <c r="PPZ161" s="4"/>
      <c r="PQA161" s="4"/>
      <c r="PQB161" s="4"/>
      <c r="PQC161" s="4"/>
      <c r="PQD161" s="4"/>
      <c r="PQE161" s="4"/>
      <c r="PQF161" s="4"/>
      <c r="PQG161" s="4"/>
      <c r="PQH161" s="4"/>
      <c r="PQI161" s="4"/>
      <c r="PQJ161" s="4"/>
      <c r="PQK161" s="4"/>
      <c r="PQL161" s="4"/>
      <c r="PQM161" s="4"/>
      <c r="PQN161" s="4"/>
      <c r="PQO161" s="4"/>
      <c r="PQP161" s="4"/>
      <c r="PQQ161" s="4"/>
      <c r="PQR161" s="4"/>
      <c r="PQS161" s="4"/>
      <c r="PQT161" s="4"/>
      <c r="PQU161" s="4"/>
      <c r="PQV161" s="4"/>
      <c r="PQW161" s="4"/>
      <c r="PQX161" s="4"/>
      <c r="PQY161" s="4"/>
      <c r="PQZ161" s="4"/>
      <c r="PRA161" s="4"/>
      <c r="PRB161" s="4"/>
      <c r="PRC161" s="4"/>
      <c r="PRD161" s="4"/>
      <c r="PRE161" s="4"/>
      <c r="PRF161" s="4"/>
      <c r="PRG161" s="4"/>
      <c r="PRH161" s="4"/>
      <c r="PRI161" s="4"/>
      <c r="PRJ161" s="4"/>
      <c r="PRK161" s="4"/>
      <c r="PRL161" s="4"/>
      <c r="PRM161" s="4"/>
      <c r="PRN161" s="4"/>
      <c r="PRO161" s="4"/>
      <c r="PRP161" s="4"/>
      <c r="PRQ161" s="4"/>
      <c r="PRR161" s="4"/>
      <c r="PRS161" s="4"/>
      <c r="PRT161" s="4"/>
      <c r="PRU161" s="4"/>
      <c r="PRV161" s="4"/>
      <c r="PRW161" s="4"/>
      <c r="PRX161" s="4"/>
      <c r="PRY161" s="4"/>
      <c r="PRZ161" s="4"/>
      <c r="PSA161" s="4"/>
      <c r="PSB161" s="4"/>
      <c r="PSC161" s="4"/>
      <c r="PSD161" s="4"/>
      <c r="PSE161" s="4"/>
      <c r="PSF161" s="4"/>
      <c r="PSG161" s="4"/>
      <c r="PSH161" s="4"/>
      <c r="PSI161" s="4"/>
      <c r="PSJ161" s="4"/>
      <c r="PSK161" s="4"/>
      <c r="PSL161" s="4"/>
      <c r="PSM161" s="4"/>
      <c r="PSN161" s="4"/>
      <c r="PSO161" s="4"/>
      <c r="PSP161" s="4"/>
      <c r="PSQ161" s="4"/>
      <c r="PSR161" s="4"/>
      <c r="PSS161" s="4"/>
      <c r="PST161" s="4"/>
      <c r="PSU161" s="4"/>
      <c r="PSV161" s="4"/>
      <c r="PSW161" s="4"/>
      <c r="PSX161" s="4"/>
      <c r="PSY161" s="4"/>
      <c r="PSZ161" s="4"/>
      <c r="PTA161" s="4"/>
      <c r="PTB161" s="4"/>
      <c r="PTC161" s="4"/>
      <c r="PTD161" s="4"/>
      <c r="PTE161" s="4"/>
      <c r="PTF161" s="4"/>
      <c r="PTG161" s="4"/>
      <c r="PTH161" s="4"/>
      <c r="PTI161" s="4"/>
      <c r="PTJ161" s="4"/>
      <c r="PTK161" s="4"/>
      <c r="PTL161" s="4"/>
      <c r="PTM161" s="4"/>
      <c r="PTN161" s="4"/>
      <c r="PTO161" s="4"/>
      <c r="PTP161" s="4"/>
      <c r="PTQ161" s="4"/>
      <c r="PTR161" s="4"/>
      <c r="PTS161" s="4"/>
      <c r="PTT161" s="4"/>
      <c r="PTU161" s="4"/>
      <c r="PTV161" s="4"/>
      <c r="PTW161" s="4"/>
      <c r="PTX161" s="4"/>
      <c r="PTY161" s="4"/>
      <c r="PTZ161" s="4"/>
      <c r="PUA161" s="4"/>
      <c r="PUB161" s="4"/>
      <c r="PUC161" s="4"/>
      <c r="PUD161" s="4"/>
      <c r="PUE161" s="4"/>
      <c r="PUF161" s="4"/>
      <c r="PUG161" s="4"/>
      <c r="PUH161" s="4"/>
      <c r="PUI161" s="4"/>
      <c r="PUJ161" s="4"/>
      <c r="PUK161" s="4"/>
      <c r="PUL161" s="4"/>
      <c r="PUM161" s="4"/>
      <c r="PUN161" s="4"/>
      <c r="PUO161" s="4"/>
      <c r="PUP161" s="4"/>
      <c r="PUQ161" s="4"/>
      <c r="PUR161" s="4"/>
      <c r="PUS161" s="4"/>
      <c r="PUT161" s="4"/>
      <c r="PUU161" s="4"/>
      <c r="PUV161" s="4"/>
      <c r="PUW161" s="4"/>
      <c r="PUX161" s="4"/>
      <c r="PUY161" s="4"/>
      <c r="PUZ161" s="4"/>
      <c r="PVA161" s="4"/>
      <c r="PVB161" s="4"/>
      <c r="PVC161" s="4"/>
      <c r="PVD161" s="4"/>
      <c r="PVE161" s="4"/>
      <c r="PVF161" s="4"/>
      <c r="PVG161" s="4"/>
      <c r="PVH161" s="4"/>
      <c r="PVI161" s="4"/>
      <c r="PVJ161" s="4"/>
      <c r="PVK161" s="4"/>
      <c r="PVL161" s="4"/>
      <c r="PVM161" s="4"/>
      <c r="PVN161" s="4"/>
      <c r="PVO161" s="4"/>
      <c r="PVP161" s="4"/>
      <c r="PVQ161" s="4"/>
      <c r="PVR161" s="4"/>
      <c r="PVS161" s="4"/>
      <c r="PVT161" s="4"/>
      <c r="PVU161" s="4"/>
      <c r="PVV161" s="4"/>
      <c r="PVW161" s="4"/>
      <c r="PVX161" s="4"/>
      <c r="PVY161" s="4"/>
      <c r="PVZ161" s="4"/>
      <c r="PWA161" s="4"/>
      <c r="PWB161" s="4"/>
      <c r="PWC161" s="4"/>
      <c r="PWD161" s="4"/>
      <c r="PWE161" s="4"/>
      <c r="PWF161" s="4"/>
      <c r="PWG161" s="4"/>
      <c r="PWH161" s="4"/>
      <c r="PWI161" s="4"/>
      <c r="PWJ161" s="4"/>
      <c r="PWK161" s="4"/>
      <c r="PWL161" s="4"/>
      <c r="PWM161" s="4"/>
      <c r="PWN161" s="4"/>
      <c r="PWO161" s="4"/>
      <c r="PWP161" s="4"/>
      <c r="PWQ161" s="4"/>
      <c r="PWR161" s="4"/>
      <c r="PWS161" s="4"/>
      <c r="PWT161" s="4"/>
      <c r="PWU161" s="4"/>
      <c r="PWV161" s="4"/>
      <c r="PWW161" s="4"/>
      <c r="PWX161" s="4"/>
      <c r="PWY161" s="4"/>
      <c r="PWZ161" s="4"/>
      <c r="PXA161" s="4"/>
      <c r="PXB161" s="4"/>
      <c r="PXC161" s="4"/>
      <c r="PXD161" s="4"/>
      <c r="PXE161" s="4"/>
      <c r="PXF161" s="4"/>
      <c r="PXG161" s="4"/>
      <c r="PXH161" s="4"/>
      <c r="PXI161" s="4"/>
      <c r="PXJ161" s="4"/>
      <c r="PXK161" s="4"/>
      <c r="PXL161" s="4"/>
      <c r="PXM161" s="4"/>
      <c r="PXN161" s="4"/>
      <c r="PXO161" s="4"/>
      <c r="PXP161" s="4"/>
      <c r="PXQ161" s="4"/>
      <c r="PXR161" s="4"/>
      <c r="PXS161" s="4"/>
      <c r="PXT161" s="4"/>
      <c r="PXU161" s="4"/>
      <c r="PXV161" s="4"/>
      <c r="PXW161" s="4"/>
      <c r="PXX161" s="4"/>
      <c r="PXY161" s="4"/>
      <c r="PXZ161" s="4"/>
      <c r="PYA161" s="4"/>
      <c r="PYB161" s="4"/>
      <c r="PYC161" s="4"/>
      <c r="PYD161" s="4"/>
      <c r="PYE161" s="4"/>
      <c r="PYF161" s="4"/>
      <c r="PYG161" s="4"/>
      <c r="PYH161" s="4"/>
      <c r="PYI161" s="4"/>
      <c r="PYJ161" s="4"/>
      <c r="PYK161" s="4"/>
      <c r="PYL161" s="4"/>
      <c r="PYM161" s="4"/>
      <c r="PYN161" s="4"/>
      <c r="PYO161" s="4"/>
      <c r="PYP161" s="4"/>
      <c r="PYQ161" s="4"/>
      <c r="PYR161" s="4"/>
      <c r="PYS161" s="4"/>
      <c r="PYT161" s="4"/>
      <c r="PYU161" s="4"/>
      <c r="PYV161" s="4"/>
      <c r="PYW161" s="4"/>
      <c r="PYX161" s="4"/>
      <c r="PYY161" s="4"/>
      <c r="PYZ161" s="4"/>
      <c r="PZA161" s="4"/>
      <c r="PZB161" s="4"/>
      <c r="PZC161" s="4"/>
      <c r="PZD161" s="4"/>
      <c r="PZE161" s="4"/>
      <c r="PZF161" s="4"/>
      <c r="PZG161" s="4"/>
      <c r="PZH161" s="4"/>
      <c r="PZI161" s="4"/>
      <c r="PZJ161" s="4"/>
      <c r="PZK161" s="4"/>
      <c r="PZL161" s="4"/>
      <c r="PZM161" s="4"/>
      <c r="PZN161" s="4"/>
      <c r="PZO161" s="4"/>
      <c r="PZP161" s="4"/>
      <c r="PZQ161" s="4"/>
      <c r="PZR161" s="4"/>
      <c r="PZS161" s="4"/>
      <c r="PZT161" s="4"/>
      <c r="PZU161" s="4"/>
      <c r="PZV161" s="4"/>
      <c r="PZW161" s="4"/>
      <c r="PZX161" s="4"/>
      <c r="PZY161" s="4"/>
      <c r="PZZ161" s="4"/>
      <c r="QAA161" s="4"/>
      <c r="QAB161" s="4"/>
      <c r="QAC161" s="4"/>
      <c r="QAD161" s="4"/>
      <c r="QAE161" s="4"/>
      <c r="QAF161" s="4"/>
      <c r="QAG161" s="4"/>
      <c r="QAH161" s="4"/>
      <c r="QAI161" s="4"/>
      <c r="QAJ161" s="4"/>
      <c r="QAK161" s="4"/>
      <c r="QAL161" s="4"/>
      <c r="QAM161" s="4"/>
      <c r="QAN161" s="4"/>
      <c r="QAO161" s="4"/>
      <c r="QAP161" s="4"/>
      <c r="QAQ161" s="4"/>
      <c r="QAR161" s="4"/>
      <c r="QAS161" s="4"/>
      <c r="QAT161" s="4"/>
      <c r="QAU161" s="4"/>
      <c r="QAV161" s="4"/>
      <c r="QAW161" s="4"/>
      <c r="QAX161" s="4"/>
      <c r="QAY161" s="4"/>
      <c r="QAZ161" s="4"/>
      <c r="QBA161" s="4"/>
      <c r="QBB161" s="4"/>
      <c r="QBC161" s="4"/>
      <c r="QBD161" s="4"/>
      <c r="QBE161" s="4"/>
      <c r="QBF161" s="4"/>
      <c r="QBG161" s="4"/>
      <c r="QBH161" s="4"/>
      <c r="QBI161" s="4"/>
      <c r="QBJ161" s="4"/>
      <c r="QBK161" s="4"/>
      <c r="QBL161" s="4"/>
      <c r="QBM161" s="4"/>
      <c r="QBN161" s="4"/>
      <c r="QBO161" s="4"/>
      <c r="QBP161" s="4"/>
      <c r="QBQ161" s="4"/>
      <c r="QBR161" s="4"/>
      <c r="QBS161" s="4"/>
      <c r="QBT161" s="4"/>
      <c r="QBU161" s="4"/>
      <c r="QBV161" s="4"/>
      <c r="QBW161" s="4"/>
      <c r="QBX161" s="4"/>
      <c r="QBY161" s="4"/>
      <c r="QBZ161" s="4"/>
      <c r="QCA161" s="4"/>
      <c r="QCB161" s="4"/>
      <c r="QCC161" s="4"/>
      <c r="QCD161" s="4"/>
      <c r="QCE161" s="4"/>
      <c r="QCF161" s="4"/>
      <c r="QCG161" s="4"/>
      <c r="QCH161" s="4"/>
      <c r="QCI161" s="4"/>
      <c r="QCJ161" s="4"/>
      <c r="QCK161" s="4"/>
      <c r="QCL161" s="4"/>
      <c r="QCM161" s="4"/>
      <c r="QCN161" s="4"/>
      <c r="QCO161" s="4"/>
      <c r="QCP161" s="4"/>
      <c r="QCQ161" s="4"/>
      <c r="QCR161" s="4"/>
      <c r="QCS161" s="4"/>
      <c r="QCT161" s="4"/>
      <c r="QCU161" s="4"/>
      <c r="QCV161" s="4"/>
      <c r="QCW161" s="4"/>
      <c r="QCX161" s="4"/>
      <c r="QCY161" s="4"/>
      <c r="QCZ161" s="4"/>
      <c r="QDA161" s="4"/>
      <c r="QDB161" s="4"/>
      <c r="QDC161" s="4"/>
      <c r="QDD161" s="4"/>
      <c r="QDE161" s="4"/>
      <c r="QDF161" s="4"/>
      <c r="QDG161" s="4"/>
      <c r="QDH161" s="4"/>
      <c r="QDI161" s="4"/>
      <c r="QDJ161" s="4"/>
      <c r="QDK161" s="4"/>
      <c r="QDL161" s="4"/>
      <c r="QDM161" s="4"/>
      <c r="QDN161" s="4"/>
      <c r="QDO161" s="4"/>
      <c r="QDP161" s="4"/>
      <c r="QDQ161" s="4"/>
      <c r="QDR161" s="4"/>
      <c r="QDS161" s="4"/>
      <c r="QDT161" s="4"/>
      <c r="QDU161" s="4"/>
      <c r="QDV161" s="4"/>
      <c r="QDW161" s="4"/>
      <c r="QDX161" s="4"/>
      <c r="QDY161" s="4"/>
      <c r="QDZ161" s="4"/>
      <c r="QEA161" s="4"/>
      <c r="QEB161" s="4"/>
      <c r="QEC161" s="4"/>
      <c r="QED161" s="4"/>
      <c r="QEE161" s="4"/>
      <c r="QEF161" s="4"/>
      <c r="QEG161" s="4"/>
      <c r="QEH161" s="4"/>
      <c r="QEI161" s="4"/>
      <c r="QEJ161" s="4"/>
      <c r="QEK161" s="4"/>
      <c r="QEL161" s="4"/>
      <c r="QEM161" s="4"/>
      <c r="QEN161" s="4"/>
      <c r="QEO161" s="4"/>
      <c r="QEP161" s="4"/>
      <c r="QEQ161" s="4"/>
      <c r="QER161" s="4"/>
      <c r="QES161" s="4"/>
      <c r="QET161" s="4"/>
      <c r="QEU161" s="4"/>
      <c r="QEV161" s="4"/>
      <c r="QEW161" s="4"/>
      <c r="QEX161" s="4"/>
      <c r="QEY161" s="4"/>
      <c r="QEZ161" s="4"/>
      <c r="QFA161" s="4"/>
      <c r="QFB161" s="4"/>
      <c r="QFC161" s="4"/>
      <c r="QFD161" s="4"/>
      <c r="QFE161" s="4"/>
      <c r="QFF161" s="4"/>
      <c r="QFG161" s="4"/>
      <c r="QFH161" s="4"/>
      <c r="QFI161" s="4"/>
      <c r="QFJ161" s="4"/>
      <c r="QFK161" s="4"/>
      <c r="QFL161" s="4"/>
      <c r="QFM161" s="4"/>
      <c r="QFN161" s="4"/>
      <c r="QFO161" s="4"/>
      <c r="QFP161" s="4"/>
      <c r="QFQ161" s="4"/>
      <c r="QFR161" s="4"/>
      <c r="QFS161" s="4"/>
      <c r="QFT161" s="4"/>
      <c r="QFU161" s="4"/>
      <c r="QFV161" s="4"/>
      <c r="QFW161" s="4"/>
      <c r="QFX161" s="4"/>
      <c r="QFY161" s="4"/>
      <c r="QFZ161" s="4"/>
      <c r="QGA161" s="4"/>
      <c r="QGB161" s="4"/>
      <c r="QGC161" s="4"/>
      <c r="QGD161" s="4"/>
      <c r="QGE161" s="4"/>
      <c r="QGF161" s="4"/>
      <c r="QGG161" s="4"/>
      <c r="QGH161" s="4"/>
      <c r="QGI161" s="4"/>
      <c r="QGJ161" s="4"/>
      <c r="QGK161" s="4"/>
      <c r="QGL161" s="4"/>
      <c r="QGM161" s="4"/>
      <c r="QGN161" s="4"/>
      <c r="QGO161" s="4"/>
      <c r="QGP161" s="4"/>
      <c r="QGQ161" s="4"/>
      <c r="QGR161" s="4"/>
      <c r="QGS161" s="4"/>
      <c r="QGT161" s="4"/>
      <c r="QGU161" s="4"/>
      <c r="QGV161" s="4"/>
      <c r="QGW161" s="4"/>
      <c r="QGX161" s="4"/>
      <c r="QGY161" s="4"/>
      <c r="QGZ161" s="4"/>
      <c r="QHA161" s="4"/>
      <c r="QHB161" s="4"/>
      <c r="QHC161" s="4"/>
      <c r="QHD161" s="4"/>
      <c r="QHE161" s="4"/>
      <c r="QHF161" s="4"/>
      <c r="QHG161" s="4"/>
      <c r="QHH161" s="4"/>
      <c r="QHI161" s="4"/>
      <c r="QHJ161" s="4"/>
      <c r="QHK161" s="4"/>
      <c r="QHL161" s="4"/>
      <c r="QHM161" s="4"/>
      <c r="QHN161" s="4"/>
      <c r="QHO161" s="4"/>
      <c r="QHP161" s="4"/>
      <c r="QHQ161" s="4"/>
      <c r="QHR161" s="4"/>
      <c r="QHS161" s="4"/>
      <c r="QHT161" s="4"/>
      <c r="QHU161" s="4"/>
      <c r="QHV161" s="4"/>
      <c r="QHW161" s="4"/>
      <c r="QHX161" s="4"/>
      <c r="QHY161" s="4"/>
      <c r="QHZ161" s="4"/>
      <c r="QIA161" s="4"/>
      <c r="QIB161" s="4"/>
      <c r="QIC161" s="4"/>
      <c r="QID161" s="4"/>
      <c r="QIE161" s="4"/>
      <c r="QIF161" s="4"/>
      <c r="QIG161" s="4"/>
      <c r="QIH161" s="4"/>
      <c r="QII161" s="4"/>
      <c r="QIJ161" s="4"/>
      <c r="QIK161" s="4"/>
      <c r="QIL161" s="4"/>
      <c r="QIM161" s="4"/>
      <c r="QIN161" s="4"/>
      <c r="QIO161" s="4"/>
      <c r="QIP161" s="4"/>
      <c r="QIQ161" s="4"/>
      <c r="QIR161" s="4"/>
      <c r="QIS161" s="4"/>
      <c r="QIT161" s="4"/>
      <c r="QIU161" s="4"/>
      <c r="QIV161" s="4"/>
      <c r="QIW161" s="4"/>
      <c r="QIX161" s="4"/>
      <c r="QIY161" s="4"/>
      <c r="QIZ161" s="4"/>
      <c r="QJA161" s="4"/>
      <c r="QJB161" s="4"/>
      <c r="QJC161" s="4"/>
      <c r="QJD161" s="4"/>
      <c r="QJE161" s="4"/>
      <c r="QJF161" s="4"/>
      <c r="QJG161" s="4"/>
      <c r="QJH161" s="4"/>
      <c r="QJI161" s="4"/>
      <c r="QJJ161" s="4"/>
      <c r="QJK161" s="4"/>
      <c r="QJL161" s="4"/>
      <c r="QJM161" s="4"/>
      <c r="QJN161" s="4"/>
      <c r="QJO161" s="4"/>
      <c r="QJP161" s="4"/>
      <c r="QJQ161" s="4"/>
      <c r="QJR161" s="4"/>
      <c r="QJS161" s="4"/>
      <c r="QJT161" s="4"/>
      <c r="QJU161" s="4"/>
      <c r="QJV161" s="4"/>
      <c r="QJW161" s="4"/>
      <c r="QJX161" s="4"/>
      <c r="QJY161" s="4"/>
      <c r="QJZ161" s="4"/>
      <c r="QKA161" s="4"/>
      <c r="QKB161" s="4"/>
      <c r="QKC161" s="4"/>
      <c r="QKD161" s="4"/>
      <c r="QKE161" s="4"/>
      <c r="QKF161" s="4"/>
      <c r="QKG161" s="4"/>
      <c r="QKH161" s="4"/>
      <c r="QKI161" s="4"/>
      <c r="QKJ161" s="4"/>
      <c r="QKK161" s="4"/>
      <c r="QKL161" s="4"/>
      <c r="QKM161" s="4"/>
      <c r="QKN161" s="4"/>
      <c r="QKO161" s="4"/>
      <c r="QKP161" s="4"/>
      <c r="QKQ161" s="4"/>
      <c r="QKR161" s="4"/>
      <c r="QKS161" s="4"/>
      <c r="QKT161" s="4"/>
      <c r="QKU161" s="4"/>
      <c r="QKV161" s="4"/>
      <c r="QKW161" s="4"/>
      <c r="QKX161" s="4"/>
      <c r="QKY161" s="4"/>
      <c r="QKZ161" s="4"/>
      <c r="QLA161" s="4"/>
      <c r="QLB161" s="4"/>
      <c r="QLC161" s="4"/>
      <c r="QLD161" s="4"/>
      <c r="QLE161" s="4"/>
      <c r="QLF161" s="4"/>
      <c r="QLG161" s="4"/>
      <c r="QLH161" s="4"/>
      <c r="QLI161" s="4"/>
      <c r="QLJ161" s="4"/>
      <c r="QLK161" s="4"/>
      <c r="QLL161" s="4"/>
      <c r="QLM161" s="4"/>
      <c r="QLN161" s="4"/>
      <c r="QLO161" s="4"/>
      <c r="QLP161" s="4"/>
      <c r="QLQ161" s="4"/>
      <c r="QLR161" s="4"/>
      <c r="QLS161" s="4"/>
      <c r="QLT161" s="4"/>
      <c r="QLU161" s="4"/>
      <c r="QLV161" s="4"/>
      <c r="QLW161" s="4"/>
      <c r="QLX161" s="4"/>
      <c r="QLY161" s="4"/>
      <c r="QLZ161" s="4"/>
      <c r="QMA161" s="4"/>
      <c r="QMB161" s="4"/>
      <c r="QMC161" s="4"/>
      <c r="QMD161" s="4"/>
      <c r="QME161" s="4"/>
      <c r="QMF161" s="4"/>
      <c r="QMG161" s="4"/>
      <c r="QMH161" s="4"/>
      <c r="QMI161" s="4"/>
      <c r="QMJ161" s="4"/>
      <c r="QMK161" s="4"/>
      <c r="QML161" s="4"/>
      <c r="QMM161" s="4"/>
      <c r="QMN161" s="4"/>
      <c r="QMO161" s="4"/>
      <c r="QMP161" s="4"/>
      <c r="QMQ161" s="4"/>
      <c r="QMR161" s="4"/>
      <c r="QMS161" s="4"/>
      <c r="QMT161" s="4"/>
      <c r="QMU161" s="4"/>
      <c r="QMV161" s="4"/>
      <c r="QMW161" s="4"/>
      <c r="QMX161" s="4"/>
      <c r="QMY161" s="4"/>
      <c r="QMZ161" s="4"/>
      <c r="QNA161" s="4"/>
      <c r="QNB161" s="4"/>
      <c r="QNC161" s="4"/>
      <c r="QND161" s="4"/>
      <c r="QNE161" s="4"/>
      <c r="QNF161" s="4"/>
      <c r="QNG161" s="4"/>
      <c r="QNH161" s="4"/>
      <c r="QNI161" s="4"/>
      <c r="QNJ161" s="4"/>
      <c r="QNK161" s="4"/>
      <c r="QNL161" s="4"/>
      <c r="QNM161" s="4"/>
      <c r="QNN161" s="4"/>
      <c r="QNO161" s="4"/>
      <c r="QNP161" s="4"/>
      <c r="QNQ161" s="4"/>
      <c r="QNR161" s="4"/>
      <c r="QNS161" s="4"/>
      <c r="QNT161" s="4"/>
      <c r="QNU161" s="4"/>
      <c r="QNV161" s="4"/>
      <c r="QNW161" s="4"/>
      <c r="QNX161" s="4"/>
      <c r="QNY161" s="4"/>
      <c r="QNZ161" s="4"/>
      <c r="QOA161" s="4"/>
      <c r="QOB161" s="4"/>
      <c r="QOC161" s="4"/>
      <c r="QOD161" s="4"/>
      <c r="QOE161" s="4"/>
      <c r="QOF161" s="4"/>
      <c r="QOG161" s="4"/>
      <c r="QOH161" s="4"/>
      <c r="QOI161" s="4"/>
      <c r="QOJ161" s="4"/>
      <c r="QOK161" s="4"/>
      <c r="QOL161" s="4"/>
      <c r="QOM161" s="4"/>
      <c r="QON161" s="4"/>
      <c r="QOO161" s="4"/>
      <c r="QOP161" s="4"/>
      <c r="QOQ161" s="4"/>
      <c r="QOR161" s="4"/>
      <c r="QOS161" s="4"/>
      <c r="QOT161" s="4"/>
      <c r="QOU161" s="4"/>
      <c r="QOV161" s="4"/>
      <c r="QOW161" s="4"/>
      <c r="QOX161" s="4"/>
      <c r="QOY161" s="4"/>
      <c r="QOZ161" s="4"/>
      <c r="QPA161" s="4"/>
      <c r="QPB161" s="4"/>
      <c r="QPC161" s="4"/>
      <c r="QPD161" s="4"/>
      <c r="QPE161" s="4"/>
      <c r="QPF161" s="4"/>
      <c r="QPG161" s="4"/>
      <c r="QPH161" s="4"/>
      <c r="QPI161" s="4"/>
      <c r="QPJ161" s="4"/>
      <c r="QPK161" s="4"/>
      <c r="QPL161" s="4"/>
      <c r="QPM161" s="4"/>
      <c r="QPN161" s="4"/>
      <c r="QPO161" s="4"/>
      <c r="QPP161" s="4"/>
      <c r="QPQ161" s="4"/>
      <c r="QPR161" s="4"/>
      <c r="QPS161" s="4"/>
      <c r="QPT161" s="4"/>
      <c r="QPU161" s="4"/>
      <c r="QPV161" s="4"/>
      <c r="QPW161" s="4"/>
      <c r="QPX161" s="4"/>
      <c r="QPY161" s="4"/>
      <c r="QPZ161" s="4"/>
      <c r="QQA161" s="4"/>
      <c r="QQB161" s="4"/>
      <c r="QQC161" s="4"/>
      <c r="QQD161" s="4"/>
      <c r="QQE161" s="4"/>
      <c r="QQF161" s="4"/>
      <c r="QQG161" s="4"/>
      <c r="QQH161" s="4"/>
      <c r="QQI161" s="4"/>
      <c r="QQJ161" s="4"/>
      <c r="QQK161" s="4"/>
      <c r="QQL161" s="4"/>
      <c r="QQM161" s="4"/>
      <c r="QQN161" s="4"/>
      <c r="QQO161" s="4"/>
      <c r="QQP161" s="4"/>
      <c r="QQQ161" s="4"/>
      <c r="QQR161" s="4"/>
      <c r="QQS161" s="4"/>
      <c r="QQT161" s="4"/>
      <c r="QQU161" s="4"/>
      <c r="QQV161" s="4"/>
      <c r="QQW161" s="4"/>
      <c r="QQX161" s="4"/>
      <c r="QQY161" s="4"/>
      <c r="QQZ161" s="4"/>
      <c r="QRA161" s="4"/>
      <c r="QRB161" s="4"/>
      <c r="QRC161" s="4"/>
      <c r="QRD161" s="4"/>
      <c r="QRE161" s="4"/>
      <c r="QRF161" s="4"/>
      <c r="QRG161" s="4"/>
      <c r="QRH161" s="4"/>
      <c r="QRI161" s="4"/>
      <c r="QRJ161" s="4"/>
      <c r="QRK161" s="4"/>
      <c r="QRL161" s="4"/>
      <c r="QRM161" s="4"/>
      <c r="QRN161" s="4"/>
      <c r="QRO161" s="4"/>
      <c r="QRP161" s="4"/>
      <c r="QRQ161" s="4"/>
      <c r="QRR161" s="4"/>
      <c r="QRS161" s="4"/>
      <c r="QRT161" s="4"/>
      <c r="QRU161" s="4"/>
      <c r="QRV161" s="4"/>
      <c r="QRW161" s="4"/>
      <c r="QRX161" s="4"/>
      <c r="QRY161" s="4"/>
      <c r="QRZ161" s="4"/>
      <c r="QSA161" s="4"/>
      <c r="QSB161" s="4"/>
      <c r="QSC161" s="4"/>
      <c r="QSD161" s="4"/>
      <c r="QSE161" s="4"/>
      <c r="QSF161" s="4"/>
      <c r="QSG161" s="4"/>
      <c r="QSH161" s="4"/>
      <c r="QSI161" s="4"/>
      <c r="QSJ161" s="4"/>
      <c r="QSK161" s="4"/>
      <c r="QSL161" s="4"/>
      <c r="QSM161" s="4"/>
      <c r="QSN161" s="4"/>
      <c r="QSO161" s="4"/>
      <c r="QSP161" s="4"/>
      <c r="QSQ161" s="4"/>
      <c r="QSR161" s="4"/>
      <c r="QSS161" s="4"/>
      <c r="QST161" s="4"/>
      <c r="QSU161" s="4"/>
      <c r="QSV161" s="4"/>
      <c r="QSW161" s="4"/>
      <c r="QSX161" s="4"/>
      <c r="QSY161" s="4"/>
      <c r="QSZ161" s="4"/>
      <c r="QTA161" s="4"/>
      <c r="QTB161" s="4"/>
      <c r="QTC161" s="4"/>
      <c r="QTD161" s="4"/>
      <c r="QTE161" s="4"/>
      <c r="QTF161" s="4"/>
      <c r="QTG161" s="4"/>
      <c r="QTH161" s="4"/>
      <c r="QTI161" s="4"/>
      <c r="QTJ161" s="4"/>
      <c r="QTK161" s="4"/>
      <c r="QTL161" s="4"/>
      <c r="QTM161" s="4"/>
      <c r="QTN161" s="4"/>
      <c r="QTO161" s="4"/>
      <c r="QTP161" s="4"/>
      <c r="QTQ161" s="4"/>
      <c r="QTR161" s="4"/>
      <c r="QTS161" s="4"/>
      <c r="QTT161" s="4"/>
      <c r="QTU161" s="4"/>
      <c r="QTV161" s="4"/>
      <c r="QTW161" s="4"/>
      <c r="QTX161" s="4"/>
      <c r="QTY161" s="4"/>
      <c r="QTZ161" s="4"/>
      <c r="QUA161" s="4"/>
      <c r="QUB161" s="4"/>
      <c r="QUC161" s="4"/>
      <c r="QUD161" s="4"/>
      <c r="QUE161" s="4"/>
      <c r="QUF161" s="4"/>
      <c r="QUG161" s="4"/>
      <c r="QUH161" s="4"/>
      <c r="QUI161" s="4"/>
      <c r="QUJ161" s="4"/>
      <c r="QUK161" s="4"/>
      <c r="QUL161" s="4"/>
      <c r="QUM161" s="4"/>
      <c r="QUN161" s="4"/>
      <c r="QUO161" s="4"/>
      <c r="QUP161" s="4"/>
      <c r="QUQ161" s="4"/>
      <c r="QUR161" s="4"/>
      <c r="QUS161" s="4"/>
      <c r="QUT161" s="4"/>
      <c r="QUU161" s="4"/>
      <c r="QUV161" s="4"/>
      <c r="QUW161" s="4"/>
      <c r="QUX161" s="4"/>
      <c r="QUY161" s="4"/>
      <c r="QUZ161" s="4"/>
      <c r="QVA161" s="4"/>
      <c r="QVB161" s="4"/>
      <c r="QVC161" s="4"/>
      <c r="QVD161" s="4"/>
      <c r="QVE161" s="4"/>
      <c r="QVF161" s="4"/>
      <c r="QVG161" s="4"/>
      <c r="QVH161" s="4"/>
      <c r="QVI161" s="4"/>
      <c r="QVJ161" s="4"/>
      <c r="QVK161" s="4"/>
      <c r="QVL161" s="4"/>
      <c r="QVM161" s="4"/>
      <c r="QVN161" s="4"/>
      <c r="QVO161" s="4"/>
      <c r="QVP161" s="4"/>
      <c r="QVQ161" s="4"/>
      <c r="QVR161" s="4"/>
      <c r="QVS161" s="4"/>
      <c r="QVT161" s="4"/>
      <c r="QVU161" s="4"/>
      <c r="QVV161" s="4"/>
      <c r="QVW161" s="4"/>
      <c r="QVX161" s="4"/>
      <c r="QVY161" s="4"/>
      <c r="QVZ161" s="4"/>
      <c r="QWA161" s="4"/>
      <c r="QWB161" s="4"/>
      <c r="QWC161" s="4"/>
      <c r="QWD161" s="4"/>
      <c r="QWE161" s="4"/>
      <c r="QWF161" s="4"/>
      <c r="QWG161" s="4"/>
      <c r="QWH161" s="4"/>
      <c r="QWI161" s="4"/>
      <c r="QWJ161" s="4"/>
      <c r="QWK161" s="4"/>
      <c r="QWL161" s="4"/>
      <c r="QWM161" s="4"/>
      <c r="QWN161" s="4"/>
      <c r="QWO161" s="4"/>
      <c r="QWP161" s="4"/>
      <c r="QWQ161" s="4"/>
      <c r="QWR161" s="4"/>
      <c r="QWS161" s="4"/>
      <c r="QWT161" s="4"/>
      <c r="QWU161" s="4"/>
      <c r="QWV161" s="4"/>
      <c r="QWW161" s="4"/>
      <c r="QWX161" s="4"/>
      <c r="QWY161" s="4"/>
      <c r="QWZ161" s="4"/>
      <c r="QXA161" s="4"/>
      <c r="QXB161" s="4"/>
      <c r="QXC161" s="4"/>
      <c r="QXD161" s="4"/>
      <c r="QXE161" s="4"/>
      <c r="QXF161" s="4"/>
      <c r="QXG161" s="4"/>
      <c r="QXH161" s="4"/>
      <c r="QXI161" s="4"/>
      <c r="QXJ161" s="4"/>
      <c r="QXK161" s="4"/>
      <c r="QXL161" s="4"/>
      <c r="QXM161" s="4"/>
      <c r="QXN161" s="4"/>
      <c r="QXO161" s="4"/>
      <c r="QXP161" s="4"/>
      <c r="QXQ161" s="4"/>
      <c r="QXR161" s="4"/>
      <c r="QXS161" s="4"/>
      <c r="QXT161" s="4"/>
      <c r="QXU161" s="4"/>
      <c r="QXV161" s="4"/>
      <c r="QXW161" s="4"/>
      <c r="QXX161" s="4"/>
      <c r="QXY161" s="4"/>
      <c r="QXZ161" s="4"/>
      <c r="QYA161" s="4"/>
      <c r="QYB161" s="4"/>
      <c r="QYC161" s="4"/>
      <c r="QYD161" s="4"/>
      <c r="QYE161" s="4"/>
      <c r="QYF161" s="4"/>
      <c r="QYG161" s="4"/>
      <c r="QYH161" s="4"/>
      <c r="QYI161" s="4"/>
      <c r="QYJ161" s="4"/>
      <c r="QYK161" s="4"/>
      <c r="QYL161" s="4"/>
      <c r="QYM161" s="4"/>
      <c r="QYN161" s="4"/>
      <c r="QYO161" s="4"/>
      <c r="QYP161" s="4"/>
      <c r="QYQ161" s="4"/>
      <c r="QYR161" s="4"/>
      <c r="QYS161" s="4"/>
      <c r="QYT161" s="4"/>
      <c r="QYU161" s="4"/>
      <c r="QYV161" s="4"/>
      <c r="QYW161" s="4"/>
      <c r="QYX161" s="4"/>
      <c r="QYY161" s="4"/>
      <c r="QYZ161" s="4"/>
      <c r="QZA161" s="4"/>
      <c r="QZB161" s="4"/>
      <c r="QZC161" s="4"/>
      <c r="QZD161" s="4"/>
      <c r="QZE161" s="4"/>
      <c r="QZF161" s="4"/>
      <c r="QZG161" s="4"/>
      <c r="QZH161" s="4"/>
      <c r="QZI161" s="4"/>
      <c r="QZJ161" s="4"/>
      <c r="QZK161" s="4"/>
      <c r="QZL161" s="4"/>
      <c r="QZM161" s="4"/>
      <c r="QZN161" s="4"/>
      <c r="QZO161" s="4"/>
      <c r="QZP161" s="4"/>
      <c r="QZQ161" s="4"/>
      <c r="QZR161" s="4"/>
      <c r="QZS161" s="4"/>
      <c r="QZT161" s="4"/>
      <c r="QZU161" s="4"/>
      <c r="QZV161" s="4"/>
      <c r="QZW161" s="4"/>
      <c r="QZX161" s="4"/>
      <c r="QZY161" s="4"/>
      <c r="QZZ161" s="4"/>
      <c r="RAA161" s="4"/>
      <c r="RAB161" s="4"/>
      <c r="RAC161" s="4"/>
      <c r="RAD161" s="4"/>
      <c r="RAE161" s="4"/>
      <c r="RAF161" s="4"/>
      <c r="RAG161" s="4"/>
      <c r="RAH161" s="4"/>
      <c r="RAI161" s="4"/>
      <c r="RAJ161" s="4"/>
      <c r="RAK161" s="4"/>
      <c r="RAL161" s="4"/>
      <c r="RAM161" s="4"/>
      <c r="RAN161" s="4"/>
      <c r="RAO161" s="4"/>
      <c r="RAP161" s="4"/>
      <c r="RAQ161" s="4"/>
      <c r="RAR161" s="4"/>
      <c r="RAS161" s="4"/>
      <c r="RAT161" s="4"/>
      <c r="RAU161" s="4"/>
      <c r="RAV161" s="4"/>
      <c r="RAW161" s="4"/>
      <c r="RAX161" s="4"/>
      <c r="RAY161" s="4"/>
      <c r="RAZ161" s="4"/>
      <c r="RBA161" s="4"/>
      <c r="RBB161" s="4"/>
      <c r="RBC161" s="4"/>
      <c r="RBD161" s="4"/>
      <c r="RBE161" s="4"/>
      <c r="RBF161" s="4"/>
      <c r="RBG161" s="4"/>
      <c r="RBH161" s="4"/>
      <c r="RBI161" s="4"/>
      <c r="RBJ161" s="4"/>
      <c r="RBK161" s="4"/>
      <c r="RBL161" s="4"/>
      <c r="RBM161" s="4"/>
      <c r="RBN161" s="4"/>
      <c r="RBO161" s="4"/>
      <c r="RBP161" s="4"/>
      <c r="RBQ161" s="4"/>
      <c r="RBR161" s="4"/>
      <c r="RBS161" s="4"/>
      <c r="RBT161" s="4"/>
      <c r="RBU161" s="4"/>
      <c r="RBV161" s="4"/>
      <c r="RBW161" s="4"/>
      <c r="RBX161" s="4"/>
      <c r="RBY161" s="4"/>
      <c r="RBZ161" s="4"/>
      <c r="RCA161" s="4"/>
      <c r="RCB161" s="4"/>
      <c r="RCC161" s="4"/>
      <c r="RCD161" s="4"/>
      <c r="RCE161" s="4"/>
      <c r="RCF161" s="4"/>
      <c r="RCG161" s="4"/>
      <c r="RCH161" s="4"/>
      <c r="RCI161" s="4"/>
      <c r="RCJ161" s="4"/>
      <c r="RCK161" s="4"/>
      <c r="RCL161" s="4"/>
      <c r="RCM161" s="4"/>
      <c r="RCN161" s="4"/>
      <c r="RCO161" s="4"/>
      <c r="RCP161" s="4"/>
      <c r="RCQ161" s="4"/>
      <c r="RCR161" s="4"/>
      <c r="RCS161" s="4"/>
      <c r="RCT161" s="4"/>
      <c r="RCU161" s="4"/>
      <c r="RCV161" s="4"/>
      <c r="RCW161" s="4"/>
      <c r="RCX161" s="4"/>
      <c r="RCY161" s="4"/>
      <c r="RCZ161" s="4"/>
      <c r="RDA161" s="4"/>
      <c r="RDB161" s="4"/>
      <c r="RDC161" s="4"/>
      <c r="RDD161" s="4"/>
      <c r="RDE161" s="4"/>
      <c r="RDF161" s="4"/>
      <c r="RDG161" s="4"/>
      <c r="RDH161" s="4"/>
      <c r="RDI161" s="4"/>
      <c r="RDJ161" s="4"/>
      <c r="RDK161" s="4"/>
      <c r="RDL161" s="4"/>
      <c r="RDM161" s="4"/>
      <c r="RDN161" s="4"/>
      <c r="RDO161" s="4"/>
      <c r="RDP161" s="4"/>
      <c r="RDQ161" s="4"/>
      <c r="RDR161" s="4"/>
      <c r="RDS161" s="4"/>
      <c r="RDT161" s="4"/>
      <c r="RDU161" s="4"/>
      <c r="RDV161" s="4"/>
      <c r="RDW161" s="4"/>
      <c r="RDX161" s="4"/>
      <c r="RDY161" s="4"/>
      <c r="RDZ161" s="4"/>
      <c r="REA161" s="4"/>
      <c r="REB161" s="4"/>
      <c r="REC161" s="4"/>
      <c r="RED161" s="4"/>
      <c r="REE161" s="4"/>
      <c r="REF161" s="4"/>
      <c r="REG161" s="4"/>
      <c r="REH161" s="4"/>
      <c r="REI161" s="4"/>
      <c r="REJ161" s="4"/>
      <c r="REK161" s="4"/>
      <c r="REL161" s="4"/>
      <c r="REM161" s="4"/>
      <c r="REN161" s="4"/>
      <c r="REO161" s="4"/>
      <c r="REP161" s="4"/>
      <c r="REQ161" s="4"/>
      <c r="RER161" s="4"/>
      <c r="RES161" s="4"/>
      <c r="RET161" s="4"/>
      <c r="REU161" s="4"/>
      <c r="REV161" s="4"/>
      <c r="REW161" s="4"/>
      <c r="REX161" s="4"/>
      <c r="REY161" s="4"/>
      <c r="REZ161" s="4"/>
      <c r="RFA161" s="4"/>
      <c r="RFB161" s="4"/>
      <c r="RFC161" s="4"/>
      <c r="RFD161" s="4"/>
      <c r="RFE161" s="4"/>
      <c r="RFF161" s="4"/>
      <c r="RFG161" s="4"/>
      <c r="RFH161" s="4"/>
      <c r="RFI161" s="4"/>
      <c r="RFJ161" s="4"/>
      <c r="RFK161" s="4"/>
      <c r="RFL161" s="4"/>
      <c r="RFM161" s="4"/>
      <c r="RFN161" s="4"/>
      <c r="RFO161" s="4"/>
      <c r="RFP161" s="4"/>
      <c r="RFQ161" s="4"/>
      <c r="RFR161" s="4"/>
      <c r="RFS161" s="4"/>
      <c r="RFT161" s="4"/>
      <c r="RFU161" s="4"/>
      <c r="RFV161" s="4"/>
      <c r="RFW161" s="4"/>
      <c r="RFX161" s="4"/>
      <c r="RFY161" s="4"/>
      <c r="RFZ161" s="4"/>
      <c r="RGA161" s="4"/>
      <c r="RGB161" s="4"/>
      <c r="RGC161" s="4"/>
      <c r="RGD161" s="4"/>
      <c r="RGE161" s="4"/>
      <c r="RGF161" s="4"/>
      <c r="RGG161" s="4"/>
      <c r="RGH161" s="4"/>
      <c r="RGI161" s="4"/>
      <c r="RGJ161" s="4"/>
      <c r="RGK161" s="4"/>
      <c r="RGL161" s="4"/>
      <c r="RGM161" s="4"/>
      <c r="RGN161" s="4"/>
      <c r="RGO161" s="4"/>
      <c r="RGP161" s="4"/>
      <c r="RGQ161" s="4"/>
      <c r="RGR161" s="4"/>
      <c r="RGS161" s="4"/>
      <c r="RGT161" s="4"/>
      <c r="RGU161" s="4"/>
      <c r="RGV161" s="4"/>
      <c r="RGW161" s="4"/>
      <c r="RGX161" s="4"/>
      <c r="RGY161" s="4"/>
      <c r="RGZ161" s="4"/>
      <c r="RHA161" s="4"/>
      <c r="RHB161" s="4"/>
      <c r="RHC161" s="4"/>
      <c r="RHD161" s="4"/>
      <c r="RHE161" s="4"/>
      <c r="RHF161" s="4"/>
      <c r="RHG161" s="4"/>
      <c r="RHH161" s="4"/>
      <c r="RHI161" s="4"/>
      <c r="RHJ161" s="4"/>
      <c r="RHK161" s="4"/>
      <c r="RHL161" s="4"/>
      <c r="RHM161" s="4"/>
      <c r="RHN161" s="4"/>
      <c r="RHO161" s="4"/>
      <c r="RHP161" s="4"/>
      <c r="RHQ161" s="4"/>
      <c r="RHR161" s="4"/>
      <c r="RHS161" s="4"/>
      <c r="RHT161" s="4"/>
      <c r="RHU161" s="4"/>
      <c r="RHV161" s="4"/>
      <c r="RHW161" s="4"/>
      <c r="RHX161" s="4"/>
      <c r="RHY161" s="4"/>
      <c r="RHZ161" s="4"/>
      <c r="RIA161" s="4"/>
      <c r="RIB161" s="4"/>
      <c r="RIC161" s="4"/>
      <c r="RID161" s="4"/>
      <c r="RIE161" s="4"/>
      <c r="RIF161" s="4"/>
      <c r="RIG161" s="4"/>
      <c r="RIH161" s="4"/>
      <c r="RII161" s="4"/>
      <c r="RIJ161" s="4"/>
      <c r="RIK161" s="4"/>
      <c r="RIL161" s="4"/>
      <c r="RIM161" s="4"/>
      <c r="RIN161" s="4"/>
      <c r="RIO161" s="4"/>
      <c r="RIP161" s="4"/>
      <c r="RIQ161" s="4"/>
      <c r="RIR161" s="4"/>
      <c r="RIS161" s="4"/>
      <c r="RIT161" s="4"/>
      <c r="RIU161" s="4"/>
      <c r="RIV161" s="4"/>
      <c r="RIW161" s="4"/>
      <c r="RIX161" s="4"/>
      <c r="RIY161" s="4"/>
      <c r="RIZ161" s="4"/>
      <c r="RJA161" s="4"/>
      <c r="RJB161" s="4"/>
      <c r="RJC161" s="4"/>
      <c r="RJD161" s="4"/>
      <c r="RJE161" s="4"/>
      <c r="RJF161" s="4"/>
      <c r="RJG161" s="4"/>
      <c r="RJH161" s="4"/>
      <c r="RJI161" s="4"/>
      <c r="RJJ161" s="4"/>
      <c r="RJK161" s="4"/>
      <c r="RJL161" s="4"/>
      <c r="RJM161" s="4"/>
      <c r="RJN161" s="4"/>
      <c r="RJO161" s="4"/>
      <c r="RJP161" s="4"/>
      <c r="RJQ161" s="4"/>
      <c r="RJR161" s="4"/>
      <c r="RJS161" s="4"/>
      <c r="RJT161" s="4"/>
      <c r="RJU161" s="4"/>
      <c r="RJV161" s="4"/>
      <c r="RJW161" s="4"/>
      <c r="RJX161" s="4"/>
      <c r="RJY161" s="4"/>
      <c r="RJZ161" s="4"/>
      <c r="RKA161" s="4"/>
      <c r="RKB161" s="4"/>
      <c r="RKC161" s="4"/>
      <c r="RKD161" s="4"/>
      <c r="RKE161" s="4"/>
      <c r="RKF161" s="4"/>
      <c r="RKG161" s="4"/>
      <c r="RKH161" s="4"/>
      <c r="RKI161" s="4"/>
      <c r="RKJ161" s="4"/>
      <c r="RKK161" s="4"/>
      <c r="RKL161" s="4"/>
      <c r="RKM161" s="4"/>
      <c r="RKN161" s="4"/>
      <c r="RKO161" s="4"/>
      <c r="RKP161" s="4"/>
      <c r="RKQ161" s="4"/>
      <c r="RKR161" s="4"/>
      <c r="RKS161" s="4"/>
      <c r="RKT161" s="4"/>
      <c r="RKU161" s="4"/>
      <c r="RKV161" s="4"/>
      <c r="RKW161" s="4"/>
      <c r="RKX161" s="4"/>
      <c r="RKY161" s="4"/>
      <c r="RKZ161" s="4"/>
      <c r="RLA161" s="4"/>
      <c r="RLB161" s="4"/>
      <c r="RLC161" s="4"/>
      <c r="RLD161" s="4"/>
      <c r="RLE161" s="4"/>
      <c r="RLF161" s="4"/>
      <c r="RLG161" s="4"/>
      <c r="RLH161" s="4"/>
      <c r="RLI161" s="4"/>
      <c r="RLJ161" s="4"/>
      <c r="RLK161" s="4"/>
      <c r="RLL161" s="4"/>
      <c r="RLM161" s="4"/>
      <c r="RLN161" s="4"/>
      <c r="RLO161" s="4"/>
      <c r="RLP161" s="4"/>
      <c r="RLQ161" s="4"/>
      <c r="RLR161" s="4"/>
      <c r="RLS161" s="4"/>
      <c r="RLT161" s="4"/>
      <c r="RLU161" s="4"/>
      <c r="RLV161" s="4"/>
      <c r="RLW161" s="4"/>
      <c r="RLX161" s="4"/>
      <c r="RLY161" s="4"/>
      <c r="RLZ161" s="4"/>
      <c r="RMA161" s="4"/>
      <c r="RMB161" s="4"/>
      <c r="RMC161" s="4"/>
      <c r="RMD161" s="4"/>
      <c r="RME161" s="4"/>
      <c r="RMF161" s="4"/>
      <c r="RMG161" s="4"/>
      <c r="RMH161" s="4"/>
      <c r="RMI161" s="4"/>
      <c r="RMJ161" s="4"/>
      <c r="RMK161" s="4"/>
      <c r="RML161" s="4"/>
      <c r="RMM161" s="4"/>
      <c r="RMN161" s="4"/>
      <c r="RMO161" s="4"/>
      <c r="RMP161" s="4"/>
      <c r="RMQ161" s="4"/>
      <c r="RMR161" s="4"/>
      <c r="RMS161" s="4"/>
      <c r="RMT161" s="4"/>
      <c r="RMU161" s="4"/>
      <c r="RMV161" s="4"/>
      <c r="RMW161" s="4"/>
      <c r="RMX161" s="4"/>
      <c r="RMY161" s="4"/>
      <c r="RMZ161" s="4"/>
      <c r="RNA161" s="4"/>
      <c r="RNB161" s="4"/>
      <c r="RNC161" s="4"/>
      <c r="RND161" s="4"/>
      <c r="RNE161" s="4"/>
      <c r="RNF161" s="4"/>
      <c r="RNG161" s="4"/>
      <c r="RNH161" s="4"/>
      <c r="RNI161" s="4"/>
      <c r="RNJ161" s="4"/>
      <c r="RNK161" s="4"/>
      <c r="RNL161" s="4"/>
      <c r="RNM161" s="4"/>
      <c r="RNN161" s="4"/>
      <c r="RNO161" s="4"/>
      <c r="RNP161" s="4"/>
      <c r="RNQ161" s="4"/>
      <c r="RNR161" s="4"/>
      <c r="RNS161" s="4"/>
      <c r="RNT161" s="4"/>
      <c r="RNU161" s="4"/>
      <c r="RNV161" s="4"/>
      <c r="RNW161" s="4"/>
      <c r="RNX161" s="4"/>
      <c r="RNY161" s="4"/>
      <c r="RNZ161" s="4"/>
      <c r="ROA161" s="4"/>
      <c r="ROB161" s="4"/>
      <c r="ROC161" s="4"/>
      <c r="ROD161" s="4"/>
      <c r="ROE161" s="4"/>
      <c r="ROF161" s="4"/>
      <c r="ROG161" s="4"/>
      <c r="ROH161" s="4"/>
      <c r="ROI161" s="4"/>
      <c r="ROJ161" s="4"/>
      <c r="ROK161" s="4"/>
      <c r="ROL161" s="4"/>
      <c r="ROM161" s="4"/>
      <c r="RON161" s="4"/>
      <c r="ROO161" s="4"/>
      <c r="ROP161" s="4"/>
      <c r="ROQ161" s="4"/>
      <c r="ROR161" s="4"/>
      <c r="ROS161" s="4"/>
      <c r="ROT161" s="4"/>
      <c r="ROU161" s="4"/>
      <c r="ROV161" s="4"/>
      <c r="ROW161" s="4"/>
      <c r="ROX161" s="4"/>
      <c r="ROY161" s="4"/>
      <c r="ROZ161" s="4"/>
      <c r="RPA161" s="4"/>
      <c r="RPB161" s="4"/>
      <c r="RPC161" s="4"/>
      <c r="RPD161" s="4"/>
      <c r="RPE161" s="4"/>
      <c r="RPF161" s="4"/>
      <c r="RPG161" s="4"/>
      <c r="RPH161" s="4"/>
      <c r="RPI161" s="4"/>
      <c r="RPJ161" s="4"/>
      <c r="RPK161" s="4"/>
      <c r="RPL161" s="4"/>
      <c r="RPM161" s="4"/>
      <c r="RPN161" s="4"/>
      <c r="RPO161" s="4"/>
      <c r="RPP161" s="4"/>
      <c r="RPQ161" s="4"/>
      <c r="RPR161" s="4"/>
      <c r="RPS161" s="4"/>
      <c r="RPT161" s="4"/>
      <c r="RPU161" s="4"/>
      <c r="RPV161" s="4"/>
      <c r="RPW161" s="4"/>
      <c r="RPX161" s="4"/>
      <c r="RPY161" s="4"/>
      <c r="RPZ161" s="4"/>
      <c r="RQA161" s="4"/>
      <c r="RQB161" s="4"/>
      <c r="RQC161" s="4"/>
      <c r="RQD161" s="4"/>
      <c r="RQE161" s="4"/>
      <c r="RQF161" s="4"/>
      <c r="RQG161" s="4"/>
      <c r="RQH161" s="4"/>
      <c r="RQI161" s="4"/>
      <c r="RQJ161" s="4"/>
      <c r="RQK161" s="4"/>
      <c r="RQL161" s="4"/>
      <c r="RQM161" s="4"/>
      <c r="RQN161" s="4"/>
      <c r="RQO161" s="4"/>
      <c r="RQP161" s="4"/>
      <c r="RQQ161" s="4"/>
      <c r="RQR161" s="4"/>
      <c r="RQS161" s="4"/>
      <c r="RQT161" s="4"/>
      <c r="RQU161" s="4"/>
      <c r="RQV161" s="4"/>
      <c r="RQW161" s="4"/>
      <c r="RQX161" s="4"/>
      <c r="RQY161" s="4"/>
      <c r="RQZ161" s="4"/>
      <c r="RRA161" s="4"/>
      <c r="RRB161" s="4"/>
      <c r="RRC161" s="4"/>
      <c r="RRD161" s="4"/>
      <c r="RRE161" s="4"/>
      <c r="RRF161" s="4"/>
      <c r="RRG161" s="4"/>
      <c r="RRH161" s="4"/>
      <c r="RRI161" s="4"/>
      <c r="RRJ161" s="4"/>
      <c r="RRK161" s="4"/>
      <c r="RRL161" s="4"/>
      <c r="RRM161" s="4"/>
      <c r="RRN161" s="4"/>
      <c r="RRO161" s="4"/>
      <c r="RRP161" s="4"/>
      <c r="RRQ161" s="4"/>
      <c r="RRR161" s="4"/>
      <c r="RRS161" s="4"/>
      <c r="RRT161" s="4"/>
      <c r="RRU161" s="4"/>
      <c r="RRV161" s="4"/>
      <c r="RRW161" s="4"/>
      <c r="RRX161" s="4"/>
      <c r="RRY161" s="4"/>
      <c r="RRZ161" s="4"/>
      <c r="RSA161" s="4"/>
      <c r="RSB161" s="4"/>
      <c r="RSC161" s="4"/>
      <c r="RSD161" s="4"/>
      <c r="RSE161" s="4"/>
      <c r="RSF161" s="4"/>
      <c r="RSG161" s="4"/>
      <c r="RSH161" s="4"/>
      <c r="RSI161" s="4"/>
      <c r="RSJ161" s="4"/>
      <c r="RSK161" s="4"/>
      <c r="RSL161" s="4"/>
      <c r="RSM161" s="4"/>
      <c r="RSN161" s="4"/>
      <c r="RSO161" s="4"/>
      <c r="RSP161" s="4"/>
      <c r="RSQ161" s="4"/>
      <c r="RSR161" s="4"/>
      <c r="RSS161" s="4"/>
      <c r="RST161" s="4"/>
      <c r="RSU161" s="4"/>
      <c r="RSV161" s="4"/>
      <c r="RSW161" s="4"/>
      <c r="RSX161" s="4"/>
      <c r="RSY161" s="4"/>
      <c r="RSZ161" s="4"/>
      <c r="RTA161" s="4"/>
      <c r="RTB161" s="4"/>
      <c r="RTC161" s="4"/>
      <c r="RTD161" s="4"/>
      <c r="RTE161" s="4"/>
      <c r="RTF161" s="4"/>
      <c r="RTG161" s="4"/>
      <c r="RTH161" s="4"/>
      <c r="RTI161" s="4"/>
      <c r="RTJ161" s="4"/>
      <c r="RTK161" s="4"/>
      <c r="RTL161" s="4"/>
      <c r="RTM161" s="4"/>
      <c r="RTN161" s="4"/>
      <c r="RTO161" s="4"/>
      <c r="RTP161" s="4"/>
      <c r="RTQ161" s="4"/>
      <c r="RTR161" s="4"/>
      <c r="RTS161" s="4"/>
      <c r="RTT161" s="4"/>
      <c r="RTU161" s="4"/>
      <c r="RTV161" s="4"/>
      <c r="RTW161" s="4"/>
      <c r="RTX161" s="4"/>
      <c r="RTY161" s="4"/>
      <c r="RTZ161" s="4"/>
      <c r="RUA161" s="4"/>
      <c r="RUB161" s="4"/>
      <c r="RUC161" s="4"/>
      <c r="RUD161" s="4"/>
      <c r="RUE161" s="4"/>
      <c r="RUF161" s="4"/>
      <c r="RUG161" s="4"/>
      <c r="RUH161" s="4"/>
      <c r="RUI161" s="4"/>
      <c r="RUJ161" s="4"/>
      <c r="RUK161" s="4"/>
      <c r="RUL161" s="4"/>
      <c r="RUM161" s="4"/>
      <c r="RUN161" s="4"/>
      <c r="RUO161" s="4"/>
      <c r="RUP161" s="4"/>
      <c r="RUQ161" s="4"/>
      <c r="RUR161" s="4"/>
      <c r="RUS161" s="4"/>
      <c r="RUT161" s="4"/>
      <c r="RUU161" s="4"/>
      <c r="RUV161" s="4"/>
      <c r="RUW161" s="4"/>
      <c r="RUX161" s="4"/>
      <c r="RUY161" s="4"/>
      <c r="RUZ161" s="4"/>
      <c r="RVA161" s="4"/>
      <c r="RVB161" s="4"/>
      <c r="RVC161" s="4"/>
      <c r="RVD161" s="4"/>
      <c r="RVE161" s="4"/>
      <c r="RVF161" s="4"/>
      <c r="RVG161" s="4"/>
      <c r="RVH161" s="4"/>
      <c r="RVI161" s="4"/>
      <c r="RVJ161" s="4"/>
      <c r="RVK161" s="4"/>
      <c r="RVL161" s="4"/>
      <c r="RVM161" s="4"/>
      <c r="RVN161" s="4"/>
      <c r="RVO161" s="4"/>
      <c r="RVP161" s="4"/>
      <c r="RVQ161" s="4"/>
      <c r="RVR161" s="4"/>
      <c r="RVS161" s="4"/>
      <c r="RVT161" s="4"/>
      <c r="RVU161" s="4"/>
      <c r="RVV161" s="4"/>
      <c r="RVW161" s="4"/>
      <c r="RVX161" s="4"/>
      <c r="RVY161" s="4"/>
      <c r="RVZ161" s="4"/>
      <c r="RWA161" s="4"/>
      <c r="RWB161" s="4"/>
      <c r="RWC161" s="4"/>
      <c r="RWD161" s="4"/>
      <c r="RWE161" s="4"/>
      <c r="RWF161" s="4"/>
      <c r="RWG161" s="4"/>
      <c r="RWH161" s="4"/>
      <c r="RWI161" s="4"/>
      <c r="RWJ161" s="4"/>
      <c r="RWK161" s="4"/>
      <c r="RWL161" s="4"/>
      <c r="RWM161" s="4"/>
      <c r="RWN161" s="4"/>
      <c r="RWO161" s="4"/>
      <c r="RWP161" s="4"/>
      <c r="RWQ161" s="4"/>
      <c r="RWR161" s="4"/>
      <c r="RWS161" s="4"/>
      <c r="RWT161" s="4"/>
      <c r="RWU161" s="4"/>
      <c r="RWV161" s="4"/>
      <c r="RWW161" s="4"/>
      <c r="RWX161" s="4"/>
      <c r="RWY161" s="4"/>
      <c r="RWZ161" s="4"/>
      <c r="RXA161" s="4"/>
      <c r="RXB161" s="4"/>
      <c r="RXC161" s="4"/>
      <c r="RXD161" s="4"/>
      <c r="RXE161" s="4"/>
      <c r="RXF161" s="4"/>
      <c r="RXG161" s="4"/>
      <c r="RXH161" s="4"/>
      <c r="RXI161" s="4"/>
      <c r="RXJ161" s="4"/>
      <c r="RXK161" s="4"/>
      <c r="RXL161" s="4"/>
      <c r="RXM161" s="4"/>
      <c r="RXN161" s="4"/>
      <c r="RXO161" s="4"/>
      <c r="RXP161" s="4"/>
      <c r="RXQ161" s="4"/>
      <c r="RXR161" s="4"/>
      <c r="RXS161" s="4"/>
      <c r="RXT161" s="4"/>
      <c r="RXU161" s="4"/>
      <c r="RXV161" s="4"/>
      <c r="RXW161" s="4"/>
      <c r="RXX161" s="4"/>
      <c r="RXY161" s="4"/>
      <c r="RXZ161" s="4"/>
      <c r="RYA161" s="4"/>
      <c r="RYB161" s="4"/>
      <c r="RYC161" s="4"/>
      <c r="RYD161" s="4"/>
      <c r="RYE161" s="4"/>
      <c r="RYF161" s="4"/>
      <c r="RYG161" s="4"/>
      <c r="RYH161" s="4"/>
      <c r="RYI161" s="4"/>
      <c r="RYJ161" s="4"/>
      <c r="RYK161" s="4"/>
      <c r="RYL161" s="4"/>
      <c r="RYM161" s="4"/>
      <c r="RYN161" s="4"/>
      <c r="RYO161" s="4"/>
      <c r="RYP161" s="4"/>
      <c r="RYQ161" s="4"/>
      <c r="RYR161" s="4"/>
      <c r="RYS161" s="4"/>
      <c r="RYT161" s="4"/>
      <c r="RYU161" s="4"/>
      <c r="RYV161" s="4"/>
      <c r="RYW161" s="4"/>
      <c r="RYX161" s="4"/>
      <c r="RYY161" s="4"/>
      <c r="RYZ161" s="4"/>
      <c r="RZA161" s="4"/>
      <c r="RZB161" s="4"/>
      <c r="RZC161" s="4"/>
      <c r="RZD161" s="4"/>
      <c r="RZE161" s="4"/>
      <c r="RZF161" s="4"/>
      <c r="RZG161" s="4"/>
      <c r="RZH161" s="4"/>
      <c r="RZI161" s="4"/>
      <c r="RZJ161" s="4"/>
      <c r="RZK161" s="4"/>
      <c r="RZL161" s="4"/>
      <c r="RZM161" s="4"/>
      <c r="RZN161" s="4"/>
      <c r="RZO161" s="4"/>
      <c r="RZP161" s="4"/>
      <c r="RZQ161" s="4"/>
      <c r="RZR161" s="4"/>
      <c r="RZS161" s="4"/>
      <c r="RZT161" s="4"/>
      <c r="RZU161" s="4"/>
      <c r="RZV161" s="4"/>
      <c r="RZW161" s="4"/>
      <c r="RZX161" s="4"/>
      <c r="RZY161" s="4"/>
      <c r="RZZ161" s="4"/>
      <c r="SAA161" s="4"/>
      <c r="SAB161" s="4"/>
      <c r="SAC161" s="4"/>
      <c r="SAD161" s="4"/>
      <c r="SAE161" s="4"/>
      <c r="SAF161" s="4"/>
      <c r="SAG161" s="4"/>
      <c r="SAH161" s="4"/>
      <c r="SAI161" s="4"/>
      <c r="SAJ161" s="4"/>
      <c r="SAK161" s="4"/>
      <c r="SAL161" s="4"/>
      <c r="SAM161" s="4"/>
      <c r="SAN161" s="4"/>
      <c r="SAO161" s="4"/>
      <c r="SAP161" s="4"/>
      <c r="SAQ161" s="4"/>
      <c r="SAR161" s="4"/>
      <c r="SAS161" s="4"/>
      <c r="SAT161" s="4"/>
      <c r="SAU161" s="4"/>
      <c r="SAV161" s="4"/>
      <c r="SAW161" s="4"/>
      <c r="SAX161" s="4"/>
      <c r="SAY161" s="4"/>
      <c r="SAZ161" s="4"/>
      <c r="SBA161" s="4"/>
      <c r="SBB161" s="4"/>
      <c r="SBC161" s="4"/>
      <c r="SBD161" s="4"/>
      <c r="SBE161" s="4"/>
      <c r="SBF161" s="4"/>
      <c r="SBG161" s="4"/>
      <c r="SBH161" s="4"/>
      <c r="SBI161" s="4"/>
      <c r="SBJ161" s="4"/>
      <c r="SBK161" s="4"/>
      <c r="SBL161" s="4"/>
      <c r="SBM161" s="4"/>
      <c r="SBN161" s="4"/>
      <c r="SBO161" s="4"/>
      <c r="SBP161" s="4"/>
      <c r="SBQ161" s="4"/>
      <c r="SBR161" s="4"/>
      <c r="SBS161" s="4"/>
      <c r="SBT161" s="4"/>
      <c r="SBU161" s="4"/>
      <c r="SBV161" s="4"/>
      <c r="SBW161" s="4"/>
      <c r="SBX161" s="4"/>
      <c r="SBY161" s="4"/>
      <c r="SBZ161" s="4"/>
      <c r="SCA161" s="4"/>
      <c r="SCB161" s="4"/>
      <c r="SCC161" s="4"/>
      <c r="SCD161" s="4"/>
      <c r="SCE161" s="4"/>
      <c r="SCF161" s="4"/>
      <c r="SCG161" s="4"/>
      <c r="SCH161" s="4"/>
      <c r="SCI161" s="4"/>
      <c r="SCJ161" s="4"/>
      <c r="SCK161" s="4"/>
      <c r="SCL161" s="4"/>
      <c r="SCM161" s="4"/>
      <c r="SCN161" s="4"/>
      <c r="SCO161" s="4"/>
      <c r="SCP161" s="4"/>
      <c r="SCQ161" s="4"/>
      <c r="SCR161" s="4"/>
      <c r="SCS161" s="4"/>
      <c r="SCT161" s="4"/>
      <c r="SCU161" s="4"/>
      <c r="SCV161" s="4"/>
      <c r="SCW161" s="4"/>
      <c r="SCX161" s="4"/>
      <c r="SCY161" s="4"/>
      <c r="SCZ161" s="4"/>
      <c r="SDA161" s="4"/>
      <c r="SDB161" s="4"/>
      <c r="SDC161" s="4"/>
      <c r="SDD161" s="4"/>
      <c r="SDE161" s="4"/>
      <c r="SDF161" s="4"/>
      <c r="SDG161" s="4"/>
      <c r="SDH161" s="4"/>
      <c r="SDI161" s="4"/>
      <c r="SDJ161" s="4"/>
      <c r="SDK161" s="4"/>
      <c r="SDL161" s="4"/>
      <c r="SDM161" s="4"/>
      <c r="SDN161" s="4"/>
      <c r="SDO161" s="4"/>
      <c r="SDP161" s="4"/>
      <c r="SDQ161" s="4"/>
      <c r="SDR161" s="4"/>
      <c r="SDS161" s="4"/>
      <c r="SDT161" s="4"/>
      <c r="SDU161" s="4"/>
      <c r="SDV161" s="4"/>
      <c r="SDW161" s="4"/>
      <c r="SDX161" s="4"/>
      <c r="SDY161" s="4"/>
      <c r="SDZ161" s="4"/>
      <c r="SEA161" s="4"/>
      <c r="SEB161" s="4"/>
      <c r="SEC161" s="4"/>
      <c r="SED161" s="4"/>
      <c r="SEE161" s="4"/>
      <c r="SEF161" s="4"/>
      <c r="SEG161" s="4"/>
      <c r="SEH161" s="4"/>
      <c r="SEI161" s="4"/>
      <c r="SEJ161" s="4"/>
      <c r="SEK161" s="4"/>
      <c r="SEL161" s="4"/>
      <c r="SEM161" s="4"/>
      <c r="SEN161" s="4"/>
      <c r="SEO161" s="4"/>
      <c r="SEP161" s="4"/>
      <c r="SEQ161" s="4"/>
      <c r="SER161" s="4"/>
      <c r="SES161" s="4"/>
      <c r="SET161" s="4"/>
      <c r="SEU161" s="4"/>
      <c r="SEV161" s="4"/>
      <c r="SEW161" s="4"/>
      <c r="SEX161" s="4"/>
      <c r="SEY161" s="4"/>
      <c r="SEZ161" s="4"/>
      <c r="SFA161" s="4"/>
      <c r="SFB161" s="4"/>
      <c r="SFC161" s="4"/>
      <c r="SFD161" s="4"/>
      <c r="SFE161" s="4"/>
      <c r="SFF161" s="4"/>
      <c r="SFG161" s="4"/>
      <c r="SFH161" s="4"/>
      <c r="SFI161" s="4"/>
      <c r="SFJ161" s="4"/>
      <c r="SFK161" s="4"/>
      <c r="SFL161" s="4"/>
      <c r="SFM161" s="4"/>
      <c r="SFN161" s="4"/>
      <c r="SFO161" s="4"/>
      <c r="SFP161" s="4"/>
      <c r="SFQ161" s="4"/>
      <c r="SFR161" s="4"/>
      <c r="SFS161" s="4"/>
      <c r="SFT161" s="4"/>
      <c r="SFU161" s="4"/>
      <c r="SFV161" s="4"/>
      <c r="SFW161" s="4"/>
      <c r="SFX161" s="4"/>
      <c r="SFY161" s="4"/>
      <c r="SFZ161" s="4"/>
      <c r="SGA161" s="4"/>
      <c r="SGB161" s="4"/>
      <c r="SGC161" s="4"/>
      <c r="SGD161" s="4"/>
      <c r="SGE161" s="4"/>
      <c r="SGF161" s="4"/>
      <c r="SGG161" s="4"/>
      <c r="SGH161" s="4"/>
      <c r="SGI161" s="4"/>
      <c r="SGJ161" s="4"/>
      <c r="SGK161" s="4"/>
      <c r="SGL161" s="4"/>
      <c r="SGM161" s="4"/>
      <c r="SGN161" s="4"/>
      <c r="SGO161" s="4"/>
      <c r="SGP161" s="4"/>
      <c r="SGQ161" s="4"/>
      <c r="SGR161" s="4"/>
      <c r="SGS161" s="4"/>
      <c r="SGT161" s="4"/>
      <c r="SGU161" s="4"/>
      <c r="SGV161" s="4"/>
      <c r="SGW161" s="4"/>
      <c r="SGX161" s="4"/>
      <c r="SGY161" s="4"/>
      <c r="SGZ161" s="4"/>
      <c r="SHA161" s="4"/>
      <c r="SHB161" s="4"/>
      <c r="SHC161" s="4"/>
      <c r="SHD161" s="4"/>
      <c r="SHE161" s="4"/>
      <c r="SHF161" s="4"/>
      <c r="SHG161" s="4"/>
      <c r="SHH161" s="4"/>
      <c r="SHI161" s="4"/>
      <c r="SHJ161" s="4"/>
      <c r="SHK161" s="4"/>
      <c r="SHL161" s="4"/>
      <c r="SHM161" s="4"/>
      <c r="SHN161" s="4"/>
      <c r="SHO161" s="4"/>
      <c r="SHP161" s="4"/>
      <c r="SHQ161" s="4"/>
      <c r="SHR161" s="4"/>
      <c r="SHS161" s="4"/>
      <c r="SHT161" s="4"/>
      <c r="SHU161" s="4"/>
      <c r="SHV161" s="4"/>
      <c r="SHW161" s="4"/>
      <c r="SHX161" s="4"/>
      <c r="SHY161" s="4"/>
      <c r="SHZ161" s="4"/>
      <c r="SIA161" s="4"/>
      <c r="SIB161" s="4"/>
      <c r="SIC161" s="4"/>
      <c r="SID161" s="4"/>
      <c r="SIE161" s="4"/>
      <c r="SIF161" s="4"/>
      <c r="SIG161" s="4"/>
      <c r="SIH161" s="4"/>
      <c r="SII161" s="4"/>
      <c r="SIJ161" s="4"/>
      <c r="SIK161" s="4"/>
      <c r="SIL161" s="4"/>
      <c r="SIM161" s="4"/>
      <c r="SIN161" s="4"/>
      <c r="SIO161" s="4"/>
      <c r="SIP161" s="4"/>
      <c r="SIQ161" s="4"/>
      <c r="SIR161" s="4"/>
      <c r="SIS161" s="4"/>
      <c r="SIT161" s="4"/>
      <c r="SIU161" s="4"/>
      <c r="SIV161" s="4"/>
      <c r="SIW161" s="4"/>
      <c r="SIX161" s="4"/>
      <c r="SIY161" s="4"/>
      <c r="SIZ161" s="4"/>
      <c r="SJA161" s="4"/>
      <c r="SJB161" s="4"/>
      <c r="SJC161" s="4"/>
      <c r="SJD161" s="4"/>
      <c r="SJE161" s="4"/>
      <c r="SJF161" s="4"/>
      <c r="SJG161" s="4"/>
      <c r="SJH161" s="4"/>
      <c r="SJI161" s="4"/>
      <c r="SJJ161" s="4"/>
      <c r="SJK161" s="4"/>
      <c r="SJL161" s="4"/>
      <c r="SJM161" s="4"/>
      <c r="SJN161" s="4"/>
      <c r="SJO161" s="4"/>
      <c r="SJP161" s="4"/>
      <c r="SJQ161" s="4"/>
      <c r="SJR161" s="4"/>
      <c r="SJS161" s="4"/>
      <c r="SJT161" s="4"/>
      <c r="SJU161" s="4"/>
      <c r="SJV161" s="4"/>
      <c r="SJW161" s="4"/>
      <c r="SJX161" s="4"/>
      <c r="SJY161" s="4"/>
      <c r="SJZ161" s="4"/>
      <c r="SKA161" s="4"/>
      <c r="SKB161" s="4"/>
      <c r="SKC161" s="4"/>
      <c r="SKD161" s="4"/>
      <c r="SKE161" s="4"/>
      <c r="SKF161" s="4"/>
      <c r="SKG161" s="4"/>
      <c r="SKH161" s="4"/>
      <c r="SKI161" s="4"/>
      <c r="SKJ161" s="4"/>
      <c r="SKK161" s="4"/>
      <c r="SKL161" s="4"/>
      <c r="SKM161" s="4"/>
      <c r="SKN161" s="4"/>
      <c r="SKO161" s="4"/>
      <c r="SKP161" s="4"/>
      <c r="SKQ161" s="4"/>
      <c r="SKR161" s="4"/>
      <c r="SKS161" s="4"/>
      <c r="SKT161" s="4"/>
      <c r="SKU161" s="4"/>
      <c r="SKV161" s="4"/>
      <c r="SKW161" s="4"/>
      <c r="SKX161" s="4"/>
      <c r="SKY161" s="4"/>
      <c r="SKZ161" s="4"/>
      <c r="SLA161" s="4"/>
      <c r="SLB161" s="4"/>
      <c r="SLC161" s="4"/>
      <c r="SLD161" s="4"/>
      <c r="SLE161" s="4"/>
      <c r="SLF161" s="4"/>
      <c r="SLG161" s="4"/>
      <c r="SLH161" s="4"/>
      <c r="SLI161" s="4"/>
      <c r="SLJ161" s="4"/>
      <c r="SLK161" s="4"/>
      <c r="SLL161" s="4"/>
      <c r="SLM161" s="4"/>
      <c r="SLN161" s="4"/>
      <c r="SLO161" s="4"/>
      <c r="SLP161" s="4"/>
      <c r="SLQ161" s="4"/>
      <c r="SLR161" s="4"/>
      <c r="SLS161" s="4"/>
      <c r="SLT161" s="4"/>
      <c r="SLU161" s="4"/>
      <c r="SLV161" s="4"/>
      <c r="SLW161" s="4"/>
      <c r="SLX161" s="4"/>
      <c r="SLY161" s="4"/>
      <c r="SLZ161" s="4"/>
      <c r="SMA161" s="4"/>
      <c r="SMB161" s="4"/>
      <c r="SMC161" s="4"/>
      <c r="SMD161" s="4"/>
      <c r="SME161" s="4"/>
      <c r="SMF161" s="4"/>
      <c r="SMG161" s="4"/>
      <c r="SMH161" s="4"/>
      <c r="SMI161" s="4"/>
      <c r="SMJ161" s="4"/>
      <c r="SMK161" s="4"/>
      <c r="SML161" s="4"/>
      <c r="SMM161" s="4"/>
      <c r="SMN161" s="4"/>
      <c r="SMO161" s="4"/>
      <c r="SMP161" s="4"/>
      <c r="SMQ161" s="4"/>
      <c r="SMR161" s="4"/>
      <c r="SMS161" s="4"/>
      <c r="SMT161" s="4"/>
      <c r="SMU161" s="4"/>
      <c r="SMV161" s="4"/>
      <c r="SMW161" s="4"/>
      <c r="SMX161" s="4"/>
      <c r="SMY161" s="4"/>
      <c r="SMZ161" s="4"/>
      <c r="SNA161" s="4"/>
      <c r="SNB161" s="4"/>
      <c r="SNC161" s="4"/>
      <c r="SND161" s="4"/>
      <c r="SNE161" s="4"/>
      <c r="SNF161" s="4"/>
      <c r="SNG161" s="4"/>
      <c r="SNH161" s="4"/>
      <c r="SNI161" s="4"/>
      <c r="SNJ161" s="4"/>
      <c r="SNK161" s="4"/>
      <c r="SNL161" s="4"/>
      <c r="SNM161" s="4"/>
      <c r="SNN161" s="4"/>
      <c r="SNO161" s="4"/>
      <c r="SNP161" s="4"/>
      <c r="SNQ161" s="4"/>
      <c r="SNR161" s="4"/>
      <c r="SNS161" s="4"/>
      <c r="SNT161" s="4"/>
      <c r="SNU161" s="4"/>
      <c r="SNV161" s="4"/>
      <c r="SNW161" s="4"/>
      <c r="SNX161" s="4"/>
      <c r="SNY161" s="4"/>
      <c r="SNZ161" s="4"/>
      <c r="SOA161" s="4"/>
      <c r="SOB161" s="4"/>
      <c r="SOC161" s="4"/>
      <c r="SOD161" s="4"/>
      <c r="SOE161" s="4"/>
      <c r="SOF161" s="4"/>
      <c r="SOG161" s="4"/>
      <c r="SOH161" s="4"/>
      <c r="SOI161" s="4"/>
      <c r="SOJ161" s="4"/>
      <c r="SOK161" s="4"/>
      <c r="SOL161" s="4"/>
      <c r="SOM161" s="4"/>
      <c r="SON161" s="4"/>
      <c r="SOO161" s="4"/>
      <c r="SOP161" s="4"/>
      <c r="SOQ161" s="4"/>
      <c r="SOR161" s="4"/>
      <c r="SOS161" s="4"/>
      <c r="SOT161" s="4"/>
      <c r="SOU161" s="4"/>
      <c r="SOV161" s="4"/>
      <c r="SOW161" s="4"/>
      <c r="SOX161" s="4"/>
      <c r="SOY161" s="4"/>
      <c r="SOZ161" s="4"/>
      <c r="SPA161" s="4"/>
      <c r="SPB161" s="4"/>
      <c r="SPC161" s="4"/>
      <c r="SPD161" s="4"/>
      <c r="SPE161" s="4"/>
      <c r="SPF161" s="4"/>
      <c r="SPG161" s="4"/>
      <c r="SPH161" s="4"/>
      <c r="SPI161" s="4"/>
      <c r="SPJ161" s="4"/>
      <c r="SPK161" s="4"/>
      <c r="SPL161" s="4"/>
      <c r="SPM161" s="4"/>
      <c r="SPN161" s="4"/>
      <c r="SPO161" s="4"/>
      <c r="SPP161" s="4"/>
      <c r="SPQ161" s="4"/>
      <c r="SPR161" s="4"/>
      <c r="SPS161" s="4"/>
      <c r="SPT161" s="4"/>
      <c r="SPU161" s="4"/>
      <c r="SPV161" s="4"/>
      <c r="SPW161" s="4"/>
      <c r="SPX161" s="4"/>
      <c r="SPY161" s="4"/>
      <c r="SPZ161" s="4"/>
      <c r="SQA161" s="4"/>
      <c r="SQB161" s="4"/>
      <c r="SQC161" s="4"/>
      <c r="SQD161" s="4"/>
      <c r="SQE161" s="4"/>
      <c r="SQF161" s="4"/>
      <c r="SQG161" s="4"/>
      <c r="SQH161" s="4"/>
      <c r="SQI161" s="4"/>
      <c r="SQJ161" s="4"/>
      <c r="SQK161" s="4"/>
      <c r="SQL161" s="4"/>
      <c r="SQM161" s="4"/>
      <c r="SQN161" s="4"/>
      <c r="SQO161" s="4"/>
      <c r="SQP161" s="4"/>
      <c r="SQQ161" s="4"/>
      <c r="SQR161" s="4"/>
      <c r="SQS161" s="4"/>
      <c r="SQT161" s="4"/>
      <c r="SQU161" s="4"/>
      <c r="SQV161" s="4"/>
      <c r="SQW161" s="4"/>
      <c r="SQX161" s="4"/>
      <c r="SQY161" s="4"/>
      <c r="SQZ161" s="4"/>
      <c r="SRA161" s="4"/>
      <c r="SRB161" s="4"/>
      <c r="SRC161" s="4"/>
      <c r="SRD161" s="4"/>
      <c r="SRE161" s="4"/>
      <c r="SRF161" s="4"/>
      <c r="SRG161" s="4"/>
      <c r="SRH161" s="4"/>
      <c r="SRI161" s="4"/>
      <c r="SRJ161" s="4"/>
      <c r="SRK161" s="4"/>
      <c r="SRL161" s="4"/>
      <c r="SRM161" s="4"/>
      <c r="SRN161" s="4"/>
      <c r="SRO161" s="4"/>
      <c r="SRP161" s="4"/>
      <c r="SRQ161" s="4"/>
      <c r="SRR161" s="4"/>
      <c r="SRS161" s="4"/>
      <c r="SRT161" s="4"/>
      <c r="SRU161" s="4"/>
      <c r="SRV161" s="4"/>
      <c r="SRW161" s="4"/>
      <c r="SRX161" s="4"/>
      <c r="SRY161" s="4"/>
      <c r="SRZ161" s="4"/>
      <c r="SSA161" s="4"/>
      <c r="SSB161" s="4"/>
      <c r="SSC161" s="4"/>
      <c r="SSD161" s="4"/>
      <c r="SSE161" s="4"/>
      <c r="SSF161" s="4"/>
      <c r="SSG161" s="4"/>
      <c r="SSH161" s="4"/>
      <c r="SSI161" s="4"/>
      <c r="SSJ161" s="4"/>
      <c r="SSK161" s="4"/>
      <c r="SSL161" s="4"/>
      <c r="SSM161" s="4"/>
      <c r="SSN161" s="4"/>
      <c r="SSO161" s="4"/>
      <c r="SSP161" s="4"/>
      <c r="SSQ161" s="4"/>
      <c r="SSR161" s="4"/>
      <c r="SSS161" s="4"/>
      <c r="SST161" s="4"/>
      <c r="SSU161" s="4"/>
      <c r="SSV161" s="4"/>
      <c r="SSW161" s="4"/>
      <c r="SSX161" s="4"/>
      <c r="SSY161" s="4"/>
      <c r="SSZ161" s="4"/>
      <c r="STA161" s="4"/>
      <c r="STB161" s="4"/>
      <c r="STC161" s="4"/>
      <c r="STD161" s="4"/>
      <c r="STE161" s="4"/>
      <c r="STF161" s="4"/>
      <c r="STG161" s="4"/>
      <c r="STH161" s="4"/>
      <c r="STI161" s="4"/>
      <c r="STJ161" s="4"/>
      <c r="STK161" s="4"/>
      <c r="STL161" s="4"/>
      <c r="STM161" s="4"/>
      <c r="STN161" s="4"/>
      <c r="STO161" s="4"/>
      <c r="STP161" s="4"/>
      <c r="STQ161" s="4"/>
      <c r="STR161" s="4"/>
      <c r="STS161" s="4"/>
      <c r="STT161" s="4"/>
      <c r="STU161" s="4"/>
      <c r="STV161" s="4"/>
      <c r="STW161" s="4"/>
      <c r="STX161" s="4"/>
      <c r="STY161" s="4"/>
      <c r="STZ161" s="4"/>
      <c r="SUA161" s="4"/>
      <c r="SUB161" s="4"/>
      <c r="SUC161" s="4"/>
      <c r="SUD161" s="4"/>
      <c r="SUE161" s="4"/>
      <c r="SUF161" s="4"/>
      <c r="SUG161" s="4"/>
      <c r="SUH161" s="4"/>
      <c r="SUI161" s="4"/>
      <c r="SUJ161" s="4"/>
      <c r="SUK161" s="4"/>
      <c r="SUL161" s="4"/>
      <c r="SUM161" s="4"/>
      <c r="SUN161" s="4"/>
      <c r="SUO161" s="4"/>
      <c r="SUP161" s="4"/>
      <c r="SUQ161" s="4"/>
      <c r="SUR161" s="4"/>
      <c r="SUS161" s="4"/>
      <c r="SUT161" s="4"/>
      <c r="SUU161" s="4"/>
      <c r="SUV161" s="4"/>
      <c r="SUW161" s="4"/>
      <c r="SUX161" s="4"/>
      <c r="SUY161" s="4"/>
      <c r="SUZ161" s="4"/>
      <c r="SVA161" s="4"/>
      <c r="SVB161" s="4"/>
      <c r="SVC161" s="4"/>
      <c r="SVD161" s="4"/>
      <c r="SVE161" s="4"/>
      <c r="SVF161" s="4"/>
      <c r="SVG161" s="4"/>
      <c r="SVH161" s="4"/>
      <c r="SVI161" s="4"/>
      <c r="SVJ161" s="4"/>
      <c r="SVK161" s="4"/>
      <c r="SVL161" s="4"/>
      <c r="SVM161" s="4"/>
      <c r="SVN161" s="4"/>
      <c r="SVO161" s="4"/>
      <c r="SVP161" s="4"/>
      <c r="SVQ161" s="4"/>
      <c r="SVR161" s="4"/>
      <c r="SVS161" s="4"/>
      <c r="SVT161" s="4"/>
      <c r="SVU161" s="4"/>
      <c r="SVV161" s="4"/>
      <c r="SVW161" s="4"/>
      <c r="SVX161" s="4"/>
      <c r="SVY161" s="4"/>
      <c r="SVZ161" s="4"/>
      <c r="SWA161" s="4"/>
      <c r="SWB161" s="4"/>
      <c r="SWC161" s="4"/>
      <c r="SWD161" s="4"/>
      <c r="SWE161" s="4"/>
      <c r="SWF161" s="4"/>
      <c r="SWG161" s="4"/>
      <c r="SWH161" s="4"/>
      <c r="SWI161" s="4"/>
      <c r="SWJ161" s="4"/>
      <c r="SWK161" s="4"/>
      <c r="SWL161" s="4"/>
      <c r="SWM161" s="4"/>
      <c r="SWN161" s="4"/>
      <c r="SWO161" s="4"/>
      <c r="SWP161" s="4"/>
      <c r="SWQ161" s="4"/>
      <c r="SWR161" s="4"/>
      <c r="SWS161" s="4"/>
      <c r="SWT161" s="4"/>
      <c r="SWU161" s="4"/>
      <c r="SWV161" s="4"/>
      <c r="SWW161" s="4"/>
      <c r="SWX161" s="4"/>
      <c r="SWY161" s="4"/>
      <c r="SWZ161" s="4"/>
      <c r="SXA161" s="4"/>
      <c r="SXB161" s="4"/>
      <c r="SXC161" s="4"/>
      <c r="SXD161" s="4"/>
      <c r="SXE161" s="4"/>
      <c r="SXF161" s="4"/>
      <c r="SXG161" s="4"/>
      <c r="SXH161" s="4"/>
      <c r="SXI161" s="4"/>
      <c r="SXJ161" s="4"/>
      <c r="SXK161" s="4"/>
      <c r="SXL161" s="4"/>
      <c r="SXM161" s="4"/>
      <c r="SXN161" s="4"/>
      <c r="SXO161" s="4"/>
      <c r="SXP161" s="4"/>
      <c r="SXQ161" s="4"/>
      <c r="SXR161" s="4"/>
      <c r="SXS161" s="4"/>
      <c r="SXT161" s="4"/>
      <c r="SXU161" s="4"/>
      <c r="SXV161" s="4"/>
      <c r="SXW161" s="4"/>
      <c r="SXX161" s="4"/>
      <c r="SXY161" s="4"/>
      <c r="SXZ161" s="4"/>
      <c r="SYA161" s="4"/>
      <c r="SYB161" s="4"/>
      <c r="SYC161" s="4"/>
      <c r="SYD161" s="4"/>
      <c r="SYE161" s="4"/>
      <c r="SYF161" s="4"/>
      <c r="SYG161" s="4"/>
      <c r="SYH161" s="4"/>
      <c r="SYI161" s="4"/>
      <c r="SYJ161" s="4"/>
      <c r="SYK161" s="4"/>
      <c r="SYL161" s="4"/>
      <c r="SYM161" s="4"/>
      <c r="SYN161" s="4"/>
      <c r="SYO161" s="4"/>
      <c r="SYP161" s="4"/>
      <c r="SYQ161" s="4"/>
      <c r="SYR161" s="4"/>
      <c r="SYS161" s="4"/>
      <c r="SYT161" s="4"/>
      <c r="SYU161" s="4"/>
      <c r="SYV161" s="4"/>
      <c r="SYW161" s="4"/>
      <c r="SYX161" s="4"/>
      <c r="SYY161" s="4"/>
      <c r="SYZ161" s="4"/>
      <c r="SZA161" s="4"/>
      <c r="SZB161" s="4"/>
      <c r="SZC161" s="4"/>
      <c r="SZD161" s="4"/>
      <c r="SZE161" s="4"/>
      <c r="SZF161" s="4"/>
      <c r="SZG161" s="4"/>
      <c r="SZH161" s="4"/>
      <c r="SZI161" s="4"/>
      <c r="SZJ161" s="4"/>
      <c r="SZK161" s="4"/>
      <c r="SZL161" s="4"/>
      <c r="SZM161" s="4"/>
      <c r="SZN161" s="4"/>
      <c r="SZO161" s="4"/>
      <c r="SZP161" s="4"/>
      <c r="SZQ161" s="4"/>
      <c r="SZR161" s="4"/>
      <c r="SZS161" s="4"/>
      <c r="SZT161" s="4"/>
      <c r="SZU161" s="4"/>
      <c r="SZV161" s="4"/>
      <c r="SZW161" s="4"/>
      <c r="SZX161" s="4"/>
      <c r="SZY161" s="4"/>
      <c r="SZZ161" s="4"/>
      <c r="TAA161" s="4"/>
      <c r="TAB161" s="4"/>
      <c r="TAC161" s="4"/>
      <c r="TAD161" s="4"/>
      <c r="TAE161" s="4"/>
      <c r="TAF161" s="4"/>
      <c r="TAG161" s="4"/>
      <c r="TAH161" s="4"/>
      <c r="TAI161" s="4"/>
      <c r="TAJ161" s="4"/>
      <c r="TAK161" s="4"/>
      <c r="TAL161" s="4"/>
      <c r="TAM161" s="4"/>
      <c r="TAN161" s="4"/>
      <c r="TAO161" s="4"/>
      <c r="TAP161" s="4"/>
      <c r="TAQ161" s="4"/>
      <c r="TAR161" s="4"/>
      <c r="TAS161" s="4"/>
      <c r="TAT161" s="4"/>
      <c r="TAU161" s="4"/>
      <c r="TAV161" s="4"/>
      <c r="TAW161" s="4"/>
      <c r="TAX161" s="4"/>
      <c r="TAY161" s="4"/>
      <c r="TAZ161" s="4"/>
      <c r="TBA161" s="4"/>
      <c r="TBB161" s="4"/>
      <c r="TBC161" s="4"/>
      <c r="TBD161" s="4"/>
      <c r="TBE161" s="4"/>
      <c r="TBF161" s="4"/>
      <c r="TBG161" s="4"/>
      <c r="TBH161" s="4"/>
      <c r="TBI161" s="4"/>
      <c r="TBJ161" s="4"/>
      <c r="TBK161" s="4"/>
      <c r="TBL161" s="4"/>
      <c r="TBM161" s="4"/>
      <c r="TBN161" s="4"/>
      <c r="TBO161" s="4"/>
      <c r="TBP161" s="4"/>
      <c r="TBQ161" s="4"/>
      <c r="TBR161" s="4"/>
      <c r="TBS161" s="4"/>
      <c r="TBT161" s="4"/>
      <c r="TBU161" s="4"/>
      <c r="TBV161" s="4"/>
      <c r="TBW161" s="4"/>
      <c r="TBX161" s="4"/>
      <c r="TBY161" s="4"/>
      <c r="TBZ161" s="4"/>
      <c r="TCA161" s="4"/>
      <c r="TCB161" s="4"/>
      <c r="TCC161" s="4"/>
      <c r="TCD161" s="4"/>
      <c r="TCE161" s="4"/>
      <c r="TCF161" s="4"/>
      <c r="TCG161" s="4"/>
      <c r="TCH161" s="4"/>
      <c r="TCI161" s="4"/>
      <c r="TCJ161" s="4"/>
      <c r="TCK161" s="4"/>
      <c r="TCL161" s="4"/>
      <c r="TCM161" s="4"/>
      <c r="TCN161" s="4"/>
      <c r="TCO161" s="4"/>
      <c r="TCP161" s="4"/>
      <c r="TCQ161" s="4"/>
      <c r="TCR161" s="4"/>
      <c r="TCS161" s="4"/>
      <c r="TCT161" s="4"/>
      <c r="TCU161" s="4"/>
      <c r="TCV161" s="4"/>
      <c r="TCW161" s="4"/>
      <c r="TCX161" s="4"/>
      <c r="TCY161" s="4"/>
      <c r="TCZ161" s="4"/>
      <c r="TDA161" s="4"/>
      <c r="TDB161" s="4"/>
      <c r="TDC161" s="4"/>
      <c r="TDD161" s="4"/>
      <c r="TDE161" s="4"/>
      <c r="TDF161" s="4"/>
      <c r="TDG161" s="4"/>
      <c r="TDH161" s="4"/>
      <c r="TDI161" s="4"/>
      <c r="TDJ161" s="4"/>
      <c r="TDK161" s="4"/>
      <c r="TDL161" s="4"/>
      <c r="TDM161" s="4"/>
      <c r="TDN161" s="4"/>
      <c r="TDO161" s="4"/>
      <c r="TDP161" s="4"/>
      <c r="TDQ161" s="4"/>
      <c r="TDR161" s="4"/>
      <c r="TDS161" s="4"/>
      <c r="TDT161" s="4"/>
      <c r="TDU161" s="4"/>
      <c r="TDV161" s="4"/>
      <c r="TDW161" s="4"/>
      <c r="TDX161" s="4"/>
      <c r="TDY161" s="4"/>
      <c r="TDZ161" s="4"/>
      <c r="TEA161" s="4"/>
      <c r="TEB161" s="4"/>
      <c r="TEC161" s="4"/>
      <c r="TED161" s="4"/>
      <c r="TEE161" s="4"/>
      <c r="TEF161" s="4"/>
      <c r="TEG161" s="4"/>
      <c r="TEH161" s="4"/>
      <c r="TEI161" s="4"/>
      <c r="TEJ161" s="4"/>
      <c r="TEK161" s="4"/>
      <c r="TEL161" s="4"/>
      <c r="TEM161" s="4"/>
      <c r="TEN161" s="4"/>
      <c r="TEO161" s="4"/>
      <c r="TEP161" s="4"/>
      <c r="TEQ161" s="4"/>
      <c r="TER161" s="4"/>
      <c r="TES161" s="4"/>
      <c r="TET161" s="4"/>
      <c r="TEU161" s="4"/>
      <c r="TEV161" s="4"/>
      <c r="TEW161" s="4"/>
      <c r="TEX161" s="4"/>
      <c r="TEY161" s="4"/>
      <c r="TEZ161" s="4"/>
      <c r="TFA161" s="4"/>
      <c r="TFB161" s="4"/>
      <c r="TFC161" s="4"/>
      <c r="TFD161" s="4"/>
      <c r="TFE161" s="4"/>
      <c r="TFF161" s="4"/>
      <c r="TFG161" s="4"/>
      <c r="TFH161" s="4"/>
      <c r="TFI161" s="4"/>
      <c r="TFJ161" s="4"/>
      <c r="TFK161" s="4"/>
      <c r="TFL161" s="4"/>
      <c r="TFM161" s="4"/>
      <c r="TFN161" s="4"/>
      <c r="TFO161" s="4"/>
      <c r="TFP161" s="4"/>
      <c r="TFQ161" s="4"/>
      <c r="TFR161" s="4"/>
      <c r="TFS161" s="4"/>
      <c r="TFT161" s="4"/>
      <c r="TFU161" s="4"/>
      <c r="TFV161" s="4"/>
      <c r="TFW161" s="4"/>
      <c r="TFX161" s="4"/>
      <c r="TFY161" s="4"/>
      <c r="TFZ161" s="4"/>
      <c r="TGA161" s="4"/>
      <c r="TGB161" s="4"/>
      <c r="TGC161" s="4"/>
      <c r="TGD161" s="4"/>
      <c r="TGE161" s="4"/>
      <c r="TGF161" s="4"/>
      <c r="TGG161" s="4"/>
      <c r="TGH161" s="4"/>
      <c r="TGI161" s="4"/>
      <c r="TGJ161" s="4"/>
      <c r="TGK161" s="4"/>
      <c r="TGL161" s="4"/>
      <c r="TGM161" s="4"/>
      <c r="TGN161" s="4"/>
      <c r="TGO161" s="4"/>
      <c r="TGP161" s="4"/>
      <c r="TGQ161" s="4"/>
      <c r="TGR161" s="4"/>
      <c r="TGS161" s="4"/>
      <c r="TGT161" s="4"/>
      <c r="TGU161" s="4"/>
      <c r="TGV161" s="4"/>
      <c r="TGW161" s="4"/>
      <c r="TGX161" s="4"/>
      <c r="TGY161" s="4"/>
      <c r="TGZ161" s="4"/>
      <c r="THA161" s="4"/>
      <c r="THB161" s="4"/>
      <c r="THC161" s="4"/>
      <c r="THD161" s="4"/>
      <c r="THE161" s="4"/>
      <c r="THF161" s="4"/>
      <c r="THG161" s="4"/>
      <c r="THH161" s="4"/>
      <c r="THI161" s="4"/>
      <c r="THJ161" s="4"/>
      <c r="THK161" s="4"/>
      <c r="THL161" s="4"/>
      <c r="THM161" s="4"/>
      <c r="THN161" s="4"/>
      <c r="THO161" s="4"/>
      <c r="THP161" s="4"/>
      <c r="THQ161" s="4"/>
      <c r="THR161" s="4"/>
      <c r="THS161" s="4"/>
      <c r="THT161" s="4"/>
      <c r="THU161" s="4"/>
      <c r="THV161" s="4"/>
      <c r="THW161" s="4"/>
      <c r="THX161" s="4"/>
      <c r="THY161" s="4"/>
      <c r="THZ161" s="4"/>
      <c r="TIA161" s="4"/>
      <c r="TIB161" s="4"/>
      <c r="TIC161" s="4"/>
      <c r="TID161" s="4"/>
      <c r="TIE161" s="4"/>
      <c r="TIF161" s="4"/>
      <c r="TIG161" s="4"/>
      <c r="TIH161" s="4"/>
      <c r="TII161" s="4"/>
      <c r="TIJ161" s="4"/>
      <c r="TIK161" s="4"/>
      <c r="TIL161" s="4"/>
      <c r="TIM161" s="4"/>
      <c r="TIN161" s="4"/>
      <c r="TIO161" s="4"/>
      <c r="TIP161" s="4"/>
      <c r="TIQ161" s="4"/>
      <c r="TIR161" s="4"/>
      <c r="TIS161" s="4"/>
      <c r="TIT161" s="4"/>
      <c r="TIU161" s="4"/>
      <c r="TIV161" s="4"/>
      <c r="TIW161" s="4"/>
      <c r="TIX161" s="4"/>
      <c r="TIY161" s="4"/>
      <c r="TIZ161" s="4"/>
      <c r="TJA161" s="4"/>
      <c r="TJB161" s="4"/>
      <c r="TJC161" s="4"/>
      <c r="TJD161" s="4"/>
      <c r="TJE161" s="4"/>
      <c r="TJF161" s="4"/>
      <c r="TJG161" s="4"/>
      <c r="TJH161" s="4"/>
      <c r="TJI161" s="4"/>
      <c r="TJJ161" s="4"/>
      <c r="TJK161" s="4"/>
      <c r="TJL161" s="4"/>
      <c r="TJM161" s="4"/>
      <c r="TJN161" s="4"/>
      <c r="TJO161" s="4"/>
      <c r="TJP161" s="4"/>
      <c r="TJQ161" s="4"/>
      <c r="TJR161" s="4"/>
      <c r="TJS161" s="4"/>
      <c r="TJT161" s="4"/>
      <c r="TJU161" s="4"/>
      <c r="TJV161" s="4"/>
      <c r="TJW161" s="4"/>
      <c r="TJX161" s="4"/>
      <c r="TJY161" s="4"/>
      <c r="TJZ161" s="4"/>
      <c r="TKA161" s="4"/>
      <c r="TKB161" s="4"/>
      <c r="TKC161" s="4"/>
      <c r="TKD161" s="4"/>
      <c r="TKE161" s="4"/>
      <c r="TKF161" s="4"/>
      <c r="TKG161" s="4"/>
      <c r="TKH161" s="4"/>
      <c r="TKI161" s="4"/>
      <c r="TKJ161" s="4"/>
      <c r="TKK161" s="4"/>
      <c r="TKL161" s="4"/>
      <c r="TKM161" s="4"/>
      <c r="TKN161" s="4"/>
      <c r="TKO161" s="4"/>
      <c r="TKP161" s="4"/>
      <c r="TKQ161" s="4"/>
      <c r="TKR161" s="4"/>
      <c r="TKS161" s="4"/>
      <c r="TKT161" s="4"/>
      <c r="TKU161" s="4"/>
      <c r="TKV161" s="4"/>
      <c r="TKW161" s="4"/>
      <c r="TKX161" s="4"/>
      <c r="TKY161" s="4"/>
      <c r="TKZ161" s="4"/>
      <c r="TLA161" s="4"/>
      <c r="TLB161" s="4"/>
      <c r="TLC161" s="4"/>
      <c r="TLD161" s="4"/>
      <c r="TLE161" s="4"/>
      <c r="TLF161" s="4"/>
      <c r="TLG161" s="4"/>
      <c r="TLH161" s="4"/>
      <c r="TLI161" s="4"/>
      <c r="TLJ161" s="4"/>
      <c r="TLK161" s="4"/>
      <c r="TLL161" s="4"/>
      <c r="TLM161" s="4"/>
      <c r="TLN161" s="4"/>
      <c r="TLO161" s="4"/>
      <c r="TLP161" s="4"/>
      <c r="TLQ161" s="4"/>
      <c r="TLR161" s="4"/>
      <c r="TLS161" s="4"/>
      <c r="TLT161" s="4"/>
      <c r="TLU161" s="4"/>
      <c r="TLV161" s="4"/>
      <c r="TLW161" s="4"/>
      <c r="TLX161" s="4"/>
      <c r="TLY161" s="4"/>
      <c r="TLZ161" s="4"/>
      <c r="TMA161" s="4"/>
      <c r="TMB161" s="4"/>
      <c r="TMC161" s="4"/>
      <c r="TMD161" s="4"/>
      <c r="TME161" s="4"/>
      <c r="TMF161" s="4"/>
      <c r="TMG161" s="4"/>
      <c r="TMH161" s="4"/>
      <c r="TMI161" s="4"/>
      <c r="TMJ161" s="4"/>
      <c r="TMK161" s="4"/>
      <c r="TML161" s="4"/>
      <c r="TMM161" s="4"/>
      <c r="TMN161" s="4"/>
      <c r="TMO161" s="4"/>
      <c r="TMP161" s="4"/>
      <c r="TMQ161" s="4"/>
      <c r="TMR161" s="4"/>
      <c r="TMS161" s="4"/>
      <c r="TMT161" s="4"/>
      <c r="TMU161" s="4"/>
      <c r="TMV161" s="4"/>
      <c r="TMW161" s="4"/>
      <c r="TMX161" s="4"/>
      <c r="TMY161" s="4"/>
      <c r="TMZ161" s="4"/>
      <c r="TNA161" s="4"/>
      <c r="TNB161" s="4"/>
      <c r="TNC161" s="4"/>
      <c r="TND161" s="4"/>
      <c r="TNE161" s="4"/>
      <c r="TNF161" s="4"/>
      <c r="TNG161" s="4"/>
      <c r="TNH161" s="4"/>
      <c r="TNI161" s="4"/>
      <c r="TNJ161" s="4"/>
      <c r="TNK161" s="4"/>
      <c r="TNL161" s="4"/>
      <c r="TNM161" s="4"/>
      <c r="TNN161" s="4"/>
      <c r="TNO161" s="4"/>
      <c r="TNP161" s="4"/>
      <c r="TNQ161" s="4"/>
      <c r="TNR161" s="4"/>
      <c r="TNS161" s="4"/>
      <c r="TNT161" s="4"/>
      <c r="TNU161" s="4"/>
      <c r="TNV161" s="4"/>
      <c r="TNW161" s="4"/>
      <c r="TNX161" s="4"/>
      <c r="TNY161" s="4"/>
      <c r="TNZ161" s="4"/>
      <c r="TOA161" s="4"/>
      <c r="TOB161" s="4"/>
      <c r="TOC161" s="4"/>
      <c r="TOD161" s="4"/>
      <c r="TOE161" s="4"/>
      <c r="TOF161" s="4"/>
      <c r="TOG161" s="4"/>
      <c r="TOH161" s="4"/>
      <c r="TOI161" s="4"/>
      <c r="TOJ161" s="4"/>
      <c r="TOK161" s="4"/>
      <c r="TOL161" s="4"/>
      <c r="TOM161" s="4"/>
      <c r="TON161" s="4"/>
      <c r="TOO161" s="4"/>
      <c r="TOP161" s="4"/>
      <c r="TOQ161" s="4"/>
      <c r="TOR161" s="4"/>
      <c r="TOS161" s="4"/>
      <c r="TOT161" s="4"/>
      <c r="TOU161" s="4"/>
      <c r="TOV161" s="4"/>
      <c r="TOW161" s="4"/>
      <c r="TOX161" s="4"/>
      <c r="TOY161" s="4"/>
      <c r="TOZ161" s="4"/>
      <c r="TPA161" s="4"/>
      <c r="TPB161" s="4"/>
      <c r="TPC161" s="4"/>
      <c r="TPD161" s="4"/>
      <c r="TPE161" s="4"/>
      <c r="TPF161" s="4"/>
      <c r="TPG161" s="4"/>
      <c r="TPH161" s="4"/>
      <c r="TPI161" s="4"/>
      <c r="TPJ161" s="4"/>
      <c r="TPK161" s="4"/>
      <c r="TPL161" s="4"/>
      <c r="TPM161" s="4"/>
      <c r="TPN161" s="4"/>
      <c r="TPO161" s="4"/>
      <c r="TPP161" s="4"/>
      <c r="TPQ161" s="4"/>
      <c r="TPR161" s="4"/>
      <c r="TPS161" s="4"/>
      <c r="TPT161" s="4"/>
      <c r="TPU161" s="4"/>
      <c r="TPV161" s="4"/>
      <c r="TPW161" s="4"/>
      <c r="TPX161" s="4"/>
      <c r="TPY161" s="4"/>
      <c r="TPZ161" s="4"/>
      <c r="TQA161" s="4"/>
      <c r="TQB161" s="4"/>
      <c r="TQC161" s="4"/>
      <c r="TQD161" s="4"/>
      <c r="TQE161" s="4"/>
      <c r="TQF161" s="4"/>
      <c r="TQG161" s="4"/>
      <c r="TQH161" s="4"/>
      <c r="TQI161" s="4"/>
      <c r="TQJ161" s="4"/>
      <c r="TQK161" s="4"/>
      <c r="TQL161" s="4"/>
      <c r="TQM161" s="4"/>
      <c r="TQN161" s="4"/>
      <c r="TQO161" s="4"/>
      <c r="TQP161" s="4"/>
      <c r="TQQ161" s="4"/>
      <c r="TQR161" s="4"/>
      <c r="TQS161" s="4"/>
      <c r="TQT161" s="4"/>
      <c r="TQU161" s="4"/>
      <c r="TQV161" s="4"/>
      <c r="TQW161" s="4"/>
      <c r="TQX161" s="4"/>
      <c r="TQY161" s="4"/>
      <c r="TQZ161" s="4"/>
      <c r="TRA161" s="4"/>
      <c r="TRB161" s="4"/>
      <c r="TRC161" s="4"/>
      <c r="TRD161" s="4"/>
      <c r="TRE161" s="4"/>
      <c r="TRF161" s="4"/>
      <c r="TRG161" s="4"/>
      <c r="TRH161" s="4"/>
      <c r="TRI161" s="4"/>
      <c r="TRJ161" s="4"/>
      <c r="TRK161" s="4"/>
      <c r="TRL161" s="4"/>
      <c r="TRM161" s="4"/>
      <c r="TRN161" s="4"/>
      <c r="TRO161" s="4"/>
      <c r="TRP161" s="4"/>
      <c r="TRQ161" s="4"/>
      <c r="TRR161" s="4"/>
      <c r="TRS161" s="4"/>
      <c r="TRT161" s="4"/>
      <c r="TRU161" s="4"/>
      <c r="TRV161" s="4"/>
      <c r="TRW161" s="4"/>
      <c r="TRX161" s="4"/>
      <c r="TRY161" s="4"/>
      <c r="TRZ161" s="4"/>
      <c r="TSA161" s="4"/>
      <c r="TSB161" s="4"/>
      <c r="TSC161" s="4"/>
      <c r="TSD161" s="4"/>
      <c r="TSE161" s="4"/>
      <c r="TSF161" s="4"/>
      <c r="TSG161" s="4"/>
      <c r="TSH161" s="4"/>
      <c r="TSI161" s="4"/>
      <c r="TSJ161" s="4"/>
      <c r="TSK161" s="4"/>
      <c r="TSL161" s="4"/>
      <c r="TSM161" s="4"/>
      <c r="TSN161" s="4"/>
      <c r="TSO161" s="4"/>
      <c r="TSP161" s="4"/>
      <c r="TSQ161" s="4"/>
      <c r="TSR161" s="4"/>
      <c r="TSS161" s="4"/>
      <c r="TST161" s="4"/>
      <c r="TSU161" s="4"/>
      <c r="TSV161" s="4"/>
      <c r="TSW161" s="4"/>
      <c r="TSX161" s="4"/>
      <c r="TSY161" s="4"/>
      <c r="TSZ161" s="4"/>
      <c r="TTA161" s="4"/>
      <c r="TTB161" s="4"/>
      <c r="TTC161" s="4"/>
      <c r="TTD161" s="4"/>
      <c r="TTE161" s="4"/>
      <c r="TTF161" s="4"/>
      <c r="TTG161" s="4"/>
      <c r="TTH161" s="4"/>
      <c r="TTI161" s="4"/>
      <c r="TTJ161" s="4"/>
      <c r="TTK161" s="4"/>
      <c r="TTL161" s="4"/>
      <c r="TTM161" s="4"/>
      <c r="TTN161" s="4"/>
      <c r="TTO161" s="4"/>
      <c r="TTP161" s="4"/>
      <c r="TTQ161" s="4"/>
      <c r="TTR161" s="4"/>
      <c r="TTS161" s="4"/>
      <c r="TTT161" s="4"/>
      <c r="TTU161" s="4"/>
      <c r="TTV161" s="4"/>
      <c r="TTW161" s="4"/>
      <c r="TTX161" s="4"/>
      <c r="TTY161" s="4"/>
      <c r="TTZ161" s="4"/>
      <c r="TUA161" s="4"/>
      <c r="TUB161" s="4"/>
      <c r="TUC161" s="4"/>
      <c r="TUD161" s="4"/>
      <c r="TUE161" s="4"/>
      <c r="TUF161" s="4"/>
      <c r="TUG161" s="4"/>
      <c r="TUH161" s="4"/>
      <c r="TUI161" s="4"/>
      <c r="TUJ161" s="4"/>
      <c r="TUK161" s="4"/>
      <c r="TUL161" s="4"/>
      <c r="TUM161" s="4"/>
      <c r="TUN161" s="4"/>
      <c r="TUO161" s="4"/>
      <c r="TUP161" s="4"/>
      <c r="TUQ161" s="4"/>
      <c r="TUR161" s="4"/>
      <c r="TUS161" s="4"/>
      <c r="TUT161" s="4"/>
      <c r="TUU161" s="4"/>
      <c r="TUV161" s="4"/>
      <c r="TUW161" s="4"/>
      <c r="TUX161" s="4"/>
      <c r="TUY161" s="4"/>
      <c r="TUZ161" s="4"/>
      <c r="TVA161" s="4"/>
      <c r="TVB161" s="4"/>
      <c r="TVC161" s="4"/>
      <c r="TVD161" s="4"/>
      <c r="TVE161" s="4"/>
      <c r="TVF161" s="4"/>
      <c r="TVG161" s="4"/>
      <c r="TVH161" s="4"/>
      <c r="TVI161" s="4"/>
      <c r="TVJ161" s="4"/>
      <c r="TVK161" s="4"/>
      <c r="TVL161" s="4"/>
      <c r="TVM161" s="4"/>
      <c r="TVN161" s="4"/>
      <c r="TVO161" s="4"/>
      <c r="TVP161" s="4"/>
      <c r="TVQ161" s="4"/>
      <c r="TVR161" s="4"/>
      <c r="TVS161" s="4"/>
      <c r="TVT161" s="4"/>
      <c r="TVU161" s="4"/>
      <c r="TVV161" s="4"/>
      <c r="TVW161" s="4"/>
      <c r="TVX161" s="4"/>
      <c r="TVY161" s="4"/>
      <c r="TVZ161" s="4"/>
      <c r="TWA161" s="4"/>
      <c r="TWB161" s="4"/>
      <c r="TWC161" s="4"/>
      <c r="TWD161" s="4"/>
      <c r="TWE161" s="4"/>
      <c r="TWF161" s="4"/>
      <c r="TWG161" s="4"/>
      <c r="TWH161" s="4"/>
      <c r="TWI161" s="4"/>
      <c r="TWJ161" s="4"/>
      <c r="TWK161" s="4"/>
      <c r="TWL161" s="4"/>
      <c r="TWM161" s="4"/>
      <c r="TWN161" s="4"/>
      <c r="TWO161" s="4"/>
      <c r="TWP161" s="4"/>
      <c r="TWQ161" s="4"/>
      <c r="TWR161" s="4"/>
      <c r="TWS161" s="4"/>
      <c r="TWT161" s="4"/>
      <c r="TWU161" s="4"/>
      <c r="TWV161" s="4"/>
      <c r="TWW161" s="4"/>
      <c r="TWX161" s="4"/>
      <c r="TWY161" s="4"/>
      <c r="TWZ161" s="4"/>
      <c r="TXA161" s="4"/>
      <c r="TXB161" s="4"/>
      <c r="TXC161" s="4"/>
      <c r="TXD161" s="4"/>
      <c r="TXE161" s="4"/>
      <c r="TXF161" s="4"/>
      <c r="TXG161" s="4"/>
      <c r="TXH161" s="4"/>
      <c r="TXI161" s="4"/>
      <c r="TXJ161" s="4"/>
      <c r="TXK161" s="4"/>
      <c r="TXL161" s="4"/>
      <c r="TXM161" s="4"/>
      <c r="TXN161" s="4"/>
      <c r="TXO161" s="4"/>
      <c r="TXP161" s="4"/>
      <c r="TXQ161" s="4"/>
      <c r="TXR161" s="4"/>
      <c r="TXS161" s="4"/>
      <c r="TXT161" s="4"/>
      <c r="TXU161" s="4"/>
      <c r="TXV161" s="4"/>
      <c r="TXW161" s="4"/>
      <c r="TXX161" s="4"/>
      <c r="TXY161" s="4"/>
      <c r="TXZ161" s="4"/>
      <c r="TYA161" s="4"/>
      <c r="TYB161" s="4"/>
      <c r="TYC161" s="4"/>
      <c r="TYD161" s="4"/>
      <c r="TYE161" s="4"/>
      <c r="TYF161" s="4"/>
      <c r="TYG161" s="4"/>
      <c r="TYH161" s="4"/>
      <c r="TYI161" s="4"/>
      <c r="TYJ161" s="4"/>
      <c r="TYK161" s="4"/>
      <c r="TYL161" s="4"/>
      <c r="TYM161" s="4"/>
      <c r="TYN161" s="4"/>
      <c r="TYO161" s="4"/>
      <c r="TYP161" s="4"/>
      <c r="TYQ161" s="4"/>
      <c r="TYR161" s="4"/>
      <c r="TYS161" s="4"/>
      <c r="TYT161" s="4"/>
      <c r="TYU161" s="4"/>
      <c r="TYV161" s="4"/>
      <c r="TYW161" s="4"/>
      <c r="TYX161" s="4"/>
      <c r="TYY161" s="4"/>
      <c r="TYZ161" s="4"/>
      <c r="TZA161" s="4"/>
      <c r="TZB161" s="4"/>
      <c r="TZC161" s="4"/>
      <c r="TZD161" s="4"/>
      <c r="TZE161" s="4"/>
      <c r="TZF161" s="4"/>
      <c r="TZG161" s="4"/>
      <c r="TZH161" s="4"/>
      <c r="TZI161" s="4"/>
      <c r="TZJ161" s="4"/>
      <c r="TZK161" s="4"/>
      <c r="TZL161" s="4"/>
      <c r="TZM161" s="4"/>
      <c r="TZN161" s="4"/>
      <c r="TZO161" s="4"/>
      <c r="TZP161" s="4"/>
      <c r="TZQ161" s="4"/>
      <c r="TZR161" s="4"/>
      <c r="TZS161" s="4"/>
      <c r="TZT161" s="4"/>
      <c r="TZU161" s="4"/>
      <c r="TZV161" s="4"/>
      <c r="TZW161" s="4"/>
      <c r="TZX161" s="4"/>
      <c r="TZY161" s="4"/>
      <c r="TZZ161" s="4"/>
      <c r="UAA161" s="4"/>
      <c r="UAB161" s="4"/>
      <c r="UAC161" s="4"/>
      <c r="UAD161" s="4"/>
      <c r="UAE161" s="4"/>
      <c r="UAF161" s="4"/>
      <c r="UAG161" s="4"/>
      <c r="UAH161" s="4"/>
      <c r="UAI161" s="4"/>
      <c r="UAJ161" s="4"/>
      <c r="UAK161" s="4"/>
      <c r="UAL161" s="4"/>
      <c r="UAM161" s="4"/>
      <c r="UAN161" s="4"/>
      <c r="UAO161" s="4"/>
      <c r="UAP161" s="4"/>
      <c r="UAQ161" s="4"/>
      <c r="UAR161" s="4"/>
      <c r="UAS161" s="4"/>
      <c r="UAT161" s="4"/>
      <c r="UAU161" s="4"/>
      <c r="UAV161" s="4"/>
      <c r="UAW161" s="4"/>
      <c r="UAX161" s="4"/>
      <c r="UAY161" s="4"/>
      <c r="UAZ161" s="4"/>
      <c r="UBA161" s="4"/>
      <c r="UBB161" s="4"/>
      <c r="UBC161" s="4"/>
      <c r="UBD161" s="4"/>
      <c r="UBE161" s="4"/>
      <c r="UBF161" s="4"/>
      <c r="UBG161" s="4"/>
      <c r="UBH161" s="4"/>
      <c r="UBI161" s="4"/>
      <c r="UBJ161" s="4"/>
      <c r="UBK161" s="4"/>
      <c r="UBL161" s="4"/>
      <c r="UBM161" s="4"/>
      <c r="UBN161" s="4"/>
      <c r="UBO161" s="4"/>
      <c r="UBP161" s="4"/>
      <c r="UBQ161" s="4"/>
      <c r="UBR161" s="4"/>
      <c r="UBS161" s="4"/>
      <c r="UBT161" s="4"/>
      <c r="UBU161" s="4"/>
      <c r="UBV161" s="4"/>
      <c r="UBW161" s="4"/>
      <c r="UBX161" s="4"/>
      <c r="UBY161" s="4"/>
      <c r="UBZ161" s="4"/>
      <c r="UCA161" s="4"/>
      <c r="UCB161" s="4"/>
      <c r="UCC161" s="4"/>
      <c r="UCD161" s="4"/>
      <c r="UCE161" s="4"/>
      <c r="UCF161" s="4"/>
      <c r="UCG161" s="4"/>
      <c r="UCH161" s="4"/>
      <c r="UCI161" s="4"/>
      <c r="UCJ161" s="4"/>
      <c r="UCK161" s="4"/>
      <c r="UCL161" s="4"/>
      <c r="UCM161" s="4"/>
      <c r="UCN161" s="4"/>
      <c r="UCO161" s="4"/>
      <c r="UCP161" s="4"/>
      <c r="UCQ161" s="4"/>
      <c r="UCR161" s="4"/>
      <c r="UCS161" s="4"/>
      <c r="UCT161" s="4"/>
      <c r="UCU161" s="4"/>
      <c r="UCV161" s="4"/>
      <c r="UCW161" s="4"/>
      <c r="UCX161" s="4"/>
      <c r="UCY161" s="4"/>
      <c r="UCZ161" s="4"/>
      <c r="UDA161" s="4"/>
      <c r="UDB161" s="4"/>
      <c r="UDC161" s="4"/>
      <c r="UDD161" s="4"/>
      <c r="UDE161" s="4"/>
      <c r="UDF161" s="4"/>
      <c r="UDG161" s="4"/>
      <c r="UDH161" s="4"/>
      <c r="UDI161" s="4"/>
      <c r="UDJ161" s="4"/>
      <c r="UDK161" s="4"/>
      <c r="UDL161" s="4"/>
      <c r="UDM161" s="4"/>
      <c r="UDN161" s="4"/>
      <c r="UDO161" s="4"/>
      <c r="UDP161" s="4"/>
      <c r="UDQ161" s="4"/>
      <c r="UDR161" s="4"/>
      <c r="UDS161" s="4"/>
      <c r="UDT161" s="4"/>
      <c r="UDU161" s="4"/>
      <c r="UDV161" s="4"/>
      <c r="UDW161" s="4"/>
      <c r="UDX161" s="4"/>
      <c r="UDY161" s="4"/>
      <c r="UDZ161" s="4"/>
      <c r="UEA161" s="4"/>
      <c r="UEB161" s="4"/>
      <c r="UEC161" s="4"/>
      <c r="UED161" s="4"/>
      <c r="UEE161" s="4"/>
      <c r="UEF161" s="4"/>
      <c r="UEG161" s="4"/>
      <c r="UEH161" s="4"/>
      <c r="UEI161" s="4"/>
      <c r="UEJ161" s="4"/>
      <c r="UEK161" s="4"/>
      <c r="UEL161" s="4"/>
      <c r="UEM161" s="4"/>
      <c r="UEN161" s="4"/>
      <c r="UEO161" s="4"/>
      <c r="UEP161" s="4"/>
      <c r="UEQ161" s="4"/>
      <c r="UER161" s="4"/>
      <c r="UES161" s="4"/>
      <c r="UET161" s="4"/>
      <c r="UEU161" s="4"/>
      <c r="UEV161" s="4"/>
      <c r="UEW161" s="4"/>
      <c r="UEX161" s="4"/>
      <c r="UEY161" s="4"/>
      <c r="UEZ161" s="4"/>
      <c r="UFA161" s="4"/>
      <c r="UFB161" s="4"/>
      <c r="UFC161" s="4"/>
      <c r="UFD161" s="4"/>
      <c r="UFE161" s="4"/>
      <c r="UFF161" s="4"/>
      <c r="UFG161" s="4"/>
      <c r="UFH161" s="4"/>
      <c r="UFI161" s="4"/>
      <c r="UFJ161" s="4"/>
      <c r="UFK161" s="4"/>
      <c r="UFL161" s="4"/>
      <c r="UFM161" s="4"/>
      <c r="UFN161" s="4"/>
      <c r="UFO161" s="4"/>
      <c r="UFP161" s="4"/>
      <c r="UFQ161" s="4"/>
      <c r="UFR161" s="4"/>
      <c r="UFS161" s="4"/>
      <c r="UFT161" s="4"/>
      <c r="UFU161" s="4"/>
      <c r="UFV161" s="4"/>
      <c r="UFW161" s="4"/>
      <c r="UFX161" s="4"/>
      <c r="UFY161" s="4"/>
      <c r="UFZ161" s="4"/>
      <c r="UGA161" s="4"/>
      <c r="UGB161" s="4"/>
      <c r="UGC161" s="4"/>
      <c r="UGD161" s="4"/>
      <c r="UGE161" s="4"/>
      <c r="UGF161" s="4"/>
      <c r="UGG161" s="4"/>
      <c r="UGH161" s="4"/>
      <c r="UGI161" s="4"/>
      <c r="UGJ161" s="4"/>
      <c r="UGK161" s="4"/>
      <c r="UGL161" s="4"/>
      <c r="UGM161" s="4"/>
      <c r="UGN161" s="4"/>
      <c r="UGO161" s="4"/>
      <c r="UGP161" s="4"/>
      <c r="UGQ161" s="4"/>
      <c r="UGR161" s="4"/>
      <c r="UGS161" s="4"/>
      <c r="UGT161" s="4"/>
      <c r="UGU161" s="4"/>
      <c r="UGV161" s="4"/>
      <c r="UGW161" s="4"/>
      <c r="UGX161" s="4"/>
      <c r="UGY161" s="4"/>
      <c r="UGZ161" s="4"/>
      <c r="UHA161" s="4"/>
      <c r="UHB161" s="4"/>
      <c r="UHC161" s="4"/>
      <c r="UHD161" s="4"/>
      <c r="UHE161" s="4"/>
      <c r="UHF161" s="4"/>
      <c r="UHG161" s="4"/>
      <c r="UHH161" s="4"/>
      <c r="UHI161" s="4"/>
      <c r="UHJ161" s="4"/>
      <c r="UHK161" s="4"/>
      <c r="UHL161" s="4"/>
      <c r="UHM161" s="4"/>
      <c r="UHN161" s="4"/>
      <c r="UHO161" s="4"/>
      <c r="UHP161" s="4"/>
      <c r="UHQ161" s="4"/>
      <c r="UHR161" s="4"/>
      <c r="UHS161" s="4"/>
      <c r="UHT161" s="4"/>
      <c r="UHU161" s="4"/>
      <c r="UHV161" s="4"/>
      <c r="UHW161" s="4"/>
      <c r="UHX161" s="4"/>
      <c r="UHY161" s="4"/>
      <c r="UHZ161" s="4"/>
      <c r="UIA161" s="4"/>
      <c r="UIB161" s="4"/>
      <c r="UIC161" s="4"/>
      <c r="UID161" s="4"/>
      <c r="UIE161" s="4"/>
      <c r="UIF161" s="4"/>
      <c r="UIG161" s="4"/>
      <c r="UIH161" s="4"/>
      <c r="UII161" s="4"/>
      <c r="UIJ161" s="4"/>
      <c r="UIK161" s="4"/>
      <c r="UIL161" s="4"/>
      <c r="UIM161" s="4"/>
      <c r="UIN161" s="4"/>
      <c r="UIO161" s="4"/>
      <c r="UIP161" s="4"/>
      <c r="UIQ161" s="4"/>
      <c r="UIR161" s="4"/>
      <c r="UIS161" s="4"/>
      <c r="UIT161" s="4"/>
      <c r="UIU161" s="4"/>
      <c r="UIV161" s="4"/>
      <c r="UIW161" s="4"/>
      <c r="UIX161" s="4"/>
      <c r="UIY161" s="4"/>
      <c r="UIZ161" s="4"/>
      <c r="UJA161" s="4"/>
      <c r="UJB161" s="4"/>
      <c r="UJC161" s="4"/>
      <c r="UJD161" s="4"/>
      <c r="UJE161" s="4"/>
      <c r="UJF161" s="4"/>
      <c r="UJG161" s="4"/>
      <c r="UJH161" s="4"/>
      <c r="UJI161" s="4"/>
      <c r="UJJ161" s="4"/>
      <c r="UJK161" s="4"/>
      <c r="UJL161" s="4"/>
      <c r="UJM161" s="4"/>
      <c r="UJN161" s="4"/>
      <c r="UJO161" s="4"/>
      <c r="UJP161" s="4"/>
      <c r="UJQ161" s="4"/>
      <c r="UJR161" s="4"/>
      <c r="UJS161" s="4"/>
      <c r="UJT161" s="4"/>
      <c r="UJU161" s="4"/>
      <c r="UJV161" s="4"/>
      <c r="UJW161" s="4"/>
      <c r="UJX161" s="4"/>
      <c r="UJY161" s="4"/>
      <c r="UJZ161" s="4"/>
      <c r="UKA161" s="4"/>
      <c r="UKB161" s="4"/>
      <c r="UKC161" s="4"/>
      <c r="UKD161" s="4"/>
      <c r="UKE161" s="4"/>
      <c r="UKF161" s="4"/>
      <c r="UKG161" s="4"/>
      <c r="UKH161" s="4"/>
      <c r="UKI161" s="4"/>
      <c r="UKJ161" s="4"/>
      <c r="UKK161" s="4"/>
      <c r="UKL161" s="4"/>
      <c r="UKM161" s="4"/>
      <c r="UKN161" s="4"/>
      <c r="UKO161" s="4"/>
      <c r="UKP161" s="4"/>
      <c r="UKQ161" s="4"/>
      <c r="UKR161" s="4"/>
      <c r="UKS161" s="4"/>
      <c r="UKT161" s="4"/>
      <c r="UKU161" s="4"/>
      <c r="UKV161" s="4"/>
      <c r="UKW161" s="4"/>
      <c r="UKX161" s="4"/>
      <c r="UKY161" s="4"/>
      <c r="UKZ161" s="4"/>
      <c r="ULA161" s="4"/>
      <c r="ULB161" s="4"/>
      <c r="ULC161" s="4"/>
      <c r="ULD161" s="4"/>
      <c r="ULE161" s="4"/>
      <c r="ULF161" s="4"/>
      <c r="ULG161" s="4"/>
      <c r="ULH161" s="4"/>
      <c r="ULI161" s="4"/>
      <c r="ULJ161" s="4"/>
      <c r="ULK161" s="4"/>
      <c r="ULL161" s="4"/>
      <c r="ULM161" s="4"/>
      <c r="ULN161" s="4"/>
      <c r="ULO161" s="4"/>
      <c r="ULP161" s="4"/>
      <c r="ULQ161" s="4"/>
      <c r="ULR161" s="4"/>
      <c r="ULS161" s="4"/>
      <c r="ULT161" s="4"/>
      <c r="ULU161" s="4"/>
      <c r="ULV161" s="4"/>
      <c r="ULW161" s="4"/>
      <c r="ULX161" s="4"/>
      <c r="ULY161" s="4"/>
      <c r="ULZ161" s="4"/>
      <c r="UMA161" s="4"/>
      <c r="UMB161" s="4"/>
      <c r="UMC161" s="4"/>
      <c r="UMD161" s="4"/>
      <c r="UME161" s="4"/>
      <c r="UMF161" s="4"/>
      <c r="UMG161" s="4"/>
      <c r="UMH161" s="4"/>
      <c r="UMI161" s="4"/>
      <c r="UMJ161" s="4"/>
      <c r="UMK161" s="4"/>
      <c r="UML161" s="4"/>
      <c r="UMM161" s="4"/>
      <c r="UMN161" s="4"/>
      <c r="UMO161" s="4"/>
      <c r="UMP161" s="4"/>
      <c r="UMQ161" s="4"/>
      <c r="UMR161" s="4"/>
      <c r="UMS161" s="4"/>
      <c r="UMT161" s="4"/>
      <c r="UMU161" s="4"/>
      <c r="UMV161" s="4"/>
      <c r="UMW161" s="4"/>
      <c r="UMX161" s="4"/>
      <c r="UMY161" s="4"/>
      <c r="UMZ161" s="4"/>
      <c r="UNA161" s="4"/>
      <c r="UNB161" s="4"/>
      <c r="UNC161" s="4"/>
      <c r="UND161" s="4"/>
      <c r="UNE161" s="4"/>
      <c r="UNF161" s="4"/>
      <c r="UNG161" s="4"/>
      <c r="UNH161" s="4"/>
      <c r="UNI161" s="4"/>
      <c r="UNJ161" s="4"/>
      <c r="UNK161" s="4"/>
      <c r="UNL161" s="4"/>
      <c r="UNM161" s="4"/>
      <c r="UNN161" s="4"/>
      <c r="UNO161" s="4"/>
      <c r="UNP161" s="4"/>
      <c r="UNQ161" s="4"/>
      <c r="UNR161" s="4"/>
      <c r="UNS161" s="4"/>
      <c r="UNT161" s="4"/>
      <c r="UNU161" s="4"/>
      <c r="UNV161" s="4"/>
      <c r="UNW161" s="4"/>
      <c r="UNX161" s="4"/>
      <c r="UNY161" s="4"/>
      <c r="UNZ161" s="4"/>
      <c r="UOA161" s="4"/>
      <c r="UOB161" s="4"/>
      <c r="UOC161" s="4"/>
      <c r="UOD161" s="4"/>
      <c r="UOE161" s="4"/>
      <c r="UOF161" s="4"/>
      <c r="UOG161" s="4"/>
      <c r="UOH161" s="4"/>
      <c r="UOI161" s="4"/>
      <c r="UOJ161" s="4"/>
      <c r="UOK161" s="4"/>
      <c r="UOL161" s="4"/>
      <c r="UOM161" s="4"/>
      <c r="UON161" s="4"/>
      <c r="UOO161" s="4"/>
      <c r="UOP161" s="4"/>
      <c r="UOQ161" s="4"/>
      <c r="UOR161" s="4"/>
      <c r="UOS161" s="4"/>
      <c r="UOT161" s="4"/>
      <c r="UOU161" s="4"/>
      <c r="UOV161" s="4"/>
      <c r="UOW161" s="4"/>
      <c r="UOX161" s="4"/>
      <c r="UOY161" s="4"/>
      <c r="UOZ161" s="4"/>
      <c r="UPA161" s="4"/>
      <c r="UPB161" s="4"/>
      <c r="UPC161" s="4"/>
      <c r="UPD161" s="4"/>
      <c r="UPE161" s="4"/>
      <c r="UPF161" s="4"/>
      <c r="UPG161" s="4"/>
      <c r="UPH161" s="4"/>
      <c r="UPI161" s="4"/>
      <c r="UPJ161" s="4"/>
      <c r="UPK161" s="4"/>
      <c r="UPL161" s="4"/>
      <c r="UPM161" s="4"/>
      <c r="UPN161" s="4"/>
      <c r="UPO161" s="4"/>
      <c r="UPP161" s="4"/>
      <c r="UPQ161" s="4"/>
      <c r="UPR161" s="4"/>
      <c r="UPS161" s="4"/>
      <c r="UPT161" s="4"/>
      <c r="UPU161" s="4"/>
      <c r="UPV161" s="4"/>
      <c r="UPW161" s="4"/>
      <c r="UPX161" s="4"/>
      <c r="UPY161" s="4"/>
      <c r="UPZ161" s="4"/>
      <c r="UQA161" s="4"/>
      <c r="UQB161" s="4"/>
      <c r="UQC161" s="4"/>
      <c r="UQD161" s="4"/>
      <c r="UQE161" s="4"/>
      <c r="UQF161" s="4"/>
      <c r="UQG161" s="4"/>
      <c r="UQH161" s="4"/>
      <c r="UQI161" s="4"/>
      <c r="UQJ161" s="4"/>
      <c r="UQK161" s="4"/>
      <c r="UQL161" s="4"/>
      <c r="UQM161" s="4"/>
      <c r="UQN161" s="4"/>
      <c r="UQO161" s="4"/>
      <c r="UQP161" s="4"/>
      <c r="UQQ161" s="4"/>
      <c r="UQR161" s="4"/>
      <c r="UQS161" s="4"/>
      <c r="UQT161" s="4"/>
      <c r="UQU161" s="4"/>
      <c r="UQV161" s="4"/>
      <c r="UQW161" s="4"/>
      <c r="UQX161" s="4"/>
      <c r="UQY161" s="4"/>
      <c r="UQZ161" s="4"/>
      <c r="URA161" s="4"/>
      <c r="URB161" s="4"/>
      <c r="URC161" s="4"/>
      <c r="URD161" s="4"/>
      <c r="URE161" s="4"/>
      <c r="URF161" s="4"/>
      <c r="URG161" s="4"/>
      <c r="URH161" s="4"/>
      <c r="URI161" s="4"/>
      <c r="URJ161" s="4"/>
      <c r="URK161" s="4"/>
      <c r="URL161" s="4"/>
      <c r="URM161" s="4"/>
      <c r="URN161" s="4"/>
      <c r="URO161" s="4"/>
      <c r="URP161" s="4"/>
      <c r="URQ161" s="4"/>
      <c r="URR161" s="4"/>
      <c r="URS161" s="4"/>
      <c r="URT161" s="4"/>
      <c r="URU161" s="4"/>
      <c r="URV161" s="4"/>
      <c r="URW161" s="4"/>
      <c r="URX161" s="4"/>
      <c r="URY161" s="4"/>
      <c r="URZ161" s="4"/>
      <c r="USA161" s="4"/>
      <c r="USB161" s="4"/>
      <c r="USC161" s="4"/>
      <c r="USD161" s="4"/>
      <c r="USE161" s="4"/>
      <c r="USF161" s="4"/>
      <c r="USG161" s="4"/>
      <c r="USH161" s="4"/>
      <c r="USI161" s="4"/>
      <c r="USJ161" s="4"/>
      <c r="USK161" s="4"/>
      <c r="USL161" s="4"/>
      <c r="USM161" s="4"/>
      <c r="USN161" s="4"/>
      <c r="USO161" s="4"/>
      <c r="USP161" s="4"/>
      <c r="USQ161" s="4"/>
      <c r="USR161" s="4"/>
      <c r="USS161" s="4"/>
      <c r="UST161" s="4"/>
      <c r="USU161" s="4"/>
      <c r="USV161" s="4"/>
      <c r="USW161" s="4"/>
      <c r="USX161" s="4"/>
      <c r="USY161" s="4"/>
      <c r="USZ161" s="4"/>
      <c r="UTA161" s="4"/>
      <c r="UTB161" s="4"/>
      <c r="UTC161" s="4"/>
      <c r="UTD161" s="4"/>
      <c r="UTE161" s="4"/>
      <c r="UTF161" s="4"/>
      <c r="UTG161" s="4"/>
      <c r="UTH161" s="4"/>
      <c r="UTI161" s="4"/>
      <c r="UTJ161" s="4"/>
      <c r="UTK161" s="4"/>
      <c r="UTL161" s="4"/>
      <c r="UTM161" s="4"/>
      <c r="UTN161" s="4"/>
      <c r="UTO161" s="4"/>
      <c r="UTP161" s="4"/>
      <c r="UTQ161" s="4"/>
      <c r="UTR161" s="4"/>
      <c r="UTS161" s="4"/>
      <c r="UTT161" s="4"/>
      <c r="UTU161" s="4"/>
      <c r="UTV161" s="4"/>
      <c r="UTW161" s="4"/>
      <c r="UTX161" s="4"/>
      <c r="UTY161" s="4"/>
      <c r="UTZ161" s="4"/>
      <c r="UUA161" s="4"/>
      <c r="UUB161" s="4"/>
      <c r="UUC161" s="4"/>
      <c r="UUD161" s="4"/>
      <c r="UUE161" s="4"/>
      <c r="UUF161" s="4"/>
      <c r="UUG161" s="4"/>
      <c r="UUH161" s="4"/>
      <c r="UUI161" s="4"/>
      <c r="UUJ161" s="4"/>
      <c r="UUK161" s="4"/>
      <c r="UUL161" s="4"/>
      <c r="UUM161" s="4"/>
      <c r="UUN161" s="4"/>
      <c r="UUO161" s="4"/>
      <c r="UUP161" s="4"/>
      <c r="UUQ161" s="4"/>
      <c r="UUR161" s="4"/>
      <c r="UUS161" s="4"/>
      <c r="UUT161" s="4"/>
      <c r="UUU161" s="4"/>
      <c r="UUV161" s="4"/>
      <c r="UUW161" s="4"/>
      <c r="UUX161" s="4"/>
      <c r="UUY161" s="4"/>
      <c r="UUZ161" s="4"/>
      <c r="UVA161" s="4"/>
      <c r="UVB161" s="4"/>
      <c r="UVC161" s="4"/>
      <c r="UVD161" s="4"/>
      <c r="UVE161" s="4"/>
      <c r="UVF161" s="4"/>
      <c r="UVG161" s="4"/>
      <c r="UVH161" s="4"/>
      <c r="UVI161" s="4"/>
      <c r="UVJ161" s="4"/>
      <c r="UVK161" s="4"/>
      <c r="UVL161" s="4"/>
      <c r="UVM161" s="4"/>
      <c r="UVN161" s="4"/>
      <c r="UVO161" s="4"/>
      <c r="UVP161" s="4"/>
      <c r="UVQ161" s="4"/>
      <c r="UVR161" s="4"/>
      <c r="UVS161" s="4"/>
      <c r="UVT161" s="4"/>
      <c r="UVU161" s="4"/>
      <c r="UVV161" s="4"/>
      <c r="UVW161" s="4"/>
      <c r="UVX161" s="4"/>
      <c r="UVY161" s="4"/>
      <c r="UVZ161" s="4"/>
      <c r="UWA161" s="4"/>
      <c r="UWB161" s="4"/>
      <c r="UWC161" s="4"/>
      <c r="UWD161" s="4"/>
      <c r="UWE161" s="4"/>
      <c r="UWF161" s="4"/>
      <c r="UWG161" s="4"/>
      <c r="UWH161" s="4"/>
      <c r="UWI161" s="4"/>
      <c r="UWJ161" s="4"/>
      <c r="UWK161" s="4"/>
      <c r="UWL161" s="4"/>
      <c r="UWM161" s="4"/>
      <c r="UWN161" s="4"/>
      <c r="UWO161" s="4"/>
      <c r="UWP161" s="4"/>
      <c r="UWQ161" s="4"/>
      <c r="UWR161" s="4"/>
      <c r="UWS161" s="4"/>
      <c r="UWT161" s="4"/>
      <c r="UWU161" s="4"/>
      <c r="UWV161" s="4"/>
      <c r="UWW161" s="4"/>
      <c r="UWX161" s="4"/>
      <c r="UWY161" s="4"/>
      <c r="UWZ161" s="4"/>
      <c r="UXA161" s="4"/>
      <c r="UXB161" s="4"/>
      <c r="UXC161" s="4"/>
      <c r="UXD161" s="4"/>
      <c r="UXE161" s="4"/>
      <c r="UXF161" s="4"/>
      <c r="UXG161" s="4"/>
      <c r="UXH161" s="4"/>
      <c r="UXI161" s="4"/>
      <c r="UXJ161" s="4"/>
      <c r="UXK161" s="4"/>
      <c r="UXL161" s="4"/>
      <c r="UXM161" s="4"/>
      <c r="UXN161" s="4"/>
      <c r="UXO161" s="4"/>
      <c r="UXP161" s="4"/>
      <c r="UXQ161" s="4"/>
      <c r="UXR161" s="4"/>
      <c r="UXS161" s="4"/>
      <c r="UXT161" s="4"/>
      <c r="UXU161" s="4"/>
      <c r="UXV161" s="4"/>
      <c r="UXW161" s="4"/>
      <c r="UXX161" s="4"/>
      <c r="UXY161" s="4"/>
      <c r="UXZ161" s="4"/>
      <c r="UYA161" s="4"/>
      <c r="UYB161" s="4"/>
      <c r="UYC161" s="4"/>
      <c r="UYD161" s="4"/>
      <c r="UYE161" s="4"/>
      <c r="UYF161" s="4"/>
      <c r="UYG161" s="4"/>
      <c r="UYH161" s="4"/>
      <c r="UYI161" s="4"/>
      <c r="UYJ161" s="4"/>
      <c r="UYK161" s="4"/>
      <c r="UYL161" s="4"/>
      <c r="UYM161" s="4"/>
      <c r="UYN161" s="4"/>
      <c r="UYO161" s="4"/>
      <c r="UYP161" s="4"/>
      <c r="UYQ161" s="4"/>
      <c r="UYR161" s="4"/>
      <c r="UYS161" s="4"/>
      <c r="UYT161" s="4"/>
      <c r="UYU161" s="4"/>
      <c r="UYV161" s="4"/>
      <c r="UYW161" s="4"/>
      <c r="UYX161" s="4"/>
      <c r="UYY161" s="4"/>
      <c r="UYZ161" s="4"/>
      <c r="UZA161" s="4"/>
      <c r="UZB161" s="4"/>
      <c r="UZC161" s="4"/>
      <c r="UZD161" s="4"/>
      <c r="UZE161" s="4"/>
      <c r="UZF161" s="4"/>
      <c r="UZG161" s="4"/>
      <c r="UZH161" s="4"/>
      <c r="UZI161" s="4"/>
      <c r="UZJ161" s="4"/>
      <c r="UZK161" s="4"/>
      <c r="UZL161" s="4"/>
      <c r="UZM161" s="4"/>
      <c r="UZN161" s="4"/>
      <c r="UZO161" s="4"/>
      <c r="UZP161" s="4"/>
      <c r="UZQ161" s="4"/>
      <c r="UZR161" s="4"/>
      <c r="UZS161" s="4"/>
      <c r="UZT161" s="4"/>
      <c r="UZU161" s="4"/>
      <c r="UZV161" s="4"/>
      <c r="UZW161" s="4"/>
      <c r="UZX161" s="4"/>
      <c r="UZY161" s="4"/>
      <c r="UZZ161" s="4"/>
      <c r="VAA161" s="4"/>
      <c r="VAB161" s="4"/>
      <c r="VAC161" s="4"/>
      <c r="VAD161" s="4"/>
      <c r="VAE161" s="4"/>
      <c r="VAF161" s="4"/>
      <c r="VAG161" s="4"/>
      <c r="VAH161" s="4"/>
      <c r="VAI161" s="4"/>
      <c r="VAJ161" s="4"/>
      <c r="VAK161" s="4"/>
      <c r="VAL161" s="4"/>
      <c r="VAM161" s="4"/>
      <c r="VAN161" s="4"/>
      <c r="VAO161" s="4"/>
      <c r="VAP161" s="4"/>
      <c r="VAQ161" s="4"/>
      <c r="VAR161" s="4"/>
      <c r="VAS161" s="4"/>
      <c r="VAT161" s="4"/>
      <c r="VAU161" s="4"/>
      <c r="VAV161" s="4"/>
      <c r="VAW161" s="4"/>
      <c r="VAX161" s="4"/>
      <c r="VAY161" s="4"/>
      <c r="VAZ161" s="4"/>
      <c r="VBA161" s="4"/>
      <c r="VBB161" s="4"/>
      <c r="VBC161" s="4"/>
      <c r="VBD161" s="4"/>
      <c r="VBE161" s="4"/>
      <c r="VBF161" s="4"/>
      <c r="VBG161" s="4"/>
      <c r="VBH161" s="4"/>
      <c r="VBI161" s="4"/>
      <c r="VBJ161" s="4"/>
      <c r="VBK161" s="4"/>
      <c r="VBL161" s="4"/>
      <c r="VBM161" s="4"/>
      <c r="VBN161" s="4"/>
      <c r="VBO161" s="4"/>
      <c r="VBP161" s="4"/>
      <c r="VBQ161" s="4"/>
      <c r="VBR161" s="4"/>
      <c r="VBS161" s="4"/>
      <c r="VBT161" s="4"/>
      <c r="VBU161" s="4"/>
      <c r="VBV161" s="4"/>
      <c r="VBW161" s="4"/>
      <c r="VBX161" s="4"/>
      <c r="VBY161" s="4"/>
      <c r="VBZ161" s="4"/>
      <c r="VCA161" s="4"/>
      <c r="VCB161" s="4"/>
      <c r="VCC161" s="4"/>
      <c r="VCD161" s="4"/>
      <c r="VCE161" s="4"/>
      <c r="VCF161" s="4"/>
      <c r="VCG161" s="4"/>
      <c r="VCH161" s="4"/>
      <c r="VCI161" s="4"/>
      <c r="VCJ161" s="4"/>
      <c r="VCK161" s="4"/>
      <c r="VCL161" s="4"/>
      <c r="VCM161" s="4"/>
      <c r="VCN161" s="4"/>
      <c r="VCO161" s="4"/>
      <c r="VCP161" s="4"/>
      <c r="VCQ161" s="4"/>
      <c r="VCR161" s="4"/>
      <c r="VCS161" s="4"/>
      <c r="VCT161" s="4"/>
      <c r="VCU161" s="4"/>
      <c r="VCV161" s="4"/>
      <c r="VCW161" s="4"/>
      <c r="VCX161" s="4"/>
      <c r="VCY161" s="4"/>
      <c r="VCZ161" s="4"/>
      <c r="VDA161" s="4"/>
      <c r="VDB161" s="4"/>
      <c r="VDC161" s="4"/>
      <c r="VDD161" s="4"/>
      <c r="VDE161" s="4"/>
      <c r="VDF161" s="4"/>
      <c r="VDG161" s="4"/>
      <c r="VDH161" s="4"/>
      <c r="VDI161" s="4"/>
      <c r="VDJ161" s="4"/>
      <c r="VDK161" s="4"/>
      <c r="VDL161" s="4"/>
      <c r="VDM161" s="4"/>
      <c r="VDN161" s="4"/>
      <c r="VDO161" s="4"/>
      <c r="VDP161" s="4"/>
      <c r="VDQ161" s="4"/>
      <c r="VDR161" s="4"/>
      <c r="VDS161" s="4"/>
      <c r="VDT161" s="4"/>
      <c r="VDU161" s="4"/>
      <c r="VDV161" s="4"/>
      <c r="VDW161" s="4"/>
      <c r="VDX161" s="4"/>
      <c r="VDY161" s="4"/>
      <c r="VDZ161" s="4"/>
      <c r="VEA161" s="4"/>
      <c r="VEB161" s="4"/>
      <c r="VEC161" s="4"/>
      <c r="VED161" s="4"/>
      <c r="VEE161" s="4"/>
      <c r="VEF161" s="4"/>
      <c r="VEG161" s="4"/>
      <c r="VEH161" s="4"/>
      <c r="VEI161" s="4"/>
      <c r="VEJ161" s="4"/>
      <c r="VEK161" s="4"/>
      <c r="VEL161" s="4"/>
      <c r="VEM161" s="4"/>
      <c r="VEN161" s="4"/>
      <c r="VEO161" s="4"/>
      <c r="VEP161" s="4"/>
      <c r="VEQ161" s="4"/>
      <c r="VER161" s="4"/>
      <c r="VES161" s="4"/>
      <c r="VET161" s="4"/>
      <c r="VEU161" s="4"/>
      <c r="VEV161" s="4"/>
      <c r="VEW161" s="4"/>
      <c r="VEX161" s="4"/>
      <c r="VEY161" s="4"/>
      <c r="VEZ161" s="4"/>
      <c r="VFA161" s="4"/>
      <c r="VFB161" s="4"/>
      <c r="VFC161" s="4"/>
      <c r="VFD161" s="4"/>
      <c r="VFE161" s="4"/>
      <c r="VFF161" s="4"/>
      <c r="VFG161" s="4"/>
      <c r="VFH161" s="4"/>
      <c r="VFI161" s="4"/>
      <c r="VFJ161" s="4"/>
      <c r="VFK161" s="4"/>
      <c r="VFL161" s="4"/>
      <c r="VFM161" s="4"/>
      <c r="VFN161" s="4"/>
      <c r="VFO161" s="4"/>
      <c r="VFP161" s="4"/>
      <c r="VFQ161" s="4"/>
      <c r="VFR161" s="4"/>
      <c r="VFS161" s="4"/>
      <c r="VFT161" s="4"/>
      <c r="VFU161" s="4"/>
      <c r="VFV161" s="4"/>
      <c r="VFW161" s="4"/>
      <c r="VFX161" s="4"/>
      <c r="VFY161" s="4"/>
      <c r="VFZ161" s="4"/>
      <c r="VGA161" s="4"/>
      <c r="VGB161" s="4"/>
      <c r="VGC161" s="4"/>
      <c r="VGD161" s="4"/>
      <c r="VGE161" s="4"/>
      <c r="VGF161" s="4"/>
      <c r="VGG161" s="4"/>
      <c r="VGH161" s="4"/>
      <c r="VGI161" s="4"/>
      <c r="VGJ161" s="4"/>
      <c r="VGK161" s="4"/>
      <c r="VGL161" s="4"/>
      <c r="VGM161" s="4"/>
      <c r="VGN161" s="4"/>
      <c r="VGO161" s="4"/>
      <c r="VGP161" s="4"/>
      <c r="VGQ161" s="4"/>
      <c r="VGR161" s="4"/>
      <c r="VGS161" s="4"/>
      <c r="VGT161" s="4"/>
      <c r="VGU161" s="4"/>
      <c r="VGV161" s="4"/>
      <c r="VGW161" s="4"/>
      <c r="VGX161" s="4"/>
      <c r="VGY161" s="4"/>
      <c r="VGZ161" s="4"/>
      <c r="VHA161" s="4"/>
      <c r="VHB161" s="4"/>
      <c r="VHC161" s="4"/>
      <c r="VHD161" s="4"/>
      <c r="VHE161" s="4"/>
      <c r="VHF161" s="4"/>
      <c r="VHG161" s="4"/>
      <c r="VHH161" s="4"/>
      <c r="VHI161" s="4"/>
      <c r="VHJ161" s="4"/>
      <c r="VHK161" s="4"/>
      <c r="VHL161" s="4"/>
      <c r="VHM161" s="4"/>
      <c r="VHN161" s="4"/>
      <c r="VHO161" s="4"/>
      <c r="VHP161" s="4"/>
      <c r="VHQ161" s="4"/>
      <c r="VHR161" s="4"/>
      <c r="VHS161" s="4"/>
      <c r="VHT161" s="4"/>
      <c r="VHU161" s="4"/>
      <c r="VHV161" s="4"/>
      <c r="VHW161" s="4"/>
      <c r="VHX161" s="4"/>
      <c r="VHY161" s="4"/>
      <c r="VHZ161" s="4"/>
      <c r="VIA161" s="4"/>
      <c r="VIB161" s="4"/>
      <c r="VIC161" s="4"/>
      <c r="VID161" s="4"/>
      <c r="VIE161" s="4"/>
      <c r="VIF161" s="4"/>
      <c r="VIG161" s="4"/>
      <c r="VIH161" s="4"/>
      <c r="VII161" s="4"/>
      <c r="VIJ161" s="4"/>
      <c r="VIK161" s="4"/>
      <c r="VIL161" s="4"/>
      <c r="VIM161" s="4"/>
      <c r="VIN161" s="4"/>
      <c r="VIO161" s="4"/>
      <c r="VIP161" s="4"/>
      <c r="VIQ161" s="4"/>
      <c r="VIR161" s="4"/>
      <c r="VIS161" s="4"/>
      <c r="VIT161" s="4"/>
      <c r="VIU161" s="4"/>
      <c r="VIV161" s="4"/>
      <c r="VIW161" s="4"/>
      <c r="VIX161" s="4"/>
      <c r="VIY161" s="4"/>
      <c r="VIZ161" s="4"/>
      <c r="VJA161" s="4"/>
      <c r="VJB161" s="4"/>
      <c r="VJC161" s="4"/>
      <c r="VJD161" s="4"/>
      <c r="VJE161" s="4"/>
      <c r="VJF161" s="4"/>
      <c r="VJG161" s="4"/>
      <c r="VJH161" s="4"/>
      <c r="VJI161" s="4"/>
      <c r="VJJ161" s="4"/>
      <c r="VJK161" s="4"/>
      <c r="VJL161" s="4"/>
      <c r="VJM161" s="4"/>
      <c r="VJN161" s="4"/>
      <c r="VJO161" s="4"/>
      <c r="VJP161" s="4"/>
      <c r="VJQ161" s="4"/>
      <c r="VJR161" s="4"/>
      <c r="VJS161" s="4"/>
      <c r="VJT161" s="4"/>
      <c r="VJU161" s="4"/>
      <c r="VJV161" s="4"/>
      <c r="VJW161" s="4"/>
      <c r="VJX161" s="4"/>
      <c r="VJY161" s="4"/>
      <c r="VJZ161" s="4"/>
      <c r="VKA161" s="4"/>
      <c r="VKB161" s="4"/>
      <c r="VKC161" s="4"/>
      <c r="VKD161" s="4"/>
      <c r="VKE161" s="4"/>
      <c r="VKF161" s="4"/>
      <c r="VKG161" s="4"/>
      <c r="VKH161" s="4"/>
      <c r="VKI161" s="4"/>
      <c r="VKJ161" s="4"/>
      <c r="VKK161" s="4"/>
      <c r="VKL161" s="4"/>
      <c r="VKM161" s="4"/>
      <c r="VKN161" s="4"/>
      <c r="VKO161" s="4"/>
      <c r="VKP161" s="4"/>
      <c r="VKQ161" s="4"/>
      <c r="VKR161" s="4"/>
      <c r="VKS161" s="4"/>
      <c r="VKT161" s="4"/>
      <c r="VKU161" s="4"/>
      <c r="VKV161" s="4"/>
      <c r="VKW161" s="4"/>
      <c r="VKX161" s="4"/>
      <c r="VKY161" s="4"/>
      <c r="VKZ161" s="4"/>
      <c r="VLA161" s="4"/>
      <c r="VLB161" s="4"/>
      <c r="VLC161" s="4"/>
      <c r="VLD161" s="4"/>
      <c r="VLE161" s="4"/>
      <c r="VLF161" s="4"/>
      <c r="VLG161" s="4"/>
      <c r="VLH161" s="4"/>
      <c r="VLI161" s="4"/>
      <c r="VLJ161" s="4"/>
      <c r="VLK161" s="4"/>
      <c r="VLL161" s="4"/>
      <c r="VLM161" s="4"/>
      <c r="VLN161" s="4"/>
      <c r="VLO161" s="4"/>
      <c r="VLP161" s="4"/>
      <c r="VLQ161" s="4"/>
      <c r="VLR161" s="4"/>
      <c r="VLS161" s="4"/>
      <c r="VLT161" s="4"/>
      <c r="VLU161" s="4"/>
      <c r="VLV161" s="4"/>
      <c r="VLW161" s="4"/>
      <c r="VLX161" s="4"/>
      <c r="VLY161" s="4"/>
      <c r="VLZ161" s="4"/>
      <c r="VMA161" s="4"/>
      <c r="VMB161" s="4"/>
      <c r="VMC161" s="4"/>
      <c r="VMD161" s="4"/>
      <c r="VME161" s="4"/>
      <c r="VMF161" s="4"/>
      <c r="VMG161" s="4"/>
      <c r="VMH161" s="4"/>
      <c r="VMI161" s="4"/>
      <c r="VMJ161" s="4"/>
      <c r="VMK161" s="4"/>
      <c r="VML161" s="4"/>
      <c r="VMM161" s="4"/>
      <c r="VMN161" s="4"/>
      <c r="VMO161" s="4"/>
      <c r="VMP161" s="4"/>
      <c r="VMQ161" s="4"/>
      <c r="VMR161" s="4"/>
      <c r="VMS161" s="4"/>
      <c r="VMT161" s="4"/>
      <c r="VMU161" s="4"/>
      <c r="VMV161" s="4"/>
      <c r="VMW161" s="4"/>
      <c r="VMX161" s="4"/>
      <c r="VMY161" s="4"/>
      <c r="VMZ161" s="4"/>
      <c r="VNA161" s="4"/>
      <c r="VNB161" s="4"/>
      <c r="VNC161" s="4"/>
      <c r="VND161" s="4"/>
      <c r="VNE161" s="4"/>
      <c r="VNF161" s="4"/>
      <c r="VNG161" s="4"/>
      <c r="VNH161" s="4"/>
      <c r="VNI161" s="4"/>
      <c r="VNJ161" s="4"/>
      <c r="VNK161" s="4"/>
      <c r="VNL161" s="4"/>
      <c r="VNM161" s="4"/>
      <c r="VNN161" s="4"/>
      <c r="VNO161" s="4"/>
      <c r="VNP161" s="4"/>
      <c r="VNQ161" s="4"/>
      <c r="VNR161" s="4"/>
      <c r="VNS161" s="4"/>
      <c r="VNT161" s="4"/>
      <c r="VNU161" s="4"/>
      <c r="VNV161" s="4"/>
      <c r="VNW161" s="4"/>
      <c r="VNX161" s="4"/>
      <c r="VNY161" s="4"/>
      <c r="VNZ161" s="4"/>
      <c r="VOA161" s="4"/>
      <c r="VOB161" s="4"/>
      <c r="VOC161" s="4"/>
      <c r="VOD161" s="4"/>
      <c r="VOE161" s="4"/>
      <c r="VOF161" s="4"/>
      <c r="VOG161" s="4"/>
      <c r="VOH161" s="4"/>
      <c r="VOI161" s="4"/>
      <c r="VOJ161" s="4"/>
      <c r="VOK161" s="4"/>
      <c r="VOL161" s="4"/>
      <c r="VOM161" s="4"/>
      <c r="VON161" s="4"/>
      <c r="VOO161" s="4"/>
      <c r="VOP161" s="4"/>
      <c r="VOQ161" s="4"/>
      <c r="VOR161" s="4"/>
      <c r="VOS161" s="4"/>
      <c r="VOT161" s="4"/>
      <c r="VOU161" s="4"/>
      <c r="VOV161" s="4"/>
      <c r="VOW161" s="4"/>
      <c r="VOX161" s="4"/>
      <c r="VOY161" s="4"/>
      <c r="VOZ161" s="4"/>
      <c r="VPA161" s="4"/>
      <c r="VPB161" s="4"/>
      <c r="VPC161" s="4"/>
      <c r="VPD161" s="4"/>
      <c r="VPE161" s="4"/>
      <c r="VPF161" s="4"/>
      <c r="VPG161" s="4"/>
      <c r="VPH161" s="4"/>
      <c r="VPI161" s="4"/>
      <c r="VPJ161" s="4"/>
      <c r="VPK161" s="4"/>
      <c r="VPL161" s="4"/>
      <c r="VPM161" s="4"/>
      <c r="VPN161" s="4"/>
      <c r="VPO161" s="4"/>
      <c r="VPP161" s="4"/>
      <c r="VPQ161" s="4"/>
      <c r="VPR161" s="4"/>
      <c r="VPS161" s="4"/>
      <c r="VPT161" s="4"/>
      <c r="VPU161" s="4"/>
      <c r="VPV161" s="4"/>
      <c r="VPW161" s="4"/>
      <c r="VPX161" s="4"/>
      <c r="VPY161" s="4"/>
      <c r="VPZ161" s="4"/>
      <c r="VQA161" s="4"/>
      <c r="VQB161" s="4"/>
      <c r="VQC161" s="4"/>
      <c r="VQD161" s="4"/>
      <c r="VQE161" s="4"/>
      <c r="VQF161" s="4"/>
      <c r="VQG161" s="4"/>
      <c r="VQH161" s="4"/>
      <c r="VQI161" s="4"/>
      <c r="VQJ161" s="4"/>
      <c r="VQK161" s="4"/>
      <c r="VQL161" s="4"/>
      <c r="VQM161" s="4"/>
      <c r="VQN161" s="4"/>
      <c r="VQO161" s="4"/>
      <c r="VQP161" s="4"/>
      <c r="VQQ161" s="4"/>
      <c r="VQR161" s="4"/>
      <c r="VQS161" s="4"/>
      <c r="VQT161" s="4"/>
      <c r="VQU161" s="4"/>
      <c r="VQV161" s="4"/>
      <c r="VQW161" s="4"/>
      <c r="VQX161" s="4"/>
      <c r="VQY161" s="4"/>
      <c r="VQZ161" s="4"/>
      <c r="VRA161" s="4"/>
      <c r="VRB161" s="4"/>
      <c r="VRC161" s="4"/>
      <c r="VRD161" s="4"/>
      <c r="VRE161" s="4"/>
      <c r="VRF161" s="4"/>
      <c r="VRG161" s="4"/>
      <c r="VRH161" s="4"/>
      <c r="VRI161" s="4"/>
      <c r="VRJ161" s="4"/>
      <c r="VRK161" s="4"/>
      <c r="VRL161" s="4"/>
      <c r="VRM161" s="4"/>
      <c r="VRN161" s="4"/>
      <c r="VRO161" s="4"/>
      <c r="VRP161" s="4"/>
      <c r="VRQ161" s="4"/>
      <c r="VRR161" s="4"/>
      <c r="VRS161" s="4"/>
      <c r="VRT161" s="4"/>
      <c r="VRU161" s="4"/>
      <c r="VRV161" s="4"/>
      <c r="VRW161" s="4"/>
      <c r="VRX161" s="4"/>
      <c r="VRY161" s="4"/>
      <c r="VRZ161" s="4"/>
      <c r="VSA161" s="4"/>
      <c r="VSB161" s="4"/>
      <c r="VSC161" s="4"/>
      <c r="VSD161" s="4"/>
      <c r="VSE161" s="4"/>
      <c r="VSF161" s="4"/>
      <c r="VSG161" s="4"/>
      <c r="VSH161" s="4"/>
      <c r="VSI161" s="4"/>
      <c r="VSJ161" s="4"/>
      <c r="VSK161" s="4"/>
      <c r="VSL161" s="4"/>
      <c r="VSM161" s="4"/>
      <c r="VSN161" s="4"/>
      <c r="VSO161" s="4"/>
      <c r="VSP161" s="4"/>
      <c r="VSQ161" s="4"/>
      <c r="VSR161" s="4"/>
      <c r="VSS161" s="4"/>
      <c r="VST161" s="4"/>
      <c r="VSU161" s="4"/>
      <c r="VSV161" s="4"/>
      <c r="VSW161" s="4"/>
      <c r="VSX161" s="4"/>
      <c r="VSY161" s="4"/>
      <c r="VSZ161" s="4"/>
      <c r="VTA161" s="4"/>
      <c r="VTB161" s="4"/>
      <c r="VTC161" s="4"/>
      <c r="VTD161" s="4"/>
      <c r="VTE161" s="4"/>
      <c r="VTF161" s="4"/>
      <c r="VTG161" s="4"/>
      <c r="VTH161" s="4"/>
      <c r="VTI161" s="4"/>
      <c r="VTJ161" s="4"/>
      <c r="VTK161" s="4"/>
      <c r="VTL161" s="4"/>
      <c r="VTM161" s="4"/>
      <c r="VTN161" s="4"/>
      <c r="VTO161" s="4"/>
      <c r="VTP161" s="4"/>
      <c r="VTQ161" s="4"/>
      <c r="VTR161" s="4"/>
      <c r="VTS161" s="4"/>
      <c r="VTT161" s="4"/>
      <c r="VTU161" s="4"/>
      <c r="VTV161" s="4"/>
      <c r="VTW161" s="4"/>
      <c r="VTX161" s="4"/>
      <c r="VTY161" s="4"/>
      <c r="VTZ161" s="4"/>
      <c r="VUA161" s="4"/>
      <c r="VUB161" s="4"/>
      <c r="VUC161" s="4"/>
      <c r="VUD161" s="4"/>
      <c r="VUE161" s="4"/>
      <c r="VUF161" s="4"/>
      <c r="VUG161" s="4"/>
      <c r="VUH161" s="4"/>
      <c r="VUI161" s="4"/>
      <c r="VUJ161" s="4"/>
      <c r="VUK161" s="4"/>
      <c r="VUL161" s="4"/>
      <c r="VUM161" s="4"/>
      <c r="VUN161" s="4"/>
      <c r="VUO161" s="4"/>
      <c r="VUP161" s="4"/>
      <c r="VUQ161" s="4"/>
      <c r="VUR161" s="4"/>
      <c r="VUS161" s="4"/>
      <c r="VUT161" s="4"/>
      <c r="VUU161" s="4"/>
      <c r="VUV161" s="4"/>
      <c r="VUW161" s="4"/>
      <c r="VUX161" s="4"/>
      <c r="VUY161" s="4"/>
      <c r="VUZ161" s="4"/>
      <c r="VVA161" s="4"/>
      <c r="VVB161" s="4"/>
      <c r="VVC161" s="4"/>
      <c r="VVD161" s="4"/>
      <c r="VVE161" s="4"/>
      <c r="VVF161" s="4"/>
      <c r="VVG161" s="4"/>
      <c r="VVH161" s="4"/>
      <c r="VVI161" s="4"/>
      <c r="VVJ161" s="4"/>
      <c r="VVK161" s="4"/>
      <c r="VVL161" s="4"/>
      <c r="VVM161" s="4"/>
      <c r="VVN161" s="4"/>
      <c r="VVO161" s="4"/>
      <c r="VVP161" s="4"/>
      <c r="VVQ161" s="4"/>
      <c r="VVR161" s="4"/>
      <c r="VVS161" s="4"/>
      <c r="VVT161" s="4"/>
      <c r="VVU161" s="4"/>
      <c r="VVV161" s="4"/>
      <c r="VVW161" s="4"/>
      <c r="VVX161" s="4"/>
      <c r="VVY161" s="4"/>
      <c r="VVZ161" s="4"/>
      <c r="VWA161" s="4"/>
      <c r="VWB161" s="4"/>
      <c r="VWC161" s="4"/>
      <c r="VWD161" s="4"/>
      <c r="VWE161" s="4"/>
      <c r="VWF161" s="4"/>
      <c r="VWG161" s="4"/>
      <c r="VWH161" s="4"/>
      <c r="VWI161" s="4"/>
      <c r="VWJ161" s="4"/>
      <c r="VWK161" s="4"/>
      <c r="VWL161" s="4"/>
      <c r="VWM161" s="4"/>
      <c r="VWN161" s="4"/>
      <c r="VWO161" s="4"/>
      <c r="VWP161" s="4"/>
      <c r="VWQ161" s="4"/>
      <c r="VWR161" s="4"/>
      <c r="VWS161" s="4"/>
      <c r="VWT161" s="4"/>
      <c r="VWU161" s="4"/>
      <c r="VWV161" s="4"/>
      <c r="VWW161" s="4"/>
      <c r="VWX161" s="4"/>
      <c r="VWY161" s="4"/>
      <c r="VWZ161" s="4"/>
      <c r="VXA161" s="4"/>
      <c r="VXB161" s="4"/>
      <c r="VXC161" s="4"/>
      <c r="VXD161" s="4"/>
      <c r="VXE161" s="4"/>
      <c r="VXF161" s="4"/>
      <c r="VXG161" s="4"/>
      <c r="VXH161" s="4"/>
      <c r="VXI161" s="4"/>
      <c r="VXJ161" s="4"/>
      <c r="VXK161" s="4"/>
      <c r="VXL161" s="4"/>
      <c r="VXM161" s="4"/>
      <c r="VXN161" s="4"/>
      <c r="VXO161" s="4"/>
      <c r="VXP161" s="4"/>
      <c r="VXQ161" s="4"/>
      <c r="VXR161" s="4"/>
      <c r="VXS161" s="4"/>
      <c r="VXT161" s="4"/>
      <c r="VXU161" s="4"/>
      <c r="VXV161" s="4"/>
      <c r="VXW161" s="4"/>
      <c r="VXX161" s="4"/>
      <c r="VXY161" s="4"/>
      <c r="VXZ161" s="4"/>
      <c r="VYA161" s="4"/>
      <c r="VYB161" s="4"/>
      <c r="VYC161" s="4"/>
      <c r="VYD161" s="4"/>
      <c r="VYE161" s="4"/>
      <c r="VYF161" s="4"/>
      <c r="VYG161" s="4"/>
      <c r="VYH161" s="4"/>
      <c r="VYI161" s="4"/>
      <c r="VYJ161" s="4"/>
      <c r="VYK161" s="4"/>
      <c r="VYL161" s="4"/>
      <c r="VYM161" s="4"/>
      <c r="VYN161" s="4"/>
      <c r="VYO161" s="4"/>
      <c r="VYP161" s="4"/>
      <c r="VYQ161" s="4"/>
      <c r="VYR161" s="4"/>
      <c r="VYS161" s="4"/>
      <c r="VYT161" s="4"/>
      <c r="VYU161" s="4"/>
      <c r="VYV161" s="4"/>
      <c r="VYW161" s="4"/>
      <c r="VYX161" s="4"/>
      <c r="VYY161" s="4"/>
      <c r="VYZ161" s="4"/>
      <c r="VZA161" s="4"/>
      <c r="VZB161" s="4"/>
      <c r="VZC161" s="4"/>
      <c r="VZD161" s="4"/>
      <c r="VZE161" s="4"/>
      <c r="VZF161" s="4"/>
      <c r="VZG161" s="4"/>
      <c r="VZH161" s="4"/>
      <c r="VZI161" s="4"/>
      <c r="VZJ161" s="4"/>
      <c r="VZK161" s="4"/>
      <c r="VZL161" s="4"/>
      <c r="VZM161" s="4"/>
      <c r="VZN161" s="4"/>
      <c r="VZO161" s="4"/>
      <c r="VZP161" s="4"/>
      <c r="VZQ161" s="4"/>
      <c r="VZR161" s="4"/>
      <c r="VZS161" s="4"/>
      <c r="VZT161" s="4"/>
      <c r="VZU161" s="4"/>
      <c r="VZV161" s="4"/>
      <c r="VZW161" s="4"/>
      <c r="VZX161" s="4"/>
      <c r="VZY161" s="4"/>
      <c r="VZZ161" s="4"/>
      <c r="WAA161" s="4"/>
      <c r="WAB161" s="4"/>
      <c r="WAC161" s="4"/>
      <c r="WAD161" s="4"/>
      <c r="WAE161" s="4"/>
      <c r="WAF161" s="4"/>
      <c r="WAG161" s="4"/>
      <c r="WAH161" s="4"/>
      <c r="WAI161" s="4"/>
      <c r="WAJ161" s="4"/>
      <c r="WAK161" s="4"/>
      <c r="WAL161" s="4"/>
      <c r="WAM161" s="4"/>
      <c r="WAN161" s="4"/>
      <c r="WAO161" s="4"/>
      <c r="WAP161" s="4"/>
      <c r="WAQ161" s="4"/>
      <c r="WAR161" s="4"/>
      <c r="WAS161" s="4"/>
      <c r="WAT161" s="4"/>
      <c r="WAU161" s="4"/>
      <c r="WAV161" s="4"/>
      <c r="WAW161" s="4"/>
      <c r="WAX161" s="4"/>
      <c r="WAY161" s="4"/>
      <c r="WAZ161" s="4"/>
      <c r="WBA161" s="4"/>
      <c r="WBB161" s="4"/>
      <c r="WBC161" s="4"/>
      <c r="WBD161" s="4"/>
      <c r="WBE161" s="4"/>
      <c r="WBF161" s="4"/>
      <c r="WBG161" s="4"/>
      <c r="WBH161" s="4"/>
      <c r="WBI161" s="4"/>
      <c r="WBJ161" s="4"/>
      <c r="WBK161" s="4"/>
      <c r="WBL161" s="4"/>
      <c r="WBM161" s="4"/>
      <c r="WBN161" s="4"/>
      <c r="WBO161" s="4"/>
      <c r="WBP161" s="4"/>
      <c r="WBQ161" s="4"/>
      <c r="WBR161" s="4"/>
      <c r="WBS161" s="4"/>
      <c r="WBT161" s="4"/>
      <c r="WBU161" s="4"/>
      <c r="WBV161" s="4"/>
      <c r="WBW161" s="4"/>
      <c r="WBX161" s="4"/>
      <c r="WBY161" s="4"/>
      <c r="WBZ161" s="4"/>
      <c r="WCA161" s="4"/>
      <c r="WCB161" s="4"/>
      <c r="WCC161" s="4"/>
      <c r="WCD161" s="4"/>
      <c r="WCE161" s="4"/>
      <c r="WCF161" s="4"/>
      <c r="WCG161" s="4"/>
      <c r="WCH161" s="4"/>
      <c r="WCI161" s="4"/>
      <c r="WCJ161" s="4"/>
      <c r="WCK161" s="4"/>
      <c r="WCL161" s="4"/>
      <c r="WCM161" s="4"/>
      <c r="WCN161" s="4"/>
      <c r="WCO161" s="4"/>
      <c r="WCP161" s="4"/>
      <c r="WCQ161" s="4"/>
      <c r="WCR161" s="4"/>
      <c r="WCS161" s="4"/>
      <c r="WCT161" s="4"/>
      <c r="WCU161" s="4"/>
      <c r="WCV161" s="4"/>
      <c r="WCW161" s="4"/>
      <c r="WCX161" s="4"/>
      <c r="WCY161" s="4"/>
      <c r="WCZ161" s="4"/>
      <c r="WDA161" s="4"/>
      <c r="WDB161" s="4"/>
      <c r="WDC161" s="4"/>
      <c r="WDD161" s="4"/>
      <c r="WDE161" s="4"/>
      <c r="WDF161" s="4"/>
      <c r="WDG161" s="4"/>
      <c r="WDH161" s="4"/>
      <c r="WDI161" s="4"/>
      <c r="WDJ161" s="4"/>
      <c r="WDK161" s="4"/>
      <c r="WDL161" s="4"/>
      <c r="WDM161" s="4"/>
      <c r="WDN161" s="4"/>
      <c r="WDO161" s="4"/>
      <c r="WDP161" s="4"/>
      <c r="WDQ161" s="4"/>
      <c r="WDR161" s="4"/>
      <c r="WDS161" s="4"/>
      <c r="WDT161" s="4"/>
      <c r="WDU161" s="4"/>
      <c r="WDV161" s="4"/>
      <c r="WDW161" s="4"/>
      <c r="WDX161" s="4"/>
      <c r="WDY161" s="4"/>
      <c r="WDZ161" s="4"/>
      <c r="WEA161" s="4"/>
      <c r="WEB161" s="4"/>
      <c r="WEC161" s="4"/>
      <c r="WED161" s="4"/>
      <c r="WEE161" s="4"/>
      <c r="WEF161" s="4"/>
      <c r="WEG161" s="4"/>
      <c r="WEH161" s="4"/>
      <c r="WEI161" s="4"/>
      <c r="WEJ161" s="4"/>
      <c r="WEK161" s="4"/>
      <c r="WEL161" s="4"/>
      <c r="WEM161" s="4"/>
      <c r="WEN161" s="4"/>
      <c r="WEO161" s="4"/>
      <c r="WEP161" s="4"/>
      <c r="WEQ161" s="4"/>
      <c r="WER161" s="4"/>
      <c r="WES161" s="4"/>
      <c r="WET161" s="4"/>
      <c r="WEU161" s="4"/>
      <c r="WEV161" s="4"/>
      <c r="WEW161" s="4"/>
      <c r="WEX161" s="4"/>
      <c r="WEY161" s="4"/>
      <c r="WEZ161" s="4"/>
      <c r="WFA161" s="4"/>
      <c r="WFB161" s="4"/>
      <c r="WFC161" s="4"/>
      <c r="WFD161" s="4"/>
      <c r="WFE161" s="4"/>
      <c r="WFF161" s="4"/>
      <c r="WFG161" s="4"/>
      <c r="WFH161" s="4"/>
      <c r="WFI161" s="4"/>
      <c r="WFJ161" s="4"/>
      <c r="WFK161" s="4"/>
      <c r="WFL161" s="4"/>
      <c r="WFM161" s="4"/>
      <c r="WFN161" s="4"/>
      <c r="WFO161" s="4"/>
      <c r="WFP161" s="4"/>
      <c r="WFQ161" s="4"/>
      <c r="WFR161" s="4"/>
      <c r="WFS161" s="4"/>
      <c r="WFT161" s="4"/>
      <c r="WFU161" s="4"/>
      <c r="WFV161" s="4"/>
      <c r="WFW161" s="4"/>
      <c r="WFX161" s="4"/>
      <c r="WFY161" s="4"/>
      <c r="WFZ161" s="4"/>
      <c r="WGA161" s="4"/>
      <c r="WGB161" s="4"/>
      <c r="WGC161" s="4"/>
      <c r="WGD161" s="4"/>
      <c r="WGE161" s="4"/>
      <c r="WGF161" s="4"/>
      <c r="WGG161" s="4"/>
      <c r="WGH161" s="4"/>
      <c r="WGI161" s="4"/>
      <c r="WGJ161" s="4"/>
      <c r="WGK161" s="4"/>
      <c r="WGL161" s="4"/>
      <c r="WGM161" s="4"/>
      <c r="WGN161" s="4"/>
      <c r="WGO161" s="4"/>
      <c r="WGP161" s="4"/>
      <c r="WGQ161" s="4"/>
      <c r="WGR161" s="4"/>
      <c r="WGS161" s="4"/>
      <c r="WGT161" s="4"/>
      <c r="WGU161" s="4"/>
      <c r="WGV161" s="4"/>
      <c r="WGW161" s="4"/>
      <c r="WGX161" s="4"/>
      <c r="WGY161" s="4"/>
      <c r="WGZ161" s="4"/>
      <c r="WHA161" s="4"/>
      <c r="WHB161" s="4"/>
      <c r="WHC161" s="4"/>
      <c r="WHD161" s="4"/>
      <c r="WHE161" s="4"/>
      <c r="WHF161" s="4"/>
      <c r="WHG161" s="4"/>
      <c r="WHH161" s="4"/>
      <c r="WHI161" s="4"/>
      <c r="WHJ161" s="4"/>
      <c r="WHK161" s="4"/>
      <c r="WHL161" s="4"/>
      <c r="WHM161" s="4"/>
      <c r="WHN161" s="4"/>
      <c r="WHO161" s="4"/>
      <c r="WHP161" s="4"/>
      <c r="WHQ161" s="4"/>
      <c r="WHR161" s="4"/>
      <c r="WHS161" s="4"/>
      <c r="WHT161" s="4"/>
      <c r="WHU161" s="4"/>
      <c r="WHV161" s="4"/>
      <c r="WHW161" s="4"/>
      <c r="WHX161" s="4"/>
      <c r="WHY161" s="4"/>
      <c r="WHZ161" s="4"/>
      <c r="WIA161" s="4"/>
      <c r="WIB161" s="4"/>
      <c r="WIC161" s="4"/>
      <c r="WID161" s="4"/>
      <c r="WIE161" s="4"/>
      <c r="WIF161" s="4"/>
      <c r="WIG161" s="4"/>
      <c r="WIH161" s="4"/>
      <c r="WII161" s="4"/>
      <c r="WIJ161" s="4"/>
      <c r="WIK161" s="4"/>
      <c r="WIL161" s="4"/>
      <c r="WIM161" s="4"/>
      <c r="WIN161" s="4"/>
      <c r="WIO161" s="4"/>
      <c r="WIP161" s="4"/>
      <c r="WIQ161" s="4"/>
      <c r="WIR161" s="4"/>
      <c r="WIS161" s="4"/>
      <c r="WIT161" s="4"/>
      <c r="WIU161" s="4"/>
      <c r="WIV161" s="4"/>
      <c r="WIW161" s="4"/>
      <c r="WIX161" s="4"/>
      <c r="WIY161" s="4"/>
      <c r="WIZ161" s="4"/>
      <c r="WJA161" s="4"/>
      <c r="WJB161" s="4"/>
      <c r="WJC161" s="4"/>
      <c r="WJD161" s="4"/>
      <c r="WJE161" s="4"/>
      <c r="WJF161" s="4"/>
      <c r="WJG161" s="4"/>
      <c r="WJH161" s="4"/>
      <c r="WJI161" s="4"/>
      <c r="WJJ161" s="4"/>
      <c r="WJK161" s="4"/>
      <c r="WJL161" s="4"/>
      <c r="WJM161" s="4"/>
      <c r="WJN161" s="4"/>
      <c r="WJO161" s="4"/>
      <c r="WJP161" s="4"/>
      <c r="WJQ161" s="4"/>
      <c r="WJR161" s="4"/>
      <c r="WJS161" s="4"/>
      <c r="WJT161" s="4"/>
      <c r="WJU161" s="4"/>
      <c r="WJV161" s="4"/>
      <c r="WJW161" s="4"/>
      <c r="WJX161" s="4"/>
      <c r="WJY161" s="4"/>
      <c r="WJZ161" s="4"/>
      <c r="WKA161" s="4"/>
      <c r="WKB161" s="4"/>
      <c r="WKC161" s="4"/>
      <c r="WKD161" s="4"/>
      <c r="WKE161" s="4"/>
      <c r="WKF161" s="4"/>
      <c r="WKG161" s="4"/>
      <c r="WKH161" s="4"/>
      <c r="WKI161" s="4"/>
      <c r="WKJ161" s="4"/>
      <c r="WKK161" s="4"/>
      <c r="WKL161" s="4"/>
      <c r="WKM161" s="4"/>
      <c r="WKN161" s="4"/>
      <c r="WKO161" s="4"/>
      <c r="WKP161" s="4"/>
      <c r="WKQ161" s="4"/>
      <c r="WKR161" s="4"/>
      <c r="WKS161" s="4"/>
      <c r="WKT161" s="4"/>
      <c r="WKU161" s="4"/>
      <c r="WKV161" s="4"/>
      <c r="WKW161" s="4"/>
      <c r="WKX161" s="4"/>
      <c r="WKY161" s="4"/>
      <c r="WKZ161" s="4"/>
      <c r="WLA161" s="4"/>
      <c r="WLB161" s="4"/>
      <c r="WLC161" s="4"/>
      <c r="WLD161" s="4"/>
      <c r="WLE161" s="4"/>
      <c r="WLF161" s="4"/>
      <c r="WLG161" s="4"/>
      <c r="WLH161" s="4"/>
      <c r="WLI161" s="4"/>
      <c r="WLJ161" s="4"/>
      <c r="WLK161" s="4"/>
      <c r="WLL161" s="4"/>
      <c r="WLM161" s="4"/>
      <c r="WLN161" s="4"/>
      <c r="WLO161" s="4"/>
      <c r="WLP161" s="4"/>
      <c r="WLQ161" s="4"/>
      <c r="WLR161" s="4"/>
      <c r="WLS161" s="4"/>
      <c r="WLT161" s="4"/>
      <c r="WLU161" s="4"/>
      <c r="WLV161" s="4"/>
      <c r="WLW161" s="4"/>
      <c r="WLX161" s="4"/>
      <c r="WLY161" s="4"/>
      <c r="WLZ161" s="4"/>
      <c r="WMA161" s="4"/>
      <c r="WMB161" s="4"/>
      <c r="WMC161" s="4"/>
      <c r="WMD161" s="4"/>
      <c r="WME161" s="4"/>
      <c r="WMF161" s="4"/>
      <c r="WMG161" s="4"/>
      <c r="WMH161" s="4"/>
      <c r="WMI161" s="4"/>
      <c r="WMJ161" s="4"/>
      <c r="WMK161" s="4"/>
      <c r="WML161" s="4"/>
      <c r="WMM161" s="4"/>
      <c r="WMN161" s="4"/>
      <c r="WMO161" s="4"/>
      <c r="WMP161" s="4"/>
      <c r="WMQ161" s="4"/>
      <c r="WMR161" s="4"/>
      <c r="WMS161" s="4"/>
      <c r="WMT161" s="4"/>
      <c r="WMU161" s="4"/>
      <c r="WMV161" s="4"/>
      <c r="WMW161" s="4"/>
      <c r="WMX161" s="4"/>
      <c r="WMY161" s="4"/>
      <c r="WMZ161" s="4"/>
      <c r="WNA161" s="4"/>
      <c r="WNB161" s="4"/>
      <c r="WNC161" s="4"/>
      <c r="WND161" s="4"/>
      <c r="WNE161" s="4"/>
      <c r="WNF161" s="4"/>
      <c r="WNG161" s="4"/>
      <c r="WNH161" s="4"/>
      <c r="WNI161" s="4"/>
      <c r="WNJ161" s="4"/>
      <c r="WNK161" s="4"/>
      <c r="WNL161" s="4"/>
      <c r="WNM161" s="4"/>
      <c r="WNN161" s="4"/>
      <c r="WNO161" s="4"/>
      <c r="WNP161" s="4"/>
      <c r="WNQ161" s="4"/>
      <c r="WNR161" s="4"/>
      <c r="WNS161" s="4"/>
      <c r="WNT161" s="4"/>
      <c r="WNU161" s="4"/>
      <c r="WNV161" s="4"/>
      <c r="WNW161" s="4"/>
      <c r="WNX161" s="4"/>
      <c r="WNY161" s="4"/>
      <c r="WNZ161" s="4"/>
      <c r="WOA161" s="4"/>
      <c r="WOB161" s="4"/>
      <c r="WOC161" s="4"/>
      <c r="WOD161" s="4"/>
      <c r="WOE161" s="4"/>
      <c r="WOF161" s="4"/>
      <c r="WOG161" s="4"/>
      <c r="WOH161" s="4"/>
      <c r="WOI161" s="4"/>
      <c r="WOJ161" s="4"/>
      <c r="WOK161" s="4"/>
      <c r="WOL161" s="4"/>
      <c r="WOM161" s="4"/>
      <c r="WON161" s="4"/>
      <c r="WOO161" s="4"/>
      <c r="WOP161" s="4"/>
      <c r="WOQ161" s="4"/>
      <c r="WOR161" s="4"/>
      <c r="WOS161" s="4"/>
      <c r="WOT161" s="4"/>
      <c r="WOU161" s="4"/>
      <c r="WOV161" s="4"/>
      <c r="WOW161" s="4"/>
      <c r="WOX161" s="4"/>
      <c r="WOY161" s="4"/>
      <c r="WOZ161" s="4"/>
      <c r="WPA161" s="4"/>
      <c r="WPB161" s="4"/>
      <c r="WPC161" s="4"/>
      <c r="WPD161" s="4"/>
      <c r="WPE161" s="4"/>
      <c r="WPF161" s="4"/>
      <c r="WPG161" s="4"/>
      <c r="WPH161" s="4"/>
      <c r="WPI161" s="4"/>
      <c r="WPJ161" s="4"/>
      <c r="WPK161" s="4"/>
      <c r="WPL161" s="4"/>
      <c r="WPM161" s="4"/>
      <c r="WPN161" s="4"/>
      <c r="WPO161" s="4"/>
      <c r="WPP161" s="4"/>
      <c r="WPQ161" s="4"/>
      <c r="WPR161" s="4"/>
      <c r="WPS161" s="4"/>
      <c r="WPT161" s="4"/>
      <c r="WPU161" s="4"/>
      <c r="WPV161" s="4"/>
      <c r="WPW161" s="4"/>
      <c r="WPX161" s="4"/>
      <c r="WPY161" s="4"/>
      <c r="WPZ161" s="4"/>
      <c r="WQA161" s="4"/>
      <c r="WQB161" s="4"/>
      <c r="WQC161" s="4"/>
      <c r="WQD161" s="4"/>
      <c r="WQE161" s="4"/>
      <c r="WQF161" s="4"/>
      <c r="WQG161" s="4"/>
      <c r="WQH161" s="4"/>
      <c r="WQI161" s="4"/>
      <c r="WQJ161" s="4"/>
      <c r="WQK161" s="4"/>
      <c r="WQL161" s="4"/>
      <c r="WQM161" s="4"/>
      <c r="WQN161" s="4"/>
      <c r="WQO161" s="4"/>
      <c r="WQP161" s="4"/>
      <c r="WQQ161" s="4"/>
      <c r="WQR161" s="4"/>
      <c r="WQS161" s="4"/>
      <c r="WQT161" s="4"/>
      <c r="WQU161" s="4"/>
      <c r="WQV161" s="4"/>
      <c r="WQW161" s="4"/>
      <c r="WQX161" s="4"/>
      <c r="WQY161" s="4"/>
      <c r="WQZ161" s="4"/>
      <c r="WRA161" s="4"/>
      <c r="WRB161" s="4"/>
      <c r="WRC161" s="4"/>
      <c r="WRD161" s="4"/>
      <c r="WRE161" s="4"/>
      <c r="WRF161" s="4"/>
      <c r="WRG161" s="4"/>
      <c r="WRH161" s="4"/>
      <c r="WRI161" s="4"/>
      <c r="WRJ161" s="4"/>
      <c r="WRK161" s="4"/>
      <c r="WRL161" s="4"/>
      <c r="WRM161" s="4"/>
      <c r="WRN161" s="4"/>
      <c r="WRO161" s="4"/>
      <c r="WRP161" s="4"/>
      <c r="WRQ161" s="4"/>
      <c r="WRR161" s="4"/>
      <c r="WRS161" s="4"/>
      <c r="WRT161" s="4"/>
      <c r="WRU161" s="4"/>
      <c r="WRV161" s="4"/>
      <c r="WRW161" s="4"/>
      <c r="WRX161" s="4"/>
      <c r="WRY161" s="4"/>
      <c r="WRZ161" s="4"/>
      <c r="WSA161" s="4"/>
      <c r="WSB161" s="4"/>
      <c r="WSC161" s="4"/>
      <c r="WSD161" s="4"/>
      <c r="WSE161" s="4"/>
      <c r="WSF161" s="4"/>
      <c r="WSG161" s="4"/>
      <c r="WSH161" s="4"/>
      <c r="WSI161" s="4"/>
      <c r="WSJ161" s="4"/>
      <c r="WSK161" s="4"/>
      <c r="WSL161" s="4"/>
      <c r="WSM161" s="4"/>
      <c r="WSN161" s="4"/>
      <c r="WSO161" s="4"/>
      <c r="WSP161" s="4"/>
      <c r="WSQ161" s="4"/>
      <c r="WSR161" s="4"/>
      <c r="WSS161" s="4"/>
      <c r="WST161" s="4"/>
      <c r="WSU161" s="4"/>
      <c r="WSV161" s="4"/>
      <c r="WSW161" s="4"/>
      <c r="WSX161" s="4"/>
      <c r="WSY161" s="4"/>
      <c r="WSZ161" s="4"/>
      <c r="WTA161" s="4"/>
      <c r="WTB161" s="4"/>
      <c r="WTC161" s="4"/>
      <c r="WTD161" s="4"/>
      <c r="WTE161" s="4"/>
      <c r="WTF161" s="4"/>
      <c r="WTG161" s="4"/>
      <c r="WTH161" s="4"/>
      <c r="WTI161" s="4"/>
      <c r="WTJ161" s="4"/>
      <c r="WTK161" s="4"/>
      <c r="WTL161" s="4"/>
      <c r="WTM161" s="4"/>
      <c r="WTN161" s="4"/>
      <c r="WTO161" s="4"/>
      <c r="WTP161" s="4"/>
      <c r="WTQ161" s="4"/>
      <c r="WTR161" s="4"/>
      <c r="WTS161" s="4"/>
      <c r="WTT161" s="4"/>
      <c r="WTU161" s="4"/>
      <c r="WTV161" s="4"/>
      <c r="WTW161" s="4"/>
      <c r="WTX161" s="4"/>
      <c r="WTY161" s="4"/>
      <c r="WTZ161" s="4"/>
      <c r="WUA161" s="4"/>
      <c r="WUB161" s="4"/>
      <c r="WUC161" s="4"/>
      <c r="WUD161" s="4"/>
      <c r="WUE161" s="4"/>
      <c r="WUF161" s="4"/>
      <c r="WUG161" s="4"/>
      <c r="WUH161" s="4"/>
      <c r="WUI161" s="4"/>
      <c r="WUJ161" s="4"/>
      <c r="WUK161" s="4"/>
      <c r="WUL161" s="4"/>
      <c r="WUM161" s="4"/>
      <c r="WUN161" s="4"/>
      <c r="WUO161" s="4"/>
      <c r="WUP161" s="4"/>
      <c r="WUQ161" s="4"/>
      <c r="WUR161" s="4"/>
      <c r="WUS161" s="4"/>
      <c r="WUT161" s="4"/>
      <c r="WUU161" s="4"/>
      <c r="WUV161" s="4"/>
      <c r="WUW161" s="4"/>
      <c r="WUX161" s="4"/>
      <c r="WUY161" s="4"/>
      <c r="WUZ161" s="4"/>
      <c r="WVA161" s="4"/>
      <c r="WVB161" s="4"/>
      <c r="WVC161" s="4"/>
      <c r="WVD161" s="4"/>
      <c r="WVE161" s="4"/>
      <c r="WVF161" s="4"/>
      <c r="WVG161" s="4"/>
      <c r="WVH161" s="4"/>
      <c r="WVI161" s="4"/>
      <c r="WVJ161" s="4"/>
      <c r="WVK161" s="4"/>
      <c r="WVL161" s="4"/>
      <c r="WVM161" s="4"/>
      <c r="WVN161" s="4"/>
      <c r="WVO161" s="4"/>
      <c r="WVP161" s="4"/>
      <c r="WVQ161" s="4"/>
      <c r="WVR161" s="4"/>
      <c r="WVS161" s="4"/>
      <c r="WVT161" s="4"/>
      <c r="WVU161" s="4"/>
      <c r="WVV161" s="4"/>
      <c r="WVW161" s="4"/>
      <c r="WVX161" s="4"/>
      <c r="WVY161" s="4"/>
      <c r="WVZ161" s="4"/>
      <c r="WWA161" s="4"/>
      <c r="WWB161" s="4"/>
      <c r="WWC161" s="4"/>
      <c r="WWD161" s="4"/>
      <c r="WWE161" s="4"/>
      <c r="WWF161" s="4"/>
      <c r="WWG161" s="4"/>
      <c r="WWH161" s="4"/>
      <c r="WWI161" s="4"/>
      <c r="WWJ161" s="4"/>
      <c r="WWK161" s="4"/>
      <c r="WWL161" s="4"/>
      <c r="WWM161" s="4"/>
      <c r="WWN161" s="4"/>
      <c r="WWO161" s="4"/>
      <c r="WWP161" s="4"/>
      <c r="WWQ161" s="4"/>
      <c r="WWR161" s="4"/>
      <c r="WWS161" s="4"/>
      <c r="WWT161" s="4"/>
      <c r="WWU161" s="4"/>
      <c r="WWV161" s="4"/>
      <c r="WWW161" s="4"/>
      <c r="WWX161" s="4"/>
      <c r="WWY161" s="4"/>
      <c r="WWZ161" s="4"/>
      <c r="WXA161" s="4"/>
      <c r="WXB161" s="4"/>
      <c r="WXC161" s="4"/>
      <c r="WXD161" s="4"/>
      <c r="WXE161" s="4"/>
      <c r="WXF161" s="4"/>
      <c r="WXG161" s="4"/>
      <c r="WXH161" s="4"/>
      <c r="WXI161" s="4"/>
      <c r="WXJ161" s="4"/>
      <c r="WXK161" s="4"/>
      <c r="WXL161" s="4"/>
      <c r="WXM161" s="4"/>
      <c r="WXN161" s="4"/>
      <c r="WXO161" s="4"/>
      <c r="WXP161" s="4"/>
      <c r="WXQ161" s="4"/>
      <c r="WXR161" s="4"/>
      <c r="WXS161" s="4"/>
      <c r="WXT161" s="4"/>
      <c r="WXU161" s="4"/>
      <c r="WXV161" s="4"/>
      <c r="WXW161" s="4"/>
      <c r="WXX161" s="4"/>
      <c r="WXY161" s="4"/>
      <c r="WXZ161" s="4"/>
      <c r="WYA161" s="4"/>
      <c r="WYB161" s="4"/>
      <c r="WYC161" s="4"/>
      <c r="WYD161" s="4"/>
      <c r="WYE161" s="4"/>
      <c r="WYF161" s="4"/>
      <c r="WYG161" s="4"/>
      <c r="WYH161" s="4"/>
      <c r="WYI161" s="4"/>
      <c r="WYJ161" s="4"/>
      <c r="WYK161" s="4"/>
      <c r="WYL161" s="4"/>
      <c r="WYM161" s="4"/>
      <c r="WYN161" s="4"/>
      <c r="WYO161" s="4"/>
      <c r="WYP161" s="4"/>
      <c r="WYQ161" s="4"/>
      <c r="WYR161" s="4"/>
      <c r="WYS161" s="4"/>
      <c r="WYT161" s="4"/>
      <c r="WYU161" s="4"/>
      <c r="WYV161" s="4"/>
      <c r="WYW161" s="4"/>
      <c r="WYX161" s="4"/>
      <c r="WYY161" s="4"/>
      <c r="WYZ161" s="4"/>
      <c r="WZA161" s="4"/>
      <c r="WZB161" s="4"/>
      <c r="WZC161" s="4"/>
      <c r="WZD161" s="4"/>
      <c r="WZE161" s="4"/>
      <c r="WZF161" s="4"/>
      <c r="WZG161" s="4"/>
      <c r="WZH161" s="4"/>
      <c r="WZI161" s="4"/>
      <c r="WZJ161" s="4"/>
      <c r="WZK161" s="4"/>
      <c r="WZL161" s="4"/>
      <c r="WZM161" s="4"/>
      <c r="WZN161" s="4"/>
      <c r="WZO161" s="4"/>
      <c r="WZP161" s="4"/>
      <c r="WZQ161" s="4"/>
      <c r="WZR161" s="4"/>
      <c r="WZS161" s="4"/>
      <c r="WZT161" s="4"/>
      <c r="WZU161" s="4"/>
      <c r="WZV161" s="4"/>
      <c r="WZW161" s="4"/>
      <c r="WZX161" s="4"/>
      <c r="WZY161" s="4"/>
      <c r="WZZ161" s="4"/>
      <c r="XAA161" s="4"/>
      <c r="XAB161" s="4"/>
      <c r="XAC161" s="4"/>
      <c r="XAD161" s="4"/>
      <c r="XAE161" s="4"/>
      <c r="XAF161" s="4"/>
      <c r="XAG161" s="4"/>
      <c r="XAH161" s="4"/>
      <c r="XAI161" s="4"/>
      <c r="XAJ161" s="4"/>
      <c r="XAK161" s="4"/>
      <c r="XAL161" s="4"/>
      <c r="XAM161" s="4"/>
      <c r="XAN161" s="4"/>
      <c r="XAO161" s="4"/>
      <c r="XAP161" s="4"/>
      <c r="XAQ161" s="4"/>
      <c r="XAR161" s="4"/>
      <c r="XAS161" s="4"/>
      <c r="XAT161" s="4"/>
      <c r="XAU161" s="4"/>
      <c r="XAV161" s="4"/>
      <c r="XAW161" s="4"/>
      <c r="XAX161" s="4"/>
      <c r="XAY161" s="4"/>
      <c r="XAZ161" s="4"/>
      <c r="XBA161" s="4"/>
      <c r="XBB161" s="4"/>
      <c r="XBC161" s="4"/>
      <c r="XBD161" s="4"/>
      <c r="XBE161" s="4"/>
      <c r="XBF161" s="4"/>
      <c r="XBG161" s="4"/>
      <c r="XBH161" s="4"/>
      <c r="XBI161" s="4"/>
      <c r="XBJ161" s="4"/>
      <c r="XBK161" s="4"/>
      <c r="XBL161" s="4"/>
      <c r="XBM161" s="4"/>
      <c r="XBN161" s="4"/>
      <c r="XBO161" s="4"/>
      <c r="XBP161" s="4"/>
      <c r="XBQ161" s="4"/>
      <c r="XBR161" s="4"/>
      <c r="XBS161" s="4"/>
      <c r="XBT161" s="4"/>
      <c r="XBU161" s="4"/>
      <c r="XBV161" s="4"/>
      <c r="XBW161" s="4"/>
      <c r="XBX161" s="4"/>
      <c r="XBY161" s="4"/>
      <c r="XBZ161" s="4"/>
      <c r="XCA161" s="4"/>
      <c r="XCB161" s="4"/>
      <c r="XCC161" s="4"/>
      <c r="XCD161" s="4"/>
      <c r="XCE161" s="4"/>
      <c r="XCF161" s="4"/>
      <c r="XCG161" s="4"/>
      <c r="XCH161" s="4"/>
      <c r="XCI161" s="4"/>
      <c r="XCJ161" s="4"/>
      <c r="XCK161" s="4"/>
      <c r="XCL161" s="4"/>
      <c r="XCM161" s="4"/>
      <c r="XCN161" s="4"/>
      <c r="XCO161" s="4"/>
      <c r="XCP161" s="4"/>
      <c r="XCQ161" s="4"/>
      <c r="XCR161" s="4"/>
      <c r="XCS161" s="4"/>
      <c r="XCT161" s="4"/>
      <c r="XCU161" s="4"/>
      <c r="XCV161" s="4"/>
      <c r="XCW161" s="4"/>
      <c r="XCX161" s="4"/>
      <c r="XCY161" s="4"/>
      <c r="XCZ161" s="4"/>
      <c r="XDA161" s="4"/>
      <c r="XDB161" s="4"/>
      <c r="XDC161" s="4"/>
      <c r="XDD161" s="4"/>
      <c r="XDE161" s="4"/>
      <c r="XDF161" s="4"/>
      <c r="XDG161" s="4"/>
      <c r="XDH161" s="4"/>
      <c r="XDI161" s="4"/>
      <c r="XDJ161" s="4"/>
      <c r="XDK161" s="4"/>
      <c r="XDL161" s="4"/>
      <c r="XDM161" s="4"/>
      <c r="XDN161" s="4"/>
      <c r="XDO161" s="4"/>
      <c r="XDP161" s="4"/>
      <c r="XDQ161" s="4"/>
      <c r="XDR161" s="4"/>
      <c r="XDS161" s="4"/>
      <c r="XDT161" s="4"/>
      <c r="XDU161" s="4"/>
      <c r="XDV161" s="4"/>
      <c r="XDW161" s="4"/>
      <c r="XDX161" s="4"/>
      <c r="XDY161" s="4"/>
      <c r="XDZ161" s="4"/>
      <c r="XEA161" s="4"/>
      <c r="XEB161" s="4"/>
      <c r="XEC161" s="4"/>
      <c r="XED161" s="4"/>
      <c r="XEE161" s="4"/>
      <c r="XEF161" s="4"/>
      <c r="XEG161" s="4"/>
      <c r="XEH161" s="4"/>
      <c r="XEI161" s="4"/>
      <c r="XEJ161" s="4"/>
      <c r="XEK161" s="4"/>
      <c r="XEL161" s="4"/>
      <c r="XEM161" s="4"/>
      <c r="XEN161" s="4"/>
      <c r="XEO161" s="4"/>
      <c r="XEP161" s="4"/>
      <c r="XEQ161" s="4"/>
      <c r="XER161" s="4"/>
      <c r="XES161" s="4"/>
      <c r="XET161" s="4"/>
      <c r="XEU161" s="4"/>
      <c r="XEV161" s="4"/>
      <c r="XEW161" s="4"/>
      <c r="XEX161" s="4"/>
      <c r="XEY161" s="4"/>
      <c r="XEZ161" s="4"/>
      <c r="XFA161" s="4"/>
      <c r="XFB161" s="4"/>
      <c r="XFC161" s="4"/>
      <c r="XFD161" s="4"/>
    </row>
    <row r="162" spans="1:16384" s="41" customFormat="1" x14ac:dyDescent="0.35">
      <c r="A162" s="8" t="s">
        <v>113</v>
      </c>
      <c r="B162" s="1" t="s">
        <v>2</v>
      </c>
      <c r="C162" s="1"/>
      <c r="D162" s="8"/>
      <c r="E162" s="8"/>
      <c r="F162" s="1" t="s">
        <v>76</v>
      </c>
      <c r="G162" s="1" t="s">
        <v>48</v>
      </c>
      <c r="H162" s="1" t="s">
        <v>46</v>
      </c>
      <c r="I162" s="1" t="s">
        <v>10</v>
      </c>
      <c r="J162" s="1" t="s">
        <v>51</v>
      </c>
      <c r="K162" s="6" t="s">
        <v>30</v>
      </c>
      <c r="L162" s="6"/>
      <c r="M162" s="4"/>
      <c r="N162" s="3">
        <v>0.75</v>
      </c>
      <c r="O162" s="9">
        <f>423*4</f>
        <v>1692</v>
      </c>
      <c r="P162" s="10"/>
      <c r="Q162" s="10"/>
      <c r="R162" s="10">
        <f>(423*1)*N162</f>
        <v>317.25</v>
      </c>
      <c r="S162" s="10">
        <f>(423*3)*N162</f>
        <v>951.75</v>
      </c>
      <c r="T162" s="10">
        <f>+P162+Q162+R162+S162</f>
        <v>1269</v>
      </c>
      <c r="U162" s="4"/>
      <c r="V162" s="4"/>
      <c r="W162" s="4"/>
      <c r="X162" s="4"/>
      <c r="Z162" s="4"/>
      <c r="AB162" s="65"/>
      <c r="AC162" s="65"/>
      <c r="AD162" s="65"/>
      <c r="AE162" s="65"/>
      <c r="AF162" s="65"/>
      <c r="AG162" s="65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  <c r="ZO162" s="4"/>
      <c r="ZP162" s="4"/>
      <c r="ZQ162" s="4"/>
      <c r="ZR162" s="4"/>
      <c r="ZS162" s="4"/>
      <c r="ZT162" s="4"/>
      <c r="ZU162" s="4"/>
      <c r="ZV162" s="4"/>
      <c r="ZW162" s="4"/>
      <c r="ZX162" s="4"/>
      <c r="ZY162" s="4"/>
      <c r="ZZ162" s="4"/>
      <c r="AAA162" s="4"/>
      <c r="AAB162" s="4"/>
      <c r="AAC162" s="4"/>
      <c r="AAD162" s="4"/>
      <c r="AAE162" s="4"/>
      <c r="AAF162" s="4"/>
      <c r="AAG162" s="4"/>
      <c r="AAH162" s="4"/>
      <c r="AAI162" s="4"/>
      <c r="AAJ162" s="4"/>
      <c r="AAK162" s="4"/>
      <c r="AAL162" s="4"/>
      <c r="AAM162" s="4"/>
      <c r="AAN162" s="4"/>
      <c r="AAO162" s="4"/>
      <c r="AAP162" s="4"/>
      <c r="AAQ162" s="4"/>
      <c r="AAR162" s="4"/>
      <c r="AAS162" s="4"/>
      <c r="AAT162" s="4"/>
      <c r="AAU162" s="4"/>
      <c r="AAV162" s="4"/>
      <c r="AAW162" s="4"/>
      <c r="AAX162" s="4"/>
      <c r="AAY162" s="4"/>
      <c r="AAZ162" s="4"/>
      <c r="ABA162" s="4"/>
      <c r="ABB162" s="4"/>
      <c r="ABC162" s="4"/>
      <c r="ABD162" s="4"/>
      <c r="ABE162" s="4"/>
      <c r="ABF162" s="4"/>
      <c r="ABG162" s="4"/>
      <c r="ABH162" s="4"/>
      <c r="ABI162" s="4"/>
      <c r="ABJ162" s="4"/>
      <c r="ABK162" s="4"/>
      <c r="ABL162" s="4"/>
      <c r="ABM162" s="4"/>
      <c r="ABN162" s="4"/>
      <c r="ABO162" s="4"/>
      <c r="ABP162" s="4"/>
      <c r="ABQ162" s="4"/>
      <c r="ABR162" s="4"/>
      <c r="ABS162" s="4"/>
      <c r="ABT162" s="4"/>
      <c r="ABU162" s="4"/>
      <c r="ABV162" s="4"/>
      <c r="ABW162" s="4"/>
      <c r="ABX162" s="4"/>
      <c r="ABY162" s="4"/>
      <c r="ABZ162" s="4"/>
      <c r="ACA162" s="4"/>
      <c r="ACB162" s="4"/>
      <c r="ACC162" s="4"/>
      <c r="ACD162" s="4"/>
      <c r="ACE162" s="4"/>
      <c r="ACF162" s="4"/>
      <c r="ACG162" s="4"/>
      <c r="ACH162" s="4"/>
      <c r="ACI162" s="4"/>
      <c r="ACJ162" s="4"/>
      <c r="ACK162" s="4"/>
      <c r="ACL162" s="4"/>
      <c r="ACM162" s="4"/>
      <c r="ACN162" s="4"/>
      <c r="ACO162" s="4"/>
      <c r="ACP162" s="4"/>
      <c r="ACQ162" s="4"/>
      <c r="ACR162" s="4"/>
      <c r="ACS162" s="4"/>
      <c r="ACT162" s="4"/>
      <c r="ACU162" s="4"/>
      <c r="ACV162" s="4"/>
      <c r="ACW162" s="4"/>
      <c r="ACX162" s="4"/>
      <c r="ACY162" s="4"/>
      <c r="ACZ162" s="4"/>
      <c r="ADA162" s="4"/>
      <c r="ADB162" s="4"/>
      <c r="ADC162" s="4"/>
      <c r="ADD162" s="4"/>
      <c r="ADE162" s="4"/>
      <c r="ADF162" s="4"/>
      <c r="ADG162" s="4"/>
      <c r="ADH162" s="4"/>
      <c r="ADI162" s="4"/>
      <c r="ADJ162" s="4"/>
      <c r="ADK162" s="4"/>
      <c r="ADL162" s="4"/>
      <c r="ADM162" s="4"/>
      <c r="ADN162" s="4"/>
      <c r="ADO162" s="4"/>
      <c r="ADP162" s="4"/>
      <c r="ADQ162" s="4"/>
      <c r="ADR162" s="4"/>
      <c r="ADS162" s="4"/>
      <c r="ADT162" s="4"/>
      <c r="ADU162" s="4"/>
      <c r="ADV162" s="4"/>
      <c r="ADW162" s="4"/>
      <c r="ADX162" s="4"/>
      <c r="ADY162" s="4"/>
      <c r="ADZ162" s="4"/>
      <c r="AEA162" s="4"/>
      <c r="AEB162" s="4"/>
      <c r="AEC162" s="4"/>
      <c r="AED162" s="4"/>
      <c r="AEE162" s="4"/>
      <c r="AEF162" s="4"/>
      <c r="AEG162" s="4"/>
      <c r="AEH162" s="4"/>
      <c r="AEI162" s="4"/>
      <c r="AEJ162" s="4"/>
      <c r="AEK162" s="4"/>
      <c r="AEL162" s="4"/>
      <c r="AEM162" s="4"/>
      <c r="AEN162" s="4"/>
      <c r="AEO162" s="4"/>
      <c r="AEP162" s="4"/>
      <c r="AEQ162" s="4"/>
      <c r="AER162" s="4"/>
      <c r="AES162" s="4"/>
      <c r="AET162" s="4"/>
      <c r="AEU162" s="4"/>
      <c r="AEV162" s="4"/>
      <c r="AEW162" s="4"/>
      <c r="AEX162" s="4"/>
      <c r="AEY162" s="4"/>
      <c r="AEZ162" s="4"/>
      <c r="AFA162" s="4"/>
      <c r="AFB162" s="4"/>
      <c r="AFC162" s="4"/>
      <c r="AFD162" s="4"/>
      <c r="AFE162" s="4"/>
      <c r="AFF162" s="4"/>
      <c r="AFG162" s="4"/>
      <c r="AFH162" s="4"/>
      <c r="AFI162" s="4"/>
      <c r="AFJ162" s="4"/>
      <c r="AFK162" s="4"/>
      <c r="AFL162" s="4"/>
      <c r="AFM162" s="4"/>
      <c r="AFN162" s="4"/>
      <c r="AFO162" s="4"/>
      <c r="AFP162" s="4"/>
      <c r="AFQ162" s="4"/>
      <c r="AFR162" s="4"/>
      <c r="AFS162" s="4"/>
      <c r="AFT162" s="4"/>
      <c r="AFU162" s="4"/>
      <c r="AFV162" s="4"/>
      <c r="AFW162" s="4"/>
      <c r="AFX162" s="4"/>
      <c r="AFY162" s="4"/>
      <c r="AFZ162" s="4"/>
      <c r="AGA162" s="4"/>
      <c r="AGB162" s="4"/>
      <c r="AGC162" s="4"/>
      <c r="AGD162" s="4"/>
      <c r="AGE162" s="4"/>
      <c r="AGF162" s="4"/>
      <c r="AGG162" s="4"/>
      <c r="AGH162" s="4"/>
      <c r="AGI162" s="4"/>
      <c r="AGJ162" s="4"/>
      <c r="AGK162" s="4"/>
      <c r="AGL162" s="4"/>
      <c r="AGM162" s="4"/>
      <c r="AGN162" s="4"/>
      <c r="AGO162" s="4"/>
      <c r="AGP162" s="4"/>
      <c r="AGQ162" s="4"/>
      <c r="AGR162" s="4"/>
      <c r="AGS162" s="4"/>
      <c r="AGT162" s="4"/>
      <c r="AGU162" s="4"/>
      <c r="AGV162" s="4"/>
      <c r="AGW162" s="4"/>
      <c r="AGX162" s="4"/>
      <c r="AGY162" s="4"/>
      <c r="AGZ162" s="4"/>
      <c r="AHA162" s="4"/>
      <c r="AHB162" s="4"/>
      <c r="AHC162" s="4"/>
      <c r="AHD162" s="4"/>
      <c r="AHE162" s="4"/>
      <c r="AHF162" s="4"/>
      <c r="AHG162" s="4"/>
      <c r="AHH162" s="4"/>
      <c r="AHI162" s="4"/>
      <c r="AHJ162" s="4"/>
      <c r="AHK162" s="4"/>
      <c r="AHL162" s="4"/>
      <c r="AHM162" s="4"/>
      <c r="AHN162" s="4"/>
      <c r="AHO162" s="4"/>
      <c r="AHP162" s="4"/>
      <c r="AHQ162" s="4"/>
      <c r="AHR162" s="4"/>
      <c r="AHS162" s="4"/>
      <c r="AHT162" s="4"/>
      <c r="AHU162" s="4"/>
      <c r="AHV162" s="4"/>
      <c r="AHW162" s="4"/>
      <c r="AHX162" s="4"/>
      <c r="AHY162" s="4"/>
      <c r="AHZ162" s="4"/>
      <c r="AIA162" s="4"/>
      <c r="AIB162" s="4"/>
      <c r="AIC162" s="4"/>
      <c r="AID162" s="4"/>
      <c r="AIE162" s="4"/>
      <c r="AIF162" s="4"/>
      <c r="AIG162" s="4"/>
      <c r="AIH162" s="4"/>
      <c r="AII162" s="4"/>
      <c r="AIJ162" s="4"/>
      <c r="AIK162" s="4"/>
      <c r="AIL162" s="4"/>
      <c r="AIM162" s="4"/>
      <c r="AIN162" s="4"/>
      <c r="AIO162" s="4"/>
      <c r="AIP162" s="4"/>
      <c r="AIQ162" s="4"/>
      <c r="AIR162" s="4"/>
      <c r="AIS162" s="4"/>
      <c r="AIT162" s="4"/>
      <c r="AIU162" s="4"/>
      <c r="AIV162" s="4"/>
      <c r="AIW162" s="4"/>
      <c r="AIX162" s="4"/>
      <c r="AIY162" s="4"/>
      <c r="AIZ162" s="4"/>
      <c r="AJA162" s="4"/>
      <c r="AJB162" s="4"/>
      <c r="AJC162" s="4"/>
      <c r="AJD162" s="4"/>
      <c r="AJE162" s="4"/>
      <c r="AJF162" s="4"/>
      <c r="AJG162" s="4"/>
      <c r="AJH162" s="4"/>
      <c r="AJI162" s="4"/>
      <c r="AJJ162" s="4"/>
      <c r="AJK162" s="4"/>
      <c r="AJL162" s="4"/>
      <c r="AJM162" s="4"/>
      <c r="AJN162" s="4"/>
      <c r="AJO162" s="4"/>
      <c r="AJP162" s="4"/>
      <c r="AJQ162" s="4"/>
      <c r="AJR162" s="4"/>
      <c r="AJS162" s="4"/>
      <c r="AJT162" s="4"/>
      <c r="AJU162" s="4"/>
      <c r="AJV162" s="4"/>
      <c r="AJW162" s="4"/>
      <c r="AJX162" s="4"/>
      <c r="AJY162" s="4"/>
      <c r="AJZ162" s="4"/>
      <c r="AKA162" s="4"/>
      <c r="AKB162" s="4"/>
      <c r="AKC162" s="4"/>
      <c r="AKD162" s="4"/>
      <c r="AKE162" s="4"/>
      <c r="AKF162" s="4"/>
      <c r="AKG162" s="4"/>
      <c r="AKH162" s="4"/>
      <c r="AKI162" s="4"/>
      <c r="AKJ162" s="4"/>
      <c r="AKK162" s="4"/>
      <c r="AKL162" s="4"/>
      <c r="AKM162" s="4"/>
      <c r="AKN162" s="4"/>
      <c r="AKO162" s="4"/>
      <c r="AKP162" s="4"/>
      <c r="AKQ162" s="4"/>
      <c r="AKR162" s="4"/>
      <c r="AKS162" s="4"/>
      <c r="AKT162" s="4"/>
      <c r="AKU162" s="4"/>
      <c r="AKV162" s="4"/>
      <c r="AKW162" s="4"/>
      <c r="AKX162" s="4"/>
      <c r="AKY162" s="4"/>
      <c r="AKZ162" s="4"/>
      <c r="ALA162" s="4"/>
      <c r="ALB162" s="4"/>
      <c r="ALC162" s="4"/>
      <c r="ALD162" s="4"/>
      <c r="ALE162" s="4"/>
      <c r="ALF162" s="4"/>
      <c r="ALG162" s="4"/>
      <c r="ALH162" s="4"/>
      <c r="ALI162" s="4"/>
      <c r="ALJ162" s="4"/>
      <c r="ALK162" s="4"/>
      <c r="ALL162" s="4"/>
      <c r="ALM162" s="4"/>
      <c r="ALN162" s="4"/>
      <c r="ALO162" s="4"/>
      <c r="ALP162" s="4"/>
      <c r="ALQ162" s="4"/>
      <c r="ALR162" s="4"/>
      <c r="ALS162" s="4"/>
      <c r="ALT162" s="4"/>
      <c r="ALU162" s="4"/>
      <c r="ALV162" s="4"/>
      <c r="ALW162" s="4"/>
      <c r="ALX162" s="4"/>
      <c r="ALY162" s="4"/>
      <c r="ALZ162" s="4"/>
      <c r="AMA162" s="4"/>
      <c r="AMB162" s="4"/>
      <c r="AMC162" s="4"/>
      <c r="AMD162" s="4"/>
      <c r="AME162" s="4"/>
      <c r="AMF162" s="4"/>
      <c r="AMG162" s="4"/>
      <c r="AMH162" s="4"/>
      <c r="AMI162" s="4"/>
      <c r="AMJ162" s="4"/>
      <c r="AMK162" s="4"/>
      <c r="AML162" s="4"/>
      <c r="AMM162" s="4"/>
      <c r="AMN162" s="4"/>
      <c r="AMO162" s="4"/>
      <c r="AMP162" s="4"/>
      <c r="AMQ162" s="4"/>
      <c r="AMR162" s="4"/>
      <c r="AMS162" s="4"/>
      <c r="AMT162" s="4"/>
      <c r="AMU162" s="4"/>
      <c r="AMV162" s="4"/>
      <c r="AMW162" s="4"/>
      <c r="AMX162" s="4"/>
      <c r="AMY162" s="4"/>
      <c r="AMZ162" s="4"/>
      <c r="ANA162" s="4"/>
      <c r="ANB162" s="4"/>
      <c r="ANC162" s="4"/>
      <c r="AND162" s="4"/>
      <c r="ANE162" s="4"/>
      <c r="ANF162" s="4"/>
      <c r="ANG162" s="4"/>
      <c r="ANH162" s="4"/>
      <c r="ANI162" s="4"/>
      <c r="ANJ162" s="4"/>
      <c r="ANK162" s="4"/>
      <c r="ANL162" s="4"/>
      <c r="ANM162" s="4"/>
      <c r="ANN162" s="4"/>
      <c r="ANO162" s="4"/>
      <c r="ANP162" s="4"/>
      <c r="ANQ162" s="4"/>
      <c r="ANR162" s="4"/>
      <c r="ANS162" s="4"/>
      <c r="ANT162" s="4"/>
      <c r="ANU162" s="4"/>
      <c r="ANV162" s="4"/>
      <c r="ANW162" s="4"/>
      <c r="ANX162" s="4"/>
      <c r="ANY162" s="4"/>
      <c r="ANZ162" s="4"/>
      <c r="AOA162" s="4"/>
      <c r="AOB162" s="4"/>
      <c r="AOC162" s="4"/>
      <c r="AOD162" s="4"/>
      <c r="AOE162" s="4"/>
      <c r="AOF162" s="4"/>
      <c r="AOG162" s="4"/>
      <c r="AOH162" s="4"/>
      <c r="AOI162" s="4"/>
      <c r="AOJ162" s="4"/>
      <c r="AOK162" s="4"/>
      <c r="AOL162" s="4"/>
      <c r="AOM162" s="4"/>
      <c r="AON162" s="4"/>
      <c r="AOO162" s="4"/>
      <c r="AOP162" s="4"/>
      <c r="AOQ162" s="4"/>
      <c r="AOR162" s="4"/>
      <c r="AOS162" s="4"/>
      <c r="AOT162" s="4"/>
      <c r="AOU162" s="4"/>
      <c r="AOV162" s="4"/>
      <c r="AOW162" s="4"/>
      <c r="AOX162" s="4"/>
      <c r="AOY162" s="4"/>
      <c r="AOZ162" s="4"/>
      <c r="APA162" s="4"/>
      <c r="APB162" s="4"/>
      <c r="APC162" s="4"/>
      <c r="APD162" s="4"/>
      <c r="APE162" s="4"/>
      <c r="APF162" s="4"/>
      <c r="APG162" s="4"/>
      <c r="APH162" s="4"/>
      <c r="API162" s="4"/>
      <c r="APJ162" s="4"/>
      <c r="APK162" s="4"/>
      <c r="APL162" s="4"/>
      <c r="APM162" s="4"/>
      <c r="APN162" s="4"/>
      <c r="APO162" s="4"/>
      <c r="APP162" s="4"/>
      <c r="APQ162" s="4"/>
      <c r="APR162" s="4"/>
      <c r="APS162" s="4"/>
      <c r="APT162" s="4"/>
      <c r="APU162" s="4"/>
      <c r="APV162" s="4"/>
      <c r="APW162" s="4"/>
      <c r="APX162" s="4"/>
      <c r="APY162" s="4"/>
      <c r="APZ162" s="4"/>
      <c r="AQA162" s="4"/>
      <c r="AQB162" s="4"/>
      <c r="AQC162" s="4"/>
      <c r="AQD162" s="4"/>
      <c r="AQE162" s="4"/>
      <c r="AQF162" s="4"/>
      <c r="AQG162" s="4"/>
      <c r="AQH162" s="4"/>
      <c r="AQI162" s="4"/>
      <c r="AQJ162" s="4"/>
      <c r="AQK162" s="4"/>
      <c r="AQL162" s="4"/>
      <c r="AQM162" s="4"/>
      <c r="AQN162" s="4"/>
      <c r="AQO162" s="4"/>
      <c r="AQP162" s="4"/>
      <c r="AQQ162" s="4"/>
      <c r="AQR162" s="4"/>
      <c r="AQS162" s="4"/>
      <c r="AQT162" s="4"/>
      <c r="AQU162" s="4"/>
      <c r="AQV162" s="4"/>
      <c r="AQW162" s="4"/>
      <c r="AQX162" s="4"/>
      <c r="AQY162" s="4"/>
      <c r="AQZ162" s="4"/>
      <c r="ARA162" s="4"/>
      <c r="ARB162" s="4"/>
      <c r="ARC162" s="4"/>
      <c r="ARD162" s="4"/>
      <c r="ARE162" s="4"/>
      <c r="ARF162" s="4"/>
      <c r="ARG162" s="4"/>
      <c r="ARH162" s="4"/>
      <c r="ARI162" s="4"/>
      <c r="ARJ162" s="4"/>
      <c r="ARK162" s="4"/>
      <c r="ARL162" s="4"/>
      <c r="ARM162" s="4"/>
      <c r="ARN162" s="4"/>
      <c r="ARO162" s="4"/>
      <c r="ARP162" s="4"/>
      <c r="ARQ162" s="4"/>
      <c r="ARR162" s="4"/>
      <c r="ARS162" s="4"/>
      <c r="ART162" s="4"/>
      <c r="ARU162" s="4"/>
      <c r="ARV162" s="4"/>
      <c r="ARW162" s="4"/>
      <c r="ARX162" s="4"/>
      <c r="ARY162" s="4"/>
      <c r="ARZ162" s="4"/>
      <c r="ASA162" s="4"/>
      <c r="ASB162" s="4"/>
      <c r="ASC162" s="4"/>
      <c r="ASD162" s="4"/>
      <c r="ASE162" s="4"/>
      <c r="ASF162" s="4"/>
      <c r="ASG162" s="4"/>
      <c r="ASH162" s="4"/>
      <c r="ASI162" s="4"/>
      <c r="ASJ162" s="4"/>
      <c r="ASK162" s="4"/>
      <c r="ASL162" s="4"/>
      <c r="ASM162" s="4"/>
      <c r="ASN162" s="4"/>
      <c r="ASO162" s="4"/>
      <c r="ASP162" s="4"/>
      <c r="ASQ162" s="4"/>
      <c r="ASR162" s="4"/>
      <c r="ASS162" s="4"/>
      <c r="AST162" s="4"/>
      <c r="ASU162" s="4"/>
      <c r="ASV162" s="4"/>
      <c r="ASW162" s="4"/>
      <c r="ASX162" s="4"/>
      <c r="ASY162" s="4"/>
      <c r="ASZ162" s="4"/>
      <c r="ATA162" s="4"/>
      <c r="ATB162" s="4"/>
      <c r="ATC162" s="4"/>
      <c r="ATD162" s="4"/>
      <c r="ATE162" s="4"/>
      <c r="ATF162" s="4"/>
      <c r="ATG162" s="4"/>
      <c r="ATH162" s="4"/>
      <c r="ATI162" s="4"/>
      <c r="ATJ162" s="4"/>
      <c r="ATK162" s="4"/>
      <c r="ATL162" s="4"/>
      <c r="ATM162" s="4"/>
      <c r="ATN162" s="4"/>
      <c r="ATO162" s="4"/>
      <c r="ATP162" s="4"/>
      <c r="ATQ162" s="4"/>
      <c r="ATR162" s="4"/>
      <c r="ATS162" s="4"/>
      <c r="ATT162" s="4"/>
      <c r="ATU162" s="4"/>
      <c r="ATV162" s="4"/>
      <c r="ATW162" s="4"/>
      <c r="ATX162" s="4"/>
      <c r="ATY162" s="4"/>
      <c r="ATZ162" s="4"/>
      <c r="AUA162" s="4"/>
      <c r="AUB162" s="4"/>
      <c r="AUC162" s="4"/>
      <c r="AUD162" s="4"/>
      <c r="AUE162" s="4"/>
      <c r="AUF162" s="4"/>
      <c r="AUG162" s="4"/>
      <c r="AUH162" s="4"/>
      <c r="AUI162" s="4"/>
      <c r="AUJ162" s="4"/>
      <c r="AUK162" s="4"/>
      <c r="AUL162" s="4"/>
      <c r="AUM162" s="4"/>
      <c r="AUN162" s="4"/>
      <c r="AUO162" s="4"/>
      <c r="AUP162" s="4"/>
      <c r="AUQ162" s="4"/>
      <c r="AUR162" s="4"/>
      <c r="AUS162" s="4"/>
      <c r="AUT162" s="4"/>
      <c r="AUU162" s="4"/>
      <c r="AUV162" s="4"/>
      <c r="AUW162" s="4"/>
      <c r="AUX162" s="4"/>
      <c r="AUY162" s="4"/>
      <c r="AUZ162" s="4"/>
      <c r="AVA162" s="4"/>
      <c r="AVB162" s="4"/>
      <c r="AVC162" s="4"/>
      <c r="AVD162" s="4"/>
      <c r="AVE162" s="4"/>
      <c r="AVF162" s="4"/>
      <c r="AVG162" s="4"/>
      <c r="AVH162" s="4"/>
      <c r="AVI162" s="4"/>
      <c r="AVJ162" s="4"/>
      <c r="AVK162" s="4"/>
      <c r="AVL162" s="4"/>
      <c r="AVM162" s="4"/>
      <c r="AVN162" s="4"/>
      <c r="AVO162" s="4"/>
      <c r="AVP162" s="4"/>
      <c r="AVQ162" s="4"/>
      <c r="AVR162" s="4"/>
      <c r="AVS162" s="4"/>
      <c r="AVT162" s="4"/>
      <c r="AVU162" s="4"/>
      <c r="AVV162" s="4"/>
      <c r="AVW162" s="4"/>
      <c r="AVX162" s="4"/>
      <c r="AVY162" s="4"/>
      <c r="AVZ162" s="4"/>
      <c r="AWA162" s="4"/>
      <c r="AWB162" s="4"/>
      <c r="AWC162" s="4"/>
      <c r="AWD162" s="4"/>
      <c r="AWE162" s="4"/>
      <c r="AWF162" s="4"/>
      <c r="AWG162" s="4"/>
      <c r="AWH162" s="4"/>
      <c r="AWI162" s="4"/>
      <c r="AWJ162" s="4"/>
      <c r="AWK162" s="4"/>
      <c r="AWL162" s="4"/>
      <c r="AWM162" s="4"/>
      <c r="AWN162" s="4"/>
      <c r="AWO162" s="4"/>
      <c r="AWP162" s="4"/>
      <c r="AWQ162" s="4"/>
      <c r="AWR162" s="4"/>
      <c r="AWS162" s="4"/>
      <c r="AWT162" s="4"/>
      <c r="AWU162" s="4"/>
      <c r="AWV162" s="4"/>
      <c r="AWW162" s="4"/>
      <c r="AWX162" s="4"/>
      <c r="AWY162" s="4"/>
      <c r="AWZ162" s="4"/>
      <c r="AXA162" s="4"/>
      <c r="AXB162" s="4"/>
      <c r="AXC162" s="4"/>
      <c r="AXD162" s="4"/>
      <c r="AXE162" s="4"/>
      <c r="AXF162" s="4"/>
      <c r="AXG162" s="4"/>
      <c r="AXH162" s="4"/>
      <c r="AXI162" s="4"/>
      <c r="AXJ162" s="4"/>
      <c r="AXK162" s="4"/>
      <c r="AXL162" s="4"/>
      <c r="AXM162" s="4"/>
      <c r="AXN162" s="4"/>
      <c r="AXO162" s="4"/>
      <c r="AXP162" s="4"/>
      <c r="AXQ162" s="4"/>
      <c r="AXR162" s="4"/>
      <c r="AXS162" s="4"/>
      <c r="AXT162" s="4"/>
      <c r="AXU162" s="4"/>
      <c r="AXV162" s="4"/>
      <c r="AXW162" s="4"/>
      <c r="AXX162" s="4"/>
      <c r="AXY162" s="4"/>
      <c r="AXZ162" s="4"/>
      <c r="AYA162" s="4"/>
      <c r="AYB162" s="4"/>
      <c r="AYC162" s="4"/>
      <c r="AYD162" s="4"/>
      <c r="AYE162" s="4"/>
      <c r="AYF162" s="4"/>
      <c r="AYG162" s="4"/>
      <c r="AYH162" s="4"/>
      <c r="AYI162" s="4"/>
      <c r="AYJ162" s="4"/>
      <c r="AYK162" s="4"/>
      <c r="AYL162" s="4"/>
      <c r="AYM162" s="4"/>
      <c r="AYN162" s="4"/>
      <c r="AYO162" s="4"/>
      <c r="AYP162" s="4"/>
      <c r="AYQ162" s="4"/>
      <c r="AYR162" s="4"/>
      <c r="AYS162" s="4"/>
      <c r="AYT162" s="4"/>
      <c r="AYU162" s="4"/>
      <c r="AYV162" s="4"/>
      <c r="AYW162" s="4"/>
      <c r="AYX162" s="4"/>
      <c r="AYY162" s="4"/>
      <c r="AYZ162" s="4"/>
      <c r="AZA162" s="4"/>
      <c r="AZB162" s="4"/>
      <c r="AZC162" s="4"/>
      <c r="AZD162" s="4"/>
      <c r="AZE162" s="4"/>
      <c r="AZF162" s="4"/>
      <c r="AZG162" s="4"/>
      <c r="AZH162" s="4"/>
      <c r="AZI162" s="4"/>
      <c r="AZJ162" s="4"/>
      <c r="AZK162" s="4"/>
      <c r="AZL162" s="4"/>
      <c r="AZM162" s="4"/>
      <c r="AZN162" s="4"/>
      <c r="AZO162" s="4"/>
      <c r="AZP162" s="4"/>
      <c r="AZQ162" s="4"/>
      <c r="AZR162" s="4"/>
      <c r="AZS162" s="4"/>
      <c r="AZT162" s="4"/>
      <c r="AZU162" s="4"/>
      <c r="AZV162" s="4"/>
      <c r="AZW162" s="4"/>
      <c r="AZX162" s="4"/>
      <c r="AZY162" s="4"/>
      <c r="AZZ162" s="4"/>
      <c r="BAA162" s="4"/>
      <c r="BAB162" s="4"/>
      <c r="BAC162" s="4"/>
      <c r="BAD162" s="4"/>
      <c r="BAE162" s="4"/>
      <c r="BAF162" s="4"/>
      <c r="BAG162" s="4"/>
      <c r="BAH162" s="4"/>
      <c r="BAI162" s="4"/>
      <c r="BAJ162" s="4"/>
      <c r="BAK162" s="4"/>
      <c r="BAL162" s="4"/>
      <c r="BAM162" s="4"/>
      <c r="BAN162" s="4"/>
      <c r="BAO162" s="4"/>
      <c r="BAP162" s="4"/>
      <c r="BAQ162" s="4"/>
      <c r="BAR162" s="4"/>
      <c r="BAS162" s="4"/>
      <c r="BAT162" s="4"/>
      <c r="BAU162" s="4"/>
      <c r="BAV162" s="4"/>
      <c r="BAW162" s="4"/>
      <c r="BAX162" s="4"/>
      <c r="BAY162" s="4"/>
      <c r="BAZ162" s="4"/>
      <c r="BBA162" s="4"/>
      <c r="BBB162" s="4"/>
      <c r="BBC162" s="4"/>
      <c r="BBD162" s="4"/>
      <c r="BBE162" s="4"/>
      <c r="BBF162" s="4"/>
      <c r="BBG162" s="4"/>
      <c r="BBH162" s="4"/>
      <c r="BBI162" s="4"/>
      <c r="BBJ162" s="4"/>
      <c r="BBK162" s="4"/>
      <c r="BBL162" s="4"/>
      <c r="BBM162" s="4"/>
      <c r="BBN162" s="4"/>
      <c r="BBO162" s="4"/>
      <c r="BBP162" s="4"/>
      <c r="BBQ162" s="4"/>
      <c r="BBR162" s="4"/>
      <c r="BBS162" s="4"/>
      <c r="BBT162" s="4"/>
      <c r="BBU162" s="4"/>
      <c r="BBV162" s="4"/>
      <c r="BBW162" s="4"/>
      <c r="BBX162" s="4"/>
      <c r="BBY162" s="4"/>
      <c r="BBZ162" s="4"/>
      <c r="BCA162" s="4"/>
      <c r="BCB162" s="4"/>
      <c r="BCC162" s="4"/>
      <c r="BCD162" s="4"/>
      <c r="BCE162" s="4"/>
      <c r="BCF162" s="4"/>
      <c r="BCG162" s="4"/>
      <c r="BCH162" s="4"/>
      <c r="BCI162" s="4"/>
      <c r="BCJ162" s="4"/>
      <c r="BCK162" s="4"/>
      <c r="BCL162" s="4"/>
      <c r="BCM162" s="4"/>
      <c r="BCN162" s="4"/>
      <c r="BCO162" s="4"/>
      <c r="BCP162" s="4"/>
      <c r="BCQ162" s="4"/>
      <c r="BCR162" s="4"/>
      <c r="BCS162" s="4"/>
      <c r="BCT162" s="4"/>
      <c r="BCU162" s="4"/>
      <c r="BCV162" s="4"/>
      <c r="BCW162" s="4"/>
      <c r="BCX162" s="4"/>
      <c r="BCY162" s="4"/>
      <c r="BCZ162" s="4"/>
      <c r="BDA162" s="4"/>
      <c r="BDB162" s="4"/>
      <c r="BDC162" s="4"/>
      <c r="BDD162" s="4"/>
      <c r="BDE162" s="4"/>
      <c r="BDF162" s="4"/>
      <c r="BDG162" s="4"/>
      <c r="BDH162" s="4"/>
      <c r="BDI162" s="4"/>
      <c r="BDJ162" s="4"/>
      <c r="BDK162" s="4"/>
      <c r="BDL162" s="4"/>
      <c r="BDM162" s="4"/>
      <c r="BDN162" s="4"/>
      <c r="BDO162" s="4"/>
      <c r="BDP162" s="4"/>
      <c r="BDQ162" s="4"/>
      <c r="BDR162" s="4"/>
      <c r="BDS162" s="4"/>
      <c r="BDT162" s="4"/>
      <c r="BDU162" s="4"/>
      <c r="BDV162" s="4"/>
      <c r="BDW162" s="4"/>
      <c r="BDX162" s="4"/>
      <c r="BDY162" s="4"/>
      <c r="BDZ162" s="4"/>
      <c r="BEA162" s="4"/>
      <c r="BEB162" s="4"/>
      <c r="BEC162" s="4"/>
      <c r="BED162" s="4"/>
      <c r="BEE162" s="4"/>
      <c r="BEF162" s="4"/>
      <c r="BEG162" s="4"/>
      <c r="BEH162" s="4"/>
      <c r="BEI162" s="4"/>
      <c r="BEJ162" s="4"/>
      <c r="BEK162" s="4"/>
      <c r="BEL162" s="4"/>
      <c r="BEM162" s="4"/>
      <c r="BEN162" s="4"/>
      <c r="BEO162" s="4"/>
      <c r="BEP162" s="4"/>
      <c r="BEQ162" s="4"/>
      <c r="BER162" s="4"/>
      <c r="BES162" s="4"/>
      <c r="BET162" s="4"/>
      <c r="BEU162" s="4"/>
      <c r="BEV162" s="4"/>
      <c r="BEW162" s="4"/>
      <c r="BEX162" s="4"/>
      <c r="BEY162" s="4"/>
      <c r="BEZ162" s="4"/>
      <c r="BFA162" s="4"/>
      <c r="BFB162" s="4"/>
      <c r="BFC162" s="4"/>
      <c r="BFD162" s="4"/>
      <c r="BFE162" s="4"/>
      <c r="BFF162" s="4"/>
      <c r="BFG162" s="4"/>
      <c r="BFH162" s="4"/>
      <c r="BFI162" s="4"/>
      <c r="BFJ162" s="4"/>
      <c r="BFK162" s="4"/>
      <c r="BFL162" s="4"/>
      <c r="BFM162" s="4"/>
      <c r="BFN162" s="4"/>
      <c r="BFO162" s="4"/>
      <c r="BFP162" s="4"/>
      <c r="BFQ162" s="4"/>
      <c r="BFR162" s="4"/>
      <c r="BFS162" s="4"/>
      <c r="BFT162" s="4"/>
      <c r="BFU162" s="4"/>
      <c r="BFV162" s="4"/>
      <c r="BFW162" s="4"/>
      <c r="BFX162" s="4"/>
      <c r="BFY162" s="4"/>
      <c r="BFZ162" s="4"/>
      <c r="BGA162" s="4"/>
      <c r="BGB162" s="4"/>
      <c r="BGC162" s="4"/>
      <c r="BGD162" s="4"/>
      <c r="BGE162" s="4"/>
      <c r="BGF162" s="4"/>
      <c r="BGG162" s="4"/>
      <c r="BGH162" s="4"/>
      <c r="BGI162" s="4"/>
      <c r="BGJ162" s="4"/>
      <c r="BGK162" s="4"/>
      <c r="BGL162" s="4"/>
      <c r="BGM162" s="4"/>
      <c r="BGN162" s="4"/>
      <c r="BGO162" s="4"/>
      <c r="BGP162" s="4"/>
      <c r="BGQ162" s="4"/>
      <c r="BGR162" s="4"/>
      <c r="BGS162" s="4"/>
      <c r="BGT162" s="4"/>
      <c r="BGU162" s="4"/>
      <c r="BGV162" s="4"/>
      <c r="BGW162" s="4"/>
      <c r="BGX162" s="4"/>
      <c r="BGY162" s="4"/>
      <c r="BGZ162" s="4"/>
      <c r="BHA162" s="4"/>
      <c r="BHB162" s="4"/>
      <c r="BHC162" s="4"/>
      <c r="BHD162" s="4"/>
      <c r="BHE162" s="4"/>
      <c r="BHF162" s="4"/>
      <c r="BHG162" s="4"/>
      <c r="BHH162" s="4"/>
      <c r="BHI162" s="4"/>
      <c r="BHJ162" s="4"/>
      <c r="BHK162" s="4"/>
      <c r="BHL162" s="4"/>
      <c r="BHM162" s="4"/>
      <c r="BHN162" s="4"/>
      <c r="BHO162" s="4"/>
      <c r="BHP162" s="4"/>
      <c r="BHQ162" s="4"/>
      <c r="BHR162" s="4"/>
      <c r="BHS162" s="4"/>
      <c r="BHT162" s="4"/>
      <c r="BHU162" s="4"/>
      <c r="BHV162" s="4"/>
      <c r="BHW162" s="4"/>
      <c r="BHX162" s="4"/>
      <c r="BHY162" s="4"/>
      <c r="BHZ162" s="4"/>
      <c r="BIA162" s="4"/>
      <c r="BIB162" s="4"/>
      <c r="BIC162" s="4"/>
      <c r="BID162" s="4"/>
      <c r="BIE162" s="4"/>
      <c r="BIF162" s="4"/>
      <c r="BIG162" s="4"/>
      <c r="BIH162" s="4"/>
      <c r="BII162" s="4"/>
      <c r="BIJ162" s="4"/>
      <c r="BIK162" s="4"/>
      <c r="BIL162" s="4"/>
      <c r="BIM162" s="4"/>
      <c r="BIN162" s="4"/>
      <c r="BIO162" s="4"/>
      <c r="BIP162" s="4"/>
      <c r="BIQ162" s="4"/>
      <c r="BIR162" s="4"/>
      <c r="BIS162" s="4"/>
      <c r="BIT162" s="4"/>
      <c r="BIU162" s="4"/>
      <c r="BIV162" s="4"/>
      <c r="BIW162" s="4"/>
      <c r="BIX162" s="4"/>
      <c r="BIY162" s="4"/>
      <c r="BIZ162" s="4"/>
      <c r="BJA162" s="4"/>
      <c r="BJB162" s="4"/>
      <c r="BJC162" s="4"/>
      <c r="BJD162" s="4"/>
      <c r="BJE162" s="4"/>
      <c r="BJF162" s="4"/>
      <c r="BJG162" s="4"/>
      <c r="BJH162" s="4"/>
      <c r="BJI162" s="4"/>
      <c r="BJJ162" s="4"/>
      <c r="BJK162" s="4"/>
      <c r="BJL162" s="4"/>
      <c r="BJM162" s="4"/>
      <c r="BJN162" s="4"/>
      <c r="BJO162" s="4"/>
      <c r="BJP162" s="4"/>
      <c r="BJQ162" s="4"/>
      <c r="BJR162" s="4"/>
      <c r="BJS162" s="4"/>
      <c r="BJT162" s="4"/>
      <c r="BJU162" s="4"/>
      <c r="BJV162" s="4"/>
      <c r="BJW162" s="4"/>
      <c r="BJX162" s="4"/>
      <c r="BJY162" s="4"/>
      <c r="BJZ162" s="4"/>
      <c r="BKA162" s="4"/>
      <c r="BKB162" s="4"/>
      <c r="BKC162" s="4"/>
      <c r="BKD162" s="4"/>
      <c r="BKE162" s="4"/>
      <c r="BKF162" s="4"/>
      <c r="BKG162" s="4"/>
      <c r="BKH162" s="4"/>
      <c r="BKI162" s="4"/>
      <c r="BKJ162" s="4"/>
      <c r="BKK162" s="4"/>
      <c r="BKL162" s="4"/>
      <c r="BKM162" s="4"/>
      <c r="BKN162" s="4"/>
      <c r="BKO162" s="4"/>
      <c r="BKP162" s="4"/>
      <c r="BKQ162" s="4"/>
      <c r="BKR162" s="4"/>
      <c r="BKS162" s="4"/>
      <c r="BKT162" s="4"/>
      <c r="BKU162" s="4"/>
      <c r="BKV162" s="4"/>
      <c r="BKW162" s="4"/>
      <c r="BKX162" s="4"/>
      <c r="BKY162" s="4"/>
      <c r="BKZ162" s="4"/>
      <c r="BLA162" s="4"/>
      <c r="BLB162" s="4"/>
      <c r="BLC162" s="4"/>
      <c r="BLD162" s="4"/>
      <c r="BLE162" s="4"/>
      <c r="BLF162" s="4"/>
      <c r="BLG162" s="4"/>
      <c r="BLH162" s="4"/>
      <c r="BLI162" s="4"/>
      <c r="BLJ162" s="4"/>
      <c r="BLK162" s="4"/>
      <c r="BLL162" s="4"/>
      <c r="BLM162" s="4"/>
      <c r="BLN162" s="4"/>
      <c r="BLO162" s="4"/>
      <c r="BLP162" s="4"/>
      <c r="BLQ162" s="4"/>
      <c r="BLR162" s="4"/>
      <c r="BLS162" s="4"/>
      <c r="BLT162" s="4"/>
      <c r="BLU162" s="4"/>
      <c r="BLV162" s="4"/>
      <c r="BLW162" s="4"/>
      <c r="BLX162" s="4"/>
      <c r="BLY162" s="4"/>
      <c r="BLZ162" s="4"/>
      <c r="BMA162" s="4"/>
      <c r="BMB162" s="4"/>
      <c r="BMC162" s="4"/>
      <c r="BMD162" s="4"/>
      <c r="BME162" s="4"/>
      <c r="BMF162" s="4"/>
      <c r="BMG162" s="4"/>
      <c r="BMH162" s="4"/>
      <c r="BMI162" s="4"/>
      <c r="BMJ162" s="4"/>
      <c r="BMK162" s="4"/>
      <c r="BML162" s="4"/>
      <c r="BMM162" s="4"/>
      <c r="BMN162" s="4"/>
      <c r="BMO162" s="4"/>
      <c r="BMP162" s="4"/>
      <c r="BMQ162" s="4"/>
      <c r="BMR162" s="4"/>
      <c r="BMS162" s="4"/>
      <c r="BMT162" s="4"/>
      <c r="BMU162" s="4"/>
      <c r="BMV162" s="4"/>
      <c r="BMW162" s="4"/>
      <c r="BMX162" s="4"/>
      <c r="BMY162" s="4"/>
      <c r="BMZ162" s="4"/>
      <c r="BNA162" s="4"/>
      <c r="BNB162" s="4"/>
      <c r="BNC162" s="4"/>
      <c r="BND162" s="4"/>
      <c r="BNE162" s="4"/>
      <c r="BNF162" s="4"/>
      <c r="BNG162" s="4"/>
      <c r="BNH162" s="4"/>
      <c r="BNI162" s="4"/>
      <c r="BNJ162" s="4"/>
      <c r="BNK162" s="4"/>
      <c r="BNL162" s="4"/>
      <c r="BNM162" s="4"/>
      <c r="BNN162" s="4"/>
      <c r="BNO162" s="4"/>
      <c r="BNP162" s="4"/>
      <c r="BNQ162" s="4"/>
      <c r="BNR162" s="4"/>
      <c r="BNS162" s="4"/>
      <c r="BNT162" s="4"/>
      <c r="BNU162" s="4"/>
      <c r="BNV162" s="4"/>
      <c r="BNW162" s="4"/>
      <c r="BNX162" s="4"/>
      <c r="BNY162" s="4"/>
      <c r="BNZ162" s="4"/>
      <c r="BOA162" s="4"/>
      <c r="BOB162" s="4"/>
      <c r="BOC162" s="4"/>
      <c r="BOD162" s="4"/>
      <c r="BOE162" s="4"/>
      <c r="BOF162" s="4"/>
      <c r="BOG162" s="4"/>
      <c r="BOH162" s="4"/>
      <c r="BOI162" s="4"/>
      <c r="BOJ162" s="4"/>
      <c r="BOK162" s="4"/>
      <c r="BOL162" s="4"/>
      <c r="BOM162" s="4"/>
      <c r="BON162" s="4"/>
      <c r="BOO162" s="4"/>
      <c r="BOP162" s="4"/>
      <c r="BOQ162" s="4"/>
      <c r="BOR162" s="4"/>
      <c r="BOS162" s="4"/>
      <c r="BOT162" s="4"/>
      <c r="BOU162" s="4"/>
      <c r="BOV162" s="4"/>
      <c r="BOW162" s="4"/>
      <c r="BOX162" s="4"/>
      <c r="BOY162" s="4"/>
      <c r="BOZ162" s="4"/>
      <c r="BPA162" s="4"/>
      <c r="BPB162" s="4"/>
      <c r="BPC162" s="4"/>
      <c r="BPD162" s="4"/>
      <c r="BPE162" s="4"/>
      <c r="BPF162" s="4"/>
      <c r="BPG162" s="4"/>
      <c r="BPH162" s="4"/>
      <c r="BPI162" s="4"/>
      <c r="BPJ162" s="4"/>
      <c r="BPK162" s="4"/>
      <c r="BPL162" s="4"/>
      <c r="BPM162" s="4"/>
      <c r="BPN162" s="4"/>
      <c r="BPO162" s="4"/>
      <c r="BPP162" s="4"/>
      <c r="BPQ162" s="4"/>
      <c r="BPR162" s="4"/>
      <c r="BPS162" s="4"/>
      <c r="BPT162" s="4"/>
      <c r="BPU162" s="4"/>
      <c r="BPV162" s="4"/>
      <c r="BPW162" s="4"/>
      <c r="BPX162" s="4"/>
      <c r="BPY162" s="4"/>
      <c r="BPZ162" s="4"/>
      <c r="BQA162" s="4"/>
      <c r="BQB162" s="4"/>
      <c r="BQC162" s="4"/>
      <c r="BQD162" s="4"/>
      <c r="BQE162" s="4"/>
      <c r="BQF162" s="4"/>
      <c r="BQG162" s="4"/>
      <c r="BQH162" s="4"/>
      <c r="BQI162" s="4"/>
      <c r="BQJ162" s="4"/>
      <c r="BQK162" s="4"/>
      <c r="BQL162" s="4"/>
      <c r="BQM162" s="4"/>
      <c r="BQN162" s="4"/>
      <c r="BQO162" s="4"/>
      <c r="BQP162" s="4"/>
      <c r="BQQ162" s="4"/>
      <c r="BQR162" s="4"/>
      <c r="BQS162" s="4"/>
      <c r="BQT162" s="4"/>
      <c r="BQU162" s="4"/>
      <c r="BQV162" s="4"/>
      <c r="BQW162" s="4"/>
      <c r="BQX162" s="4"/>
      <c r="BQY162" s="4"/>
      <c r="BQZ162" s="4"/>
      <c r="BRA162" s="4"/>
      <c r="BRB162" s="4"/>
      <c r="BRC162" s="4"/>
      <c r="BRD162" s="4"/>
      <c r="BRE162" s="4"/>
      <c r="BRF162" s="4"/>
      <c r="BRG162" s="4"/>
      <c r="BRH162" s="4"/>
      <c r="BRI162" s="4"/>
      <c r="BRJ162" s="4"/>
      <c r="BRK162" s="4"/>
      <c r="BRL162" s="4"/>
      <c r="BRM162" s="4"/>
      <c r="BRN162" s="4"/>
      <c r="BRO162" s="4"/>
      <c r="BRP162" s="4"/>
      <c r="BRQ162" s="4"/>
      <c r="BRR162" s="4"/>
      <c r="BRS162" s="4"/>
      <c r="BRT162" s="4"/>
      <c r="BRU162" s="4"/>
      <c r="BRV162" s="4"/>
      <c r="BRW162" s="4"/>
      <c r="BRX162" s="4"/>
      <c r="BRY162" s="4"/>
      <c r="BRZ162" s="4"/>
      <c r="BSA162" s="4"/>
      <c r="BSB162" s="4"/>
      <c r="BSC162" s="4"/>
      <c r="BSD162" s="4"/>
      <c r="BSE162" s="4"/>
      <c r="BSF162" s="4"/>
      <c r="BSG162" s="4"/>
      <c r="BSH162" s="4"/>
      <c r="BSI162" s="4"/>
      <c r="BSJ162" s="4"/>
      <c r="BSK162" s="4"/>
      <c r="BSL162" s="4"/>
      <c r="BSM162" s="4"/>
      <c r="BSN162" s="4"/>
      <c r="BSO162" s="4"/>
      <c r="BSP162" s="4"/>
      <c r="BSQ162" s="4"/>
      <c r="BSR162" s="4"/>
      <c r="BSS162" s="4"/>
      <c r="BST162" s="4"/>
      <c r="BSU162" s="4"/>
      <c r="BSV162" s="4"/>
      <c r="BSW162" s="4"/>
      <c r="BSX162" s="4"/>
      <c r="BSY162" s="4"/>
      <c r="BSZ162" s="4"/>
      <c r="BTA162" s="4"/>
      <c r="BTB162" s="4"/>
      <c r="BTC162" s="4"/>
      <c r="BTD162" s="4"/>
      <c r="BTE162" s="4"/>
      <c r="BTF162" s="4"/>
      <c r="BTG162" s="4"/>
      <c r="BTH162" s="4"/>
      <c r="BTI162" s="4"/>
      <c r="BTJ162" s="4"/>
      <c r="BTK162" s="4"/>
      <c r="BTL162" s="4"/>
      <c r="BTM162" s="4"/>
      <c r="BTN162" s="4"/>
      <c r="BTO162" s="4"/>
      <c r="BTP162" s="4"/>
      <c r="BTQ162" s="4"/>
      <c r="BTR162" s="4"/>
      <c r="BTS162" s="4"/>
      <c r="BTT162" s="4"/>
      <c r="BTU162" s="4"/>
      <c r="BTV162" s="4"/>
      <c r="BTW162" s="4"/>
      <c r="BTX162" s="4"/>
      <c r="BTY162" s="4"/>
      <c r="BTZ162" s="4"/>
      <c r="BUA162" s="4"/>
      <c r="BUB162" s="4"/>
      <c r="BUC162" s="4"/>
      <c r="BUD162" s="4"/>
      <c r="BUE162" s="4"/>
      <c r="BUF162" s="4"/>
      <c r="BUG162" s="4"/>
      <c r="BUH162" s="4"/>
      <c r="BUI162" s="4"/>
      <c r="BUJ162" s="4"/>
      <c r="BUK162" s="4"/>
      <c r="BUL162" s="4"/>
      <c r="BUM162" s="4"/>
      <c r="BUN162" s="4"/>
      <c r="BUO162" s="4"/>
      <c r="BUP162" s="4"/>
      <c r="BUQ162" s="4"/>
      <c r="BUR162" s="4"/>
      <c r="BUS162" s="4"/>
      <c r="BUT162" s="4"/>
      <c r="BUU162" s="4"/>
      <c r="BUV162" s="4"/>
      <c r="BUW162" s="4"/>
      <c r="BUX162" s="4"/>
      <c r="BUY162" s="4"/>
      <c r="BUZ162" s="4"/>
      <c r="BVA162" s="4"/>
      <c r="BVB162" s="4"/>
      <c r="BVC162" s="4"/>
      <c r="BVD162" s="4"/>
      <c r="BVE162" s="4"/>
      <c r="BVF162" s="4"/>
      <c r="BVG162" s="4"/>
      <c r="BVH162" s="4"/>
      <c r="BVI162" s="4"/>
      <c r="BVJ162" s="4"/>
      <c r="BVK162" s="4"/>
      <c r="BVL162" s="4"/>
      <c r="BVM162" s="4"/>
      <c r="BVN162" s="4"/>
      <c r="BVO162" s="4"/>
      <c r="BVP162" s="4"/>
      <c r="BVQ162" s="4"/>
      <c r="BVR162" s="4"/>
      <c r="BVS162" s="4"/>
      <c r="BVT162" s="4"/>
      <c r="BVU162" s="4"/>
      <c r="BVV162" s="4"/>
      <c r="BVW162" s="4"/>
      <c r="BVX162" s="4"/>
      <c r="BVY162" s="4"/>
      <c r="BVZ162" s="4"/>
      <c r="BWA162" s="4"/>
      <c r="BWB162" s="4"/>
      <c r="BWC162" s="4"/>
      <c r="BWD162" s="4"/>
      <c r="BWE162" s="4"/>
      <c r="BWF162" s="4"/>
      <c r="BWG162" s="4"/>
      <c r="BWH162" s="4"/>
      <c r="BWI162" s="4"/>
      <c r="BWJ162" s="4"/>
      <c r="BWK162" s="4"/>
      <c r="BWL162" s="4"/>
      <c r="BWM162" s="4"/>
      <c r="BWN162" s="4"/>
      <c r="BWO162" s="4"/>
      <c r="BWP162" s="4"/>
      <c r="BWQ162" s="4"/>
      <c r="BWR162" s="4"/>
      <c r="BWS162" s="4"/>
      <c r="BWT162" s="4"/>
      <c r="BWU162" s="4"/>
      <c r="BWV162" s="4"/>
      <c r="BWW162" s="4"/>
      <c r="BWX162" s="4"/>
      <c r="BWY162" s="4"/>
      <c r="BWZ162" s="4"/>
      <c r="BXA162" s="4"/>
      <c r="BXB162" s="4"/>
      <c r="BXC162" s="4"/>
      <c r="BXD162" s="4"/>
      <c r="BXE162" s="4"/>
      <c r="BXF162" s="4"/>
      <c r="BXG162" s="4"/>
      <c r="BXH162" s="4"/>
      <c r="BXI162" s="4"/>
      <c r="BXJ162" s="4"/>
      <c r="BXK162" s="4"/>
      <c r="BXL162" s="4"/>
      <c r="BXM162" s="4"/>
      <c r="BXN162" s="4"/>
      <c r="BXO162" s="4"/>
      <c r="BXP162" s="4"/>
      <c r="BXQ162" s="4"/>
      <c r="BXR162" s="4"/>
      <c r="BXS162" s="4"/>
      <c r="BXT162" s="4"/>
      <c r="BXU162" s="4"/>
      <c r="BXV162" s="4"/>
      <c r="BXW162" s="4"/>
      <c r="BXX162" s="4"/>
      <c r="BXY162" s="4"/>
      <c r="BXZ162" s="4"/>
      <c r="BYA162" s="4"/>
      <c r="BYB162" s="4"/>
      <c r="BYC162" s="4"/>
      <c r="BYD162" s="4"/>
      <c r="BYE162" s="4"/>
      <c r="BYF162" s="4"/>
      <c r="BYG162" s="4"/>
      <c r="BYH162" s="4"/>
      <c r="BYI162" s="4"/>
      <c r="BYJ162" s="4"/>
      <c r="BYK162" s="4"/>
      <c r="BYL162" s="4"/>
      <c r="BYM162" s="4"/>
      <c r="BYN162" s="4"/>
      <c r="BYO162" s="4"/>
      <c r="BYP162" s="4"/>
      <c r="BYQ162" s="4"/>
      <c r="BYR162" s="4"/>
      <c r="BYS162" s="4"/>
      <c r="BYT162" s="4"/>
      <c r="BYU162" s="4"/>
      <c r="BYV162" s="4"/>
      <c r="BYW162" s="4"/>
      <c r="BYX162" s="4"/>
      <c r="BYY162" s="4"/>
      <c r="BYZ162" s="4"/>
      <c r="BZA162" s="4"/>
      <c r="BZB162" s="4"/>
      <c r="BZC162" s="4"/>
      <c r="BZD162" s="4"/>
      <c r="BZE162" s="4"/>
      <c r="BZF162" s="4"/>
      <c r="BZG162" s="4"/>
      <c r="BZH162" s="4"/>
      <c r="BZI162" s="4"/>
      <c r="BZJ162" s="4"/>
      <c r="BZK162" s="4"/>
      <c r="BZL162" s="4"/>
      <c r="BZM162" s="4"/>
      <c r="BZN162" s="4"/>
      <c r="BZO162" s="4"/>
      <c r="BZP162" s="4"/>
      <c r="BZQ162" s="4"/>
      <c r="BZR162" s="4"/>
      <c r="BZS162" s="4"/>
      <c r="BZT162" s="4"/>
      <c r="BZU162" s="4"/>
      <c r="BZV162" s="4"/>
      <c r="BZW162" s="4"/>
      <c r="BZX162" s="4"/>
      <c r="BZY162" s="4"/>
      <c r="BZZ162" s="4"/>
      <c r="CAA162" s="4"/>
      <c r="CAB162" s="4"/>
      <c r="CAC162" s="4"/>
      <c r="CAD162" s="4"/>
      <c r="CAE162" s="4"/>
      <c r="CAF162" s="4"/>
      <c r="CAG162" s="4"/>
      <c r="CAH162" s="4"/>
      <c r="CAI162" s="4"/>
      <c r="CAJ162" s="4"/>
      <c r="CAK162" s="4"/>
      <c r="CAL162" s="4"/>
      <c r="CAM162" s="4"/>
      <c r="CAN162" s="4"/>
      <c r="CAO162" s="4"/>
      <c r="CAP162" s="4"/>
      <c r="CAQ162" s="4"/>
      <c r="CAR162" s="4"/>
      <c r="CAS162" s="4"/>
      <c r="CAT162" s="4"/>
      <c r="CAU162" s="4"/>
      <c r="CAV162" s="4"/>
      <c r="CAW162" s="4"/>
      <c r="CAX162" s="4"/>
      <c r="CAY162" s="4"/>
      <c r="CAZ162" s="4"/>
      <c r="CBA162" s="4"/>
      <c r="CBB162" s="4"/>
      <c r="CBC162" s="4"/>
      <c r="CBD162" s="4"/>
      <c r="CBE162" s="4"/>
      <c r="CBF162" s="4"/>
      <c r="CBG162" s="4"/>
      <c r="CBH162" s="4"/>
      <c r="CBI162" s="4"/>
      <c r="CBJ162" s="4"/>
      <c r="CBK162" s="4"/>
      <c r="CBL162" s="4"/>
      <c r="CBM162" s="4"/>
      <c r="CBN162" s="4"/>
      <c r="CBO162" s="4"/>
      <c r="CBP162" s="4"/>
      <c r="CBQ162" s="4"/>
      <c r="CBR162" s="4"/>
      <c r="CBS162" s="4"/>
      <c r="CBT162" s="4"/>
      <c r="CBU162" s="4"/>
      <c r="CBV162" s="4"/>
      <c r="CBW162" s="4"/>
      <c r="CBX162" s="4"/>
      <c r="CBY162" s="4"/>
      <c r="CBZ162" s="4"/>
      <c r="CCA162" s="4"/>
      <c r="CCB162" s="4"/>
      <c r="CCC162" s="4"/>
      <c r="CCD162" s="4"/>
      <c r="CCE162" s="4"/>
      <c r="CCF162" s="4"/>
      <c r="CCG162" s="4"/>
      <c r="CCH162" s="4"/>
      <c r="CCI162" s="4"/>
      <c r="CCJ162" s="4"/>
      <c r="CCK162" s="4"/>
      <c r="CCL162" s="4"/>
      <c r="CCM162" s="4"/>
      <c r="CCN162" s="4"/>
      <c r="CCO162" s="4"/>
      <c r="CCP162" s="4"/>
      <c r="CCQ162" s="4"/>
      <c r="CCR162" s="4"/>
      <c r="CCS162" s="4"/>
      <c r="CCT162" s="4"/>
      <c r="CCU162" s="4"/>
      <c r="CCV162" s="4"/>
      <c r="CCW162" s="4"/>
      <c r="CCX162" s="4"/>
      <c r="CCY162" s="4"/>
      <c r="CCZ162" s="4"/>
      <c r="CDA162" s="4"/>
      <c r="CDB162" s="4"/>
      <c r="CDC162" s="4"/>
      <c r="CDD162" s="4"/>
      <c r="CDE162" s="4"/>
      <c r="CDF162" s="4"/>
      <c r="CDG162" s="4"/>
      <c r="CDH162" s="4"/>
      <c r="CDI162" s="4"/>
      <c r="CDJ162" s="4"/>
      <c r="CDK162" s="4"/>
      <c r="CDL162" s="4"/>
      <c r="CDM162" s="4"/>
      <c r="CDN162" s="4"/>
      <c r="CDO162" s="4"/>
      <c r="CDP162" s="4"/>
      <c r="CDQ162" s="4"/>
      <c r="CDR162" s="4"/>
      <c r="CDS162" s="4"/>
      <c r="CDT162" s="4"/>
      <c r="CDU162" s="4"/>
      <c r="CDV162" s="4"/>
      <c r="CDW162" s="4"/>
      <c r="CDX162" s="4"/>
      <c r="CDY162" s="4"/>
      <c r="CDZ162" s="4"/>
      <c r="CEA162" s="4"/>
      <c r="CEB162" s="4"/>
      <c r="CEC162" s="4"/>
      <c r="CED162" s="4"/>
      <c r="CEE162" s="4"/>
      <c r="CEF162" s="4"/>
      <c r="CEG162" s="4"/>
      <c r="CEH162" s="4"/>
      <c r="CEI162" s="4"/>
      <c r="CEJ162" s="4"/>
      <c r="CEK162" s="4"/>
      <c r="CEL162" s="4"/>
      <c r="CEM162" s="4"/>
      <c r="CEN162" s="4"/>
      <c r="CEO162" s="4"/>
      <c r="CEP162" s="4"/>
      <c r="CEQ162" s="4"/>
      <c r="CER162" s="4"/>
      <c r="CES162" s="4"/>
      <c r="CET162" s="4"/>
      <c r="CEU162" s="4"/>
      <c r="CEV162" s="4"/>
      <c r="CEW162" s="4"/>
      <c r="CEX162" s="4"/>
      <c r="CEY162" s="4"/>
      <c r="CEZ162" s="4"/>
      <c r="CFA162" s="4"/>
      <c r="CFB162" s="4"/>
      <c r="CFC162" s="4"/>
      <c r="CFD162" s="4"/>
      <c r="CFE162" s="4"/>
      <c r="CFF162" s="4"/>
      <c r="CFG162" s="4"/>
      <c r="CFH162" s="4"/>
      <c r="CFI162" s="4"/>
      <c r="CFJ162" s="4"/>
      <c r="CFK162" s="4"/>
      <c r="CFL162" s="4"/>
      <c r="CFM162" s="4"/>
      <c r="CFN162" s="4"/>
      <c r="CFO162" s="4"/>
      <c r="CFP162" s="4"/>
      <c r="CFQ162" s="4"/>
      <c r="CFR162" s="4"/>
      <c r="CFS162" s="4"/>
      <c r="CFT162" s="4"/>
      <c r="CFU162" s="4"/>
      <c r="CFV162" s="4"/>
      <c r="CFW162" s="4"/>
      <c r="CFX162" s="4"/>
      <c r="CFY162" s="4"/>
      <c r="CFZ162" s="4"/>
      <c r="CGA162" s="4"/>
      <c r="CGB162" s="4"/>
      <c r="CGC162" s="4"/>
      <c r="CGD162" s="4"/>
      <c r="CGE162" s="4"/>
      <c r="CGF162" s="4"/>
      <c r="CGG162" s="4"/>
      <c r="CGH162" s="4"/>
      <c r="CGI162" s="4"/>
      <c r="CGJ162" s="4"/>
      <c r="CGK162" s="4"/>
      <c r="CGL162" s="4"/>
      <c r="CGM162" s="4"/>
      <c r="CGN162" s="4"/>
      <c r="CGO162" s="4"/>
      <c r="CGP162" s="4"/>
      <c r="CGQ162" s="4"/>
      <c r="CGR162" s="4"/>
      <c r="CGS162" s="4"/>
      <c r="CGT162" s="4"/>
      <c r="CGU162" s="4"/>
      <c r="CGV162" s="4"/>
      <c r="CGW162" s="4"/>
      <c r="CGX162" s="4"/>
      <c r="CGY162" s="4"/>
      <c r="CGZ162" s="4"/>
      <c r="CHA162" s="4"/>
      <c r="CHB162" s="4"/>
      <c r="CHC162" s="4"/>
      <c r="CHD162" s="4"/>
      <c r="CHE162" s="4"/>
      <c r="CHF162" s="4"/>
      <c r="CHG162" s="4"/>
      <c r="CHH162" s="4"/>
      <c r="CHI162" s="4"/>
      <c r="CHJ162" s="4"/>
      <c r="CHK162" s="4"/>
      <c r="CHL162" s="4"/>
      <c r="CHM162" s="4"/>
      <c r="CHN162" s="4"/>
      <c r="CHO162" s="4"/>
      <c r="CHP162" s="4"/>
      <c r="CHQ162" s="4"/>
      <c r="CHR162" s="4"/>
      <c r="CHS162" s="4"/>
      <c r="CHT162" s="4"/>
      <c r="CHU162" s="4"/>
      <c r="CHV162" s="4"/>
      <c r="CHW162" s="4"/>
      <c r="CHX162" s="4"/>
      <c r="CHY162" s="4"/>
      <c r="CHZ162" s="4"/>
      <c r="CIA162" s="4"/>
      <c r="CIB162" s="4"/>
      <c r="CIC162" s="4"/>
      <c r="CID162" s="4"/>
      <c r="CIE162" s="4"/>
      <c r="CIF162" s="4"/>
      <c r="CIG162" s="4"/>
      <c r="CIH162" s="4"/>
      <c r="CII162" s="4"/>
      <c r="CIJ162" s="4"/>
      <c r="CIK162" s="4"/>
      <c r="CIL162" s="4"/>
      <c r="CIM162" s="4"/>
      <c r="CIN162" s="4"/>
      <c r="CIO162" s="4"/>
      <c r="CIP162" s="4"/>
      <c r="CIQ162" s="4"/>
      <c r="CIR162" s="4"/>
      <c r="CIS162" s="4"/>
      <c r="CIT162" s="4"/>
      <c r="CIU162" s="4"/>
      <c r="CIV162" s="4"/>
      <c r="CIW162" s="4"/>
      <c r="CIX162" s="4"/>
      <c r="CIY162" s="4"/>
      <c r="CIZ162" s="4"/>
      <c r="CJA162" s="4"/>
      <c r="CJB162" s="4"/>
      <c r="CJC162" s="4"/>
      <c r="CJD162" s="4"/>
      <c r="CJE162" s="4"/>
      <c r="CJF162" s="4"/>
      <c r="CJG162" s="4"/>
      <c r="CJH162" s="4"/>
      <c r="CJI162" s="4"/>
      <c r="CJJ162" s="4"/>
      <c r="CJK162" s="4"/>
      <c r="CJL162" s="4"/>
      <c r="CJM162" s="4"/>
      <c r="CJN162" s="4"/>
      <c r="CJO162" s="4"/>
      <c r="CJP162" s="4"/>
      <c r="CJQ162" s="4"/>
      <c r="CJR162" s="4"/>
      <c r="CJS162" s="4"/>
      <c r="CJT162" s="4"/>
      <c r="CJU162" s="4"/>
      <c r="CJV162" s="4"/>
      <c r="CJW162" s="4"/>
      <c r="CJX162" s="4"/>
      <c r="CJY162" s="4"/>
      <c r="CJZ162" s="4"/>
      <c r="CKA162" s="4"/>
      <c r="CKB162" s="4"/>
      <c r="CKC162" s="4"/>
      <c r="CKD162" s="4"/>
      <c r="CKE162" s="4"/>
      <c r="CKF162" s="4"/>
      <c r="CKG162" s="4"/>
      <c r="CKH162" s="4"/>
      <c r="CKI162" s="4"/>
      <c r="CKJ162" s="4"/>
      <c r="CKK162" s="4"/>
      <c r="CKL162" s="4"/>
      <c r="CKM162" s="4"/>
      <c r="CKN162" s="4"/>
      <c r="CKO162" s="4"/>
      <c r="CKP162" s="4"/>
      <c r="CKQ162" s="4"/>
      <c r="CKR162" s="4"/>
      <c r="CKS162" s="4"/>
      <c r="CKT162" s="4"/>
      <c r="CKU162" s="4"/>
      <c r="CKV162" s="4"/>
      <c r="CKW162" s="4"/>
      <c r="CKX162" s="4"/>
      <c r="CKY162" s="4"/>
      <c r="CKZ162" s="4"/>
      <c r="CLA162" s="4"/>
      <c r="CLB162" s="4"/>
      <c r="CLC162" s="4"/>
      <c r="CLD162" s="4"/>
      <c r="CLE162" s="4"/>
      <c r="CLF162" s="4"/>
      <c r="CLG162" s="4"/>
      <c r="CLH162" s="4"/>
      <c r="CLI162" s="4"/>
      <c r="CLJ162" s="4"/>
      <c r="CLK162" s="4"/>
      <c r="CLL162" s="4"/>
      <c r="CLM162" s="4"/>
      <c r="CLN162" s="4"/>
      <c r="CLO162" s="4"/>
      <c r="CLP162" s="4"/>
      <c r="CLQ162" s="4"/>
      <c r="CLR162" s="4"/>
      <c r="CLS162" s="4"/>
      <c r="CLT162" s="4"/>
      <c r="CLU162" s="4"/>
      <c r="CLV162" s="4"/>
      <c r="CLW162" s="4"/>
      <c r="CLX162" s="4"/>
      <c r="CLY162" s="4"/>
      <c r="CLZ162" s="4"/>
      <c r="CMA162" s="4"/>
      <c r="CMB162" s="4"/>
      <c r="CMC162" s="4"/>
      <c r="CMD162" s="4"/>
      <c r="CME162" s="4"/>
      <c r="CMF162" s="4"/>
      <c r="CMG162" s="4"/>
      <c r="CMH162" s="4"/>
      <c r="CMI162" s="4"/>
      <c r="CMJ162" s="4"/>
      <c r="CMK162" s="4"/>
      <c r="CML162" s="4"/>
      <c r="CMM162" s="4"/>
      <c r="CMN162" s="4"/>
      <c r="CMO162" s="4"/>
      <c r="CMP162" s="4"/>
      <c r="CMQ162" s="4"/>
      <c r="CMR162" s="4"/>
      <c r="CMS162" s="4"/>
      <c r="CMT162" s="4"/>
      <c r="CMU162" s="4"/>
      <c r="CMV162" s="4"/>
      <c r="CMW162" s="4"/>
      <c r="CMX162" s="4"/>
      <c r="CMY162" s="4"/>
      <c r="CMZ162" s="4"/>
      <c r="CNA162" s="4"/>
      <c r="CNB162" s="4"/>
      <c r="CNC162" s="4"/>
      <c r="CND162" s="4"/>
      <c r="CNE162" s="4"/>
      <c r="CNF162" s="4"/>
      <c r="CNG162" s="4"/>
      <c r="CNH162" s="4"/>
      <c r="CNI162" s="4"/>
      <c r="CNJ162" s="4"/>
      <c r="CNK162" s="4"/>
      <c r="CNL162" s="4"/>
      <c r="CNM162" s="4"/>
      <c r="CNN162" s="4"/>
      <c r="CNO162" s="4"/>
      <c r="CNP162" s="4"/>
      <c r="CNQ162" s="4"/>
      <c r="CNR162" s="4"/>
      <c r="CNS162" s="4"/>
      <c r="CNT162" s="4"/>
      <c r="CNU162" s="4"/>
      <c r="CNV162" s="4"/>
      <c r="CNW162" s="4"/>
      <c r="CNX162" s="4"/>
      <c r="CNY162" s="4"/>
      <c r="CNZ162" s="4"/>
      <c r="COA162" s="4"/>
      <c r="COB162" s="4"/>
      <c r="COC162" s="4"/>
      <c r="COD162" s="4"/>
      <c r="COE162" s="4"/>
      <c r="COF162" s="4"/>
      <c r="COG162" s="4"/>
      <c r="COH162" s="4"/>
      <c r="COI162" s="4"/>
      <c r="COJ162" s="4"/>
      <c r="COK162" s="4"/>
      <c r="COL162" s="4"/>
      <c r="COM162" s="4"/>
      <c r="CON162" s="4"/>
      <c r="COO162" s="4"/>
      <c r="COP162" s="4"/>
      <c r="COQ162" s="4"/>
      <c r="COR162" s="4"/>
      <c r="COS162" s="4"/>
      <c r="COT162" s="4"/>
      <c r="COU162" s="4"/>
      <c r="COV162" s="4"/>
      <c r="COW162" s="4"/>
      <c r="COX162" s="4"/>
      <c r="COY162" s="4"/>
      <c r="COZ162" s="4"/>
      <c r="CPA162" s="4"/>
      <c r="CPB162" s="4"/>
      <c r="CPC162" s="4"/>
      <c r="CPD162" s="4"/>
      <c r="CPE162" s="4"/>
      <c r="CPF162" s="4"/>
      <c r="CPG162" s="4"/>
      <c r="CPH162" s="4"/>
      <c r="CPI162" s="4"/>
      <c r="CPJ162" s="4"/>
      <c r="CPK162" s="4"/>
      <c r="CPL162" s="4"/>
      <c r="CPM162" s="4"/>
      <c r="CPN162" s="4"/>
      <c r="CPO162" s="4"/>
      <c r="CPP162" s="4"/>
      <c r="CPQ162" s="4"/>
      <c r="CPR162" s="4"/>
      <c r="CPS162" s="4"/>
      <c r="CPT162" s="4"/>
      <c r="CPU162" s="4"/>
      <c r="CPV162" s="4"/>
      <c r="CPW162" s="4"/>
      <c r="CPX162" s="4"/>
      <c r="CPY162" s="4"/>
      <c r="CPZ162" s="4"/>
      <c r="CQA162" s="4"/>
      <c r="CQB162" s="4"/>
      <c r="CQC162" s="4"/>
      <c r="CQD162" s="4"/>
      <c r="CQE162" s="4"/>
      <c r="CQF162" s="4"/>
      <c r="CQG162" s="4"/>
      <c r="CQH162" s="4"/>
      <c r="CQI162" s="4"/>
      <c r="CQJ162" s="4"/>
      <c r="CQK162" s="4"/>
      <c r="CQL162" s="4"/>
      <c r="CQM162" s="4"/>
      <c r="CQN162" s="4"/>
      <c r="CQO162" s="4"/>
      <c r="CQP162" s="4"/>
      <c r="CQQ162" s="4"/>
      <c r="CQR162" s="4"/>
      <c r="CQS162" s="4"/>
      <c r="CQT162" s="4"/>
      <c r="CQU162" s="4"/>
      <c r="CQV162" s="4"/>
      <c r="CQW162" s="4"/>
      <c r="CQX162" s="4"/>
      <c r="CQY162" s="4"/>
      <c r="CQZ162" s="4"/>
      <c r="CRA162" s="4"/>
      <c r="CRB162" s="4"/>
      <c r="CRC162" s="4"/>
      <c r="CRD162" s="4"/>
      <c r="CRE162" s="4"/>
      <c r="CRF162" s="4"/>
      <c r="CRG162" s="4"/>
      <c r="CRH162" s="4"/>
      <c r="CRI162" s="4"/>
      <c r="CRJ162" s="4"/>
      <c r="CRK162" s="4"/>
      <c r="CRL162" s="4"/>
      <c r="CRM162" s="4"/>
      <c r="CRN162" s="4"/>
      <c r="CRO162" s="4"/>
      <c r="CRP162" s="4"/>
      <c r="CRQ162" s="4"/>
      <c r="CRR162" s="4"/>
      <c r="CRS162" s="4"/>
      <c r="CRT162" s="4"/>
      <c r="CRU162" s="4"/>
      <c r="CRV162" s="4"/>
      <c r="CRW162" s="4"/>
      <c r="CRX162" s="4"/>
      <c r="CRY162" s="4"/>
      <c r="CRZ162" s="4"/>
      <c r="CSA162" s="4"/>
      <c r="CSB162" s="4"/>
      <c r="CSC162" s="4"/>
      <c r="CSD162" s="4"/>
      <c r="CSE162" s="4"/>
      <c r="CSF162" s="4"/>
      <c r="CSG162" s="4"/>
      <c r="CSH162" s="4"/>
      <c r="CSI162" s="4"/>
      <c r="CSJ162" s="4"/>
      <c r="CSK162" s="4"/>
      <c r="CSL162" s="4"/>
      <c r="CSM162" s="4"/>
      <c r="CSN162" s="4"/>
      <c r="CSO162" s="4"/>
      <c r="CSP162" s="4"/>
      <c r="CSQ162" s="4"/>
      <c r="CSR162" s="4"/>
      <c r="CSS162" s="4"/>
      <c r="CST162" s="4"/>
      <c r="CSU162" s="4"/>
      <c r="CSV162" s="4"/>
      <c r="CSW162" s="4"/>
      <c r="CSX162" s="4"/>
      <c r="CSY162" s="4"/>
      <c r="CSZ162" s="4"/>
      <c r="CTA162" s="4"/>
      <c r="CTB162" s="4"/>
      <c r="CTC162" s="4"/>
      <c r="CTD162" s="4"/>
      <c r="CTE162" s="4"/>
      <c r="CTF162" s="4"/>
      <c r="CTG162" s="4"/>
      <c r="CTH162" s="4"/>
      <c r="CTI162" s="4"/>
      <c r="CTJ162" s="4"/>
      <c r="CTK162" s="4"/>
      <c r="CTL162" s="4"/>
      <c r="CTM162" s="4"/>
      <c r="CTN162" s="4"/>
      <c r="CTO162" s="4"/>
      <c r="CTP162" s="4"/>
      <c r="CTQ162" s="4"/>
      <c r="CTR162" s="4"/>
      <c r="CTS162" s="4"/>
      <c r="CTT162" s="4"/>
      <c r="CTU162" s="4"/>
      <c r="CTV162" s="4"/>
      <c r="CTW162" s="4"/>
      <c r="CTX162" s="4"/>
      <c r="CTY162" s="4"/>
      <c r="CTZ162" s="4"/>
      <c r="CUA162" s="4"/>
      <c r="CUB162" s="4"/>
      <c r="CUC162" s="4"/>
      <c r="CUD162" s="4"/>
      <c r="CUE162" s="4"/>
      <c r="CUF162" s="4"/>
      <c r="CUG162" s="4"/>
      <c r="CUH162" s="4"/>
      <c r="CUI162" s="4"/>
      <c r="CUJ162" s="4"/>
      <c r="CUK162" s="4"/>
      <c r="CUL162" s="4"/>
      <c r="CUM162" s="4"/>
      <c r="CUN162" s="4"/>
      <c r="CUO162" s="4"/>
      <c r="CUP162" s="4"/>
      <c r="CUQ162" s="4"/>
      <c r="CUR162" s="4"/>
      <c r="CUS162" s="4"/>
      <c r="CUT162" s="4"/>
      <c r="CUU162" s="4"/>
      <c r="CUV162" s="4"/>
      <c r="CUW162" s="4"/>
      <c r="CUX162" s="4"/>
      <c r="CUY162" s="4"/>
      <c r="CUZ162" s="4"/>
      <c r="CVA162" s="4"/>
      <c r="CVB162" s="4"/>
      <c r="CVC162" s="4"/>
      <c r="CVD162" s="4"/>
      <c r="CVE162" s="4"/>
      <c r="CVF162" s="4"/>
      <c r="CVG162" s="4"/>
      <c r="CVH162" s="4"/>
      <c r="CVI162" s="4"/>
      <c r="CVJ162" s="4"/>
      <c r="CVK162" s="4"/>
      <c r="CVL162" s="4"/>
      <c r="CVM162" s="4"/>
      <c r="CVN162" s="4"/>
      <c r="CVO162" s="4"/>
      <c r="CVP162" s="4"/>
      <c r="CVQ162" s="4"/>
      <c r="CVR162" s="4"/>
      <c r="CVS162" s="4"/>
      <c r="CVT162" s="4"/>
      <c r="CVU162" s="4"/>
      <c r="CVV162" s="4"/>
      <c r="CVW162" s="4"/>
      <c r="CVX162" s="4"/>
      <c r="CVY162" s="4"/>
      <c r="CVZ162" s="4"/>
      <c r="CWA162" s="4"/>
      <c r="CWB162" s="4"/>
      <c r="CWC162" s="4"/>
      <c r="CWD162" s="4"/>
      <c r="CWE162" s="4"/>
      <c r="CWF162" s="4"/>
      <c r="CWG162" s="4"/>
      <c r="CWH162" s="4"/>
      <c r="CWI162" s="4"/>
      <c r="CWJ162" s="4"/>
      <c r="CWK162" s="4"/>
      <c r="CWL162" s="4"/>
      <c r="CWM162" s="4"/>
      <c r="CWN162" s="4"/>
      <c r="CWO162" s="4"/>
      <c r="CWP162" s="4"/>
      <c r="CWQ162" s="4"/>
      <c r="CWR162" s="4"/>
      <c r="CWS162" s="4"/>
      <c r="CWT162" s="4"/>
      <c r="CWU162" s="4"/>
      <c r="CWV162" s="4"/>
      <c r="CWW162" s="4"/>
      <c r="CWX162" s="4"/>
      <c r="CWY162" s="4"/>
      <c r="CWZ162" s="4"/>
      <c r="CXA162" s="4"/>
      <c r="CXB162" s="4"/>
      <c r="CXC162" s="4"/>
      <c r="CXD162" s="4"/>
      <c r="CXE162" s="4"/>
      <c r="CXF162" s="4"/>
      <c r="CXG162" s="4"/>
      <c r="CXH162" s="4"/>
      <c r="CXI162" s="4"/>
      <c r="CXJ162" s="4"/>
      <c r="CXK162" s="4"/>
      <c r="CXL162" s="4"/>
      <c r="CXM162" s="4"/>
      <c r="CXN162" s="4"/>
      <c r="CXO162" s="4"/>
      <c r="CXP162" s="4"/>
      <c r="CXQ162" s="4"/>
      <c r="CXR162" s="4"/>
      <c r="CXS162" s="4"/>
      <c r="CXT162" s="4"/>
      <c r="CXU162" s="4"/>
      <c r="CXV162" s="4"/>
      <c r="CXW162" s="4"/>
      <c r="CXX162" s="4"/>
      <c r="CXY162" s="4"/>
      <c r="CXZ162" s="4"/>
      <c r="CYA162" s="4"/>
      <c r="CYB162" s="4"/>
      <c r="CYC162" s="4"/>
      <c r="CYD162" s="4"/>
      <c r="CYE162" s="4"/>
      <c r="CYF162" s="4"/>
      <c r="CYG162" s="4"/>
      <c r="CYH162" s="4"/>
      <c r="CYI162" s="4"/>
      <c r="CYJ162" s="4"/>
      <c r="CYK162" s="4"/>
      <c r="CYL162" s="4"/>
      <c r="CYM162" s="4"/>
      <c r="CYN162" s="4"/>
      <c r="CYO162" s="4"/>
      <c r="CYP162" s="4"/>
      <c r="CYQ162" s="4"/>
      <c r="CYR162" s="4"/>
      <c r="CYS162" s="4"/>
      <c r="CYT162" s="4"/>
      <c r="CYU162" s="4"/>
      <c r="CYV162" s="4"/>
      <c r="CYW162" s="4"/>
      <c r="CYX162" s="4"/>
      <c r="CYY162" s="4"/>
      <c r="CYZ162" s="4"/>
      <c r="CZA162" s="4"/>
      <c r="CZB162" s="4"/>
      <c r="CZC162" s="4"/>
      <c r="CZD162" s="4"/>
      <c r="CZE162" s="4"/>
      <c r="CZF162" s="4"/>
      <c r="CZG162" s="4"/>
      <c r="CZH162" s="4"/>
      <c r="CZI162" s="4"/>
      <c r="CZJ162" s="4"/>
      <c r="CZK162" s="4"/>
      <c r="CZL162" s="4"/>
      <c r="CZM162" s="4"/>
      <c r="CZN162" s="4"/>
      <c r="CZO162" s="4"/>
      <c r="CZP162" s="4"/>
      <c r="CZQ162" s="4"/>
      <c r="CZR162" s="4"/>
      <c r="CZS162" s="4"/>
      <c r="CZT162" s="4"/>
      <c r="CZU162" s="4"/>
      <c r="CZV162" s="4"/>
      <c r="CZW162" s="4"/>
      <c r="CZX162" s="4"/>
      <c r="CZY162" s="4"/>
      <c r="CZZ162" s="4"/>
      <c r="DAA162" s="4"/>
      <c r="DAB162" s="4"/>
      <c r="DAC162" s="4"/>
      <c r="DAD162" s="4"/>
      <c r="DAE162" s="4"/>
      <c r="DAF162" s="4"/>
      <c r="DAG162" s="4"/>
      <c r="DAH162" s="4"/>
      <c r="DAI162" s="4"/>
      <c r="DAJ162" s="4"/>
      <c r="DAK162" s="4"/>
      <c r="DAL162" s="4"/>
      <c r="DAM162" s="4"/>
      <c r="DAN162" s="4"/>
      <c r="DAO162" s="4"/>
      <c r="DAP162" s="4"/>
      <c r="DAQ162" s="4"/>
      <c r="DAR162" s="4"/>
      <c r="DAS162" s="4"/>
      <c r="DAT162" s="4"/>
      <c r="DAU162" s="4"/>
      <c r="DAV162" s="4"/>
      <c r="DAW162" s="4"/>
      <c r="DAX162" s="4"/>
      <c r="DAY162" s="4"/>
      <c r="DAZ162" s="4"/>
      <c r="DBA162" s="4"/>
      <c r="DBB162" s="4"/>
      <c r="DBC162" s="4"/>
      <c r="DBD162" s="4"/>
      <c r="DBE162" s="4"/>
      <c r="DBF162" s="4"/>
      <c r="DBG162" s="4"/>
      <c r="DBH162" s="4"/>
      <c r="DBI162" s="4"/>
      <c r="DBJ162" s="4"/>
      <c r="DBK162" s="4"/>
      <c r="DBL162" s="4"/>
      <c r="DBM162" s="4"/>
      <c r="DBN162" s="4"/>
      <c r="DBO162" s="4"/>
      <c r="DBP162" s="4"/>
      <c r="DBQ162" s="4"/>
      <c r="DBR162" s="4"/>
      <c r="DBS162" s="4"/>
      <c r="DBT162" s="4"/>
      <c r="DBU162" s="4"/>
      <c r="DBV162" s="4"/>
      <c r="DBW162" s="4"/>
      <c r="DBX162" s="4"/>
      <c r="DBY162" s="4"/>
      <c r="DBZ162" s="4"/>
      <c r="DCA162" s="4"/>
      <c r="DCB162" s="4"/>
      <c r="DCC162" s="4"/>
      <c r="DCD162" s="4"/>
      <c r="DCE162" s="4"/>
      <c r="DCF162" s="4"/>
      <c r="DCG162" s="4"/>
      <c r="DCH162" s="4"/>
      <c r="DCI162" s="4"/>
      <c r="DCJ162" s="4"/>
      <c r="DCK162" s="4"/>
      <c r="DCL162" s="4"/>
      <c r="DCM162" s="4"/>
      <c r="DCN162" s="4"/>
      <c r="DCO162" s="4"/>
      <c r="DCP162" s="4"/>
      <c r="DCQ162" s="4"/>
      <c r="DCR162" s="4"/>
      <c r="DCS162" s="4"/>
      <c r="DCT162" s="4"/>
      <c r="DCU162" s="4"/>
      <c r="DCV162" s="4"/>
      <c r="DCW162" s="4"/>
      <c r="DCX162" s="4"/>
      <c r="DCY162" s="4"/>
      <c r="DCZ162" s="4"/>
      <c r="DDA162" s="4"/>
      <c r="DDB162" s="4"/>
      <c r="DDC162" s="4"/>
      <c r="DDD162" s="4"/>
      <c r="DDE162" s="4"/>
      <c r="DDF162" s="4"/>
      <c r="DDG162" s="4"/>
      <c r="DDH162" s="4"/>
      <c r="DDI162" s="4"/>
      <c r="DDJ162" s="4"/>
      <c r="DDK162" s="4"/>
      <c r="DDL162" s="4"/>
      <c r="DDM162" s="4"/>
      <c r="DDN162" s="4"/>
      <c r="DDO162" s="4"/>
      <c r="DDP162" s="4"/>
      <c r="DDQ162" s="4"/>
      <c r="DDR162" s="4"/>
      <c r="DDS162" s="4"/>
      <c r="DDT162" s="4"/>
      <c r="DDU162" s="4"/>
      <c r="DDV162" s="4"/>
      <c r="DDW162" s="4"/>
      <c r="DDX162" s="4"/>
      <c r="DDY162" s="4"/>
      <c r="DDZ162" s="4"/>
      <c r="DEA162" s="4"/>
      <c r="DEB162" s="4"/>
      <c r="DEC162" s="4"/>
      <c r="DED162" s="4"/>
      <c r="DEE162" s="4"/>
      <c r="DEF162" s="4"/>
      <c r="DEG162" s="4"/>
      <c r="DEH162" s="4"/>
      <c r="DEI162" s="4"/>
      <c r="DEJ162" s="4"/>
      <c r="DEK162" s="4"/>
      <c r="DEL162" s="4"/>
      <c r="DEM162" s="4"/>
      <c r="DEN162" s="4"/>
      <c r="DEO162" s="4"/>
      <c r="DEP162" s="4"/>
      <c r="DEQ162" s="4"/>
      <c r="DER162" s="4"/>
      <c r="DES162" s="4"/>
      <c r="DET162" s="4"/>
      <c r="DEU162" s="4"/>
      <c r="DEV162" s="4"/>
      <c r="DEW162" s="4"/>
      <c r="DEX162" s="4"/>
      <c r="DEY162" s="4"/>
      <c r="DEZ162" s="4"/>
      <c r="DFA162" s="4"/>
      <c r="DFB162" s="4"/>
      <c r="DFC162" s="4"/>
      <c r="DFD162" s="4"/>
      <c r="DFE162" s="4"/>
      <c r="DFF162" s="4"/>
      <c r="DFG162" s="4"/>
      <c r="DFH162" s="4"/>
      <c r="DFI162" s="4"/>
      <c r="DFJ162" s="4"/>
      <c r="DFK162" s="4"/>
      <c r="DFL162" s="4"/>
      <c r="DFM162" s="4"/>
      <c r="DFN162" s="4"/>
      <c r="DFO162" s="4"/>
      <c r="DFP162" s="4"/>
      <c r="DFQ162" s="4"/>
      <c r="DFR162" s="4"/>
      <c r="DFS162" s="4"/>
      <c r="DFT162" s="4"/>
      <c r="DFU162" s="4"/>
      <c r="DFV162" s="4"/>
      <c r="DFW162" s="4"/>
      <c r="DFX162" s="4"/>
      <c r="DFY162" s="4"/>
      <c r="DFZ162" s="4"/>
      <c r="DGA162" s="4"/>
      <c r="DGB162" s="4"/>
      <c r="DGC162" s="4"/>
      <c r="DGD162" s="4"/>
      <c r="DGE162" s="4"/>
      <c r="DGF162" s="4"/>
      <c r="DGG162" s="4"/>
      <c r="DGH162" s="4"/>
      <c r="DGI162" s="4"/>
      <c r="DGJ162" s="4"/>
      <c r="DGK162" s="4"/>
      <c r="DGL162" s="4"/>
      <c r="DGM162" s="4"/>
      <c r="DGN162" s="4"/>
      <c r="DGO162" s="4"/>
      <c r="DGP162" s="4"/>
      <c r="DGQ162" s="4"/>
      <c r="DGR162" s="4"/>
      <c r="DGS162" s="4"/>
      <c r="DGT162" s="4"/>
      <c r="DGU162" s="4"/>
      <c r="DGV162" s="4"/>
      <c r="DGW162" s="4"/>
      <c r="DGX162" s="4"/>
      <c r="DGY162" s="4"/>
      <c r="DGZ162" s="4"/>
      <c r="DHA162" s="4"/>
      <c r="DHB162" s="4"/>
      <c r="DHC162" s="4"/>
      <c r="DHD162" s="4"/>
      <c r="DHE162" s="4"/>
      <c r="DHF162" s="4"/>
      <c r="DHG162" s="4"/>
      <c r="DHH162" s="4"/>
      <c r="DHI162" s="4"/>
      <c r="DHJ162" s="4"/>
      <c r="DHK162" s="4"/>
      <c r="DHL162" s="4"/>
      <c r="DHM162" s="4"/>
      <c r="DHN162" s="4"/>
      <c r="DHO162" s="4"/>
      <c r="DHP162" s="4"/>
      <c r="DHQ162" s="4"/>
      <c r="DHR162" s="4"/>
      <c r="DHS162" s="4"/>
      <c r="DHT162" s="4"/>
      <c r="DHU162" s="4"/>
      <c r="DHV162" s="4"/>
      <c r="DHW162" s="4"/>
      <c r="DHX162" s="4"/>
      <c r="DHY162" s="4"/>
      <c r="DHZ162" s="4"/>
      <c r="DIA162" s="4"/>
      <c r="DIB162" s="4"/>
      <c r="DIC162" s="4"/>
      <c r="DID162" s="4"/>
      <c r="DIE162" s="4"/>
      <c r="DIF162" s="4"/>
      <c r="DIG162" s="4"/>
      <c r="DIH162" s="4"/>
      <c r="DII162" s="4"/>
      <c r="DIJ162" s="4"/>
      <c r="DIK162" s="4"/>
      <c r="DIL162" s="4"/>
      <c r="DIM162" s="4"/>
      <c r="DIN162" s="4"/>
      <c r="DIO162" s="4"/>
      <c r="DIP162" s="4"/>
      <c r="DIQ162" s="4"/>
      <c r="DIR162" s="4"/>
      <c r="DIS162" s="4"/>
      <c r="DIT162" s="4"/>
      <c r="DIU162" s="4"/>
      <c r="DIV162" s="4"/>
      <c r="DIW162" s="4"/>
      <c r="DIX162" s="4"/>
      <c r="DIY162" s="4"/>
      <c r="DIZ162" s="4"/>
      <c r="DJA162" s="4"/>
      <c r="DJB162" s="4"/>
      <c r="DJC162" s="4"/>
      <c r="DJD162" s="4"/>
      <c r="DJE162" s="4"/>
      <c r="DJF162" s="4"/>
      <c r="DJG162" s="4"/>
      <c r="DJH162" s="4"/>
      <c r="DJI162" s="4"/>
      <c r="DJJ162" s="4"/>
      <c r="DJK162" s="4"/>
      <c r="DJL162" s="4"/>
      <c r="DJM162" s="4"/>
      <c r="DJN162" s="4"/>
      <c r="DJO162" s="4"/>
      <c r="DJP162" s="4"/>
      <c r="DJQ162" s="4"/>
      <c r="DJR162" s="4"/>
      <c r="DJS162" s="4"/>
      <c r="DJT162" s="4"/>
      <c r="DJU162" s="4"/>
      <c r="DJV162" s="4"/>
      <c r="DJW162" s="4"/>
      <c r="DJX162" s="4"/>
      <c r="DJY162" s="4"/>
      <c r="DJZ162" s="4"/>
      <c r="DKA162" s="4"/>
      <c r="DKB162" s="4"/>
      <c r="DKC162" s="4"/>
      <c r="DKD162" s="4"/>
      <c r="DKE162" s="4"/>
      <c r="DKF162" s="4"/>
      <c r="DKG162" s="4"/>
      <c r="DKH162" s="4"/>
      <c r="DKI162" s="4"/>
      <c r="DKJ162" s="4"/>
      <c r="DKK162" s="4"/>
      <c r="DKL162" s="4"/>
      <c r="DKM162" s="4"/>
      <c r="DKN162" s="4"/>
      <c r="DKO162" s="4"/>
      <c r="DKP162" s="4"/>
      <c r="DKQ162" s="4"/>
      <c r="DKR162" s="4"/>
      <c r="DKS162" s="4"/>
      <c r="DKT162" s="4"/>
      <c r="DKU162" s="4"/>
      <c r="DKV162" s="4"/>
      <c r="DKW162" s="4"/>
      <c r="DKX162" s="4"/>
      <c r="DKY162" s="4"/>
      <c r="DKZ162" s="4"/>
      <c r="DLA162" s="4"/>
      <c r="DLB162" s="4"/>
      <c r="DLC162" s="4"/>
      <c r="DLD162" s="4"/>
      <c r="DLE162" s="4"/>
      <c r="DLF162" s="4"/>
      <c r="DLG162" s="4"/>
      <c r="DLH162" s="4"/>
      <c r="DLI162" s="4"/>
      <c r="DLJ162" s="4"/>
      <c r="DLK162" s="4"/>
      <c r="DLL162" s="4"/>
      <c r="DLM162" s="4"/>
      <c r="DLN162" s="4"/>
      <c r="DLO162" s="4"/>
      <c r="DLP162" s="4"/>
      <c r="DLQ162" s="4"/>
      <c r="DLR162" s="4"/>
      <c r="DLS162" s="4"/>
      <c r="DLT162" s="4"/>
      <c r="DLU162" s="4"/>
      <c r="DLV162" s="4"/>
      <c r="DLW162" s="4"/>
      <c r="DLX162" s="4"/>
      <c r="DLY162" s="4"/>
      <c r="DLZ162" s="4"/>
      <c r="DMA162" s="4"/>
      <c r="DMB162" s="4"/>
      <c r="DMC162" s="4"/>
      <c r="DMD162" s="4"/>
      <c r="DME162" s="4"/>
      <c r="DMF162" s="4"/>
      <c r="DMG162" s="4"/>
      <c r="DMH162" s="4"/>
      <c r="DMI162" s="4"/>
      <c r="DMJ162" s="4"/>
      <c r="DMK162" s="4"/>
      <c r="DML162" s="4"/>
      <c r="DMM162" s="4"/>
      <c r="DMN162" s="4"/>
      <c r="DMO162" s="4"/>
      <c r="DMP162" s="4"/>
      <c r="DMQ162" s="4"/>
      <c r="DMR162" s="4"/>
      <c r="DMS162" s="4"/>
      <c r="DMT162" s="4"/>
      <c r="DMU162" s="4"/>
      <c r="DMV162" s="4"/>
      <c r="DMW162" s="4"/>
      <c r="DMX162" s="4"/>
      <c r="DMY162" s="4"/>
      <c r="DMZ162" s="4"/>
      <c r="DNA162" s="4"/>
      <c r="DNB162" s="4"/>
      <c r="DNC162" s="4"/>
      <c r="DND162" s="4"/>
      <c r="DNE162" s="4"/>
      <c r="DNF162" s="4"/>
      <c r="DNG162" s="4"/>
      <c r="DNH162" s="4"/>
      <c r="DNI162" s="4"/>
      <c r="DNJ162" s="4"/>
      <c r="DNK162" s="4"/>
      <c r="DNL162" s="4"/>
      <c r="DNM162" s="4"/>
      <c r="DNN162" s="4"/>
      <c r="DNO162" s="4"/>
      <c r="DNP162" s="4"/>
      <c r="DNQ162" s="4"/>
      <c r="DNR162" s="4"/>
      <c r="DNS162" s="4"/>
      <c r="DNT162" s="4"/>
      <c r="DNU162" s="4"/>
      <c r="DNV162" s="4"/>
      <c r="DNW162" s="4"/>
      <c r="DNX162" s="4"/>
      <c r="DNY162" s="4"/>
      <c r="DNZ162" s="4"/>
      <c r="DOA162" s="4"/>
      <c r="DOB162" s="4"/>
      <c r="DOC162" s="4"/>
      <c r="DOD162" s="4"/>
      <c r="DOE162" s="4"/>
      <c r="DOF162" s="4"/>
      <c r="DOG162" s="4"/>
      <c r="DOH162" s="4"/>
      <c r="DOI162" s="4"/>
      <c r="DOJ162" s="4"/>
      <c r="DOK162" s="4"/>
      <c r="DOL162" s="4"/>
      <c r="DOM162" s="4"/>
      <c r="DON162" s="4"/>
      <c r="DOO162" s="4"/>
      <c r="DOP162" s="4"/>
      <c r="DOQ162" s="4"/>
      <c r="DOR162" s="4"/>
      <c r="DOS162" s="4"/>
      <c r="DOT162" s="4"/>
      <c r="DOU162" s="4"/>
      <c r="DOV162" s="4"/>
      <c r="DOW162" s="4"/>
      <c r="DOX162" s="4"/>
      <c r="DOY162" s="4"/>
      <c r="DOZ162" s="4"/>
      <c r="DPA162" s="4"/>
      <c r="DPB162" s="4"/>
      <c r="DPC162" s="4"/>
      <c r="DPD162" s="4"/>
      <c r="DPE162" s="4"/>
      <c r="DPF162" s="4"/>
      <c r="DPG162" s="4"/>
      <c r="DPH162" s="4"/>
      <c r="DPI162" s="4"/>
      <c r="DPJ162" s="4"/>
      <c r="DPK162" s="4"/>
      <c r="DPL162" s="4"/>
      <c r="DPM162" s="4"/>
      <c r="DPN162" s="4"/>
      <c r="DPO162" s="4"/>
      <c r="DPP162" s="4"/>
      <c r="DPQ162" s="4"/>
      <c r="DPR162" s="4"/>
      <c r="DPS162" s="4"/>
      <c r="DPT162" s="4"/>
      <c r="DPU162" s="4"/>
      <c r="DPV162" s="4"/>
      <c r="DPW162" s="4"/>
      <c r="DPX162" s="4"/>
      <c r="DPY162" s="4"/>
      <c r="DPZ162" s="4"/>
      <c r="DQA162" s="4"/>
      <c r="DQB162" s="4"/>
      <c r="DQC162" s="4"/>
      <c r="DQD162" s="4"/>
      <c r="DQE162" s="4"/>
      <c r="DQF162" s="4"/>
      <c r="DQG162" s="4"/>
      <c r="DQH162" s="4"/>
      <c r="DQI162" s="4"/>
      <c r="DQJ162" s="4"/>
      <c r="DQK162" s="4"/>
      <c r="DQL162" s="4"/>
      <c r="DQM162" s="4"/>
      <c r="DQN162" s="4"/>
      <c r="DQO162" s="4"/>
      <c r="DQP162" s="4"/>
      <c r="DQQ162" s="4"/>
      <c r="DQR162" s="4"/>
      <c r="DQS162" s="4"/>
      <c r="DQT162" s="4"/>
      <c r="DQU162" s="4"/>
      <c r="DQV162" s="4"/>
      <c r="DQW162" s="4"/>
      <c r="DQX162" s="4"/>
      <c r="DQY162" s="4"/>
      <c r="DQZ162" s="4"/>
      <c r="DRA162" s="4"/>
      <c r="DRB162" s="4"/>
      <c r="DRC162" s="4"/>
      <c r="DRD162" s="4"/>
      <c r="DRE162" s="4"/>
      <c r="DRF162" s="4"/>
      <c r="DRG162" s="4"/>
      <c r="DRH162" s="4"/>
      <c r="DRI162" s="4"/>
      <c r="DRJ162" s="4"/>
      <c r="DRK162" s="4"/>
      <c r="DRL162" s="4"/>
      <c r="DRM162" s="4"/>
      <c r="DRN162" s="4"/>
      <c r="DRO162" s="4"/>
      <c r="DRP162" s="4"/>
      <c r="DRQ162" s="4"/>
      <c r="DRR162" s="4"/>
      <c r="DRS162" s="4"/>
      <c r="DRT162" s="4"/>
      <c r="DRU162" s="4"/>
      <c r="DRV162" s="4"/>
      <c r="DRW162" s="4"/>
      <c r="DRX162" s="4"/>
      <c r="DRY162" s="4"/>
      <c r="DRZ162" s="4"/>
      <c r="DSA162" s="4"/>
      <c r="DSB162" s="4"/>
      <c r="DSC162" s="4"/>
      <c r="DSD162" s="4"/>
      <c r="DSE162" s="4"/>
      <c r="DSF162" s="4"/>
      <c r="DSG162" s="4"/>
      <c r="DSH162" s="4"/>
      <c r="DSI162" s="4"/>
      <c r="DSJ162" s="4"/>
      <c r="DSK162" s="4"/>
      <c r="DSL162" s="4"/>
      <c r="DSM162" s="4"/>
      <c r="DSN162" s="4"/>
      <c r="DSO162" s="4"/>
      <c r="DSP162" s="4"/>
      <c r="DSQ162" s="4"/>
      <c r="DSR162" s="4"/>
      <c r="DSS162" s="4"/>
      <c r="DST162" s="4"/>
      <c r="DSU162" s="4"/>
      <c r="DSV162" s="4"/>
      <c r="DSW162" s="4"/>
      <c r="DSX162" s="4"/>
      <c r="DSY162" s="4"/>
      <c r="DSZ162" s="4"/>
      <c r="DTA162" s="4"/>
      <c r="DTB162" s="4"/>
      <c r="DTC162" s="4"/>
      <c r="DTD162" s="4"/>
      <c r="DTE162" s="4"/>
      <c r="DTF162" s="4"/>
      <c r="DTG162" s="4"/>
      <c r="DTH162" s="4"/>
      <c r="DTI162" s="4"/>
      <c r="DTJ162" s="4"/>
      <c r="DTK162" s="4"/>
      <c r="DTL162" s="4"/>
      <c r="DTM162" s="4"/>
      <c r="DTN162" s="4"/>
      <c r="DTO162" s="4"/>
      <c r="DTP162" s="4"/>
      <c r="DTQ162" s="4"/>
      <c r="DTR162" s="4"/>
      <c r="DTS162" s="4"/>
      <c r="DTT162" s="4"/>
      <c r="DTU162" s="4"/>
      <c r="DTV162" s="4"/>
      <c r="DTW162" s="4"/>
      <c r="DTX162" s="4"/>
      <c r="DTY162" s="4"/>
      <c r="DTZ162" s="4"/>
      <c r="DUA162" s="4"/>
      <c r="DUB162" s="4"/>
      <c r="DUC162" s="4"/>
      <c r="DUD162" s="4"/>
      <c r="DUE162" s="4"/>
      <c r="DUF162" s="4"/>
      <c r="DUG162" s="4"/>
      <c r="DUH162" s="4"/>
      <c r="DUI162" s="4"/>
      <c r="DUJ162" s="4"/>
      <c r="DUK162" s="4"/>
      <c r="DUL162" s="4"/>
      <c r="DUM162" s="4"/>
      <c r="DUN162" s="4"/>
      <c r="DUO162" s="4"/>
      <c r="DUP162" s="4"/>
      <c r="DUQ162" s="4"/>
      <c r="DUR162" s="4"/>
      <c r="DUS162" s="4"/>
      <c r="DUT162" s="4"/>
      <c r="DUU162" s="4"/>
      <c r="DUV162" s="4"/>
      <c r="DUW162" s="4"/>
      <c r="DUX162" s="4"/>
      <c r="DUY162" s="4"/>
      <c r="DUZ162" s="4"/>
      <c r="DVA162" s="4"/>
      <c r="DVB162" s="4"/>
      <c r="DVC162" s="4"/>
      <c r="DVD162" s="4"/>
      <c r="DVE162" s="4"/>
      <c r="DVF162" s="4"/>
      <c r="DVG162" s="4"/>
      <c r="DVH162" s="4"/>
      <c r="DVI162" s="4"/>
      <c r="DVJ162" s="4"/>
      <c r="DVK162" s="4"/>
      <c r="DVL162" s="4"/>
      <c r="DVM162" s="4"/>
      <c r="DVN162" s="4"/>
      <c r="DVO162" s="4"/>
      <c r="DVP162" s="4"/>
      <c r="DVQ162" s="4"/>
      <c r="DVR162" s="4"/>
      <c r="DVS162" s="4"/>
      <c r="DVT162" s="4"/>
      <c r="DVU162" s="4"/>
      <c r="DVV162" s="4"/>
      <c r="DVW162" s="4"/>
      <c r="DVX162" s="4"/>
      <c r="DVY162" s="4"/>
      <c r="DVZ162" s="4"/>
      <c r="DWA162" s="4"/>
      <c r="DWB162" s="4"/>
      <c r="DWC162" s="4"/>
      <c r="DWD162" s="4"/>
      <c r="DWE162" s="4"/>
      <c r="DWF162" s="4"/>
      <c r="DWG162" s="4"/>
      <c r="DWH162" s="4"/>
      <c r="DWI162" s="4"/>
      <c r="DWJ162" s="4"/>
      <c r="DWK162" s="4"/>
      <c r="DWL162" s="4"/>
      <c r="DWM162" s="4"/>
      <c r="DWN162" s="4"/>
      <c r="DWO162" s="4"/>
      <c r="DWP162" s="4"/>
      <c r="DWQ162" s="4"/>
      <c r="DWR162" s="4"/>
      <c r="DWS162" s="4"/>
      <c r="DWT162" s="4"/>
      <c r="DWU162" s="4"/>
      <c r="DWV162" s="4"/>
      <c r="DWW162" s="4"/>
      <c r="DWX162" s="4"/>
      <c r="DWY162" s="4"/>
      <c r="DWZ162" s="4"/>
      <c r="DXA162" s="4"/>
      <c r="DXB162" s="4"/>
      <c r="DXC162" s="4"/>
      <c r="DXD162" s="4"/>
      <c r="DXE162" s="4"/>
      <c r="DXF162" s="4"/>
      <c r="DXG162" s="4"/>
      <c r="DXH162" s="4"/>
      <c r="DXI162" s="4"/>
      <c r="DXJ162" s="4"/>
      <c r="DXK162" s="4"/>
      <c r="DXL162" s="4"/>
      <c r="DXM162" s="4"/>
      <c r="DXN162" s="4"/>
      <c r="DXO162" s="4"/>
      <c r="DXP162" s="4"/>
      <c r="DXQ162" s="4"/>
      <c r="DXR162" s="4"/>
      <c r="DXS162" s="4"/>
      <c r="DXT162" s="4"/>
      <c r="DXU162" s="4"/>
      <c r="DXV162" s="4"/>
      <c r="DXW162" s="4"/>
      <c r="DXX162" s="4"/>
      <c r="DXY162" s="4"/>
      <c r="DXZ162" s="4"/>
      <c r="DYA162" s="4"/>
      <c r="DYB162" s="4"/>
      <c r="DYC162" s="4"/>
      <c r="DYD162" s="4"/>
      <c r="DYE162" s="4"/>
      <c r="DYF162" s="4"/>
      <c r="DYG162" s="4"/>
      <c r="DYH162" s="4"/>
      <c r="DYI162" s="4"/>
      <c r="DYJ162" s="4"/>
      <c r="DYK162" s="4"/>
      <c r="DYL162" s="4"/>
      <c r="DYM162" s="4"/>
      <c r="DYN162" s="4"/>
      <c r="DYO162" s="4"/>
      <c r="DYP162" s="4"/>
      <c r="DYQ162" s="4"/>
      <c r="DYR162" s="4"/>
      <c r="DYS162" s="4"/>
      <c r="DYT162" s="4"/>
      <c r="DYU162" s="4"/>
      <c r="DYV162" s="4"/>
      <c r="DYW162" s="4"/>
      <c r="DYX162" s="4"/>
      <c r="DYY162" s="4"/>
      <c r="DYZ162" s="4"/>
      <c r="DZA162" s="4"/>
      <c r="DZB162" s="4"/>
      <c r="DZC162" s="4"/>
      <c r="DZD162" s="4"/>
      <c r="DZE162" s="4"/>
      <c r="DZF162" s="4"/>
      <c r="DZG162" s="4"/>
      <c r="DZH162" s="4"/>
      <c r="DZI162" s="4"/>
      <c r="DZJ162" s="4"/>
      <c r="DZK162" s="4"/>
      <c r="DZL162" s="4"/>
      <c r="DZM162" s="4"/>
      <c r="DZN162" s="4"/>
      <c r="DZO162" s="4"/>
      <c r="DZP162" s="4"/>
      <c r="DZQ162" s="4"/>
      <c r="DZR162" s="4"/>
      <c r="DZS162" s="4"/>
      <c r="DZT162" s="4"/>
      <c r="DZU162" s="4"/>
      <c r="DZV162" s="4"/>
      <c r="DZW162" s="4"/>
      <c r="DZX162" s="4"/>
      <c r="DZY162" s="4"/>
      <c r="DZZ162" s="4"/>
      <c r="EAA162" s="4"/>
      <c r="EAB162" s="4"/>
      <c r="EAC162" s="4"/>
      <c r="EAD162" s="4"/>
      <c r="EAE162" s="4"/>
      <c r="EAF162" s="4"/>
      <c r="EAG162" s="4"/>
      <c r="EAH162" s="4"/>
      <c r="EAI162" s="4"/>
      <c r="EAJ162" s="4"/>
      <c r="EAK162" s="4"/>
      <c r="EAL162" s="4"/>
      <c r="EAM162" s="4"/>
      <c r="EAN162" s="4"/>
      <c r="EAO162" s="4"/>
      <c r="EAP162" s="4"/>
      <c r="EAQ162" s="4"/>
      <c r="EAR162" s="4"/>
      <c r="EAS162" s="4"/>
      <c r="EAT162" s="4"/>
      <c r="EAU162" s="4"/>
      <c r="EAV162" s="4"/>
      <c r="EAW162" s="4"/>
      <c r="EAX162" s="4"/>
      <c r="EAY162" s="4"/>
      <c r="EAZ162" s="4"/>
      <c r="EBA162" s="4"/>
      <c r="EBB162" s="4"/>
      <c r="EBC162" s="4"/>
      <c r="EBD162" s="4"/>
      <c r="EBE162" s="4"/>
      <c r="EBF162" s="4"/>
      <c r="EBG162" s="4"/>
      <c r="EBH162" s="4"/>
      <c r="EBI162" s="4"/>
      <c r="EBJ162" s="4"/>
      <c r="EBK162" s="4"/>
      <c r="EBL162" s="4"/>
      <c r="EBM162" s="4"/>
      <c r="EBN162" s="4"/>
      <c r="EBO162" s="4"/>
      <c r="EBP162" s="4"/>
      <c r="EBQ162" s="4"/>
      <c r="EBR162" s="4"/>
      <c r="EBS162" s="4"/>
      <c r="EBT162" s="4"/>
      <c r="EBU162" s="4"/>
      <c r="EBV162" s="4"/>
      <c r="EBW162" s="4"/>
      <c r="EBX162" s="4"/>
      <c r="EBY162" s="4"/>
      <c r="EBZ162" s="4"/>
      <c r="ECA162" s="4"/>
      <c r="ECB162" s="4"/>
      <c r="ECC162" s="4"/>
      <c r="ECD162" s="4"/>
      <c r="ECE162" s="4"/>
      <c r="ECF162" s="4"/>
      <c r="ECG162" s="4"/>
      <c r="ECH162" s="4"/>
      <c r="ECI162" s="4"/>
      <c r="ECJ162" s="4"/>
      <c r="ECK162" s="4"/>
      <c r="ECL162" s="4"/>
      <c r="ECM162" s="4"/>
      <c r="ECN162" s="4"/>
      <c r="ECO162" s="4"/>
      <c r="ECP162" s="4"/>
      <c r="ECQ162" s="4"/>
      <c r="ECR162" s="4"/>
      <c r="ECS162" s="4"/>
      <c r="ECT162" s="4"/>
      <c r="ECU162" s="4"/>
      <c r="ECV162" s="4"/>
      <c r="ECW162" s="4"/>
      <c r="ECX162" s="4"/>
      <c r="ECY162" s="4"/>
      <c r="ECZ162" s="4"/>
      <c r="EDA162" s="4"/>
      <c r="EDB162" s="4"/>
      <c r="EDC162" s="4"/>
      <c r="EDD162" s="4"/>
      <c r="EDE162" s="4"/>
      <c r="EDF162" s="4"/>
      <c r="EDG162" s="4"/>
      <c r="EDH162" s="4"/>
      <c r="EDI162" s="4"/>
      <c r="EDJ162" s="4"/>
      <c r="EDK162" s="4"/>
      <c r="EDL162" s="4"/>
      <c r="EDM162" s="4"/>
      <c r="EDN162" s="4"/>
      <c r="EDO162" s="4"/>
      <c r="EDP162" s="4"/>
      <c r="EDQ162" s="4"/>
      <c r="EDR162" s="4"/>
      <c r="EDS162" s="4"/>
      <c r="EDT162" s="4"/>
      <c r="EDU162" s="4"/>
      <c r="EDV162" s="4"/>
      <c r="EDW162" s="4"/>
      <c r="EDX162" s="4"/>
      <c r="EDY162" s="4"/>
      <c r="EDZ162" s="4"/>
      <c r="EEA162" s="4"/>
      <c r="EEB162" s="4"/>
      <c r="EEC162" s="4"/>
      <c r="EED162" s="4"/>
      <c r="EEE162" s="4"/>
      <c r="EEF162" s="4"/>
      <c r="EEG162" s="4"/>
      <c r="EEH162" s="4"/>
      <c r="EEI162" s="4"/>
      <c r="EEJ162" s="4"/>
      <c r="EEK162" s="4"/>
      <c r="EEL162" s="4"/>
      <c r="EEM162" s="4"/>
      <c r="EEN162" s="4"/>
      <c r="EEO162" s="4"/>
      <c r="EEP162" s="4"/>
      <c r="EEQ162" s="4"/>
      <c r="EER162" s="4"/>
      <c r="EES162" s="4"/>
      <c r="EET162" s="4"/>
      <c r="EEU162" s="4"/>
      <c r="EEV162" s="4"/>
      <c r="EEW162" s="4"/>
      <c r="EEX162" s="4"/>
      <c r="EEY162" s="4"/>
      <c r="EEZ162" s="4"/>
      <c r="EFA162" s="4"/>
      <c r="EFB162" s="4"/>
      <c r="EFC162" s="4"/>
      <c r="EFD162" s="4"/>
      <c r="EFE162" s="4"/>
      <c r="EFF162" s="4"/>
      <c r="EFG162" s="4"/>
      <c r="EFH162" s="4"/>
      <c r="EFI162" s="4"/>
      <c r="EFJ162" s="4"/>
      <c r="EFK162" s="4"/>
      <c r="EFL162" s="4"/>
      <c r="EFM162" s="4"/>
      <c r="EFN162" s="4"/>
      <c r="EFO162" s="4"/>
      <c r="EFP162" s="4"/>
      <c r="EFQ162" s="4"/>
      <c r="EFR162" s="4"/>
      <c r="EFS162" s="4"/>
      <c r="EFT162" s="4"/>
      <c r="EFU162" s="4"/>
      <c r="EFV162" s="4"/>
      <c r="EFW162" s="4"/>
      <c r="EFX162" s="4"/>
      <c r="EFY162" s="4"/>
      <c r="EFZ162" s="4"/>
      <c r="EGA162" s="4"/>
      <c r="EGB162" s="4"/>
      <c r="EGC162" s="4"/>
      <c r="EGD162" s="4"/>
      <c r="EGE162" s="4"/>
      <c r="EGF162" s="4"/>
      <c r="EGG162" s="4"/>
      <c r="EGH162" s="4"/>
      <c r="EGI162" s="4"/>
      <c r="EGJ162" s="4"/>
      <c r="EGK162" s="4"/>
      <c r="EGL162" s="4"/>
      <c r="EGM162" s="4"/>
      <c r="EGN162" s="4"/>
      <c r="EGO162" s="4"/>
      <c r="EGP162" s="4"/>
      <c r="EGQ162" s="4"/>
      <c r="EGR162" s="4"/>
      <c r="EGS162" s="4"/>
      <c r="EGT162" s="4"/>
      <c r="EGU162" s="4"/>
      <c r="EGV162" s="4"/>
      <c r="EGW162" s="4"/>
      <c r="EGX162" s="4"/>
      <c r="EGY162" s="4"/>
      <c r="EGZ162" s="4"/>
      <c r="EHA162" s="4"/>
      <c r="EHB162" s="4"/>
      <c r="EHC162" s="4"/>
      <c r="EHD162" s="4"/>
      <c r="EHE162" s="4"/>
      <c r="EHF162" s="4"/>
      <c r="EHG162" s="4"/>
      <c r="EHH162" s="4"/>
      <c r="EHI162" s="4"/>
      <c r="EHJ162" s="4"/>
      <c r="EHK162" s="4"/>
      <c r="EHL162" s="4"/>
      <c r="EHM162" s="4"/>
      <c r="EHN162" s="4"/>
      <c r="EHO162" s="4"/>
      <c r="EHP162" s="4"/>
      <c r="EHQ162" s="4"/>
      <c r="EHR162" s="4"/>
      <c r="EHS162" s="4"/>
      <c r="EHT162" s="4"/>
      <c r="EHU162" s="4"/>
      <c r="EHV162" s="4"/>
      <c r="EHW162" s="4"/>
      <c r="EHX162" s="4"/>
      <c r="EHY162" s="4"/>
      <c r="EHZ162" s="4"/>
      <c r="EIA162" s="4"/>
      <c r="EIB162" s="4"/>
      <c r="EIC162" s="4"/>
      <c r="EID162" s="4"/>
      <c r="EIE162" s="4"/>
      <c r="EIF162" s="4"/>
      <c r="EIG162" s="4"/>
      <c r="EIH162" s="4"/>
      <c r="EII162" s="4"/>
      <c r="EIJ162" s="4"/>
      <c r="EIK162" s="4"/>
      <c r="EIL162" s="4"/>
      <c r="EIM162" s="4"/>
      <c r="EIN162" s="4"/>
      <c r="EIO162" s="4"/>
      <c r="EIP162" s="4"/>
      <c r="EIQ162" s="4"/>
      <c r="EIR162" s="4"/>
      <c r="EIS162" s="4"/>
      <c r="EIT162" s="4"/>
      <c r="EIU162" s="4"/>
      <c r="EIV162" s="4"/>
      <c r="EIW162" s="4"/>
      <c r="EIX162" s="4"/>
      <c r="EIY162" s="4"/>
      <c r="EIZ162" s="4"/>
      <c r="EJA162" s="4"/>
      <c r="EJB162" s="4"/>
      <c r="EJC162" s="4"/>
      <c r="EJD162" s="4"/>
      <c r="EJE162" s="4"/>
      <c r="EJF162" s="4"/>
      <c r="EJG162" s="4"/>
      <c r="EJH162" s="4"/>
      <c r="EJI162" s="4"/>
      <c r="EJJ162" s="4"/>
      <c r="EJK162" s="4"/>
      <c r="EJL162" s="4"/>
      <c r="EJM162" s="4"/>
      <c r="EJN162" s="4"/>
      <c r="EJO162" s="4"/>
      <c r="EJP162" s="4"/>
      <c r="EJQ162" s="4"/>
      <c r="EJR162" s="4"/>
      <c r="EJS162" s="4"/>
      <c r="EJT162" s="4"/>
      <c r="EJU162" s="4"/>
      <c r="EJV162" s="4"/>
      <c r="EJW162" s="4"/>
      <c r="EJX162" s="4"/>
      <c r="EJY162" s="4"/>
      <c r="EJZ162" s="4"/>
      <c r="EKA162" s="4"/>
      <c r="EKB162" s="4"/>
      <c r="EKC162" s="4"/>
      <c r="EKD162" s="4"/>
      <c r="EKE162" s="4"/>
      <c r="EKF162" s="4"/>
      <c r="EKG162" s="4"/>
      <c r="EKH162" s="4"/>
      <c r="EKI162" s="4"/>
      <c r="EKJ162" s="4"/>
      <c r="EKK162" s="4"/>
      <c r="EKL162" s="4"/>
      <c r="EKM162" s="4"/>
      <c r="EKN162" s="4"/>
      <c r="EKO162" s="4"/>
      <c r="EKP162" s="4"/>
      <c r="EKQ162" s="4"/>
      <c r="EKR162" s="4"/>
      <c r="EKS162" s="4"/>
      <c r="EKT162" s="4"/>
      <c r="EKU162" s="4"/>
      <c r="EKV162" s="4"/>
      <c r="EKW162" s="4"/>
      <c r="EKX162" s="4"/>
      <c r="EKY162" s="4"/>
      <c r="EKZ162" s="4"/>
      <c r="ELA162" s="4"/>
      <c r="ELB162" s="4"/>
      <c r="ELC162" s="4"/>
      <c r="ELD162" s="4"/>
      <c r="ELE162" s="4"/>
      <c r="ELF162" s="4"/>
      <c r="ELG162" s="4"/>
      <c r="ELH162" s="4"/>
      <c r="ELI162" s="4"/>
      <c r="ELJ162" s="4"/>
      <c r="ELK162" s="4"/>
      <c r="ELL162" s="4"/>
      <c r="ELM162" s="4"/>
      <c r="ELN162" s="4"/>
      <c r="ELO162" s="4"/>
      <c r="ELP162" s="4"/>
      <c r="ELQ162" s="4"/>
      <c r="ELR162" s="4"/>
      <c r="ELS162" s="4"/>
      <c r="ELT162" s="4"/>
      <c r="ELU162" s="4"/>
      <c r="ELV162" s="4"/>
      <c r="ELW162" s="4"/>
      <c r="ELX162" s="4"/>
      <c r="ELY162" s="4"/>
      <c r="ELZ162" s="4"/>
      <c r="EMA162" s="4"/>
      <c r="EMB162" s="4"/>
      <c r="EMC162" s="4"/>
      <c r="EMD162" s="4"/>
      <c r="EME162" s="4"/>
      <c r="EMF162" s="4"/>
      <c r="EMG162" s="4"/>
      <c r="EMH162" s="4"/>
      <c r="EMI162" s="4"/>
      <c r="EMJ162" s="4"/>
      <c r="EMK162" s="4"/>
      <c r="EML162" s="4"/>
      <c r="EMM162" s="4"/>
      <c r="EMN162" s="4"/>
      <c r="EMO162" s="4"/>
      <c r="EMP162" s="4"/>
      <c r="EMQ162" s="4"/>
      <c r="EMR162" s="4"/>
      <c r="EMS162" s="4"/>
      <c r="EMT162" s="4"/>
      <c r="EMU162" s="4"/>
      <c r="EMV162" s="4"/>
      <c r="EMW162" s="4"/>
      <c r="EMX162" s="4"/>
      <c r="EMY162" s="4"/>
      <c r="EMZ162" s="4"/>
      <c r="ENA162" s="4"/>
      <c r="ENB162" s="4"/>
      <c r="ENC162" s="4"/>
      <c r="END162" s="4"/>
      <c r="ENE162" s="4"/>
      <c r="ENF162" s="4"/>
      <c r="ENG162" s="4"/>
      <c r="ENH162" s="4"/>
      <c r="ENI162" s="4"/>
      <c r="ENJ162" s="4"/>
      <c r="ENK162" s="4"/>
      <c r="ENL162" s="4"/>
      <c r="ENM162" s="4"/>
      <c r="ENN162" s="4"/>
      <c r="ENO162" s="4"/>
      <c r="ENP162" s="4"/>
      <c r="ENQ162" s="4"/>
      <c r="ENR162" s="4"/>
      <c r="ENS162" s="4"/>
      <c r="ENT162" s="4"/>
      <c r="ENU162" s="4"/>
      <c r="ENV162" s="4"/>
      <c r="ENW162" s="4"/>
      <c r="ENX162" s="4"/>
      <c r="ENY162" s="4"/>
      <c r="ENZ162" s="4"/>
      <c r="EOA162" s="4"/>
      <c r="EOB162" s="4"/>
      <c r="EOC162" s="4"/>
      <c r="EOD162" s="4"/>
      <c r="EOE162" s="4"/>
      <c r="EOF162" s="4"/>
      <c r="EOG162" s="4"/>
      <c r="EOH162" s="4"/>
      <c r="EOI162" s="4"/>
      <c r="EOJ162" s="4"/>
      <c r="EOK162" s="4"/>
      <c r="EOL162" s="4"/>
      <c r="EOM162" s="4"/>
      <c r="EON162" s="4"/>
      <c r="EOO162" s="4"/>
      <c r="EOP162" s="4"/>
      <c r="EOQ162" s="4"/>
      <c r="EOR162" s="4"/>
      <c r="EOS162" s="4"/>
      <c r="EOT162" s="4"/>
      <c r="EOU162" s="4"/>
      <c r="EOV162" s="4"/>
      <c r="EOW162" s="4"/>
      <c r="EOX162" s="4"/>
      <c r="EOY162" s="4"/>
      <c r="EOZ162" s="4"/>
      <c r="EPA162" s="4"/>
      <c r="EPB162" s="4"/>
      <c r="EPC162" s="4"/>
      <c r="EPD162" s="4"/>
      <c r="EPE162" s="4"/>
      <c r="EPF162" s="4"/>
      <c r="EPG162" s="4"/>
      <c r="EPH162" s="4"/>
      <c r="EPI162" s="4"/>
      <c r="EPJ162" s="4"/>
      <c r="EPK162" s="4"/>
      <c r="EPL162" s="4"/>
      <c r="EPM162" s="4"/>
      <c r="EPN162" s="4"/>
      <c r="EPO162" s="4"/>
      <c r="EPP162" s="4"/>
      <c r="EPQ162" s="4"/>
      <c r="EPR162" s="4"/>
      <c r="EPS162" s="4"/>
      <c r="EPT162" s="4"/>
      <c r="EPU162" s="4"/>
      <c r="EPV162" s="4"/>
      <c r="EPW162" s="4"/>
      <c r="EPX162" s="4"/>
      <c r="EPY162" s="4"/>
      <c r="EPZ162" s="4"/>
      <c r="EQA162" s="4"/>
      <c r="EQB162" s="4"/>
      <c r="EQC162" s="4"/>
      <c r="EQD162" s="4"/>
      <c r="EQE162" s="4"/>
      <c r="EQF162" s="4"/>
      <c r="EQG162" s="4"/>
      <c r="EQH162" s="4"/>
      <c r="EQI162" s="4"/>
      <c r="EQJ162" s="4"/>
      <c r="EQK162" s="4"/>
      <c r="EQL162" s="4"/>
      <c r="EQM162" s="4"/>
      <c r="EQN162" s="4"/>
      <c r="EQO162" s="4"/>
      <c r="EQP162" s="4"/>
      <c r="EQQ162" s="4"/>
      <c r="EQR162" s="4"/>
      <c r="EQS162" s="4"/>
      <c r="EQT162" s="4"/>
      <c r="EQU162" s="4"/>
      <c r="EQV162" s="4"/>
      <c r="EQW162" s="4"/>
      <c r="EQX162" s="4"/>
      <c r="EQY162" s="4"/>
      <c r="EQZ162" s="4"/>
      <c r="ERA162" s="4"/>
      <c r="ERB162" s="4"/>
      <c r="ERC162" s="4"/>
      <c r="ERD162" s="4"/>
      <c r="ERE162" s="4"/>
      <c r="ERF162" s="4"/>
      <c r="ERG162" s="4"/>
      <c r="ERH162" s="4"/>
      <c r="ERI162" s="4"/>
      <c r="ERJ162" s="4"/>
      <c r="ERK162" s="4"/>
      <c r="ERL162" s="4"/>
      <c r="ERM162" s="4"/>
      <c r="ERN162" s="4"/>
      <c r="ERO162" s="4"/>
      <c r="ERP162" s="4"/>
      <c r="ERQ162" s="4"/>
      <c r="ERR162" s="4"/>
      <c r="ERS162" s="4"/>
      <c r="ERT162" s="4"/>
      <c r="ERU162" s="4"/>
      <c r="ERV162" s="4"/>
      <c r="ERW162" s="4"/>
      <c r="ERX162" s="4"/>
      <c r="ERY162" s="4"/>
      <c r="ERZ162" s="4"/>
      <c r="ESA162" s="4"/>
      <c r="ESB162" s="4"/>
      <c r="ESC162" s="4"/>
      <c r="ESD162" s="4"/>
      <c r="ESE162" s="4"/>
      <c r="ESF162" s="4"/>
      <c r="ESG162" s="4"/>
      <c r="ESH162" s="4"/>
      <c r="ESI162" s="4"/>
      <c r="ESJ162" s="4"/>
      <c r="ESK162" s="4"/>
      <c r="ESL162" s="4"/>
      <c r="ESM162" s="4"/>
      <c r="ESN162" s="4"/>
      <c r="ESO162" s="4"/>
      <c r="ESP162" s="4"/>
      <c r="ESQ162" s="4"/>
      <c r="ESR162" s="4"/>
      <c r="ESS162" s="4"/>
      <c r="EST162" s="4"/>
      <c r="ESU162" s="4"/>
      <c r="ESV162" s="4"/>
      <c r="ESW162" s="4"/>
      <c r="ESX162" s="4"/>
      <c r="ESY162" s="4"/>
      <c r="ESZ162" s="4"/>
      <c r="ETA162" s="4"/>
      <c r="ETB162" s="4"/>
      <c r="ETC162" s="4"/>
      <c r="ETD162" s="4"/>
      <c r="ETE162" s="4"/>
      <c r="ETF162" s="4"/>
      <c r="ETG162" s="4"/>
      <c r="ETH162" s="4"/>
      <c r="ETI162" s="4"/>
      <c r="ETJ162" s="4"/>
      <c r="ETK162" s="4"/>
      <c r="ETL162" s="4"/>
      <c r="ETM162" s="4"/>
      <c r="ETN162" s="4"/>
      <c r="ETO162" s="4"/>
      <c r="ETP162" s="4"/>
      <c r="ETQ162" s="4"/>
      <c r="ETR162" s="4"/>
      <c r="ETS162" s="4"/>
      <c r="ETT162" s="4"/>
      <c r="ETU162" s="4"/>
      <c r="ETV162" s="4"/>
      <c r="ETW162" s="4"/>
      <c r="ETX162" s="4"/>
      <c r="ETY162" s="4"/>
      <c r="ETZ162" s="4"/>
      <c r="EUA162" s="4"/>
      <c r="EUB162" s="4"/>
      <c r="EUC162" s="4"/>
      <c r="EUD162" s="4"/>
      <c r="EUE162" s="4"/>
      <c r="EUF162" s="4"/>
      <c r="EUG162" s="4"/>
      <c r="EUH162" s="4"/>
      <c r="EUI162" s="4"/>
      <c r="EUJ162" s="4"/>
      <c r="EUK162" s="4"/>
      <c r="EUL162" s="4"/>
      <c r="EUM162" s="4"/>
      <c r="EUN162" s="4"/>
      <c r="EUO162" s="4"/>
      <c r="EUP162" s="4"/>
      <c r="EUQ162" s="4"/>
      <c r="EUR162" s="4"/>
      <c r="EUS162" s="4"/>
      <c r="EUT162" s="4"/>
      <c r="EUU162" s="4"/>
      <c r="EUV162" s="4"/>
      <c r="EUW162" s="4"/>
      <c r="EUX162" s="4"/>
      <c r="EUY162" s="4"/>
      <c r="EUZ162" s="4"/>
      <c r="EVA162" s="4"/>
      <c r="EVB162" s="4"/>
      <c r="EVC162" s="4"/>
      <c r="EVD162" s="4"/>
      <c r="EVE162" s="4"/>
      <c r="EVF162" s="4"/>
      <c r="EVG162" s="4"/>
      <c r="EVH162" s="4"/>
      <c r="EVI162" s="4"/>
      <c r="EVJ162" s="4"/>
      <c r="EVK162" s="4"/>
      <c r="EVL162" s="4"/>
      <c r="EVM162" s="4"/>
      <c r="EVN162" s="4"/>
      <c r="EVO162" s="4"/>
      <c r="EVP162" s="4"/>
      <c r="EVQ162" s="4"/>
      <c r="EVR162" s="4"/>
      <c r="EVS162" s="4"/>
      <c r="EVT162" s="4"/>
      <c r="EVU162" s="4"/>
      <c r="EVV162" s="4"/>
      <c r="EVW162" s="4"/>
      <c r="EVX162" s="4"/>
      <c r="EVY162" s="4"/>
      <c r="EVZ162" s="4"/>
      <c r="EWA162" s="4"/>
      <c r="EWB162" s="4"/>
      <c r="EWC162" s="4"/>
      <c r="EWD162" s="4"/>
      <c r="EWE162" s="4"/>
      <c r="EWF162" s="4"/>
      <c r="EWG162" s="4"/>
      <c r="EWH162" s="4"/>
      <c r="EWI162" s="4"/>
      <c r="EWJ162" s="4"/>
      <c r="EWK162" s="4"/>
      <c r="EWL162" s="4"/>
      <c r="EWM162" s="4"/>
      <c r="EWN162" s="4"/>
      <c r="EWO162" s="4"/>
      <c r="EWP162" s="4"/>
      <c r="EWQ162" s="4"/>
      <c r="EWR162" s="4"/>
      <c r="EWS162" s="4"/>
      <c r="EWT162" s="4"/>
      <c r="EWU162" s="4"/>
      <c r="EWV162" s="4"/>
      <c r="EWW162" s="4"/>
      <c r="EWX162" s="4"/>
      <c r="EWY162" s="4"/>
      <c r="EWZ162" s="4"/>
      <c r="EXA162" s="4"/>
      <c r="EXB162" s="4"/>
      <c r="EXC162" s="4"/>
      <c r="EXD162" s="4"/>
      <c r="EXE162" s="4"/>
      <c r="EXF162" s="4"/>
      <c r="EXG162" s="4"/>
      <c r="EXH162" s="4"/>
      <c r="EXI162" s="4"/>
      <c r="EXJ162" s="4"/>
      <c r="EXK162" s="4"/>
      <c r="EXL162" s="4"/>
      <c r="EXM162" s="4"/>
      <c r="EXN162" s="4"/>
      <c r="EXO162" s="4"/>
      <c r="EXP162" s="4"/>
      <c r="EXQ162" s="4"/>
      <c r="EXR162" s="4"/>
      <c r="EXS162" s="4"/>
      <c r="EXT162" s="4"/>
      <c r="EXU162" s="4"/>
      <c r="EXV162" s="4"/>
      <c r="EXW162" s="4"/>
      <c r="EXX162" s="4"/>
      <c r="EXY162" s="4"/>
      <c r="EXZ162" s="4"/>
      <c r="EYA162" s="4"/>
      <c r="EYB162" s="4"/>
      <c r="EYC162" s="4"/>
      <c r="EYD162" s="4"/>
      <c r="EYE162" s="4"/>
      <c r="EYF162" s="4"/>
      <c r="EYG162" s="4"/>
      <c r="EYH162" s="4"/>
      <c r="EYI162" s="4"/>
      <c r="EYJ162" s="4"/>
      <c r="EYK162" s="4"/>
      <c r="EYL162" s="4"/>
      <c r="EYM162" s="4"/>
      <c r="EYN162" s="4"/>
      <c r="EYO162" s="4"/>
      <c r="EYP162" s="4"/>
      <c r="EYQ162" s="4"/>
      <c r="EYR162" s="4"/>
      <c r="EYS162" s="4"/>
      <c r="EYT162" s="4"/>
      <c r="EYU162" s="4"/>
      <c r="EYV162" s="4"/>
      <c r="EYW162" s="4"/>
      <c r="EYX162" s="4"/>
      <c r="EYY162" s="4"/>
      <c r="EYZ162" s="4"/>
      <c r="EZA162" s="4"/>
      <c r="EZB162" s="4"/>
      <c r="EZC162" s="4"/>
      <c r="EZD162" s="4"/>
      <c r="EZE162" s="4"/>
      <c r="EZF162" s="4"/>
      <c r="EZG162" s="4"/>
      <c r="EZH162" s="4"/>
      <c r="EZI162" s="4"/>
      <c r="EZJ162" s="4"/>
      <c r="EZK162" s="4"/>
      <c r="EZL162" s="4"/>
      <c r="EZM162" s="4"/>
      <c r="EZN162" s="4"/>
      <c r="EZO162" s="4"/>
      <c r="EZP162" s="4"/>
      <c r="EZQ162" s="4"/>
      <c r="EZR162" s="4"/>
      <c r="EZS162" s="4"/>
      <c r="EZT162" s="4"/>
      <c r="EZU162" s="4"/>
      <c r="EZV162" s="4"/>
      <c r="EZW162" s="4"/>
      <c r="EZX162" s="4"/>
      <c r="EZY162" s="4"/>
      <c r="EZZ162" s="4"/>
      <c r="FAA162" s="4"/>
      <c r="FAB162" s="4"/>
      <c r="FAC162" s="4"/>
      <c r="FAD162" s="4"/>
      <c r="FAE162" s="4"/>
      <c r="FAF162" s="4"/>
      <c r="FAG162" s="4"/>
      <c r="FAH162" s="4"/>
      <c r="FAI162" s="4"/>
      <c r="FAJ162" s="4"/>
      <c r="FAK162" s="4"/>
      <c r="FAL162" s="4"/>
      <c r="FAM162" s="4"/>
      <c r="FAN162" s="4"/>
      <c r="FAO162" s="4"/>
      <c r="FAP162" s="4"/>
      <c r="FAQ162" s="4"/>
      <c r="FAR162" s="4"/>
      <c r="FAS162" s="4"/>
      <c r="FAT162" s="4"/>
      <c r="FAU162" s="4"/>
      <c r="FAV162" s="4"/>
      <c r="FAW162" s="4"/>
      <c r="FAX162" s="4"/>
      <c r="FAY162" s="4"/>
      <c r="FAZ162" s="4"/>
      <c r="FBA162" s="4"/>
      <c r="FBB162" s="4"/>
      <c r="FBC162" s="4"/>
      <c r="FBD162" s="4"/>
      <c r="FBE162" s="4"/>
      <c r="FBF162" s="4"/>
      <c r="FBG162" s="4"/>
      <c r="FBH162" s="4"/>
      <c r="FBI162" s="4"/>
      <c r="FBJ162" s="4"/>
      <c r="FBK162" s="4"/>
      <c r="FBL162" s="4"/>
      <c r="FBM162" s="4"/>
      <c r="FBN162" s="4"/>
      <c r="FBO162" s="4"/>
      <c r="FBP162" s="4"/>
      <c r="FBQ162" s="4"/>
      <c r="FBR162" s="4"/>
      <c r="FBS162" s="4"/>
      <c r="FBT162" s="4"/>
      <c r="FBU162" s="4"/>
      <c r="FBV162" s="4"/>
      <c r="FBW162" s="4"/>
      <c r="FBX162" s="4"/>
      <c r="FBY162" s="4"/>
      <c r="FBZ162" s="4"/>
      <c r="FCA162" s="4"/>
      <c r="FCB162" s="4"/>
      <c r="FCC162" s="4"/>
      <c r="FCD162" s="4"/>
      <c r="FCE162" s="4"/>
      <c r="FCF162" s="4"/>
      <c r="FCG162" s="4"/>
      <c r="FCH162" s="4"/>
      <c r="FCI162" s="4"/>
      <c r="FCJ162" s="4"/>
      <c r="FCK162" s="4"/>
      <c r="FCL162" s="4"/>
      <c r="FCM162" s="4"/>
      <c r="FCN162" s="4"/>
      <c r="FCO162" s="4"/>
      <c r="FCP162" s="4"/>
      <c r="FCQ162" s="4"/>
      <c r="FCR162" s="4"/>
      <c r="FCS162" s="4"/>
      <c r="FCT162" s="4"/>
      <c r="FCU162" s="4"/>
      <c r="FCV162" s="4"/>
      <c r="FCW162" s="4"/>
      <c r="FCX162" s="4"/>
      <c r="FCY162" s="4"/>
      <c r="FCZ162" s="4"/>
      <c r="FDA162" s="4"/>
      <c r="FDB162" s="4"/>
      <c r="FDC162" s="4"/>
      <c r="FDD162" s="4"/>
      <c r="FDE162" s="4"/>
      <c r="FDF162" s="4"/>
      <c r="FDG162" s="4"/>
      <c r="FDH162" s="4"/>
      <c r="FDI162" s="4"/>
      <c r="FDJ162" s="4"/>
      <c r="FDK162" s="4"/>
      <c r="FDL162" s="4"/>
      <c r="FDM162" s="4"/>
      <c r="FDN162" s="4"/>
      <c r="FDO162" s="4"/>
      <c r="FDP162" s="4"/>
      <c r="FDQ162" s="4"/>
      <c r="FDR162" s="4"/>
      <c r="FDS162" s="4"/>
      <c r="FDT162" s="4"/>
      <c r="FDU162" s="4"/>
      <c r="FDV162" s="4"/>
      <c r="FDW162" s="4"/>
      <c r="FDX162" s="4"/>
      <c r="FDY162" s="4"/>
      <c r="FDZ162" s="4"/>
      <c r="FEA162" s="4"/>
      <c r="FEB162" s="4"/>
      <c r="FEC162" s="4"/>
      <c r="FED162" s="4"/>
      <c r="FEE162" s="4"/>
      <c r="FEF162" s="4"/>
      <c r="FEG162" s="4"/>
      <c r="FEH162" s="4"/>
      <c r="FEI162" s="4"/>
      <c r="FEJ162" s="4"/>
      <c r="FEK162" s="4"/>
      <c r="FEL162" s="4"/>
      <c r="FEM162" s="4"/>
      <c r="FEN162" s="4"/>
      <c r="FEO162" s="4"/>
      <c r="FEP162" s="4"/>
      <c r="FEQ162" s="4"/>
      <c r="FER162" s="4"/>
      <c r="FES162" s="4"/>
      <c r="FET162" s="4"/>
      <c r="FEU162" s="4"/>
      <c r="FEV162" s="4"/>
      <c r="FEW162" s="4"/>
      <c r="FEX162" s="4"/>
      <c r="FEY162" s="4"/>
      <c r="FEZ162" s="4"/>
      <c r="FFA162" s="4"/>
      <c r="FFB162" s="4"/>
      <c r="FFC162" s="4"/>
      <c r="FFD162" s="4"/>
      <c r="FFE162" s="4"/>
      <c r="FFF162" s="4"/>
      <c r="FFG162" s="4"/>
      <c r="FFH162" s="4"/>
      <c r="FFI162" s="4"/>
      <c r="FFJ162" s="4"/>
      <c r="FFK162" s="4"/>
      <c r="FFL162" s="4"/>
      <c r="FFM162" s="4"/>
      <c r="FFN162" s="4"/>
      <c r="FFO162" s="4"/>
      <c r="FFP162" s="4"/>
      <c r="FFQ162" s="4"/>
      <c r="FFR162" s="4"/>
      <c r="FFS162" s="4"/>
      <c r="FFT162" s="4"/>
      <c r="FFU162" s="4"/>
      <c r="FFV162" s="4"/>
      <c r="FFW162" s="4"/>
      <c r="FFX162" s="4"/>
      <c r="FFY162" s="4"/>
      <c r="FFZ162" s="4"/>
      <c r="FGA162" s="4"/>
      <c r="FGB162" s="4"/>
      <c r="FGC162" s="4"/>
      <c r="FGD162" s="4"/>
      <c r="FGE162" s="4"/>
      <c r="FGF162" s="4"/>
      <c r="FGG162" s="4"/>
      <c r="FGH162" s="4"/>
      <c r="FGI162" s="4"/>
      <c r="FGJ162" s="4"/>
      <c r="FGK162" s="4"/>
      <c r="FGL162" s="4"/>
      <c r="FGM162" s="4"/>
      <c r="FGN162" s="4"/>
      <c r="FGO162" s="4"/>
      <c r="FGP162" s="4"/>
      <c r="FGQ162" s="4"/>
      <c r="FGR162" s="4"/>
      <c r="FGS162" s="4"/>
      <c r="FGT162" s="4"/>
      <c r="FGU162" s="4"/>
      <c r="FGV162" s="4"/>
      <c r="FGW162" s="4"/>
      <c r="FGX162" s="4"/>
      <c r="FGY162" s="4"/>
      <c r="FGZ162" s="4"/>
      <c r="FHA162" s="4"/>
      <c r="FHB162" s="4"/>
      <c r="FHC162" s="4"/>
      <c r="FHD162" s="4"/>
      <c r="FHE162" s="4"/>
      <c r="FHF162" s="4"/>
      <c r="FHG162" s="4"/>
      <c r="FHH162" s="4"/>
      <c r="FHI162" s="4"/>
      <c r="FHJ162" s="4"/>
      <c r="FHK162" s="4"/>
      <c r="FHL162" s="4"/>
      <c r="FHM162" s="4"/>
      <c r="FHN162" s="4"/>
      <c r="FHO162" s="4"/>
      <c r="FHP162" s="4"/>
      <c r="FHQ162" s="4"/>
      <c r="FHR162" s="4"/>
      <c r="FHS162" s="4"/>
      <c r="FHT162" s="4"/>
      <c r="FHU162" s="4"/>
      <c r="FHV162" s="4"/>
      <c r="FHW162" s="4"/>
      <c r="FHX162" s="4"/>
      <c r="FHY162" s="4"/>
      <c r="FHZ162" s="4"/>
      <c r="FIA162" s="4"/>
      <c r="FIB162" s="4"/>
      <c r="FIC162" s="4"/>
      <c r="FID162" s="4"/>
      <c r="FIE162" s="4"/>
      <c r="FIF162" s="4"/>
      <c r="FIG162" s="4"/>
      <c r="FIH162" s="4"/>
      <c r="FII162" s="4"/>
      <c r="FIJ162" s="4"/>
      <c r="FIK162" s="4"/>
      <c r="FIL162" s="4"/>
      <c r="FIM162" s="4"/>
      <c r="FIN162" s="4"/>
      <c r="FIO162" s="4"/>
      <c r="FIP162" s="4"/>
      <c r="FIQ162" s="4"/>
      <c r="FIR162" s="4"/>
      <c r="FIS162" s="4"/>
      <c r="FIT162" s="4"/>
      <c r="FIU162" s="4"/>
      <c r="FIV162" s="4"/>
      <c r="FIW162" s="4"/>
      <c r="FIX162" s="4"/>
      <c r="FIY162" s="4"/>
      <c r="FIZ162" s="4"/>
      <c r="FJA162" s="4"/>
      <c r="FJB162" s="4"/>
      <c r="FJC162" s="4"/>
      <c r="FJD162" s="4"/>
      <c r="FJE162" s="4"/>
      <c r="FJF162" s="4"/>
      <c r="FJG162" s="4"/>
      <c r="FJH162" s="4"/>
      <c r="FJI162" s="4"/>
      <c r="FJJ162" s="4"/>
      <c r="FJK162" s="4"/>
      <c r="FJL162" s="4"/>
      <c r="FJM162" s="4"/>
      <c r="FJN162" s="4"/>
      <c r="FJO162" s="4"/>
      <c r="FJP162" s="4"/>
      <c r="FJQ162" s="4"/>
      <c r="FJR162" s="4"/>
      <c r="FJS162" s="4"/>
      <c r="FJT162" s="4"/>
      <c r="FJU162" s="4"/>
      <c r="FJV162" s="4"/>
      <c r="FJW162" s="4"/>
      <c r="FJX162" s="4"/>
      <c r="FJY162" s="4"/>
      <c r="FJZ162" s="4"/>
      <c r="FKA162" s="4"/>
      <c r="FKB162" s="4"/>
      <c r="FKC162" s="4"/>
      <c r="FKD162" s="4"/>
      <c r="FKE162" s="4"/>
      <c r="FKF162" s="4"/>
      <c r="FKG162" s="4"/>
      <c r="FKH162" s="4"/>
      <c r="FKI162" s="4"/>
      <c r="FKJ162" s="4"/>
      <c r="FKK162" s="4"/>
      <c r="FKL162" s="4"/>
      <c r="FKM162" s="4"/>
      <c r="FKN162" s="4"/>
      <c r="FKO162" s="4"/>
      <c r="FKP162" s="4"/>
      <c r="FKQ162" s="4"/>
      <c r="FKR162" s="4"/>
      <c r="FKS162" s="4"/>
      <c r="FKT162" s="4"/>
      <c r="FKU162" s="4"/>
      <c r="FKV162" s="4"/>
      <c r="FKW162" s="4"/>
      <c r="FKX162" s="4"/>
      <c r="FKY162" s="4"/>
      <c r="FKZ162" s="4"/>
      <c r="FLA162" s="4"/>
      <c r="FLB162" s="4"/>
      <c r="FLC162" s="4"/>
      <c r="FLD162" s="4"/>
      <c r="FLE162" s="4"/>
      <c r="FLF162" s="4"/>
      <c r="FLG162" s="4"/>
      <c r="FLH162" s="4"/>
      <c r="FLI162" s="4"/>
      <c r="FLJ162" s="4"/>
      <c r="FLK162" s="4"/>
      <c r="FLL162" s="4"/>
      <c r="FLM162" s="4"/>
      <c r="FLN162" s="4"/>
      <c r="FLO162" s="4"/>
      <c r="FLP162" s="4"/>
      <c r="FLQ162" s="4"/>
      <c r="FLR162" s="4"/>
      <c r="FLS162" s="4"/>
      <c r="FLT162" s="4"/>
      <c r="FLU162" s="4"/>
      <c r="FLV162" s="4"/>
      <c r="FLW162" s="4"/>
      <c r="FLX162" s="4"/>
      <c r="FLY162" s="4"/>
      <c r="FLZ162" s="4"/>
      <c r="FMA162" s="4"/>
      <c r="FMB162" s="4"/>
      <c r="FMC162" s="4"/>
      <c r="FMD162" s="4"/>
      <c r="FME162" s="4"/>
      <c r="FMF162" s="4"/>
      <c r="FMG162" s="4"/>
      <c r="FMH162" s="4"/>
      <c r="FMI162" s="4"/>
      <c r="FMJ162" s="4"/>
      <c r="FMK162" s="4"/>
      <c r="FML162" s="4"/>
      <c r="FMM162" s="4"/>
      <c r="FMN162" s="4"/>
      <c r="FMO162" s="4"/>
      <c r="FMP162" s="4"/>
      <c r="FMQ162" s="4"/>
      <c r="FMR162" s="4"/>
      <c r="FMS162" s="4"/>
      <c r="FMT162" s="4"/>
      <c r="FMU162" s="4"/>
      <c r="FMV162" s="4"/>
      <c r="FMW162" s="4"/>
      <c r="FMX162" s="4"/>
      <c r="FMY162" s="4"/>
      <c r="FMZ162" s="4"/>
      <c r="FNA162" s="4"/>
      <c r="FNB162" s="4"/>
      <c r="FNC162" s="4"/>
      <c r="FND162" s="4"/>
      <c r="FNE162" s="4"/>
      <c r="FNF162" s="4"/>
      <c r="FNG162" s="4"/>
      <c r="FNH162" s="4"/>
      <c r="FNI162" s="4"/>
      <c r="FNJ162" s="4"/>
      <c r="FNK162" s="4"/>
      <c r="FNL162" s="4"/>
      <c r="FNM162" s="4"/>
      <c r="FNN162" s="4"/>
      <c r="FNO162" s="4"/>
      <c r="FNP162" s="4"/>
      <c r="FNQ162" s="4"/>
      <c r="FNR162" s="4"/>
      <c r="FNS162" s="4"/>
      <c r="FNT162" s="4"/>
      <c r="FNU162" s="4"/>
      <c r="FNV162" s="4"/>
      <c r="FNW162" s="4"/>
      <c r="FNX162" s="4"/>
      <c r="FNY162" s="4"/>
      <c r="FNZ162" s="4"/>
      <c r="FOA162" s="4"/>
      <c r="FOB162" s="4"/>
      <c r="FOC162" s="4"/>
      <c r="FOD162" s="4"/>
      <c r="FOE162" s="4"/>
      <c r="FOF162" s="4"/>
      <c r="FOG162" s="4"/>
      <c r="FOH162" s="4"/>
      <c r="FOI162" s="4"/>
      <c r="FOJ162" s="4"/>
      <c r="FOK162" s="4"/>
      <c r="FOL162" s="4"/>
      <c r="FOM162" s="4"/>
      <c r="FON162" s="4"/>
      <c r="FOO162" s="4"/>
      <c r="FOP162" s="4"/>
      <c r="FOQ162" s="4"/>
      <c r="FOR162" s="4"/>
      <c r="FOS162" s="4"/>
      <c r="FOT162" s="4"/>
      <c r="FOU162" s="4"/>
      <c r="FOV162" s="4"/>
      <c r="FOW162" s="4"/>
      <c r="FOX162" s="4"/>
      <c r="FOY162" s="4"/>
      <c r="FOZ162" s="4"/>
      <c r="FPA162" s="4"/>
      <c r="FPB162" s="4"/>
      <c r="FPC162" s="4"/>
      <c r="FPD162" s="4"/>
      <c r="FPE162" s="4"/>
      <c r="FPF162" s="4"/>
      <c r="FPG162" s="4"/>
      <c r="FPH162" s="4"/>
      <c r="FPI162" s="4"/>
      <c r="FPJ162" s="4"/>
      <c r="FPK162" s="4"/>
      <c r="FPL162" s="4"/>
      <c r="FPM162" s="4"/>
      <c r="FPN162" s="4"/>
      <c r="FPO162" s="4"/>
      <c r="FPP162" s="4"/>
      <c r="FPQ162" s="4"/>
      <c r="FPR162" s="4"/>
      <c r="FPS162" s="4"/>
      <c r="FPT162" s="4"/>
      <c r="FPU162" s="4"/>
      <c r="FPV162" s="4"/>
      <c r="FPW162" s="4"/>
      <c r="FPX162" s="4"/>
      <c r="FPY162" s="4"/>
      <c r="FPZ162" s="4"/>
      <c r="FQA162" s="4"/>
      <c r="FQB162" s="4"/>
      <c r="FQC162" s="4"/>
      <c r="FQD162" s="4"/>
      <c r="FQE162" s="4"/>
      <c r="FQF162" s="4"/>
      <c r="FQG162" s="4"/>
      <c r="FQH162" s="4"/>
      <c r="FQI162" s="4"/>
      <c r="FQJ162" s="4"/>
      <c r="FQK162" s="4"/>
      <c r="FQL162" s="4"/>
      <c r="FQM162" s="4"/>
      <c r="FQN162" s="4"/>
      <c r="FQO162" s="4"/>
      <c r="FQP162" s="4"/>
      <c r="FQQ162" s="4"/>
      <c r="FQR162" s="4"/>
      <c r="FQS162" s="4"/>
      <c r="FQT162" s="4"/>
      <c r="FQU162" s="4"/>
      <c r="FQV162" s="4"/>
      <c r="FQW162" s="4"/>
      <c r="FQX162" s="4"/>
      <c r="FQY162" s="4"/>
      <c r="FQZ162" s="4"/>
      <c r="FRA162" s="4"/>
      <c r="FRB162" s="4"/>
      <c r="FRC162" s="4"/>
      <c r="FRD162" s="4"/>
      <c r="FRE162" s="4"/>
      <c r="FRF162" s="4"/>
      <c r="FRG162" s="4"/>
      <c r="FRH162" s="4"/>
      <c r="FRI162" s="4"/>
      <c r="FRJ162" s="4"/>
      <c r="FRK162" s="4"/>
      <c r="FRL162" s="4"/>
      <c r="FRM162" s="4"/>
      <c r="FRN162" s="4"/>
      <c r="FRO162" s="4"/>
      <c r="FRP162" s="4"/>
      <c r="FRQ162" s="4"/>
      <c r="FRR162" s="4"/>
      <c r="FRS162" s="4"/>
      <c r="FRT162" s="4"/>
      <c r="FRU162" s="4"/>
      <c r="FRV162" s="4"/>
      <c r="FRW162" s="4"/>
      <c r="FRX162" s="4"/>
      <c r="FRY162" s="4"/>
      <c r="FRZ162" s="4"/>
      <c r="FSA162" s="4"/>
      <c r="FSB162" s="4"/>
      <c r="FSC162" s="4"/>
      <c r="FSD162" s="4"/>
      <c r="FSE162" s="4"/>
      <c r="FSF162" s="4"/>
      <c r="FSG162" s="4"/>
      <c r="FSH162" s="4"/>
      <c r="FSI162" s="4"/>
      <c r="FSJ162" s="4"/>
      <c r="FSK162" s="4"/>
      <c r="FSL162" s="4"/>
      <c r="FSM162" s="4"/>
      <c r="FSN162" s="4"/>
      <c r="FSO162" s="4"/>
      <c r="FSP162" s="4"/>
      <c r="FSQ162" s="4"/>
      <c r="FSR162" s="4"/>
      <c r="FSS162" s="4"/>
      <c r="FST162" s="4"/>
      <c r="FSU162" s="4"/>
      <c r="FSV162" s="4"/>
      <c r="FSW162" s="4"/>
      <c r="FSX162" s="4"/>
      <c r="FSY162" s="4"/>
      <c r="FSZ162" s="4"/>
      <c r="FTA162" s="4"/>
      <c r="FTB162" s="4"/>
      <c r="FTC162" s="4"/>
      <c r="FTD162" s="4"/>
      <c r="FTE162" s="4"/>
      <c r="FTF162" s="4"/>
      <c r="FTG162" s="4"/>
      <c r="FTH162" s="4"/>
      <c r="FTI162" s="4"/>
      <c r="FTJ162" s="4"/>
      <c r="FTK162" s="4"/>
      <c r="FTL162" s="4"/>
      <c r="FTM162" s="4"/>
      <c r="FTN162" s="4"/>
      <c r="FTO162" s="4"/>
      <c r="FTP162" s="4"/>
      <c r="FTQ162" s="4"/>
      <c r="FTR162" s="4"/>
      <c r="FTS162" s="4"/>
      <c r="FTT162" s="4"/>
      <c r="FTU162" s="4"/>
      <c r="FTV162" s="4"/>
      <c r="FTW162" s="4"/>
      <c r="FTX162" s="4"/>
      <c r="FTY162" s="4"/>
      <c r="FTZ162" s="4"/>
      <c r="FUA162" s="4"/>
      <c r="FUB162" s="4"/>
      <c r="FUC162" s="4"/>
      <c r="FUD162" s="4"/>
      <c r="FUE162" s="4"/>
      <c r="FUF162" s="4"/>
      <c r="FUG162" s="4"/>
      <c r="FUH162" s="4"/>
      <c r="FUI162" s="4"/>
      <c r="FUJ162" s="4"/>
      <c r="FUK162" s="4"/>
      <c r="FUL162" s="4"/>
      <c r="FUM162" s="4"/>
      <c r="FUN162" s="4"/>
      <c r="FUO162" s="4"/>
      <c r="FUP162" s="4"/>
      <c r="FUQ162" s="4"/>
      <c r="FUR162" s="4"/>
      <c r="FUS162" s="4"/>
      <c r="FUT162" s="4"/>
      <c r="FUU162" s="4"/>
      <c r="FUV162" s="4"/>
      <c r="FUW162" s="4"/>
      <c r="FUX162" s="4"/>
      <c r="FUY162" s="4"/>
      <c r="FUZ162" s="4"/>
      <c r="FVA162" s="4"/>
      <c r="FVB162" s="4"/>
      <c r="FVC162" s="4"/>
      <c r="FVD162" s="4"/>
      <c r="FVE162" s="4"/>
      <c r="FVF162" s="4"/>
      <c r="FVG162" s="4"/>
      <c r="FVH162" s="4"/>
      <c r="FVI162" s="4"/>
      <c r="FVJ162" s="4"/>
      <c r="FVK162" s="4"/>
      <c r="FVL162" s="4"/>
      <c r="FVM162" s="4"/>
      <c r="FVN162" s="4"/>
      <c r="FVO162" s="4"/>
      <c r="FVP162" s="4"/>
      <c r="FVQ162" s="4"/>
      <c r="FVR162" s="4"/>
      <c r="FVS162" s="4"/>
      <c r="FVT162" s="4"/>
      <c r="FVU162" s="4"/>
      <c r="FVV162" s="4"/>
      <c r="FVW162" s="4"/>
      <c r="FVX162" s="4"/>
      <c r="FVY162" s="4"/>
      <c r="FVZ162" s="4"/>
      <c r="FWA162" s="4"/>
      <c r="FWB162" s="4"/>
      <c r="FWC162" s="4"/>
      <c r="FWD162" s="4"/>
      <c r="FWE162" s="4"/>
      <c r="FWF162" s="4"/>
      <c r="FWG162" s="4"/>
      <c r="FWH162" s="4"/>
      <c r="FWI162" s="4"/>
      <c r="FWJ162" s="4"/>
      <c r="FWK162" s="4"/>
      <c r="FWL162" s="4"/>
      <c r="FWM162" s="4"/>
      <c r="FWN162" s="4"/>
      <c r="FWO162" s="4"/>
      <c r="FWP162" s="4"/>
      <c r="FWQ162" s="4"/>
      <c r="FWR162" s="4"/>
      <c r="FWS162" s="4"/>
      <c r="FWT162" s="4"/>
      <c r="FWU162" s="4"/>
      <c r="FWV162" s="4"/>
      <c r="FWW162" s="4"/>
      <c r="FWX162" s="4"/>
      <c r="FWY162" s="4"/>
      <c r="FWZ162" s="4"/>
      <c r="FXA162" s="4"/>
      <c r="FXB162" s="4"/>
      <c r="FXC162" s="4"/>
      <c r="FXD162" s="4"/>
      <c r="FXE162" s="4"/>
      <c r="FXF162" s="4"/>
      <c r="FXG162" s="4"/>
      <c r="FXH162" s="4"/>
      <c r="FXI162" s="4"/>
      <c r="FXJ162" s="4"/>
      <c r="FXK162" s="4"/>
      <c r="FXL162" s="4"/>
      <c r="FXM162" s="4"/>
      <c r="FXN162" s="4"/>
      <c r="FXO162" s="4"/>
      <c r="FXP162" s="4"/>
      <c r="FXQ162" s="4"/>
      <c r="FXR162" s="4"/>
      <c r="FXS162" s="4"/>
      <c r="FXT162" s="4"/>
      <c r="FXU162" s="4"/>
      <c r="FXV162" s="4"/>
      <c r="FXW162" s="4"/>
      <c r="FXX162" s="4"/>
      <c r="FXY162" s="4"/>
      <c r="FXZ162" s="4"/>
      <c r="FYA162" s="4"/>
      <c r="FYB162" s="4"/>
      <c r="FYC162" s="4"/>
      <c r="FYD162" s="4"/>
      <c r="FYE162" s="4"/>
      <c r="FYF162" s="4"/>
      <c r="FYG162" s="4"/>
      <c r="FYH162" s="4"/>
      <c r="FYI162" s="4"/>
      <c r="FYJ162" s="4"/>
      <c r="FYK162" s="4"/>
      <c r="FYL162" s="4"/>
      <c r="FYM162" s="4"/>
      <c r="FYN162" s="4"/>
      <c r="FYO162" s="4"/>
      <c r="FYP162" s="4"/>
      <c r="FYQ162" s="4"/>
      <c r="FYR162" s="4"/>
      <c r="FYS162" s="4"/>
      <c r="FYT162" s="4"/>
      <c r="FYU162" s="4"/>
      <c r="FYV162" s="4"/>
      <c r="FYW162" s="4"/>
      <c r="FYX162" s="4"/>
      <c r="FYY162" s="4"/>
      <c r="FYZ162" s="4"/>
      <c r="FZA162" s="4"/>
      <c r="FZB162" s="4"/>
      <c r="FZC162" s="4"/>
      <c r="FZD162" s="4"/>
      <c r="FZE162" s="4"/>
      <c r="FZF162" s="4"/>
      <c r="FZG162" s="4"/>
      <c r="FZH162" s="4"/>
      <c r="FZI162" s="4"/>
      <c r="FZJ162" s="4"/>
      <c r="FZK162" s="4"/>
      <c r="FZL162" s="4"/>
      <c r="FZM162" s="4"/>
      <c r="FZN162" s="4"/>
      <c r="FZO162" s="4"/>
      <c r="FZP162" s="4"/>
      <c r="FZQ162" s="4"/>
      <c r="FZR162" s="4"/>
      <c r="FZS162" s="4"/>
      <c r="FZT162" s="4"/>
      <c r="FZU162" s="4"/>
      <c r="FZV162" s="4"/>
      <c r="FZW162" s="4"/>
      <c r="FZX162" s="4"/>
      <c r="FZY162" s="4"/>
      <c r="FZZ162" s="4"/>
      <c r="GAA162" s="4"/>
      <c r="GAB162" s="4"/>
      <c r="GAC162" s="4"/>
      <c r="GAD162" s="4"/>
      <c r="GAE162" s="4"/>
      <c r="GAF162" s="4"/>
      <c r="GAG162" s="4"/>
      <c r="GAH162" s="4"/>
      <c r="GAI162" s="4"/>
      <c r="GAJ162" s="4"/>
      <c r="GAK162" s="4"/>
      <c r="GAL162" s="4"/>
      <c r="GAM162" s="4"/>
      <c r="GAN162" s="4"/>
      <c r="GAO162" s="4"/>
      <c r="GAP162" s="4"/>
      <c r="GAQ162" s="4"/>
      <c r="GAR162" s="4"/>
      <c r="GAS162" s="4"/>
      <c r="GAT162" s="4"/>
      <c r="GAU162" s="4"/>
      <c r="GAV162" s="4"/>
      <c r="GAW162" s="4"/>
      <c r="GAX162" s="4"/>
      <c r="GAY162" s="4"/>
      <c r="GAZ162" s="4"/>
      <c r="GBA162" s="4"/>
      <c r="GBB162" s="4"/>
      <c r="GBC162" s="4"/>
      <c r="GBD162" s="4"/>
      <c r="GBE162" s="4"/>
      <c r="GBF162" s="4"/>
      <c r="GBG162" s="4"/>
      <c r="GBH162" s="4"/>
      <c r="GBI162" s="4"/>
      <c r="GBJ162" s="4"/>
      <c r="GBK162" s="4"/>
      <c r="GBL162" s="4"/>
      <c r="GBM162" s="4"/>
      <c r="GBN162" s="4"/>
      <c r="GBO162" s="4"/>
      <c r="GBP162" s="4"/>
      <c r="GBQ162" s="4"/>
      <c r="GBR162" s="4"/>
      <c r="GBS162" s="4"/>
      <c r="GBT162" s="4"/>
      <c r="GBU162" s="4"/>
      <c r="GBV162" s="4"/>
      <c r="GBW162" s="4"/>
      <c r="GBX162" s="4"/>
      <c r="GBY162" s="4"/>
      <c r="GBZ162" s="4"/>
      <c r="GCA162" s="4"/>
      <c r="GCB162" s="4"/>
      <c r="GCC162" s="4"/>
      <c r="GCD162" s="4"/>
      <c r="GCE162" s="4"/>
      <c r="GCF162" s="4"/>
      <c r="GCG162" s="4"/>
      <c r="GCH162" s="4"/>
      <c r="GCI162" s="4"/>
      <c r="GCJ162" s="4"/>
      <c r="GCK162" s="4"/>
      <c r="GCL162" s="4"/>
      <c r="GCM162" s="4"/>
      <c r="GCN162" s="4"/>
      <c r="GCO162" s="4"/>
      <c r="GCP162" s="4"/>
      <c r="GCQ162" s="4"/>
      <c r="GCR162" s="4"/>
      <c r="GCS162" s="4"/>
      <c r="GCT162" s="4"/>
      <c r="GCU162" s="4"/>
      <c r="GCV162" s="4"/>
      <c r="GCW162" s="4"/>
      <c r="GCX162" s="4"/>
      <c r="GCY162" s="4"/>
      <c r="GCZ162" s="4"/>
      <c r="GDA162" s="4"/>
      <c r="GDB162" s="4"/>
      <c r="GDC162" s="4"/>
      <c r="GDD162" s="4"/>
      <c r="GDE162" s="4"/>
      <c r="GDF162" s="4"/>
      <c r="GDG162" s="4"/>
      <c r="GDH162" s="4"/>
      <c r="GDI162" s="4"/>
      <c r="GDJ162" s="4"/>
      <c r="GDK162" s="4"/>
      <c r="GDL162" s="4"/>
      <c r="GDM162" s="4"/>
      <c r="GDN162" s="4"/>
      <c r="GDO162" s="4"/>
      <c r="GDP162" s="4"/>
      <c r="GDQ162" s="4"/>
      <c r="GDR162" s="4"/>
      <c r="GDS162" s="4"/>
      <c r="GDT162" s="4"/>
      <c r="GDU162" s="4"/>
      <c r="GDV162" s="4"/>
      <c r="GDW162" s="4"/>
      <c r="GDX162" s="4"/>
      <c r="GDY162" s="4"/>
      <c r="GDZ162" s="4"/>
      <c r="GEA162" s="4"/>
      <c r="GEB162" s="4"/>
      <c r="GEC162" s="4"/>
      <c r="GED162" s="4"/>
      <c r="GEE162" s="4"/>
      <c r="GEF162" s="4"/>
      <c r="GEG162" s="4"/>
      <c r="GEH162" s="4"/>
      <c r="GEI162" s="4"/>
      <c r="GEJ162" s="4"/>
      <c r="GEK162" s="4"/>
      <c r="GEL162" s="4"/>
      <c r="GEM162" s="4"/>
      <c r="GEN162" s="4"/>
      <c r="GEO162" s="4"/>
      <c r="GEP162" s="4"/>
      <c r="GEQ162" s="4"/>
      <c r="GER162" s="4"/>
      <c r="GES162" s="4"/>
      <c r="GET162" s="4"/>
      <c r="GEU162" s="4"/>
      <c r="GEV162" s="4"/>
      <c r="GEW162" s="4"/>
      <c r="GEX162" s="4"/>
      <c r="GEY162" s="4"/>
      <c r="GEZ162" s="4"/>
      <c r="GFA162" s="4"/>
      <c r="GFB162" s="4"/>
      <c r="GFC162" s="4"/>
      <c r="GFD162" s="4"/>
      <c r="GFE162" s="4"/>
      <c r="GFF162" s="4"/>
      <c r="GFG162" s="4"/>
      <c r="GFH162" s="4"/>
      <c r="GFI162" s="4"/>
      <c r="GFJ162" s="4"/>
      <c r="GFK162" s="4"/>
      <c r="GFL162" s="4"/>
      <c r="GFM162" s="4"/>
      <c r="GFN162" s="4"/>
      <c r="GFO162" s="4"/>
      <c r="GFP162" s="4"/>
      <c r="GFQ162" s="4"/>
      <c r="GFR162" s="4"/>
      <c r="GFS162" s="4"/>
      <c r="GFT162" s="4"/>
      <c r="GFU162" s="4"/>
      <c r="GFV162" s="4"/>
      <c r="GFW162" s="4"/>
      <c r="GFX162" s="4"/>
      <c r="GFY162" s="4"/>
      <c r="GFZ162" s="4"/>
      <c r="GGA162" s="4"/>
      <c r="GGB162" s="4"/>
      <c r="GGC162" s="4"/>
      <c r="GGD162" s="4"/>
      <c r="GGE162" s="4"/>
      <c r="GGF162" s="4"/>
      <c r="GGG162" s="4"/>
      <c r="GGH162" s="4"/>
      <c r="GGI162" s="4"/>
      <c r="GGJ162" s="4"/>
      <c r="GGK162" s="4"/>
      <c r="GGL162" s="4"/>
      <c r="GGM162" s="4"/>
      <c r="GGN162" s="4"/>
      <c r="GGO162" s="4"/>
      <c r="GGP162" s="4"/>
      <c r="GGQ162" s="4"/>
      <c r="GGR162" s="4"/>
      <c r="GGS162" s="4"/>
      <c r="GGT162" s="4"/>
      <c r="GGU162" s="4"/>
      <c r="GGV162" s="4"/>
      <c r="GGW162" s="4"/>
      <c r="GGX162" s="4"/>
      <c r="GGY162" s="4"/>
      <c r="GGZ162" s="4"/>
      <c r="GHA162" s="4"/>
      <c r="GHB162" s="4"/>
      <c r="GHC162" s="4"/>
      <c r="GHD162" s="4"/>
      <c r="GHE162" s="4"/>
      <c r="GHF162" s="4"/>
      <c r="GHG162" s="4"/>
      <c r="GHH162" s="4"/>
      <c r="GHI162" s="4"/>
      <c r="GHJ162" s="4"/>
      <c r="GHK162" s="4"/>
      <c r="GHL162" s="4"/>
      <c r="GHM162" s="4"/>
      <c r="GHN162" s="4"/>
      <c r="GHO162" s="4"/>
      <c r="GHP162" s="4"/>
      <c r="GHQ162" s="4"/>
      <c r="GHR162" s="4"/>
      <c r="GHS162" s="4"/>
      <c r="GHT162" s="4"/>
      <c r="GHU162" s="4"/>
      <c r="GHV162" s="4"/>
      <c r="GHW162" s="4"/>
      <c r="GHX162" s="4"/>
      <c r="GHY162" s="4"/>
      <c r="GHZ162" s="4"/>
      <c r="GIA162" s="4"/>
      <c r="GIB162" s="4"/>
      <c r="GIC162" s="4"/>
      <c r="GID162" s="4"/>
      <c r="GIE162" s="4"/>
      <c r="GIF162" s="4"/>
      <c r="GIG162" s="4"/>
      <c r="GIH162" s="4"/>
      <c r="GII162" s="4"/>
      <c r="GIJ162" s="4"/>
      <c r="GIK162" s="4"/>
      <c r="GIL162" s="4"/>
      <c r="GIM162" s="4"/>
      <c r="GIN162" s="4"/>
      <c r="GIO162" s="4"/>
      <c r="GIP162" s="4"/>
      <c r="GIQ162" s="4"/>
      <c r="GIR162" s="4"/>
      <c r="GIS162" s="4"/>
      <c r="GIT162" s="4"/>
      <c r="GIU162" s="4"/>
      <c r="GIV162" s="4"/>
      <c r="GIW162" s="4"/>
      <c r="GIX162" s="4"/>
      <c r="GIY162" s="4"/>
      <c r="GIZ162" s="4"/>
      <c r="GJA162" s="4"/>
      <c r="GJB162" s="4"/>
      <c r="GJC162" s="4"/>
      <c r="GJD162" s="4"/>
      <c r="GJE162" s="4"/>
      <c r="GJF162" s="4"/>
      <c r="GJG162" s="4"/>
      <c r="GJH162" s="4"/>
      <c r="GJI162" s="4"/>
      <c r="GJJ162" s="4"/>
      <c r="GJK162" s="4"/>
      <c r="GJL162" s="4"/>
      <c r="GJM162" s="4"/>
      <c r="GJN162" s="4"/>
      <c r="GJO162" s="4"/>
      <c r="GJP162" s="4"/>
      <c r="GJQ162" s="4"/>
      <c r="GJR162" s="4"/>
      <c r="GJS162" s="4"/>
      <c r="GJT162" s="4"/>
      <c r="GJU162" s="4"/>
      <c r="GJV162" s="4"/>
      <c r="GJW162" s="4"/>
      <c r="GJX162" s="4"/>
      <c r="GJY162" s="4"/>
      <c r="GJZ162" s="4"/>
      <c r="GKA162" s="4"/>
      <c r="GKB162" s="4"/>
      <c r="GKC162" s="4"/>
      <c r="GKD162" s="4"/>
      <c r="GKE162" s="4"/>
      <c r="GKF162" s="4"/>
      <c r="GKG162" s="4"/>
      <c r="GKH162" s="4"/>
      <c r="GKI162" s="4"/>
      <c r="GKJ162" s="4"/>
      <c r="GKK162" s="4"/>
      <c r="GKL162" s="4"/>
      <c r="GKM162" s="4"/>
      <c r="GKN162" s="4"/>
      <c r="GKO162" s="4"/>
      <c r="GKP162" s="4"/>
      <c r="GKQ162" s="4"/>
      <c r="GKR162" s="4"/>
      <c r="GKS162" s="4"/>
      <c r="GKT162" s="4"/>
      <c r="GKU162" s="4"/>
      <c r="GKV162" s="4"/>
      <c r="GKW162" s="4"/>
      <c r="GKX162" s="4"/>
      <c r="GKY162" s="4"/>
      <c r="GKZ162" s="4"/>
      <c r="GLA162" s="4"/>
      <c r="GLB162" s="4"/>
      <c r="GLC162" s="4"/>
      <c r="GLD162" s="4"/>
      <c r="GLE162" s="4"/>
      <c r="GLF162" s="4"/>
      <c r="GLG162" s="4"/>
      <c r="GLH162" s="4"/>
      <c r="GLI162" s="4"/>
      <c r="GLJ162" s="4"/>
      <c r="GLK162" s="4"/>
      <c r="GLL162" s="4"/>
      <c r="GLM162" s="4"/>
      <c r="GLN162" s="4"/>
      <c r="GLO162" s="4"/>
      <c r="GLP162" s="4"/>
      <c r="GLQ162" s="4"/>
      <c r="GLR162" s="4"/>
      <c r="GLS162" s="4"/>
      <c r="GLT162" s="4"/>
      <c r="GLU162" s="4"/>
      <c r="GLV162" s="4"/>
      <c r="GLW162" s="4"/>
      <c r="GLX162" s="4"/>
      <c r="GLY162" s="4"/>
      <c r="GLZ162" s="4"/>
      <c r="GMA162" s="4"/>
      <c r="GMB162" s="4"/>
      <c r="GMC162" s="4"/>
      <c r="GMD162" s="4"/>
      <c r="GME162" s="4"/>
      <c r="GMF162" s="4"/>
      <c r="GMG162" s="4"/>
      <c r="GMH162" s="4"/>
      <c r="GMI162" s="4"/>
      <c r="GMJ162" s="4"/>
      <c r="GMK162" s="4"/>
      <c r="GML162" s="4"/>
      <c r="GMM162" s="4"/>
      <c r="GMN162" s="4"/>
      <c r="GMO162" s="4"/>
      <c r="GMP162" s="4"/>
      <c r="GMQ162" s="4"/>
      <c r="GMR162" s="4"/>
      <c r="GMS162" s="4"/>
      <c r="GMT162" s="4"/>
      <c r="GMU162" s="4"/>
      <c r="GMV162" s="4"/>
      <c r="GMW162" s="4"/>
      <c r="GMX162" s="4"/>
      <c r="GMY162" s="4"/>
      <c r="GMZ162" s="4"/>
      <c r="GNA162" s="4"/>
      <c r="GNB162" s="4"/>
      <c r="GNC162" s="4"/>
      <c r="GND162" s="4"/>
      <c r="GNE162" s="4"/>
      <c r="GNF162" s="4"/>
      <c r="GNG162" s="4"/>
      <c r="GNH162" s="4"/>
      <c r="GNI162" s="4"/>
      <c r="GNJ162" s="4"/>
      <c r="GNK162" s="4"/>
      <c r="GNL162" s="4"/>
      <c r="GNM162" s="4"/>
      <c r="GNN162" s="4"/>
      <c r="GNO162" s="4"/>
      <c r="GNP162" s="4"/>
      <c r="GNQ162" s="4"/>
      <c r="GNR162" s="4"/>
      <c r="GNS162" s="4"/>
      <c r="GNT162" s="4"/>
      <c r="GNU162" s="4"/>
      <c r="GNV162" s="4"/>
      <c r="GNW162" s="4"/>
      <c r="GNX162" s="4"/>
      <c r="GNY162" s="4"/>
      <c r="GNZ162" s="4"/>
      <c r="GOA162" s="4"/>
      <c r="GOB162" s="4"/>
      <c r="GOC162" s="4"/>
      <c r="GOD162" s="4"/>
      <c r="GOE162" s="4"/>
      <c r="GOF162" s="4"/>
      <c r="GOG162" s="4"/>
      <c r="GOH162" s="4"/>
      <c r="GOI162" s="4"/>
      <c r="GOJ162" s="4"/>
      <c r="GOK162" s="4"/>
      <c r="GOL162" s="4"/>
      <c r="GOM162" s="4"/>
      <c r="GON162" s="4"/>
      <c r="GOO162" s="4"/>
      <c r="GOP162" s="4"/>
      <c r="GOQ162" s="4"/>
      <c r="GOR162" s="4"/>
      <c r="GOS162" s="4"/>
      <c r="GOT162" s="4"/>
      <c r="GOU162" s="4"/>
      <c r="GOV162" s="4"/>
      <c r="GOW162" s="4"/>
      <c r="GOX162" s="4"/>
      <c r="GOY162" s="4"/>
      <c r="GOZ162" s="4"/>
      <c r="GPA162" s="4"/>
      <c r="GPB162" s="4"/>
      <c r="GPC162" s="4"/>
      <c r="GPD162" s="4"/>
      <c r="GPE162" s="4"/>
      <c r="GPF162" s="4"/>
      <c r="GPG162" s="4"/>
      <c r="GPH162" s="4"/>
      <c r="GPI162" s="4"/>
      <c r="GPJ162" s="4"/>
      <c r="GPK162" s="4"/>
      <c r="GPL162" s="4"/>
      <c r="GPM162" s="4"/>
      <c r="GPN162" s="4"/>
      <c r="GPO162" s="4"/>
      <c r="GPP162" s="4"/>
      <c r="GPQ162" s="4"/>
      <c r="GPR162" s="4"/>
      <c r="GPS162" s="4"/>
      <c r="GPT162" s="4"/>
      <c r="GPU162" s="4"/>
      <c r="GPV162" s="4"/>
      <c r="GPW162" s="4"/>
      <c r="GPX162" s="4"/>
      <c r="GPY162" s="4"/>
      <c r="GPZ162" s="4"/>
      <c r="GQA162" s="4"/>
      <c r="GQB162" s="4"/>
      <c r="GQC162" s="4"/>
      <c r="GQD162" s="4"/>
      <c r="GQE162" s="4"/>
      <c r="GQF162" s="4"/>
      <c r="GQG162" s="4"/>
      <c r="GQH162" s="4"/>
      <c r="GQI162" s="4"/>
      <c r="GQJ162" s="4"/>
      <c r="GQK162" s="4"/>
      <c r="GQL162" s="4"/>
      <c r="GQM162" s="4"/>
      <c r="GQN162" s="4"/>
      <c r="GQO162" s="4"/>
      <c r="GQP162" s="4"/>
      <c r="GQQ162" s="4"/>
      <c r="GQR162" s="4"/>
      <c r="GQS162" s="4"/>
      <c r="GQT162" s="4"/>
      <c r="GQU162" s="4"/>
      <c r="GQV162" s="4"/>
      <c r="GQW162" s="4"/>
      <c r="GQX162" s="4"/>
      <c r="GQY162" s="4"/>
      <c r="GQZ162" s="4"/>
      <c r="GRA162" s="4"/>
      <c r="GRB162" s="4"/>
      <c r="GRC162" s="4"/>
      <c r="GRD162" s="4"/>
      <c r="GRE162" s="4"/>
      <c r="GRF162" s="4"/>
      <c r="GRG162" s="4"/>
      <c r="GRH162" s="4"/>
      <c r="GRI162" s="4"/>
      <c r="GRJ162" s="4"/>
      <c r="GRK162" s="4"/>
      <c r="GRL162" s="4"/>
      <c r="GRM162" s="4"/>
      <c r="GRN162" s="4"/>
      <c r="GRO162" s="4"/>
      <c r="GRP162" s="4"/>
      <c r="GRQ162" s="4"/>
      <c r="GRR162" s="4"/>
      <c r="GRS162" s="4"/>
      <c r="GRT162" s="4"/>
      <c r="GRU162" s="4"/>
      <c r="GRV162" s="4"/>
      <c r="GRW162" s="4"/>
      <c r="GRX162" s="4"/>
      <c r="GRY162" s="4"/>
      <c r="GRZ162" s="4"/>
      <c r="GSA162" s="4"/>
      <c r="GSB162" s="4"/>
      <c r="GSC162" s="4"/>
      <c r="GSD162" s="4"/>
      <c r="GSE162" s="4"/>
      <c r="GSF162" s="4"/>
      <c r="GSG162" s="4"/>
      <c r="GSH162" s="4"/>
      <c r="GSI162" s="4"/>
      <c r="GSJ162" s="4"/>
      <c r="GSK162" s="4"/>
      <c r="GSL162" s="4"/>
      <c r="GSM162" s="4"/>
      <c r="GSN162" s="4"/>
      <c r="GSO162" s="4"/>
      <c r="GSP162" s="4"/>
      <c r="GSQ162" s="4"/>
      <c r="GSR162" s="4"/>
      <c r="GSS162" s="4"/>
      <c r="GST162" s="4"/>
      <c r="GSU162" s="4"/>
      <c r="GSV162" s="4"/>
      <c r="GSW162" s="4"/>
      <c r="GSX162" s="4"/>
      <c r="GSY162" s="4"/>
      <c r="GSZ162" s="4"/>
      <c r="GTA162" s="4"/>
      <c r="GTB162" s="4"/>
      <c r="GTC162" s="4"/>
      <c r="GTD162" s="4"/>
      <c r="GTE162" s="4"/>
      <c r="GTF162" s="4"/>
      <c r="GTG162" s="4"/>
      <c r="GTH162" s="4"/>
      <c r="GTI162" s="4"/>
      <c r="GTJ162" s="4"/>
      <c r="GTK162" s="4"/>
      <c r="GTL162" s="4"/>
      <c r="GTM162" s="4"/>
      <c r="GTN162" s="4"/>
      <c r="GTO162" s="4"/>
      <c r="GTP162" s="4"/>
      <c r="GTQ162" s="4"/>
      <c r="GTR162" s="4"/>
      <c r="GTS162" s="4"/>
      <c r="GTT162" s="4"/>
      <c r="GTU162" s="4"/>
      <c r="GTV162" s="4"/>
      <c r="GTW162" s="4"/>
      <c r="GTX162" s="4"/>
      <c r="GTY162" s="4"/>
      <c r="GTZ162" s="4"/>
      <c r="GUA162" s="4"/>
      <c r="GUB162" s="4"/>
      <c r="GUC162" s="4"/>
      <c r="GUD162" s="4"/>
      <c r="GUE162" s="4"/>
      <c r="GUF162" s="4"/>
      <c r="GUG162" s="4"/>
      <c r="GUH162" s="4"/>
      <c r="GUI162" s="4"/>
      <c r="GUJ162" s="4"/>
      <c r="GUK162" s="4"/>
      <c r="GUL162" s="4"/>
      <c r="GUM162" s="4"/>
      <c r="GUN162" s="4"/>
      <c r="GUO162" s="4"/>
      <c r="GUP162" s="4"/>
      <c r="GUQ162" s="4"/>
      <c r="GUR162" s="4"/>
      <c r="GUS162" s="4"/>
      <c r="GUT162" s="4"/>
      <c r="GUU162" s="4"/>
      <c r="GUV162" s="4"/>
      <c r="GUW162" s="4"/>
      <c r="GUX162" s="4"/>
      <c r="GUY162" s="4"/>
      <c r="GUZ162" s="4"/>
      <c r="GVA162" s="4"/>
      <c r="GVB162" s="4"/>
      <c r="GVC162" s="4"/>
      <c r="GVD162" s="4"/>
      <c r="GVE162" s="4"/>
      <c r="GVF162" s="4"/>
      <c r="GVG162" s="4"/>
      <c r="GVH162" s="4"/>
      <c r="GVI162" s="4"/>
      <c r="GVJ162" s="4"/>
      <c r="GVK162" s="4"/>
      <c r="GVL162" s="4"/>
      <c r="GVM162" s="4"/>
      <c r="GVN162" s="4"/>
      <c r="GVO162" s="4"/>
      <c r="GVP162" s="4"/>
      <c r="GVQ162" s="4"/>
      <c r="GVR162" s="4"/>
      <c r="GVS162" s="4"/>
      <c r="GVT162" s="4"/>
      <c r="GVU162" s="4"/>
      <c r="GVV162" s="4"/>
      <c r="GVW162" s="4"/>
      <c r="GVX162" s="4"/>
      <c r="GVY162" s="4"/>
      <c r="GVZ162" s="4"/>
      <c r="GWA162" s="4"/>
      <c r="GWB162" s="4"/>
      <c r="GWC162" s="4"/>
      <c r="GWD162" s="4"/>
      <c r="GWE162" s="4"/>
      <c r="GWF162" s="4"/>
      <c r="GWG162" s="4"/>
      <c r="GWH162" s="4"/>
      <c r="GWI162" s="4"/>
      <c r="GWJ162" s="4"/>
      <c r="GWK162" s="4"/>
      <c r="GWL162" s="4"/>
      <c r="GWM162" s="4"/>
      <c r="GWN162" s="4"/>
      <c r="GWO162" s="4"/>
      <c r="GWP162" s="4"/>
      <c r="GWQ162" s="4"/>
      <c r="GWR162" s="4"/>
      <c r="GWS162" s="4"/>
      <c r="GWT162" s="4"/>
      <c r="GWU162" s="4"/>
      <c r="GWV162" s="4"/>
      <c r="GWW162" s="4"/>
      <c r="GWX162" s="4"/>
      <c r="GWY162" s="4"/>
      <c r="GWZ162" s="4"/>
      <c r="GXA162" s="4"/>
      <c r="GXB162" s="4"/>
      <c r="GXC162" s="4"/>
      <c r="GXD162" s="4"/>
      <c r="GXE162" s="4"/>
      <c r="GXF162" s="4"/>
      <c r="GXG162" s="4"/>
      <c r="GXH162" s="4"/>
      <c r="GXI162" s="4"/>
      <c r="GXJ162" s="4"/>
      <c r="GXK162" s="4"/>
      <c r="GXL162" s="4"/>
      <c r="GXM162" s="4"/>
      <c r="GXN162" s="4"/>
      <c r="GXO162" s="4"/>
      <c r="GXP162" s="4"/>
      <c r="GXQ162" s="4"/>
      <c r="GXR162" s="4"/>
      <c r="GXS162" s="4"/>
      <c r="GXT162" s="4"/>
      <c r="GXU162" s="4"/>
      <c r="GXV162" s="4"/>
      <c r="GXW162" s="4"/>
      <c r="GXX162" s="4"/>
      <c r="GXY162" s="4"/>
      <c r="GXZ162" s="4"/>
      <c r="GYA162" s="4"/>
      <c r="GYB162" s="4"/>
      <c r="GYC162" s="4"/>
      <c r="GYD162" s="4"/>
      <c r="GYE162" s="4"/>
      <c r="GYF162" s="4"/>
      <c r="GYG162" s="4"/>
      <c r="GYH162" s="4"/>
      <c r="GYI162" s="4"/>
      <c r="GYJ162" s="4"/>
      <c r="GYK162" s="4"/>
      <c r="GYL162" s="4"/>
      <c r="GYM162" s="4"/>
      <c r="GYN162" s="4"/>
      <c r="GYO162" s="4"/>
      <c r="GYP162" s="4"/>
      <c r="GYQ162" s="4"/>
      <c r="GYR162" s="4"/>
      <c r="GYS162" s="4"/>
      <c r="GYT162" s="4"/>
      <c r="GYU162" s="4"/>
      <c r="GYV162" s="4"/>
      <c r="GYW162" s="4"/>
      <c r="GYX162" s="4"/>
      <c r="GYY162" s="4"/>
      <c r="GYZ162" s="4"/>
      <c r="GZA162" s="4"/>
      <c r="GZB162" s="4"/>
      <c r="GZC162" s="4"/>
      <c r="GZD162" s="4"/>
      <c r="GZE162" s="4"/>
      <c r="GZF162" s="4"/>
      <c r="GZG162" s="4"/>
      <c r="GZH162" s="4"/>
      <c r="GZI162" s="4"/>
      <c r="GZJ162" s="4"/>
      <c r="GZK162" s="4"/>
      <c r="GZL162" s="4"/>
      <c r="GZM162" s="4"/>
      <c r="GZN162" s="4"/>
      <c r="GZO162" s="4"/>
      <c r="GZP162" s="4"/>
      <c r="GZQ162" s="4"/>
      <c r="GZR162" s="4"/>
      <c r="GZS162" s="4"/>
      <c r="GZT162" s="4"/>
      <c r="GZU162" s="4"/>
      <c r="GZV162" s="4"/>
      <c r="GZW162" s="4"/>
      <c r="GZX162" s="4"/>
      <c r="GZY162" s="4"/>
      <c r="GZZ162" s="4"/>
      <c r="HAA162" s="4"/>
      <c r="HAB162" s="4"/>
      <c r="HAC162" s="4"/>
      <c r="HAD162" s="4"/>
      <c r="HAE162" s="4"/>
      <c r="HAF162" s="4"/>
      <c r="HAG162" s="4"/>
      <c r="HAH162" s="4"/>
      <c r="HAI162" s="4"/>
      <c r="HAJ162" s="4"/>
      <c r="HAK162" s="4"/>
      <c r="HAL162" s="4"/>
      <c r="HAM162" s="4"/>
      <c r="HAN162" s="4"/>
      <c r="HAO162" s="4"/>
      <c r="HAP162" s="4"/>
      <c r="HAQ162" s="4"/>
      <c r="HAR162" s="4"/>
      <c r="HAS162" s="4"/>
      <c r="HAT162" s="4"/>
      <c r="HAU162" s="4"/>
      <c r="HAV162" s="4"/>
      <c r="HAW162" s="4"/>
      <c r="HAX162" s="4"/>
      <c r="HAY162" s="4"/>
      <c r="HAZ162" s="4"/>
      <c r="HBA162" s="4"/>
      <c r="HBB162" s="4"/>
      <c r="HBC162" s="4"/>
      <c r="HBD162" s="4"/>
      <c r="HBE162" s="4"/>
      <c r="HBF162" s="4"/>
      <c r="HBG162" s="4"/>
      <c r="HBH162" s="4"/>
      <c r="HBI162" s="4"/>
      <c r="HBJ162" s="4"/>
      <c r="HBK162" s="4"/>
      <c r="HBL162" s="4"/>
      <c r="HBM162" s="4"/>
      <c r="HBN162" s="4"/>
      <c r="HBO162" s="4"/>
      <c r="HBP162" s="4"/>
      <c r="HBQ162" s="4"/>
      <c r="HBR162" s="4"/>
      <c r="HBS162" s="4"/>
      <c r="HBT162" s="4"/>
      <c r="HBU162" s="4"/>
      <c r="HBV162" s="4"/>
      <c r="HBW162" s="4"/>
      <c r="HBX162" s="4"/>
      <c r="HBY162" s="4"/>
      <c r="HBZ162" s="4"/>
      <c r="HCA162" s="4"/>
      <c r="HCB162" s="4"/>
      <c r="HCC162" s="4"/>
      <c r="HCD162" s="4"/>
      <c r="HCE162" s="4"/>
      <c r="HCF162" s="4"/>
      <c r="HCG162" s="4"/>
      <c r="HCH162" s="4"/>
      <c r="HCI162" s="4"/>
      <c r="HCJ162" s="4"/>
      <c r="HCK162" s="4"/>
      <c r="HCL162" s="4"/>
      <c r="HCM162" s="4"/>
      <c r="HCN162" s="4"/>
      <c r="HCO162" s="4"/>
      <c r="HCP162" s="4"/>
      <c r="HCQ162" s="4"/>
      <c r="HCR162" s="4"/>
      <c r="HCS162" s="4"/>
      <c r="HCT162" s="4"/>
      <c r="HCU162" s="4"/>
      <c r="HCV162" s="4"/>
      <c r="HCW162" s="4"/>
      <c r="HCX162" s="4"/>
      <c r="HCY162" s="4"/>
      <c r="HCZ162" s="4"/>
      <c r="HDA162" s="4"/>
      <c r="HDB162" s="4"/>
      <c r="HDC162" s="4"/>
      <c r="HDD162" s="4"/>
      <c r="HDE162" s="4"/>
      <c r="HDF162" s="4"/>
      <c r="HDG162" s="4"/>
      <c r="HDH162" s="4"/>
      <c r="HDI162" s="4"/>
      <c r="HDJ162" s="4"/>
      <c r="HDK162" s="4"/>
      <c r="HDL162" s="4"/>
      <c r="HDM162" s="4"/>
      <c r="HDN162" s="4"/>
      <c r="HDO162" s="4"/>
      <c r="HDP162" s="4"/>
      <c r="HDQ162" s="4"/>
      <c r="HDR162" s="4"/>
      <c r="HDS162" s="4"/>
      <c r="HDT162" s="4"/>
      <c r="HDU162" s="4"/>
      <c r="HDV162" s="4"/>
      <c r="HDW162" s="4"/>
      <c r="HDX162" s="4"/>
      <c r="HDY162" s="4"/>
      <c r="HDZ162" s="4"/>
      <c r="HEA162" s="4"/>
      <c r="HEB162" s="4"/>
      <c r="HEC162" s="4"/>
      <c r="HED162" s="4"/>
      <c r="HEE162" s="4"/>
      <c r="HEF162" s="4"/>
      <c r="HEG162" s="4"/>
      <c r="HEH162" s="4"/>
      <c r="HEI162" s="4"/>
      <c r="HEJ162" s="4"/>
      <c r="HEK162" s="4"/>
      <c r="HEL162" s="4"/>
      <c r="HEM162" s="4"/>
      <c r="HEN162" s="4"/>
      <c r="HEO162" s="4"/>
      <c r="HEP162" s="4"/>
      <c r="HEQ162" s="4"/>
      <c r="HER162" s="4"/>
      <c r="HES162" s="4"/>
      <c r="HET162" s="4"/>
      <c r="HEU162" s="4"/>
      <c r="HEV162" s="4"/>
      <c r="HEW162" s="4"/>
      <c r="HEX162" s="4"/>
      <c r="HEY162" s="4"/>
      <c r="HEZ162" s="4"/>
      <c r="HFA162" s="4"/>
      <c r="HFB162" s="4"/>
      <c r="HFC162" s="4"/>
      <c r="HFD162" s="4"/>
      <c r="HFE162" s="4"/>
      <c r="HFF162" s="4"/>
      <c r="HFG162" s="4"/>
      <c r="HFH162" s="4"/>
      <c r="HFI162" s="4"/>
      <c r="HFJ162" s="4"/>
      <c r="HFK162" s="4"/>
      <c r="HFL162" s="4"/>
      <c r="HFM162" s="4"/>
      <c r="HFN162" s="4"/>
      <c r="HFO162" s="4"/>
      <c r="HFP162" s="4"/>
      <c r="HFQ162" s="4"/>
      <c r="HFR162" s="4"/>
      <c r="HFS162" s="4"/>
      <c r="HFT162" s="4"/>
      <c r="HFU162" s="4"/>
      <c r="HFV162" s="4"/>
      <c r="HFW162" s="4"/>
      <c r="HFX162" s="4"/>
      <c r="HFY162" s="4"/>
      <c r="HFZ162" s="4"/>
      <c r="HGA162" s="4"/>
      <c r="HGB162" s="4"/>
      <c r="HGC162" s="4"/>
      <c r="HGD162" s="4"/>
      <c r="HGE162" s="4"/>
      <c r="HGF162" s="4"/>
      <c r="HGG162" s="4"/>
      <c r="HGH162" s="4"/>
      <c r="HGI162" s="4"/>
      <c r="HGJ162" s="4"/>
      <c r="HGK162" s="4"/>
      <c r="HGL162" s="4"/>
      <c r="HGM162" s="4"/>
      <c r="HGN162" s="4"/>
      <c r="HGO162" s="4"/>
      <c r="HGP162" s="4"/>
      <c r="HGQ162" s="4"/>
      <c r="HGR162" s="4"/>
      <c r="HGS162" s="4"/>
      <c r="HGT162" s="4"/>
      <c r="HGU162" s="4"/>
      <c r="HGV162" s="4"/>
      <c r="HGW162" s="4"/>
      <c r="HGX162" s="4"/>
      <c r="HGY162" s="4"/>
      <c r="HGZ162" s="4"/>
      <c r="HHA162" s="4"/>
      <c r="HHB162" s="4"/>
      <c r="HHC162" s="4"/>
      <c r="HHD162" s="4"/>
      <c r="HHE162" s="4"/>
      <c r="HHF162" s="4"/>
      <c r="HHG162" s="4"/>
      <c r="HHH162" s="4"/>
      <c r="HHI162" s="4"/>
      <c r="HHJ162" s="4"/>
      <c r="HHK162" s="4"/>
      <c r="HHL162" s="4"/>
      <c r="HHM162" s="4"/>
      <c r="HHN162" s="4"/>
      <c r="HHO162" s="4"/>
      <c r="HHP162" s="4"/>
      <c r="HHQ162" s="4"/>
      <c r="HHR162" s="4"/>
      <c r="HHS162" s="4"/>
      <c r="HHT162" s="4"/>
      <c r="HHU162" s="4"/>
      <c r="HHV162" s="4"/>
      <c r="HHW162" s="4"/>
      <c r="HHX162" s="4"/>
      <c r="HHY162" s="4"/>
      <c r="HHZ162" s="4"/>
      <c r="HIA162" s="4"/>
      <c r="HIB162" s="4"/>
      <c r="HIC162" s="4"/>
      <c r="HID162" s="4"/>
      <c r="HIE162" s="4"/>
      <c r="HIF162" s="4"/>
      <c r="HIG162" s="4"/>
      <c r="HIH162" s="4"/>
      <c r="HII162" s="4"/>
      <c r="HIJ162" s="4"/>
      <c r="HIK162" s="4"/>
      <c r="HIL162" s="4"/>
      <c r="HIM162" s="4"/>
      <c r="HIN162" s="4"/>
      <c r="HIO162" s="4"/>
      <c r="HIP162" s="4"/>
      <c r="HIQ162" s="4"/>
      <c r="HIR162" s="4"/>
      <c r="HIS162" s="4"/>
      <c r="HIT162" s="4"/>
      <c r="HIU162" s="4"/>
      <c r="HIV162" s="4"/>
      <c r="HIW162" s="4"/>
      <c r="HIX162" s="4"/>
      <c r="HIY162" s="4"/>
      <c r="HIZ162" s="4"/>
      <c r="HJA162" s="4"/>
      <c r="HJB162" s="4"/>
      <c r="HJC162" s="4"/>
      <c r="HJD162" s="4"/>
      <c r="HJE162" s="4"/>
      <c r="HJF162" s="4"/>
      <c r="HJG162" s="4"/>
      <c r="HJH162" s="4"/>
      <c r="HJI162" s="4"/>
      <c r="HJJ162" s="4"/>
      <c r="HJK162" s="4"/>
      <c r="HJL162" s="4"/>
      <c r="HJM162" s="4"/>
      <c r="HJN162" s="4"/>
      <c r="HJO162" s="4"/>
      <c r="HJP162" s="4"/>
      <c r="HJQ162" s="4"/>
      <c r="HJR162" s="4"/>
      <c r="HJS162" s="4"/>
      <c r="HJT162" s="4"/>
      <c r="HJU162" s="4"/>
      <c r="HJV162" s="4"/>
      <c r="HJW162" s="4"/>
      <c r="HJX162" s="4"/>
      <c r="HJY162" s="4"/>
      <c r="HJZ162" s="4"/>
      <c r="HKA162" s="4"/>
      <c r="HKB162" s="4"/>
      <c r="HKC162" s="4"/>
      <c r="HKD162" s="4"/>
      <c r="HKE162" s="4"/>
      <c r="HKF162" s="4"/>
      <c r="HKG162" s="4"/>
      <c r="HKH162" s="4"/>
      <c r="HKI162" s="4"/>
      <c r="HKJ162" s="4"/>
      <c r="HKK162" s="4"/>
      <c r="HKL162" s="4"/>
      <c r="HKM162" s="4"/>
      <c r="HKN162" s="4"/>
      <c r="HKO162" s="4"/>
      <c r="HKP162" s="4"/>
      <c r="HKQ162" s="4"/>
      <c r="HKR162" s="4"/>
      <c r="HKS162" s="4"/>
      <c r="HKT162" s="4"/>
      <c r="HKU162" s="4"/>
      <c r="HKV162" s="4"/>
      <c r="HKW162" s="4"/>
      <c r="HKX162" s="4"/>
      <c r="HKY162" s="4"/>
      <c r="HKZ162" s="4"/>
      <c r="HLA162" s="4"/>
      <c r="HLB162" s="4"/>
      <c r="HLC162" s="4"/>
      <c r="HLD162" s="4"/>
      <c r="HLE162" s="4"/>
      <c r="HLF162" s="4"/>
      <c r="HLG162" s="4"/>
      <c r="HLH162" s="4"/>
      <c r="HLI162" s="4"/>
      <c r="HLJ162" s="4"/>
      <c r="HLK162" s="4"/>
      <c r="HLL162" s="4"/>
      <c r="HLM162" s="4"/>
      <c r="HLN162" s="4"/>
      <c r="HLO162" s="4"/>
      <c r="HLP162" s="4"/>
      <c r="HLQ162" s="4"/>
      <c r="HLR162" s="4"/>
      <c r="HLS162" s="4"/>
      <c r="HLT162" s="4"/>
      <c r="HLU162" s="4"/>
      <c r="HLV162" s="4"/>
      <c r="HLW162" s="4"/>
      <c r="HLX162" s="4"/>
      <c r="HLY162" s="4"/>
      <c r="HLZ162" s="4"/>
      <c r="HMA162" s="4"/>
      <c r="HMB162" s="4"/>
      <c r="HMC162" s="4"/>
      <c r="HMD162" s="4"/>
      <c r="HME162" s="4"/>
      <c r="HMF162" s="4"/>
      <c r="HMG162" s="4"/>
      <c r="HMH162" s="4"/>
      <c r="HMI162" s="4"/>
      <c r="HMJ162" s="4"/>
      <c r="HMK162" s="4"/>
      <c r="HML162" s="4"/>
      <c r="HMM162" s="4"/>
      <c r="HMN162" s="4"/>
      <c r="HMO162" s="4"/>
      <c r="HMP162" s="4"/>
      <c r="HMQ162" s="4"/>
      <c r="HMR162" s="4"/>
      <c r="HMS162" s="4"/>
      <c r="HMT162" s="4"/>
      <c r="HMU162" s="4"/>
      <c r="HMV162" s="4"/>
      <c r="HMW162" s="4"/>
      <c r="HMX162" s="4"/>
      <c r="HMY162" s="4"/>
      <c r="HMZ162" s="4"/>
      <c r="HNA162" s="4"/>
      <c r="HNB162" s="4"/>
      <c r="HNC162" s="4"/>
      <c r="HND162" s="4"/>
      <c r="HNE162" s="4"/>
      <c r="HNF162" s="4"/>
      <c r="HNG162" s="4"/>
      <c r="HNH162" s="4"/>
      <c r="HNI162" s="4"/>
      <c r="HNJ162" s="4"/>
      <c r="HNK162" s="4"/>
      <c r="HNL162" s="4"/>
      <c r="HNM162" s="4"/>
      <c r="HNN162" s="4"/>
      <c r="HNO162" s="4"/>
      <c r="HNP162" s="4"/>
      <c r="HNQ162" s="4"/>
      <c r="HNR162" s="4"/>
      <c r="HNS162" s="4"/>
      <c r="HNT162" s="4"/>
      <c r="HNU162" s="4"/>
      <c r="HNV162" s="4"/>
      <c r="HNW162" s="4"/>
      <c r="HNX162" s="4"/>
      <c r="HNY162" s="4"/>
      <c r="HNZ162" s="4"/>
      <c r="HOA162" s="4"/>
      <c r="HOB162" s="4"/>
      <c r="HOC162" s="4"/>
      <c r="HOD162" s="4"/>
      <c r="HOE162" s="4"/>
      <c r="HOF162" s="4"/>
      <c r="HOG162" s="4"/>
      <c r="HOH162" s="4"/>
      <c r="HOI162" s="4"/>
      <c r="HOJ162" s="4"/>
      <c r="HOK162" s="4"/>
      <c r="HOL162" s="4"/>
      <c r="HOM162" s="4"/>
      <c r="HON162" s="4"/>
      <c r="HOO162" s="4"/>
      <c r="HOP162" s="4"/>
      <c r="HOQ162" s="4"/>
      <c r="HOR162" s="4"/>
      <c r="HOS162" s="4"/>
      <c r="HOT162" s="4"/>
      <c r="HOU162" s="4"/>
      <c r="HOV162" s="4"/>
      <c r="HOW162" s="4"/>
      <c r="HOX162" s="4"/>
      <c r="HOY162" s="4"/>
      <c r="HOZ162" s="4"/>
      <c r="HPA162" s="4"/>
      <c r="HPB162" s="4"/>
      <c r="HPC162" s="4"/>
      <c r="HPD162" s="4"/>
      <c r="HPE162" s="4"/>
      <c r="HPF162" s="4"/>
      <c r="HPG162" s="4"/>
      <c r="HPH162" s="4"/>
      <c r="HPI162" s="4"/>
      <c r="HPJ162" s="4"/>
      <c r="HPK162" s="4"/>
      <c r="HPL162" s="4"/>
      <c r="HPM162" s="4"/>
      <c r="HPN162" s="4"/>
      <c r="HPO162" s="4"/>
      <c r="HPP162" s="4"/>
      <c r="HPQ162" s="4"/>
      <c r="HPR162" s="4"/>
      <c r="HPS162" s="4"/>
      <c r="HPT162" s="4"/>
      <c r="HPU162" s="4"/>
      <c r="HPV162" s="4"/>
      <c r="HPW162" s="4"/>
      <c r="HPX162" s="4"/>
      <c r="HPY162" s="4"/>
      <c r="HPZ162" s="4"/>
      <c r="HQA162" s="4"/>
      <c r="HQB162" s="4"/>
      <c r="HQC162" s="4"/>
      <c r="HQD162" s="4"/>
      <c r="HQE162" s="4"/>
      <c r="HQF162" s="4"/>
      <c r="HQG162" s="4"/>
      <c r="HQH162" s="4"/>
      <c r="HQI162" s="4"/>
      <c r="HQJ162" s="4"/>
      <c r="HQK162" s="4"/>
      <c r="HQL162" s="4"/>
      <c r="HQM162" s="4"/>
      <c r="HQN162" s="4"/>
      <c r="HQO162" s="4"/>
      <c r="HQP162" s="4"/>
      <c r="HQQ162" s="4"/>
      <c r="HQR162" s="4"/>
      <c r="HQS162" s="4"/>
      <c r="HQT162" s="4"/>
      <c r="HQU162" s="4"/>
      <c r="HQV162" s="4"/>
      <c r="HQW162" s="4"/>
      <c r="HQX162" s="4"/>
      <c r="HQY162" s="4"/>
      <c r="HQZ162" s="4"/>
      <c r="HRA162" s="4"/>
      <c r="HRB162" s="4"/>
      <c r="HRC162" s="4"/>
      <c r="HRD162" s="4"/>
      <c r="HRE162" s="4"/>
      <c r="HRF162" s="4"/>
      <c r="HRG162" s="4"/>
      <c r="HRH162" s="4"/>
      <c r="HRI162" s="4"/>
      <c r="HRJ162" s="4"/>
      <c r="HRK162" s="4"/>
      <c r="HRL162" s="4"/>
      <c r="HRM162" s="4"/>
      <c r="HRN162" s="4"/>
      <c r="HRO162" s="4"/>
      <c r="HRP162" s="4"/>
      <c r="HRQ162" s="4"/>
      <c r="HRR162" s="4"/>
      <c r="HRS162" s="4"/>
      <c r="HRT162" s="4"/>
      <c r="HRU162" s="4"/>
      <c r="HRV162" s="4"/>
      <c r="HRW162" s="4"/>
      <c r="HRX162" s="4"/>
      <c r="HRY162" s="4"/>
      <c r="HRZ162" s="4"/>
      <c r="HSA162" s="4"/>
      <c r="HSB162" s="4"/>
      <c r="HSC162" s="4"/>
      <c r="HSD162" s="4"/>
      <c r="HSE162" s="4"/>
      <c r="HSF162" s="4"/>
      <c r="HSG162" s="4"/>
      <c r="HSH162" s="4"/>
      <c r="HSI162" s="4"/>
      <c r="HSJ162" s="4"/>
      <c r="HSK162" s="4"/>
      <c r="HSL162" s="4"/>
      <c r="HSM162" s="4"/>
      <c r="HSN162" s="4"/>
      <c r="HSO162" s="4"/>
      <c r="HSP162" s="4"/>
      <c r="HSQ162" s="4"/>
      <c r="HSR162" s="4"/>
      <c r="HSS162" s="4"/>
      <c r="HST162" s="4"/>
      <c r="HSU162" s="4"/>
      <c r="HSV162" s="4"/>
      <c r="HSW162" s="4"/>
      <c r="HSX162" s="4"/>
      <c r="HSY162" s="4"/>
      <c r="HSZ162" s="4"/>
      <c r="HTA162" s="4"/>
      <c r="HTB162" s="4"/>
      <c r="HTC162" s="4"/>
      <c r="HTD162" s="4"/>
      <c r="HTE162" s="4"/>
      <c r="HTF162" s="4"/>
      <c r="HTG162" s="4"/>
      <c r="HTH162" s="4"/>
      <c r="HTI162" s="4"/>
      <c r="HTJ162" s="4"/>
      <c r="HTK162" s="4"/>
      <c r="HTL162" s="4"/>
      <c r="HTM162" s="4"/>
      <c r="HTN162" s="4"/>
      <c r="HTO162" s="4"/>
      <c r="HTP162" s="4"/>
      <c r="HTQ162" s="4"/>
      <c r="HTR162" s="4"/>
      <c r="HTS162" s="4"/>
      <c r="HTT162" s="4"/>
      <c r="HTU162" s="4"/>
      <c r="HTV162" s="4"/>
      <c r="HTW162" s="4"/>
      <c r="HTX162" s="4"/>
      <c r="HTY162" s="4"/>
      <c r="HTZ162" s="4"/>
      <c r="HUA162" s="4"/>
      <c r="HUB162" s="4"/>
      <c r="HUC162" s="4"/>
      <c r="HUD162" s="4"/>
      <c r="HUE162" s="4"/>
      <c r="HUF162" s="4"/>
      <c r="HUG162" s="4"/>
      <c r="HUH162" s="4"/>
      <c r="HUI162" s="4"/>
      <c r="HUJ162" s="4"/>
      <c r="HUK162" s="4"/>
      <c r="HUL162" s="4"/>
      <c r="HUM162" s="4"/>
      <c r="HUN162" s="4"/>
      <c r="HUO162" s="4"/>
      <c r="HUP162" s="4"/>
      <c r="HUQ162" s="4"/>
      <c r="HUR162" s="4"/>
      <c r="HUS162" s="4"/>
      <c r="HUT162" s="4"/>
      <c r="HUU162" s="4"/>
      <c r="HUV162" s="4"/>
      <c r="HUW162" s="4"/>
      <c r="HUX162" s="4"/>
      <c r="HUY162" s="4"/>
      <c r="HUZ162" s="4"/>
      <c r="HVA162" s="4"/>
      <c r="HVB162" s="4"/>
      <c r="HVC162" s="4"/>
      <c r="HVD162" s="4"/>
      <c r="HVE162" s="4"/>
      <c r="HVF162" s="4"/>
      <c r="HVG162" s="4"/>
      <c r="HVH162" s="4"/>
      <c r="HVI162" s="4"/>
      <c r="HVJ162" s="4"/>
      <c r="HVK162" s="4"/>
      <c r="HVL162" s="4"/>
      <c r="HVM162" s="4"/>
      <c r="HVN162" s="4"/>
      <c r="HVO162" s="4"/>
      <c r="HVP162" s="4"/>
      <c r="HVQ162" s="4"/>
      <c r="HVR162" s="4"/>
      <c r="HVS162" s="4"/>
      <c r="HVT162" s="4"/>
      <c r="HVU162" s="4"/>
      <c r="HVV162" s="4"/>
      <c r="HVW162" s="4"/>
      <c r="HVX162" s="4"/>
      <c r="HVY162" s="4"/>
      <c r="HVZ162" s="4"/>
      <c r="HWA162" s="4"/>
      <c r="HWB162" s="4"/>
      <c r="HWC162" s="4"/>
      <c r="HWD162" s="4"/>
      <c r="HWE162" s="4"/>
      <c r="HWF162" s="4"/>
      <c r="HWG162" s="4"/>
      <c r="HWH162" s="4"/>
      <c r="HWI162" s="4"/>
      <c r="HWJ162" s="4"/>
      <c r="HWK162" s="4"/>
      <c r="HWL162" s="4"/>
      <c r="HWM162" s="4"/>
      <c r="HWN162" s="4"/>
      <c r="HWO162" s="4"/>
      <c r="HWP162" s="4"/>
      <c r="HWQ162" s="4"/>
      <c r="HWR162" s="4"/>
      <c r="HWS162" s="4"/>
      <c r="HWT162" s="4"/>
      <c r="HWU162" s="4"/>
      <c r="HWV162" s="4"/>
      <c r="HWW162" s="4"/>
      <c r="HWX162" s="4"/>
      <c r="HWY162" s="4"/>
      <c r="HWZ162" s="4"/>
      <c r="HXA162" s="4"/>
      <c r="HXB162" s="4"/>
      <c r="HXC162" s="4"/>
      <c r="HXD162" s="4"/>
      <c r="HXE162" s="4"/>
      <c r="HXF162" s="4"/>
      <c r="HXG162" s="4"/>
      <c r="HXH162" s="4"/>
      <c r="HXI162" s="4"/>
      <c r="HXJ162" s="4"/>
      <c r="HXK162" s="4"/>
      <c r="HXL162" s="4"/>
      <c r="HXM162" s="4"/>
      <c r="HXN162" s="4"/>
      <c r="HXO162" s="4"/>
      <c r="HXP162" s="4"/>
      <c r="HXQ162" s="4"/>
      <c r="HXR162" s="4"/>
      <c r="HXS162" s="4"/>
      <c r="HXT162" s="4"/>
      <c r="HXU162" s="4"/>
      <c r="HXV162" s="4"/>
      <c r="HXW162" s="4"/>
      <c r="HXX162" s="4"/>
      <c r="HXY162" s="4"/>
      <c r="HXZ162" s="4"/>
      <c r="HYA162" s="4"/>
      <c r="HYB162" s="4"/>
      <c r="HYC162" s="4"/>
      <c r="HYD162" s="4"/>
      <c r="HYE162" s="4"/>
      <c r="HYF162" s="4"/>
      <c r="HYG162" s="4"/>
      <c r="HYH162" s="4"/>
      <c r="HYI162" s="4"/>
      <c r="HYJ162" s="4"/>
      <c r="HYK162" s="4"/>
      <c r="HYL162" s="4"/>
      <c r="HYM162" s="4"/>
      <c r="HYN162" s="4"/>
      <c r="HYO162" s="4"/>
      <c r="HYP162" s="4"/>
      <c r="HYQ162" s="4"/>
      <c r="HYR162" s="4"/>
      <c r="HYS162" s="4"/>
      <c r="HYT162" s="4"/>
      <c r="HYU162" s="4"/>
      <c r="HYV162" s="4"/>
      <c r="HYW162" s="4"/>
      <c r="HYX162" s="4"/>
      <c r="HYY162" s="4"/>
      <c r="HYZ162" s="4"/>
      <c r="HZA162" s="4"/>
      <c r="HZB162" s="4"/>
      <c r="HZC162" s="4"/>
      <c r="HZD162" s="4"/>
      <c r="HZE162" s="4"/>
      <c r="HZF162" s="4"/>
      <c r="HZG162" s="4"/>
      <c r="HZH162" s="4"/>
      <c r="HZI162" s="4"/>
      <c r="HZJ162" s="4"/>
      <c r="HZK162" s="4"/>
      <c r="HZL162" s="4"/>
      <c r="HZM162" s="4"/>
      <c r="HZN162" s="4"/>
      <c r="HZO162" s="4"/>
      <c r="HZP162" s="4"/>
      <c r="HZQ162" s="4"/>
      <c r="HZR162" s="4"/>
      <c r="HZS162" s="4"/>
      <c r="HZT162" s="4"/>
      <c r="HZU162" s="4"/>
      <c r="HZV162" s="4"/>
      <c r="HZW162" s="4"/>
      <c r="HZX162" s="4"/>
      <c r="HZY162" s="4"/>
      <c r="HZZ162" s="4"/>
      <c r="IAA162" s="4"/>
      <c r="IAB162" s="4"/>
      <c r="IAC162" s="4"/>
      <c r="IAD162" s="4"/>
      <c r="IAE162" s="4"/>
      <c r="IAF162" s="4"/>
      <c r="IAG162" s="4"/>
      <c r="IAH162" s="4"/>
      <c r="IAI162" s="4"/>
      <c r="IAJ162" s="4"/>
      <c r="IAK162" s="4"/>
      <c r="IAL162" s="4"/>
      <c r="IAM162" s="4"/>
      <c r="IAN162" s="4"/>
      <c r="IAO162" s="4"/>
      <c r="IAP162" s="4"/>
      <c r="IAQ162" s="4"/>
      <c r="IAR162" s="4"/>
      <c r="IAS162" s="4"/>
      <c r="IAT162" s="4"/>
      <c r="IAU162" s="4"/>
      <c r="IAV162" s="4"/>
      <c r="IAW162" s="4"/>
      <c r="IAX162" s="4"/>
      <c r="IAY162" s="4"/>
      <c r="IAZ162" s="4"/>
      <c r="IBA162" s="4"/>
      <c r="IBB162" s="4"/>
      <c r="IBC162" s="4"/>
      <c r="IBD162" s="4"/>
      <c r="IBE162" s="4"/>
      <c r="IBF162" s="4"/>
      <c r="IBG162" s="4"/>
      <c r="IBH162" s="4"/>
      <c r="IBI162" s="4"/>
      <c r="IBJ162" s="4"/>
      <c r="IBK162" s="4"/>
      <c r="IBL162" s="4"/>
      <c r="IBM162" s="4"/>
      <c r="IBN162" s="4"/>
      <c r="IBO162" s="4"/>
      <c r="IBP162" s="4"/>
      <c r="IBQ162" s="4"/>
      <c r="IBR162" s="4"/>
      <c r="IBS162" s="4"/>
      <c r="IBT162" s="4"/>
      <c r="IBU162" s="4"/>
      <c r="IBV162" s="4"/>
      <c r="IBW162" s="4"/>
      <c r="IBX162" s="4"/>
      <c r="IBY162" s="4"/>
      <c r="IBZ162" s="4"/>
      <c r="ICA162" s="4"/>
      <c r="ICB162" s="4"/>
      <c r="ICC162" s="4"/>
      <c r="ICD162" s="4"/>
      <c r="ICE162" s="4"/>
      <c r="ICF162" s="4"/>
      <c r="ICG162" s="4"/>
      <c r="ICH162" s="4"/>
      <c r="ICI162" s="4"/>
      <c r="ICJ162" s="4"/>
      <c r="ICK162" s="4"/>
      <c r="ICL162" s="4"/>
      <c r="ICM162" s="4"/>
      <c r="ICN162" s="4"/>
      <c r="ICO162" s="4"/>
      <c r="ICP162" s="4"/>
      <c r="ICQ162" s="4"/>
      <c r="ICR162" s="4"/>
      <c r="ICS162" s="4"/>
      <c r="ICT162" s="4"/>
      <c r="ICU162" s="4"/>
      <c r="ICV162" s="4"/>
      <c r="ICW162" s="4"/>
      <c r="ICX162" s="4"/>
      <c r="ICY162" s="4"/>
      <c r="ICZ162" s="4"/>
      <c r="IDA162" s="4"/>
      <c r="IDB162" s="4"/>
      <c r="IDC162" s="4"/>
      <c r="IDD162" s="4"/>
      <c r="IDE162" s="4"/>
      <c r="IDF162" s="4"/>
      <c r="IDG162" s="4"/>
      <c r="IDH162" s="4"/>
      <c r="IDI162" s="4"/>
      <c r="IDJ162" s="4"/>
      <c r="IDK162" s="4"/>
      <c r="IDL162" s="4"/>
      <c r="IDM162" s="4"/>
      <c r="IDN162" s="4"/>
      <c r="IDO162" s="4"/>
      <c r="IDP162" s="4"/>
      <c r="IDQ162" s="4"/>
      <c r="IDR162" s="4"/>
      <c r="IDS162" s="4"/>
      <c r="IDT162" s="4"/>
      <c r="IDU162" s="4"/>
      <c r="IDV162" s="4"/>
      <c r="IDW162" s="4"/>
      <c r="IDX162" s="4"/>
      <c r="IDY162" s="4"/>
      <c r="IDZ162" s="4"/>
      <c r="IEA162" s="4"/>
      <c r="IEB162" s="4"/>
      <c r="IEC162" s="4"/>
      <c r="IED162" s="4"/>
      <c r="IEE162" s="4"/>
      <c r="IEF162" s="4"/>
      <c r="IEG162" s="4"/>
      <c r="IEH162" s="4"/>
      <c r="IEI162" s="4"/>
      <c r="IEJ162" s="4"/>
      <c r="IEK162" s="4"/>
      <c r="IEL162" s="4"/>
      <c r="IEM162" s="4"/>
      <c r="IEN162" s="4"/>
      <c r="IEO162" s="4"/>
      <c r="IEP162" s="4"/>
      <c r="IEQ162" s="4"/>
      <c r="IER162" s="4"/>
      <c r="IES162" s="4"/>
      <c r="IET162" s="4"/>
      <c r="IEU162" s="4"/>
      <c r="IEV162" s="4"/>
      <c r="IEW162" s="4"/>
      <c r="IEX162" s="4"/>
      <c r="IEY162" s="4"/>
      <c r="IEZ162" s="4"/>
      <c r="IFA162" s="4"/>
      <c r="IFB162" s="4"/>
      <c r="IFC162" s="4"/>
      <c r="IFD162" s="4"/>
      <c r="IFE162" s="4"/>
      <c r="IFF162" s="4"/>
      <c r="IFG162" s="4"/>
      <c r="IFH162" s="4"/>
      <c r="IFI162" s="4"/>
      <c r="IFJ162" s="4"/>
      <c r="IFK162" s="4"/>
      <c r="IFL162" s="4"/>
      <c r="IFM162" s="4"/>
      <c r="IFN162" s="4"/>
      <c r="IFO162" s="4"/>
      <c r="IFP162" s="4"/>
      <c r="IFQ162" s="4"/>
      <c r="IFR162" s="4"/>
      <c r="IFS162" s="4"/>
      <c r="IFT162" s="4"/>
      <c r="IFU162" s="4"/>
      <c r="IFV162" s="4"/>
      <c r="IFW162" s="4"/>
      <c r="IFX162" s="4"/>
      <c r="IFY162" s="4"/>
      <c r="IFZ162" s="4"/>
      <c r="IGA162" s="4"/>
      <c r="IGB162" s="4"/>
      <c r="IGC162" s="4"/>
      <c r="IGD162" s="4"/>
      <c r="IGE162" s="4"/>
      <c r="IGF162" s="4"/>
      <c r="IGG162" s="4"/>
      <c r="IGH162" s="4"/>
      <c r="IGI162" s="4"/>
      <c r="IGJ162" s="4"/>
      <c r="IGK162" s="4"/>
      <c r="IGL162" s="4"/>
      <c r="IGM162" s="4"/>
      <c r="IGN162" s="4"/>
      <c r="IGO162" s="4"/>
      <c r="IGP162" s="4"/>
      <c r="IGQ162" s="4"/>
      <c r="IGR162" s="4"/>
      <c r="IGS162" s="4"/>
      <c r="IGT162" s="4"/>
      <c r="IGU162" s="4"/>
      <c r="IGV162" s="4"/>
      <c r="IGW162" s="4"/>
      <c r="IGX162" s="4"/>
      <c r="IGY162" s="4"/>
      <c r="IGZ162" s="4"/>
      <c r="IHA162" s="4"/>
      <c r="IHB162" s="4"/>
      <c r="IHC162" s="4"/>
      <c r="IHD162" s="4"/>
      <c r="IHE162" s="4"/>
      <c r="IHF162" s="4"/>
      <c r="IHG162" s="4"/>
      <c r="IHH162" s="4"/>
      <c r="IHI162" s="4"/>
      <c r="IHJ162" s="4"/>
      <c r="IHK162" s="4"/>
      <c r="IHL162" s="4"/>
      <c r="IHM162" s="4"/>
      <c r="IHN162" s="4"/>
      <c r="IHO162" s="4"/>
      <c r="IHP162" s="4"/>
      <c r="IHQ162" s="4"/>
      <c r="IHR162" s="4"/>
      <c r="IHS162" s="4"/>
      <c r="IHT162" s="4"/>
      <c r="IHU162" s="4"/>
      <c r="IHV162" s="4"/>
      <c r="IHW162" s="4"/>
      <c r="IHX162" s="4"/>
      <c r="IHY162" s="4"/>
      <c r="IHZ162" s="4"/>
      <c r="IIA162" s="4"/>
      <c r="IIB162" s="4"/>
      <c r="IIC162" s="4"/>
      <c r="IID162" s="4"/>
      <c r="IIE162" s="4"/>
      <c r="IIF162" s="4"/>
      <c r="IIG162" s="4"/>
      <c r="IIH162" s="4"/>
      <c r="III162" s="4"/>
      <c r="IIJ162" s="4"/>
      <c r="IIK162" s="4"/>
      <c r="IIL162" s="4"/>
      <c r="IIM162" s="4"/>
      <c r="IIN162" s="4"/>
      <c r="IIO162" s="4"/>
      <c r="IIP162" s="4"/>
      <c r="IIQ162" s="4"/>
      <c r="IIR162" s="4"/>
      <c r="IIS162" s="4"/>
      <c r="IIT162" s="4"/>
      <c r="IIU162" s="4"/>
      <c r="IIV162" s="4"/>
      <c r="IIW162" s="4"/>
      <c r="IIX162" s="4"/>
      <c r="IIY162" s="4"/>
      <c r="IIZ162" s="4"/>
      <c r="IJA162" s="4"/>
      <c r="IJB162" s="4"/>
      <c r="IJC162" s="4"/>
      <c r="IJD162" s="4"/>
      <c r="IJE162" s="4"/>
      <c r="IJF162" s="4"/>
      <c r="IJG162" s="4"/>
      <c r="IJH162" s="4"/>
      <c r="IJI162" s="4"/>
      <c r="IJJ162" s="4"/>
      <c r="IJK162" s="4"/>
      <c r="IJL162" s="4"/>
      <c r="IJM162" s="4"/>
      <c r="IJN162" s="4"/>
      <c r="IJO162" s="4"/>
      <c r="IJP162" s="4"/>
      <c r="IJQ162" s="4"/>
      <c r="IJR162" s="4"/>
      <c r="IJS162" s="4"/>
      <c r="IJT162" s="4"/>
      <c r="IJU162" s="4"/>
      <c r="IJV162" s="4"/>
      <c r="IJW162" s="4"/>
      <c r="IJX162" s="4"/>
      <c r="IJY162" s="4"/>
      <c r="IJZ162" s="4"/>
      <c r="IKA162" s="4"/>
      <c r="IKB162" s="4"/>
      <c r="IKC162" s="4"/>
      <c r="IKD162" s="4"/>
      <c r="IKE162" s="4"/>
      <c r="IKF162" s="4"/>
      <c r="IKG162" s="4"/>
      <c r="IKH162" s="4"/>
      <c r="IKI162" s="4"/>
      <c r="IKJ162" s="4"/>
      <c r="IKK162" s="4"/>
      <c r="IKL162" s="4"/>
      <c r="IKM162" s="4"/>
      <c r="IKN162" s="4"/>
      <c r="IKO162" s="4"/>
      <c r="IKP162" s="4"/>
      <c r="IKQ162" s="4"/>
      <c r="IKR162" s="4"/>
      <c r="IKS162" s="4"/>
      <c r="IKT162" s="4"/>
      <c r="IKU162" s="4"/>
      <c r="IKV162" s="4"/>
      <c r="IKW162" s="4"/>
      <c r="IKX162" s="4"/>
      <c r="IKY162" s="4"/>
      <c r="IKZ162" s="4"/>
      <c r="ILA162" s="4"/>
      <c r="ILB162" s="4"/>
      <c r="ILC162" s="4"/>
      <c r="ILD162" s="4"/>
      <c r="ILE162" s="4"/>
      <c r="ILF162" s="4"/>
      <c r="ILG162" s="4"/>
      <c r="ILH162" s="4"/>
      <c r="ILI162" s="4"/>
      <c r="ILJ162" s="4"/>
      <c r="ILK162" s="4"/>
      <c r="ILL162" s="4"/>
      <c r="ILM162" s="4"/>
      <c r="ILN162" s="4"/>
      <c r="ILO162" s="4"/>
      <c r="ILP162" s="4"/>
      <c r="ILQ162" s="4"/>
      <c r="ILR162" s="4"/>
      <c r="ILS162" s="4"/>
      <c r="ILT162" s="4"/>
      <c r="ILU162" s="4"/>
      <c r="ILV162" s="4"/>
      <c r="ILW162" s="4"/>
      <c r="ILX162" s="4"/>
      <c r="ILY162" s="4"/>
      <c r="ILZ162" s="4"/>
      <c r="IMA162" s="4"/>
      <c r="IMB162" s="4"/>
      <c r="IMC162" s="4"/>
      <c r="IMD162" s="4"/>
      <c r="IME162" s="4"/>
      <c r="IMF162" s="4"/>
      <c r="IMG162" s="4"/>
      <c r="IMH162" s="4"/>
      <c r="IMI162" s="4"/>
      <c r="IMJ162" s="4"/>
      <c r="IMK162" s="4"/>
      <c r="IML162" s="4"/>
      <c r="IMM162" s="4"/>
      <c r="IMN162" s="4"/>
      <c r="IMO162" s="4"/>
      <c r="IMP162" s="4"/>
      <c r="IMQ162" s="4"/>
      <c r="IMR162" s="4"/>
      <c r="IMS162" s="4"/>
      <c r="IMT162" s="4"/>
      <c r="IMU162" s="4"/>
      <c r="IMV162" s="4"/>
      <c r="IMW162" s="4"/>
      <c r="IMX162" s="4"/>
      <c r="IMY162" s="4"/>
      <c r="IMZ162" s="4"/>
      <c r="INA162" s="4"/>
      <c r="INB162" s="4"/>
      <c r="INC162" s="4"/>
      <c r="IND162" s="4"/>
      <c r="INE162" s="4"/>
      <c r="INF162" s="4"/>
      <c r="ING162" s="4"/>
      <c r="INH162" s="4"/>
      <c r="INI162" s="4"/>
      <c r="INJ162" s="4"/>
      <c r="INK162" s="4"/>
      <c r="INL162" s="4"/>
      <c r="INM162" s="4"/>
      <c r="INN162" s="4"/>
      <c r="INO162" s="4"/>
      <c r="INP162" s="4"/>
      <c r="INQ162" s="4"/>
      <c r="INR162" s="4"/>
      <c r="INS162" s="4"/>
      <c r="INT162" s="4"/>
      <c r="INU162" s="4"/>
      <c r="INV162" s="4"/>
      <c r="INW162" s="4"/>
      <c r="INX162" s="4"/>
      <c r="INY162" s="4"/>
      <c r="INZ162" s="4"/>
      <c r="IOA162" s="4"/>
      <c r="IOB162" s="4"/>
      <c r="IOC162" s="4"/>
      <c r="IOD162" s="4"/>
      <c r="IOE162" s="4"/>
      <c r="IOF162" s="4"/>
      <c r="IOG162" s="4"/>
      <c r="IOH162" s="4"/>
      <c r="IOI162" s="4"/>
      <c r="IOJ162" s="4"/>
      <c r="IOK162" s="4"/>
      <c r="IOL162" s="4"/>
      <c r="IOM162" s="4"/>
      <c r="ION162" s="4"/>
      <c r="IOO162" s="4"/>
      <c r="IOP162" s="4"/>
      <c r="IOQ162" s="4"/>
      <c r="IOR162" s="4"/>
      <c r="IOS162" s="4"/>
      <c r="IOT162" s="4"/>
      <c r="IOU162" s="4"/>
      <c r="IOV162" s="4"/>
      <c r="IOW162" s="4"/>
      <c r="IOX162" s="4"/>
      <c r="IOY162" s="4"/>
      <c r="IOZ162" s="4"/>
      <c r="IPA162" s="4"/>
      <c r="IPB162" s="4"/>
      <c r="IPC162" s="4"/>
      <c r="IPD162" s="4"/>
      <c r="IPE162" s="4"/>
      <c r="IPF162" s="4"/>
      <c r="IPG162" s="4"/>
      <c r="IPH162" s="4"/>
      <c r="IPI162" s="4"/>
      <c r="IPJ162" s="4"/>
      <c r="IPK162" s="4"/>
      <c r="IPL162" s="4"/>
      <c r="IPM162" s="4"/>
      <c r="IPN162" s="4"/>
      <c r="IPO162" s="4"/>
      <c r="IPP162" s="4"/>
      <c r="IPQ162" s="4"/>
      <c r="IPR162" s="4"/>
      <c r="IPS162" s="4"/>
      <c r="IPT162" s="4"/>
      <c r="IPU162" s="4"/>
      <c r="IPV162" s="4"/>
      <c r="IPW162" s="4"/>
      <c r="IPX162" s="4"/>
      <c r="IPY162" s="4"/>
      <c r="IPZ162" s="4"/>
      <c r="IQA162" s="4"/>
      <c r="IQB162" s="4"/>
      <c r="IQC162" s="4"/>
      <c r="IQD162" s="4"/>
      <c r="IQE162" s="4"/>
      <c r="IQF162" s="4"/>
      <c r="IQG162" s="4"/>
      <c r="IQH162" s="4"/>
      <c r="IQI162" s="4"/>
      <c r="IQJ162" s="4"/>
      <c r="IQK162" s="4"/>
      <c r="IQL162" s="4"/>
      <c r="IQM162" s="4"/>
      <c r="IQN162" s="4"/>
      <c r="IQO162" s="4"/>
      <c r="IQP162" s="4"/>
      <c r="IQQ162" s="4"/>
      <c r="IQR162" s="4"/>
      <c r="IQS162" s="4"/>
      <c r="IQT162" s="4"/>
      <c r="IQU162" s="4"/>
      <c r="IQV162" s="4"/>
      <c r="IQW162" s="4"/>
      <c r="IQX162" s="4"/>
      <c r="IQY162" s="4"/>
      <c r="IQZ162" s="4"/>
      <c r="IRA162" s="4"/>
      <c r="IRB162" s="4"/>
      <c r="IRC162" s="4"/>
      <c r="IRD162" s="4"/>
      <c r="IRE162" s="4"/>
      <c r="IRF162" s="4"/>
      <c r="IRG162" s="4"/>
      <c r="IRH162" s="4"/>
      <c r="IRI162" s="4"/>
      <c r="IRJ162" s="4"/>
      <c r="IRK162" s="4"/>
      <c r="IRL162" s="4"/>
      <c r="IRM162" s="4"/>
      <c r="IRN162" s="4"/>
      <c r="IRO162" s="4"/>
      <c r="IRP162" s="4"/>
      <c r="IRQ162" s="4"/>
      <c r="IRR162" s="4"/>
      <c r="IRS162" s="4"/>
      <c r="IRT162" s="4"/>
      <c r="IRU162" s="4"/>
      <c r="IRV162" s="4"/>
      <c r="IRW162" s="4"/>
      <c r="IRX162" s="4"/>
      <c r="IRY162" s="4"/>
      <c r="IRZ162" s="4"/>
      <c r="ISA162" s="4"/>
      <c r="ISB162" s="4"/>
      <c r="ISC162" s="4"/>
      <c r="ISD162" s="4"/>
      <c r="ISE162" s="4"/>
      <c r="ISF162" s="4"/>
      <c r="ISG162" s="4"/>
      <c r="ISH162" s="4"/>
      <c r="ISI162" s="4"/>
      <c r="ISJ162" s="4"/>
      <c r="ISK162" s="4"/>
      <c r="ISL162" s="4"/>
      <c r="ISM162" s="4"/>
      <c r="ISN162" s="4"/>
      <c r="ISO162" s="4"/>
      <c r="ISP162" s="4"/>
      <c r="ISQ162" s="4"/>
      <c r="ISR162" s="4"/>
      <c r="ISS162" s="4"/>
      <c r="IST162" s="4"/>
      <c r="ISU162" s="4"/>
      <c r="ISV162" s="4"/>
      <c r="ISW162" s="4"/>
      <c r="ISX162" s="4"/>
      <c r="ISY162" s="4"/>
      <c r="ISZ162" s="4"/>
      <c r="ITA162" s="4"/>
      <c r="ITB162" s="4"/>
      <c r="ITC162" s="4"/>
      <c r="ITD162" s="4"/>
      <c r="ITE162" s="4"/>
      <c r="ITF162" s="4"/>
      <c r="ITG162" s="4"/>
      <c r="ITH162" s="4"/>
      <c r="ITI162" s="4"/>
      <c r="ITJ162" s="4"/>
      <c r="ITK162" s="4"/>
      <c r="ITL162" s="4"/>
      <c r="ITM162" s="4"/>
      <c r="ITN162" s="4"/>
      <c r="ITO162" s="4"/>
      <c r="ITP162" s="4"/>
      <c r="ITQ162" s="4"/>
      <c r="ITR162" s="4"/>
      <c r="ITS162" s="4"/>
      <c r="ITT162" s="4"/>
      <c r="ITU162" s="4"/>
      <c r="ITV162" s="4"/>
      <c r="ITW162" s="4"/>
      <c r="ITX162" s="4"/>
      <c r="ITY162" s="4"/>
      <c r="ITZ162" s="4"/>
      <c r="IUA162" s="4"/>
      <c r="IUB162" s="4"/>
      <c r="IUC162" s="4"/>
      <c r="IUD162" s="4"/>
      <c r="IUE162" s="4"/>
      <c r="IUF162" s="4"/>
      <c r="IUG162" s="4"/>
      <c r="IUH162" s="4"/>
      <c r="IUI162" s="4"/>
      <c r="IUJ162" s="4"/>
      <c r="IUK162" s="4"/>
      <c r="IUL162" s="4"/>
      <c r="IUM162" s="4"/>
      <c r="IUN162" s="4"/>
      <c r="IUO162" s="4"/>
      <c r="IUP162" s="4"/>
      <c r="IUQ162" s="4"/>
      <c r="IUR162" s="4"/>
      <c r="IUS162" s="4"/>
      <c r="IUT162" s="4"/>
      <c r="IUU162" s="4"/>
      <c r="IUV162" s="4"/>
      <c r="IUW162" s="4"/>
      <c r="IUX162" s="4"/>
      <c r="IUY162" s="4"/>
      <c r="IUZ162" s="4"/>
      <c r="IVA162" s="4"/>
      <c r="IVB162" s="4"/>
      <c r="IVC162" s="4"/>
      <c r="IVD162" s="4"/>
      <c r="IVE162" s="4"/>
      <c r="IVF162" s="4"/>
      <c r="IVG162" s="4"/>
      <c r="IVH162" s="4"/>
      <c r="IVI162" s="4"/>
      <c r="IVJ162" s="4"/>
      <c r="IVK162" s="4"/>
      <c r="IVL162" s="4"/>
      <c r="IVM162" s="4"/>
      <c r="IVN162" s="4"/>
      <c r="IVO162" s="4"/>
      <c r="IVP162" s="4"/>
      <c r="IVQ162" s="4"/>
      <c r="IVR162" s="4"/>
      <c r="IVS162" s="4"/>
      <c r="IVT162" s="4"/>
      <c r="IVU162" s="4"/>
      <c r="IVV162" s="4"/>
      <c r="IVW162" s="4"/>
      <c r="IVX162" s="4"/>
      <c r="IVY162" s="4"/>
      <c r="IVZ162" s="4"/>
      <c r="IWA162" s="4"/>
      <c r="IWB162" s="4"/>
      <c r="IWC162" s="4"/>
      <c r="IWD162" s="4"/>
      <c r="IWE162" s="4"/>
      <c r="IWF162" s="4"/>
      <c r="IWG162" s="4"/>
      <c r="IWH162" s="4"/>
      <c r="IWI162" s="4"/>
      <c r="IWJ162" s="4"/>
      <c r="IWK162" s="4"/>
      <c r="IWL162" s="4"/>
      <c r="IWM162" s="4"/>
      <c r="IWN162" s="4"/>
      <c r="IWO162" s="4"/>
      <c r="IWP162" s="4"/>
      <c r="IWQ162" s="4"/>
      <c r="IWR162" s="4"/>
      <c r="IWS162" s="4"/>
      <c r="IWT162" s="4"/>
      <c r="IWU162" s="4"/>
      <c r="IWV162" s="4"/>
      <c r="IWW162" s="4"/>
      <c r="IWX162" s="4"/>
      <c r="IWY162" s="4"/>
      <c r="IWZ162" s="4"/>
      <c r="IXA162" s="4"/>
      <c r="IXB162" s="4"/>
      <c r="IXC162" s="4"/>
      <c r="IXD162" s="4"/>
      <c r="IXE162" s="4"/>
      <c r="IXF162" s="4"/>
      <c r="IXG162" s="4"/>
      <c r="IXH162" s="4"/>
      <c r="IXI162" s="4"/>
      <c r="IXJ162" s="4"/>
      <c r="IXK162" s="4"/>
      <c r="IXL162" s="4"/>
      <c r="IXM162" s="4"/>
      <c r="IXN162" s="4"/>
      <c r="IXO162" s="4"/>
      <c r="IXP162" s="4"/>
      <c r="IXQ162" s="4"/>
      <c r="IXR162" s="4"/>
      <c r="IXS162" s="4"/>
      <c r="IXT162" s="4"/>
      <c r="IXU162" s="4"/>
      <c r="IXV162" s="4"/>
      <c r="IXW162" s="4"/>
      <c r="IXX162" s="4"/>
      <c r="IXY162" s="4"/>
      <c r="IXZ162" s="4"/>
      <c r="IYA162" s="4"/>
      <c r="IYB162" s="4"/>
      <c r="IYC162" s="4"/>
      <c r="IYD162" s="4"/>
      <c r="IYE162" s="4"/>
      <c r="IYF162" s="4"/>
      <c r="IYG162" s="4"/>
      <c r="IYH162" s="4"/>
      <c r="IYI162" s="4"/>
      <c r="IYJ162" s="4"/>
      <c r="IYK162" s="4"/>
      <c r="IYL162" s="4"/>
      <c r="IYM162" s="4"/>
      <c r="IYN162" s="4"/>
      <c r="IYO162" s="4"/>
      <c r="IYP162" s="4"/>
      <c r="IYQ162" s="4"/>
      <c r="IYR162" s="4"/>
      <c r="IYS162" s="4"/>
      <c r="IYT162" s="4"/>
      <c r="IYU162" s="4"/>
      <c r="IYV162" s="4"/>
      <c r="IYW162" s="4"/>
      <c r="IYX162" s="4"/>
      <c r="IYY162" s="4"/>
      <c r="IYZ162" s="4"/>
      <c r="IZA162" s="4"/>
      <c r="IZB162" s="4"/>
      <c r="IZC162" s="4"/>
      <c r="IZD162" s="4"/>
      <c r="IZE162" s="4"/>
      <c r="IZF162" s="4"/>
      <c r="IZG162" s="4"/>
      <c r="IZH162" s="4"/>
      <c r="IZI162" s="4"/>
      <c r="IZJ162" s="4"/>
      <c r="IZK162" s="4"/>
      <c r="IZL162" s="4"/>
      <c r="IZM162" s="4"/>
      <c r="IZN162" s="4"/>
      <c r="IZO162" s="4"/>
      <c r="IZP162" s="4"/>
      <c r="IZQ162" s="4"/>
      <c r="IZR162" s="4"/>
      <c r="IZS162" s="4"/>
      <c r="IZT162" s="4"/>
      <c r="IZU162" s="4"/>
      <c r="IZV162" s="4"/>
      <c r="IZW162" s="4"/>
      <c r="IZX162" s="4"/>
      <c r="IZY162" s="4"/>
      <c r="IZZ162" s="4"/>
      <c r="JAA162" s="4"/>
      <c r="JAB162" s="4"/>
      <c r="JAC162" s="4"/>
      <c r="JAD162" s="4"/>
      <c r="JAE162" s="4"/>
      <c r="JAF162" s="4"/>
      <c r="JAG162" s="4"/>
      <c r="JAH162" s="4"/>
      <c r="JAI162" s="4"/>
      <c r="JAJ162" s="4"/>
      <c r="JAK162" s="4"/>
      <c r="JAL162" s="4"/>
      <c r="JAM162" s="4"/>
      <c r="JAN162" s="4"/>
      <c r="JAO162" s="4"/>
      <c r="JAP162" s="4"/>
      <c r="JAQ162" s="4"/>
      <c r="JAR162" s="4"/>
      <c r="JAS162" s="4"/>
      <c r="JAT162" s="4"/>
      <c r="JAU162" s="4"/>
      <c r="JAV162" s="4"/>
      <c r="JAW162" s="4"/>
      <c r="JAX162" s="4"/>
      <c r="JAY162" s="4"/>
      <c r="JAZ162" s="4"/>
      <c r="JBA162" s="4"/>
      <c r="JBB162" s="4"/>
      <c r="JBC162" s="4"/>
      <c r="JBD162" s="4"/>
      <c r="JBE162" s="4"/>
      <c r="JBF162" s="4"/>
      <c r="JBG162" s="4"/>
      <c r="JBH162" s="4"/>
      <c r="JBI162" s="4"/>
      <c r="JBJ162" s="4"/>
      <c r="JBK162" s="4"/>
      <c r="JBL162" s="4"/>
      <c r="JBM162" s="4"/>
      <c r="JBN162" s="4"/>
      <c r="JBO162" s="4"/>
      <c r="JBP162" s="4"/>
      <c r="JBQ162" s="4"/>
      <c r="JBR162" s="4"/>
      <c r="JBS162" s="4"/>
      <c r="JBT162" s="4"/>
      <c r="JBU162" s="4"/>
      <c r="JBV162" s="4"/>
      <c r="JBW162" s="4"/>
      <c r="JBX162" s="4"/>
      <c r="JBY162" s="4"/>
      <c r="JBZ162" s="4"/>
      <c r="JCA162" s="4"/>
      <c r="JCB162" s="4"/>
      <c r="JCC162" s="4"/>
      <c r="JCD162" s="4"/>
      <c r="JCE162" s="4"/>
      <c r="JCF162" s="4"/>
      <c r="JCG162" s="4"/>
      <c r="JCH162" s="4"/>
      <c r="JCI162" s="4"/>
      <c r="JCJ162" s="4"/>
      <c r="JCK162" s="4"/>
      <c r="JCL162" s="4"/>
      <c r="JCM162" s="4"/>
      <c r="JCN162" s="4"/>
      <c r="JCO162" s="4"/>
      <c r="JCP162" s="4"/>
      <c r="JCQ162" s="4"/>
      <c r="JCR162" s="4"/>
      <c r="JCS162" s="4"/>
      <c r="JCT162" s="4"/>
      <c r="JCU162" s="4"/>
      <c r="JCV162" s="4"/>
      <c r="JCW162" s="4"/>
      <c r="JCX162" s="4"/>
      <c r="JCY162" s="4"/>
      <c r="JCZ162" s="4"/>
      <c r="JDA162" s="4"/>
      <c r="JDB162" s="4"/>
      <c r="JDC162" s="4"/>
      <c r="JDD162" s="4"/>
      <c r="JDE162" s="4"/>
      <c r="JDF162" s="4"/>
      <c r="JDG162" s="4"/>
      <c r="JDH162" s="4"/>
      <c r="JDI162" s="4"/>
      <c r="JDJ162" s="4"/>
      <c r="JDK162" s="4"/>
      <c r="JDL162" s="4"/>
      <c r="JDM162" s="4"/>
      <c r="JDN162" s="4"/>
      <c r="JDO162" s="4"/>
      <c r="JDP162" s="4"/>
      <c r="JDQ162" s="4"/>
      <c r="JDR162" s="4"/>
      <c r="JDS162" s="4"/>
      <c r="JDT162" s="4"/>
      <c r="JDU162" s="4"/>
      <c r="JDV162" s="4"/>
      <c r="JDW162" s="4"/>
      <c r="JDX162" s="4"/>
      <c r="JDY162" s="4"/>
      <c r="JDZ162" s="4"/>
      <c r="JEA162" s="4"/>
      <c r="JEB162" s="4"/>
      <c r="JEC162" s="4"/>
      <c r="JED162" s="4"/>
      <c r="JEE162" s="4"/>
      <c r="JEF162" s="4"/>
      <c r="JEG162" s="4"/>
      <c r="JEH162" s="4"/>
      <c r="JEI162" s="4"/>
      <c r="JEJ162" s="4"/>
      <c r="JEK162" s="4"/>
      <c r="JEL162" s="4"/>
      <c r="JEM162" s="4"/>
      <c r="JEN162" s="4"/>
      <c r="JEO162" s="4"/>
      <c r="JEP162" s="4"/>
      <c r="JEQ162" s="4"/>
      <c r="JER162" s="4"/>
      <c r="JES162" s="4"/>
      <c r="JET162" s="4"/>
      <c r="JEU162" s="4"/>
      <c r="JEV162" s="4"/>
      <c r="JEW162" s="4"/>
      <c r="JEX162" s="4"/>
      <c r="JEY162" s="4"/>
      <c r="JEZ162" s="4"/>
      <c r="JFA162" s="4"/>
      <c r="JFB162" s="4"/>
      <c r="JFC162" s="4"/>
      <c r="JFD162" s="4"/>
      <c r="JFE162" s="4"/>
      <c r="JFF162" s="4"/>
      <c r="JFG162" s="4"/>
      <c r="JFH162" s="4"/>
      <c r="JFI162" s="4"/>
      <c r="JFJ162" s="4"/>
      <c r="JFK162" s="4"/>
      <c r="JFL162" s="4"/>
      <c r="JFM162" s="4"/>
      <c r="JFN162" s="4"/>
      <c r="JFO162" s="4"/>
      <c r="JFP162" s="4"/>
      <c r="JFQ162" s="4"/>
      <c r="JFR162" s="4"/>
      <c r="JFS162" s="4"/>
      <c r="JFT162" s="4"/>
      <c r="JFU162" s="4"/>
      <c r="JFV162" s="4"/>
      <c r="JFW162" s="4"/>
      <c r="JFX162" s="4"/>
      <c r="JFY162" s="4"/>
      <c r="JFZ162" s="4"/>
      <c r="JGA162" s="4"/>
      <c r="JGB162" s="4"/>
      <c r="JGC162" s="4"/>
      <c r="JGD162" s="4"/>
      <c r="JGE162" s="4"/>
      <c r="JGF162" s="4"/>
      <c r="JGG162" s="4"/>
      <c r="JGH162" s="4"/>
      <c r="JGI162" s="4"/>
      <c r="JGJ162" s="4"/>
      <c r="JGK162" s="4"/>
      <c r="JGL162" s="4"/>
      <c r="JGM162" s="4"/>
      <c r="JGN162" s="4"/>
      <c r="JGO162" s="4"/>
      <c r="JGP162" s="4"/>
      <c r="JGQ162" s="4"/>
      <c r="JGR162" s="4"/>
      <c r="JGS162" s="4"/>
      <c r="JGT162" s="4"/>
      <c r="JGU162" s="4"/>
      <c r="JGV162" s="4"/>
      <c r="JGW162" s="4"/>
      <c r="JGX162" s="4"/>
      <c r="JGY162" s="4"/>
      <c r="JGZ162" s="4"/>
      <c r="JHA162" s="4"/>
      <c r="JHB162" s="4"/>
      <c r="JHC162" s="4"/>
      <c r="JHD162" s="4"/>
      <c r="JHE162" s="4"/>
      <c r="JHF162" s="4"/>
      <c r="JHG162" s="4"/>
      <c r="JHH162" s="4"/>
      <c r="JHI162" s="4"/>
      <c r="JHJ162" s="4"/>
      <c r="JHK162" s="4"/>
      <c r="JHL162" s="4"/>
      <c r="JHM162" s="4"/>
      <c r="JHN162" s="4"/>
      <c r="JHO162" s="4"/>
      <c r="JHP162" s="4"/>
      <c r="JHQ162" s="4"/>
      <c r="JHR162" s="4"/>
      <c r="JHS162" s="4"/>
      <c r="JHT162" s="4"/>
      <c r="JHU162" s="4"/>
      <c r="JHV162" s="4"/>
      <c r="JHW162" s="4"/>
      <c r="JHX162" s="4"/>
      <c r="JHY162" s="4"/>
      <c r="JHZ162" s="4"/>
      <c r="JIA162" s="4"/>
      <c r="JIB162" s="4"/>
      <c r="JIC162" s="4"/>
      <c r="JID162" s="4"/>
      <c r="JIE162" s="4"/>
      <c r="JIF162" s="4"/>
      <c r="JIG162" s="4"/>
      <c r="JIH162" s="4"/>
      <c r="JII162" s="4"/>
      <c r="JIJ162" s="4"/>
      <c r="JIK162" s="4"/>
      <c r="JIL162" s="4"/>
      <c r="JIM162" s="4"/>
      <c r="JIN162" s="4"/>
      <c r="JIO162" s="4"/>
      <c r="JIP162" s="4"/>
      <c r="JIQ162" s="4"/>
      <c r="JIR162" s="4"/>
      <c r="JIS162" s="4"/>
      <c r="JIT162" s="4"/>
      <c r="JIU162" s="4"/>
      <c r="JIV162" s="4"/>
      <c r="JIW162" s="4"/>
      <c r="JIX162" s="4"/>
      <c r="JIY162" s="4"/>
      <c r="JIZ162" s="4"/>
      <c r="JJA162" s="4"/>
      <c r="JJB162" s="4"/>
      <c r="JJC162" s="4"/>
      <c r="JJD162" s="4"/>
      <c r="JJE162" s="4"/>
      <c r="JJF162" s="4"/>
      <c r="JJG162" s="4"/>
      <c r="JJH162" s="4"/>
      <c r="JJI162" s="4"/>
      <c r="JJJ162" s="4"/>
      <c r="JJK162" s="4"/>
      <c r="JJL162" s="4"/>
      <c r="JJM162" s="4"/>
      <c r="JJN162" s="4"/>
      <c r="JJO162" s="4"/>
      <c r="JJP162" s="4"/>
      <c r="JJQ162" s="4"/>
      <c r="JJR162" s="4"/>
      <c r="JJS162" s="4"/>
      <c r="JJT162" s="4"/>
      <c r="JJU162" s="4"/>
      <c r="JJV162" s="4"/>
      <c r="JJW162" s="4"/>
      <c r="JJX162" s="4"/>
      <c r="JJY162" s="4"/>
      <c r="JJZ162" s="4"/>
      <c r="JKA162" s="4"/>
      <c r="JKB162" s="4"/>
      <c r="JKC162" s="4"/>
      <c r="JKD162" s="4"/>
      <c r="JKE162" s="4"/>
      <c r="JKF162" s="4"/>
      <c r="JKG162" s="4"/>
      <c r="JKH162" s="4"/>
      <c r="JKI162" s="4"/>
      <c r="JKJ162" s="4"/>
      <c r="JKK162" s="4"/>
      <c r="JKL162" s="4"/>
      <c r="JKM162" s="4"/>
      <c r="JKN162" s="4"/>
      <c r="JKO162" s="4"/>
      <c r="JKP162" s="4"/>
      <c r="JKQ162" s="4"/>
      <c r="JKR162" s="4"/>
      <c r="JKS162" s="4"/>
      <c r="JKT162" s="4"/>
      <c r="JKU162" s="4"/>
      <c r="JKV162" s="4"/>
      <c r="JKW162" s="4"/>
      <c r="JKX162" s="4"/>
      <c r="JKY162" s="4"/>
      <c r="JKZ162" s="4"/>
      <c r="JLA162" s="4"/>
      <c r="JLB162" s="4"/>
      <c r="JLC162" s="4"/>
      <c r="JLD162" s="4"/>
      <c r="JLE162" s="4"/>
      <c r="JLF162" s="4"/>
      <c r="JLG162" s="4"/>
      <c r="JLH162" s="4"/>
      <c r="JLI162" s="4"/>
      <c r="JLJ162" s="4"/>
      <c r="JLK162" s="4"/>
      <c r="JLL162" s="4"/>
      <c r="JLM162" s="4"/>
      <c r="JLN162" s="4"/>
      <c r="JLO162" s="4"/>
      <c r="JLP162" s="4"/>
      <c r="JLQ162" s="4"/>
      <c r="JLR162" s="4"/>
      <c r="JLS162" s="4"/>
      <c r="JLT162" s="4"/>
      <c r="JLU162" s="4"/>
      <c r="JLV162" s="4"/>
      <c r="JLW162" s="4"/>
      <c r="JLX162" s="4"/>
      <c r="JLY162" s="4"/>
      <c r="JLZ162" s="4"/>
      <c r="JMA162" s="4"/>
      <c r="JMB162" s="4"/>
      <c r="JMC162" s="4"/>
      <c r="JMD162" s="4"/>
      <c r="JME162" s="4"/>
      <c r="JMF162" s="4"/>
      <c r="JMG162" s="4"/>
      <c r="JMH162" s="4"/>
      <c r="JMI162" s="4"/>
      <c r="JMJ162" s="4"/>
      <c r="JMK162" s="4"/>
      <c r="JML162" s="4"/>
      <c r="JMM162" s="4"/>
      <c r="JMN162" s="4"/>
      <c r="JMO162" s="4"/>
      <c r="JMP162" s="4"/>
      <c r="JMQ162" s="4"/>
      <c r="JMR162" s="4"/>
      <c r="JMS162" s="4"/>
      <c r="JMT162" s="4"/>
      <c r="JMU162" s="4"/>
      <c r="JMV162" s="4"/>
      <c r="JMW162" s="4"/>
      <c r="JMX162" s="4"/>
      <c r="JMY162" s="4"/>
      <c r="JMZ162" s="4"/>
      <c r="JNA162" s="4"/>
      <c r="JNB162" s="4"/>
      <c r="JNC162" s="4"/>
      <c r="JND162" s="4"/>
      <c r="JNE162" s="4"/>
      <c r="JNF162" s="4"/>
      <c r="JNG162" s="4"/>
      <c r="JNH162" s="4"/>
      <c r="JNI162" s="4"/>
      <c r="JNJ162" s="4"/>
      <c r="JNK162" s="4"/>
      <c r="JNL162" s="4"/>
      <c r="JNM162" s="4"/>
      <c r="JNN162" s="4"/>
      <c r="JNO162" s="4"/>
      <c r="JNP162" s="4"/>
      <c r="JNQ162" s="4"/>
      <c r="JNR162" s="4"/>
      <c r="JNS162" s="4"/>
      <c r="JNT162" s="4"/>
      <c r="JNU162" s="4"/>
      <c r="JNV162" s="4"/>
      <c r="JNW162" s="4"/>
      <c r="JNX162" s="4"/>
      <c r="JNY162" s="4"/>
      <c r="JNZ162" s="4"/>
      <c r="JOA162" s="4"/>
      <c r="JOB162" s="4"/>
      <c r="JOC162" s="4"/>
      <c r="JOD162" s="4"/>
      <c r="JOE162" s="4"/>
      <c r="JOF162" s="4"/>
      <c r="JOG162" s="4"/>
      <c r="JOH162" s="4"/>
      <c r="JOI162" s="4"/>
      <c r="JOJ162" s="4"/>
      <c r="JOK162" s="4"/>
      <c r="JOL162" s="4"/>
      <c r="JOM162" s="4"/>
      <c r="JON162" s="4"/>
      <c r="JOO162" s="4"/>
      <c r="JOP162" s="4"/>
      <c r="JOQ162" s="4"/>
      <c r="JOR162" s="4"/>
      <c r="JOS162" s="4"/>
      <c r="JOT162" s="4"/>
      <c r="JOU162" s="4"/>
      <c r="JOV162" s="4"/>
      <c r="JOW162" s="4"/>
      <c r="JOX162" s="4"/>
      <c r="JOY162" s="4"/>
      <c r="JOZ162" s="4"/>
      <c r="JPA162" s="4"/>
      <c r="JPB162" s="4"/>
      <c r="JPC162" s="4"/>
      <c r="JPD162" s="4"/>
      <c r="JPE162" s="4"/>
      <c r="JPF162" s="4"/>
      <c r="JPG162" s="4"/>
      <c r="JPH162" s="4"/>
      <c r="JPI162" s="4"/>
      <c r="JPJ162" s="4"/>
      <c r="JPK162" s="4"/>
      <c r="JPL162" s="4"/>
      <c r="JPM162" s="4"/>
      <c r="JPN162" s="4"/>
      <c r="JPO162" s="4"/>
      <c r="JPP162" s="4"/>
      <c r="JPQ162" s="4"/>
      <c r="JPR162" s="4"/>
      <c r="JPS162" s="4"/>
      <c r="JPT162" s="4"/>
      <c r="JPU162" s="4"/>
      <c r="JPV162" s="4"/>
      <c r="JPW162" s="4"/>
      <c r="JPX162" s="4"/>
      <c r="JPY162" s="4"/>
      <c r="JPZ162" s="4"/>
      <c r="JQA162" s="4"/>
      <c r="JQB162" s="4"/>
      <c r="JQC162" s="4"/>
      <c r="JQD162" s="4"/>
      <c r="JQE162" s="4"/>
      <c r="JQF162" s="4"/>
      <c r="JQG162" s="4"/>
      <c r="JQH162" s="4"/>
      <c r="JQI162" s="4"/>
      <c r="JQJ162" s="4"/>
      <c r="JQK162" s="4"/>
      <c r="JQL162" s="4"/>
      <c r="JQM162" s="4"/>
      <c r="JQN162" s="4"/>
      <c r="JQO162" s="4"/>
      <c r="JQP162" s="4"/>
      <c r="JQQ162" s="4"/>
      <c r="JQR162" s="4"/>
      <c r="JQS162" s="4"/>
      <c r="JQT162" s="4"/>
      <c r="JQU162" s="4"/>
      <c r="JQV162" s="4"/>
      <c r="JQW162" s="4"/>
      <c r="JQX162" s="4"/>
      <c r="JQY162" s="4"/>
      <c r="JQZ162" s="4"/>
      <c r="JRA162" s="4"/>
      <c r="JRB162" s="4"/>
      <c r="JRC162" s="4"/>
      <c r="JRD162" s="4"/>
      <c r="JRE162" s="4"/>
      <c r="JRF162" s="4"/>
      <c r="JRG162" s="4"/>
      <c r="JRH162" s="4"/>
      <c r="JRI162" s="4"/>
      <c r="JRJ162" s="4"/>
      <c r="JRK162" s="4"/>
      <c r="JRL162" s="4"/>
      <c r="JRM162" s="4"/>
      <c r="JRN162" s="4"/>
      <c r="JRO162" s="4"/>
      <c r="JRP162" s="4"/>
      <c r="JRQ162" s="4"/>
      <c r="JRR162" s="4"/>
      <c r="JRS162" s="4"/>
      <c r="JRT162" s="4"/>
      <c r="JRU162" s="4"/>
      <c r="JRV162" s="4"/>
      <c r="JRW162" s="4"/>
      <c r="JRX162" s="4"/>
      <c r="JRY162" s="4"/>
      <c r="JRZ162" s="4"/>
      <c r="JSA162" s="4"/>
      <c r="JSB162" s="4"/>
      <c r="JSC162" s="4"/>
      <c r="JSD162" s="4"/>
      <c r="JSE162" s="4"/>
      <c r="JSF162" s="4"/>
      <c r="JSG162" s="4"/>
      <c r="JSH162" s="4"/>
      <c r="JSI162" s="4"/>
      <c r="JSJ162" s="4"/>
      <c r="JSK162" s="4"/>
      <c r="JSL162" s="4"/>
      <c r="JSM162" s="4"/>
      <c r="JSN162" s="4"/>
      <c r="JSO162" s="4"/>
      <c r="JSP162" s="4"/>
      <c r="JSQ162" s="4"/>
      <c r="JSR162" s="4"/>
      <c r="JSS162" s="4"/>
      <c r="JST162" s="4"/>
      <c r="JSU162" s="4"/>
      <c r="JSV162" s="4"/>
      <c r="JSW162" s="4"/>
      <c r="JSX162" s="4"/>
      <c r="JSY162" s="4"/>
      <c r="JSZ162" s="4"/>
      <c r="JTA162" s="4"/>
      <c r="JTB162" s="4"/>
      <c r="JTC162" s="4"/>
      <c r="JTD162" s="4"/>
      <c r="JTE162" s="4"/>
      <c r="JTF162" s="4"/>
      <c r="JTG162" s="4"/>
      <c r="JTH162" s="4"/>
      <c r="JTI162" s="4"/>
      <c r="JTJ162" s="4"/>
      <c r="JTK162" s="4"/>
      <c r="JTL162" s="4"/>
      <c r="JTM162" s="4"/>
      <c r="JTN162" s="4"/>
      <c r="JTO162" s="4"/>
      <c r="JTP162" s="4"/>
      <c r="JTQ162" s="4"/>
      <c r="JTR162" s="4"/>
      <c r="JTS162" s="4"/>
      <c r="JTT162" s="4"/>
      <c r="JTU162" s="4"/>
      <c r="JTV162" s="4"/>
      <c r="JTW162" s="4"/>
      <c r="JTX162" s="4"/>
      <c r="JTY162" s="4"/>
      <c r="JTZ162" s="4"/>
      <c r="JUA162" s="4"/>
      <c r="JUB162" s="4"/>
      <c r="JUC162" s="4"/>
      <c r="JUD162" s="4"/>
      <c r="JUE162" s="4"/>
      <c r="JUF162" s="4"/>
      <c r="JUG162" s="4"/>
      <c r="JUH162" s="4"/>
      <c r="JUI162" s="4"/>
      <c r="JUJ162" s="4"/>
      <c r="JUK162" s="4"/>
      <c r="JUL162" s="4"/>
      <c r="JUM162" s="4"/>
      <c r="JUN162" s="4"/>
      <c r="JUO162" s="4"/>
      <c r="JUP162" s="4"/>
      <c r="JUQ162" s="4"/>
      <c r="JUR162" s="4"/>
      <c r="JUS162" s="4"/>
      <c r="JUT162" s="4"/>
      <c r="JUU162" s="4"/>
      <c r="JUV162" s="4"/>
      <c r="JUW162" s="4"/>
      <c r="JUX162" s="4"/>
      <c r="JUY162" s="4"/>
      <c r="JUZ162" s="4"/>
      <c r="JVA162" s="4"/>
      <c r="JVB162" s="4"/>
      <c r="JVC162" s="4"/>
      <c r="JVD162" s="4"/>
      <c r="JVE162" s="4"/>
      <c r="JVF162" s="4"/>
      <c r="JVG162" s="4"/>
      <c r="JVH162" s="4"/>
      <c r="JVI162" s="4"/>
      <c r="JVJ162" s="4"/>
      <c r="JVK162" s="4"/>
      <c r="JVL162" s="4"/>
      <c r="JVM162" s="4"/>
      <c r="JVN162" s="4"/>
      <c r="JVO162" s="4"/>
      <c r="JVP162" s="4"/>
      <c r="JVQ162" s="4"/>
      <c r="JVR162" s="4"/>
      <c r="JVS162" s="4"/>
      <c r="JVT162" s="4"/>
      <c r="JVU162" s="4"/>
      <c r="JVV162" s="4"/>
      <c r="JVW162" s="4"/>
      <c r="JVX162" s="4"/>
      <c r="JVY162" s="4"/>
      <c r="JVZ162" s="4"/>
      <c r="JWA162" s="4"/>
      <c r="JWB162" s="4"/>
      <c r="JWC162" s="4"/>
      <c r="JWD162" s="4"/>
      <c r="JWE162" s="4"/>
      <c r="JWF162" s="4"/>
      <c r="JWG162" s="4"/>
      <c r="JWH162" s="4"/>
      <c r="JWI162" s="4"/>
      <c r="JWJ162" s="4"/>
      <c r="JWK162" s="4"/>
      <c r="JWL162" s="4"/>
      <c r="JWM162" s="4"/>
      <c r="JWN162" s="4"/>
      <c r="JWO162" s="4"/>
      <c r="JWP162" s="4"/>
      <c r="JWQ162" s="4"/>
      <c r="JWR162" s="4"/>
      <c r="JWS162" s="4"/>
      <c r="JWT162" s="4"/>
      <c r="JWU162" s="4"/>
      <c r="JWV162" s="4"/>
      <c r="JWW162" s="4"/>
      <c r="JWX162" s="4"/>
      <c r="JWY162" s="4"/>
      <c r="JWZ162" s="4"/>
      <c r="JXA162" s="4"/>
      <c r="JXB162" s="4"/>
      <c r="JXC162" s="4"/>
      <c r="JXD162" s="4"/>
      <c r="JXE162" s="4"/>
      <c r="JXF162" s="4"/>
      <c r="JXG162" s="4"/>
      <c r="JXH162" s="4"/>
      <c r="JXI162" s="4"/>
      <c r="JXJ162" s="4"/>
      <c r="JXK162" s="4"/>
      <c r="JXL162" s="4"/>
      <c r="JXM162" s="4"/>
      <c r="JXN162" s="4"/>
      <c r="JXO162" s="4"/>
      <c r="JXP162" s="4"/>
      <c r="JXQ162" s="4"/>
      <c r="JXR162" s="4"/>
      <c r="JXS162" s="4"/>
      <c r="JXT162" s="4"/>
      <c r="JXU162" s="4"/>
      <c r="JXV162" s="4"/>
      <c r="JXW162" s="4"/>
      <c r="JXX162" s="4"/>
      <c r="JXY162" s="4"/>
      <c r="JXZ162" s="4"/>
      <c r="JYA162" s="4"/>
      <c r="JYB162" s="4"/>
      <c r="JYC162" s="4"/>
      <c r="JYD162" s="4"/>
      <c r="JYE162" s="4"/>
      <c r="JYF162" s="4"/>
      <c r="JYG162" s="4"/>
      <c r="JYH162" s="4"/>
      <c r="JYI162" s="4"/>
      <c r="JYJ162" s="4"/>
      <c r="JYK162" s="4"/>
      <c r="JYL162" s="4"/>
      <c r="JYM162" s="4"/>
      <c r="JYN162" s="4"/>
      <c r="JYO162" s="4"/>
      <c r="JYP162" s="4"/>
      <c r="JYQ162" s="4"/>
      <c r="JYR162" s="4"/>
      <c r="JYS162" s="4"/>
      <c r="JYT162" s="4"/>
      <c r="JYU162" s="4"/>
      <c r="JYV162" s="4"/>
      <c r="JYW162" s="4"/>
      <c r="JYX162" s="4"/>
      <c r="JYY162" s="4"/>
      <c r="JYZ162" s="4"/>
      <c r="JZA162" s="4"/>
      <c r="JZB162" s="4"/>
      <c r="JZC162" s="4"/>
      <c r="JZD162" s="4"/>
      <c r="JZE162" s="4"/>
      <c r="JZF162" s="4"/>
      <c r="JZG162" s="4"/>
      <c r="JZH162" s="4"/>
      <c r="JZI162" s="4"/>
      <c r="JZJ162" s="4"/>
      <c r="JZK162" s="4"/>
      <c r="JZL162" s="4"/>
      <c r="JZM162" s="4"/>
      <c r="JZN162" s="4"/>
      <c r="JZO162" s="4"/>
      <c r="JZP162" s="4"/>
      <c r="JZQ162" s="4"/>
      <c r="JZR162" s="4"/>
      <c r="JZS162" s="4"/>
      <c r="JZT162" s="4"/>
      <c r="JZU162" s="4"/>
      <c r="JZV162" s="4"/>
      <c r="JZW162" s="4"/>
      <c r="JZX162" s="4"/>
      <c r="JZY162" s="4"/>
      <c r="JZZ162" s="4"/>
      <c r="KAA162" s="4"/>
      <c r="KAB162" s="4"/>
      <c r="KAC162" s="4"/>
      <c r="KAD162" s="4"/>
      <c r="KAE162" s="4"/>
      <c r="KAF162" s="4"/>
      <c r="KAG162" s="4"/>
      <c r="KAH162" s="4"/>
      <c r="KAI162" s="4"/>
      <c r="KAJ162" s="4"/>
      <c r="KAK162" s="4"/>
      <c r="KAL162" s="4"/>
      <c r="KAM162" s="4"/>
      <c r="KAN162" s="4"/>
      <c r="KAO162" s="4"/>
      <c r="KAP162" s="4"/>
      <c r="KAQ162" s="4"/>
      <c r="KAR162" s="4"/>
      <c r="KAS162" s="4"/>
      <c r="KAT162" s="4"/>
      <c r="KAU162" s="4"/>
      <c r="KAV162" s="4"/>
      <c r="KAW162" s="4"/>
      <c r="KAX162" s="4"/>
      <c r="KAY162" s="4"/>
      <c r="KAZ162" s="4"/>
      <c r="KBA162" s="4"/>
      <c r="KBB162" s="4"/>
      <c r="KBC162" s="4"/>
      <c r="KBD162" s="4"/>
      <c r="KBE162" s="4"/>
      <c r="KBF162" s="4"/>
      <c r="KBG162" s="4"/>
      <c r="KBH162" s="4"/>
      <c r="KBI162" s="4"/>
      <c r="KBJ162" s="4"/>
      <c r="KBK162" s="4"/>
      <c r="KBL162" s="4"/>
      <c r="KBM162" s="4"/>
      <c r="KBN162" s="4"/>
      <c r="KBO162" s="4"/>
      <c r="KBP162" s="4"/>
      <c r="KBQ162" s="4"/>
      <c r="KBR162" s="4"/>
      <c r="KBS162" s="4"/>
      <c r="KBT162" s="4"/>
      <c r="KBU162" s="4"/>
      <c r="KBV162" s="4"/>
      <c r="KBW162" s="4"/>
      <c r="KBX162" s="4"/>
      <c r="KBY162" s="4"/>
      <c r="KBZ162" s="4"/>
      <c r="KCA162" s="4"/>
      <c r="KCB162" s="4"/>
      <c r="KCC162" s="4"/>
      <c r="KCD162" s="4"/>
      <c r="KCE162" s="4"/>
      <c r="KCF162" s="4"/>
      <c r="KCG162" s="4"/>
      <c r="KCH162" s="4"/>
      <c r="KCI162" s="4"/>
      <c r="KCJ162" s="4"/>
      <c r="KCK162" s="4"/>
      <c r="KCL162" s="4"/>
      <c r="KCM162" s="4"/>
      <c r="KCN162" s="4"/>
      <c r="KCO162" s="4"/>
      <c r="KCP162" s="4"/>
      <c r="KCQ162" s="4"/>
      <c r="KCR162" s="4"/>
      <c r="KCS162" s="4"/>
      <c r="KCT162" s="4"/>
      <c r="KCU162" s="4"/>
      <c r="KCV162" s="4"/>
      <c r="KCW162" s="4"/>
      <c r="KCX162" s="4"/>
      <c r="KCY162" s="4"/>
      <c r="KCZ162" s="4"/>
      <c r="KDA162" s="4"/>
      <c r="KDB162" s="4"/>
      <c r="KDC162" s="4"/>
      <c r="KDD162" s="4"/>
      <c r="KDE162" s="4"/>
      <c r="KDF162" s="4"/>
      <c r="KDG162" s="4"/>
      <c r="KDH162" s="4"/>
      <c r="KDI162" s="4"/>
      <c r="KDJ162" s="4"/>
      <c r="KDK162" s="4"/>
      <c r="KDL162" s="4"/>
      <c r="KDM162" s="4"/>
      <c r="KDN162" s="4"/>
      <c r="KDO162" s="4"/>
      <c r="KDP162" s="4"/>
      <c r="KDQ162" s="4"/>
      <c r="KDR162" s="4"/>
      <c r="KDS162" s="4"/>
      <c r="KDT162" s="4"/>
      <c r="KDU162" s="4"/>
      <c r="KDV162" s="4"/>
      <c r="KDW162" s="4"/>
      <c r="KDX162" s="4"/>
      <c r="KDY162" s="4"/>
      <c r="KDZ162" s="4"/>
      <c r="KEA162" s="4"/>
      <c r="KEB162" s="4"/>
      <c r="KEC162" s="4"/>
      <c r="KED162" s="4"/>
      <c r="KEE162" s="4"/>
      <c r="KEF162" s="4"/>
      <c r="KEG162" s="4"/>
      <c r="KEH162" s="4"/>
      <c r="KEI162" s="4"/>
      <c r="KEJ162" s="4"/>
      <c r="KEK162" s="4"/>
      <c r="KEL162" s="4"/>
      <c r="KEM162" s="4"/>
      <c r="KEN162" s="4"/>
      <c r="KEO162" s="4"/>
      <c r="KEP162" s="4"/>
      <c r="KEQ162" s="4"/>
      <c r="KER162" s="4"/>
      <c r="KES162" s="4"/>
      <c r="KET162" s="4"/>
      <c r="KEU162" s="4"/>
      <c r="KEV162" s="4"/>
      <c r="KEW162" s="4"/>
      <c r="KEX162" s="4"/>
      <c r="KEY162" s="4"/>
      <c r="KEZ162" s="4"/>
      <c r="KFA162" s="4"/>
      <c r="KFB162" s="4"/>
      <c r="KFC162" s="4"/>
      <c r="KFD162" s="4"/>
      <c r="KFE162" s="4"/>
      <c r="KFF162" s="4"/>
      <c r="KFG162" s="4"/>
      <c r="KFH162" s="4"/>
      <c r="KFI162" s="4"/>
      <c r="KFJ162" s="4"/>
      <c r="KFK162" s="4"/>
      <c r="KFL162" s="4"/>
      <c r="KFM162" s="4"/>
      <c r="KFN162" s="4"/>
      <c r="KFO162" s="4"/>
      <c r="KFP162" s="4"/>
      <c r="KFQ162" s="4"/>
      <c r="KFR162" s="4"/>
      <c r="KFS162" s="4"/>
      <c r="KFT162" s="4"/>
      <c r="KFU162" s="4"/>
      <c r="KFV162" s="4"/>
      <c r="KFW162" s="4"/>
      <c r="KFX162" s="4"/>
      <c r="KFY162" s="4"/>
      <c r="KFZ162" s="4"/>
      <c r="KGA162" s="4"/>
      <c r="KGB162" s="4"/>
      <c r="KGC162" s="4"/>
      <c r="KGD162" s="4"/>
      <c r="KGE162" s="4"/>
      <c r="KGF162" s="4"/>
      <c r="KGG162" s="4"/>
      <c r="KGH162" s="4"/>
      <c r="KGI162" s="4"/>
      <c r="KGJ162" s="4"/>
      <c r="KGK162" s="4"/>
      <c r="KGL162" s="4"/>
      <c r="KGM162" s="4"/>
      <c r="KGN162" s="4"/>
      <c r="KGO162" s="4"/>
      <c r="KGP162" s="4"/>
      <c r="KGQ162" s="4"/>
      <c r="KGR162" s="4"/>
      <c r="KGS162" s="4"/>
      <c r="KGT162" s="4"/>
      <c r="KGU162" s="4"/>
      <c r="KGV162" s="4"/>
      <c r="KGW162" s="4"/>
      <c r="KGX162" s="4"/>
      <c r="KGY162" s="4"/>
      <c r="KGZ162" s="4"/>
      <c r="KHA162" s="4"/>
      <c r="KHB162" s="4"/>
      <c r="KHC162" s="4"/>
      <c r="KHD162" s="4"/>
      <c r="KHE162" s="4"/>
      <c r="KHF162" s="4"/>
      <c r="KHG162" s="4"/>
      <c r="KHH162" s="4"/>
      <c r="KHI162" s="4"/>
      <c r="KHJ162" s="4"/>
      <c r="KHK162" s="4"/>
      <c r="KHL162" s="4"/>
      <c r="KHM162" s="4"/>
      <c r="KHN162" s="4"/>
      <c r="KHO162" s="4"/>
      <c r="KHP162" s="4"/>
      <c r="KHQ162" s="4"/>
      <c r="KHR162" s="4"/>
      <c r="KHS162" s="4"/>
      <c r="KHT162" s="4"/>
      <c r="KHU162" s="4"/>
      <c r="KHV162" s="4"/>
      <c r="KHW162" s="4"/>
      <c r="KHX162" s="4"/>
      <c r="KHY162" s="4"/>
      <c r="KHZ162" s="4"/>
      <c r="KIA162" s="4"/>
      <c r="KIB162" s="4"/>
      <c r="KIC162" s="4"/>
      <c r="KID162" s="4"/>
      <c r="KIE162" s="4"/>
      <c r="KIF162" s="4"/>
      <c r="KIG162" s="4"/>
      <c r="KIH162" s="4"/>
      <c r="KII162" s="4"/>
      <c r="KIJ162" s="4"/>
      <c r="KIK162" s="4"/>
      <c r="KIL162" s="4"/>
      <c r="KIM162" s="4"/>
      <c r="KIN162" s="4"/>
      <c r="KIO162" s="4"/>
      <c r="KIP162" s="4"/>
      <c r="KIQ162" s="4"/>
      <c r="KIR162" s="4"/>
      <c r="KIS162" s="4"/>
      <c r="KIT162" s="4"/>
      <c r="KIU162" s="4"/>
      <c r="KIV162" s="4"/>
      <c r="KIW162" s="4"/>
      <c r="KIX162" s="4"/>
      <c r="KIY162" s="4"/>
      <c r="KIZ162" s="4"/>
      <c r="KJA162" s="4"/>
      <c r="KJB162" s="4"/>
      <c r="KJC162" s="4"/>
      <c r="KJD162" s="4"/>
      <c r="KJE162" s="4"/>
      <c r="KJF162" s="4"/>
      <c r="KJG162" s="4"/>
      <c r="KJH162" s="4"/>
      <c r="KJI162" s="4"/>
      <c r="KJJ162" s="4"/>
      <c r="KJK162" s="4"/>
      <c r="KJL162" s="4"/>
      <c r="KJM162" s="4"/>
      <c r="KJN162" s="4"/>
      <c r="KJO162" s="4"/>
      <c r="KJP162" s="4"/>
      <c r="KJQ162" s="4"/>
      <c r="KJR162" s="4"/>
      <c r="KJS162" s="4"/>
      <c r="KJT162" s="4"/>
      <c r="KJU162" s="4"/>
      <c r="KJV162" s="4"/>
      <c r="KJW162" s="4"/>
      <c r="KJX162" s="4"/>
      <c r="KJY162" s="4"/>
      <c r="KJZ162" s="4"/>
      <c r="KKA162" s="4"/>
      <c r="KKB162" s="4"/>
      <c r="KKC162" s="4"/>
      <c r="KKD162" s="4"/>
      <c r="KKE162" s="4"/>
      <c r="KKF162" s="4"/>
      <c r="KKG162" s="4"/>
      <c r="KKH162" s="4"/>
      <c r="KKI162" s="4"/>
      <c r="KKJ162" s="4"/>
      <c r="KKK162" s="4"/>
      <c r="KKL162" s="4"/>
      <c r="KKM162" s="4"/>
      <c r="KKN162" s="4"/>
      <c r="KKO162" s="4"/>
      <c r="KKP162" s="4"/>
      <c r="KKQ162" s="4"/>
      <c r="KKR162" s="4"/>
      <c r="KKS162" s="4"/>
      <c r="KKT162" s="4"/>
      <c r="KKU162" s="4"/>
      <c r="KKV162" s="4"/>
      <c r="KKW162" s="4"/>
      <c r="KKX162" s="4"/>
      <c r="KKY162" s="4"/>
      <c r="KKZ162" s="4"/>
      <c r="KLA162" s="4"/>
      <c r="KLB162" s="4"/>
      <c r="KLC162" s="4"/>
      <c r="KLD162" s="4"/>
      <c r="KLE162" s="4"/>
      <c r="KLF162" s="4"/>
      <c r="KLG162" s="4"/>
      <c r="KLH162" s="4"/>
      <c r="KLI162" s="4"/>
      <c r="KLJ162" s="4"/>
      <c r="KLK162" s="4"/>
      <c r="KLL162" s="4"/>
      <c r="KLM162" s="4"/>
      <c r="KLN162" s="4"/>
      <c r="KLO162" s="4"/>
      <c r="KLP162" s="4"/>
      <c r="KLQ162" s="4"/>
      <c r="KLR162" s="4"/>
      <c r="KLS162" s="4"/>
      <c r="KLT162" s="4"/>
      <c r="KLU162" s="4"/>
      <c r="KLV162" s="4"/>
      <c r="KLW162" s="4"/>
      <c r="KLX162" s="4"/>
      <c r="KLY162" s="4"/>
      <c r="KLZ162" s="4"/>
      <c r="KMA162" s="4"/>
      <c r="KMB162" s="4"/>
      <c r="KMC162" s="4"/>
      <c r="KMD162" s="4"/>
      <c r="KME162" s="4"/>
      <c r="KMF162" s="4"/>
      <c r="KMG162" s="4"/>
      <c r="KMH162" s="4"/>
      <c r="KMI162" s="4"/>
      <c r="KMJ162" s="4"/>
      <c r="KMK162" s="4"/>
      <c r="KML162" s="4"/>
      <c r="KMM162" s="4"/>
      <c r="KMN162" s="4"/>
      <c r="KMO162" s="4"/>
      <c r="KMP162" s="4"/>
      <c r="KMQ162" s="4"/>
      <c r="KMR162" s="4"/>
      <c r="KMS162" s="4"/>
      <c r="KMT162" s="4"/>
      <c r="KMU162" s="4"/>
      <c r="KMV162" s="4"/>
      <c r="KMW162" s="4"/>
      <c r="KMX162" s="4"/>
      <c r="KMY162" s="4"/>
      <c r="KMZ162" s="4"/>
      <c r="KNA162" s="4"/>
      <c r="KNB162" s="4"/>
      <c r="KNC162" s="4"/>
      <c r="KND162" s="4"/>
      <c r="KNE162" s="4"/>
      <c r="KNF162" s="4"/>
      <c r="KNG162" s="4"/>
      <c r="KNH162" s="4"/>
      <c r="KNI162" s="4"/>
      <c r="KNJ162" s="4"/>
      <c r="KNK162" s="4"/>
      <c r="KNL162" s="4"/>
      <c r="KNM162" s="4"/>
      <c r="KNN162" s="4"/>
      <c r="KNO162" s="4"/>
      <c r="KNP162" s="4"/>
      <c r="KNQ162" s="4"/>
      <c r="KNR162" s="4"/>
      <c r="KNS162" s="4"/>
      <c r="KNT162" s="4"/>
      <c r="KNU162" s="4"/>
      <c r="KNV162" s="4"/>
      <c r="KNW162" s="4"/>
      <c r="KNX162" s="4"/>
      <c r="KNY162" s="4"/>
      <c r="KNZ162" s="4"/>
      <c r="KOA162" s="4"/>
      <c r="KOB162" s="4"/>
      <c r="KOC162" s="4"/>
      <c r="KOD162" s="4"/>
      <c r="KOE162" s="4"/>
      <c r="KOF162" s="4"/>
      <c r="KOG162" s="4"/>
      <c r="KOH162" s="4"/>
      <c r="KOI162" s="4"/>
      <c r="KOJ162" s="4"/>
      <c r="KOK162" s="4"/>
      <c r="KOL162" s="4"/>
      <c r="KOM162" s="4"/>
      <c r="KON162" s="4"/>
      <c r="KOO162" s="4"/>
      <c r="KOP162" s="4"/>
      <c r="KOQ162" s="4"/>
      <c r="KOR162" s="4"/>
      <c r="KOS162" s="4"/>
      <c r="KOT162" s="4"/>
      <c r="KOU162" s="4"/>
      <c r="KOV162" s="4"/>
      <c r="KOW162" s="4"/>
      <c r="KOX162" s="4"/>
      <c r="KOY162" s="4"/>
      <c r="KOZ162" s="4"/>
      <c r="KPA162" s="4"/>
      <c r="KPB162" s="4"/>
      <c r="KPC162" s="4"/>
      <c r="KPD162" s="4"/>
      <c r="KPE162" s="4"/>
      <c r="KPF162" s="4"/>
      <c r="KPG162" s="4"/>
      <c r="KPH162" s="4"/>
      <c r="KPI162" s="4"/>
      <c r="KPJ162" s="4"/>
      <c r="KPK162" s="4"/>
      <c r="KPL162" s="4"/>
      <c r="KPM162" s="4"/>
      <c r="KPN162" s="4"/>
      <c r="KPO162" s="4"/>
      <c r="KPP162" s="4"/>
      <c r="KPQ162" s="4"/>
      <c r="KPR162" s="4"/>
      <c r="KPS162" s="4"/>
      <c r="KPT162" s="4"/>
      <c r="KPU162" s="4"/>
      <c r="KPV162" s="4"/>
      <c r="KPW162" s="4"/>
      <c r="KPX162" s="4"/>
      <c r="KPY162" s="4"/>
      <c r="KPZ162" s="4"/>
      <c r="KQA162" s="4"/>
      <c r="KQB162" s="4"/>
      <c r="KQC162" s="4"/>
      <c r="KQD162" s="4"/>
      <c r="KQE162" s="4"/>
      <c r="KQF162" s="4"/>
      <c r="KQG162" s="4"/>
      <c r="KQH162" s="4"/>
      <c r="KQI162" s="4"/>
      <c r="KQJ162" s="4"/>
      <c r="KQK162" s="4"/>
      <c r="KQL162" s="4"/>
      <c r="KQM162" s="4"/>
      <c r="KQN162" s="4"/>
      <c r="KQO162" s="4"/>
      <c r="KQP162" s="4"/>
      <c r="KQQ162" s="4"/>
      <c r="KQR162" s="4"/>
      <c r="KQS162" s="4"/>
      <c r="KQT162" s="4"/>
      <c r="KQU162" s="4"/>
      <c r="KQV162" s="4"/>
      <c r="KQW162" s="4"/>
      <c r="KQX162" s="4"/>
      <c r="KQY162" s="4"/>
      <c r="KQZ162" s="4"/>
      <c r="KRA162" s="4"/>
      <c r="KRB162" s="4"/>
      <c r="KRC162" s="4"/>
      <c r="KRD162" s="4"/>
      <c r="KRE162" s="4"/>
      <c r="KRF162" s="4"/>
      <c r="KRG162" s="4"/>
      <c r="KRH162" s="4"/>
      <c r="KRI162" s="4"/>
      <c r="KRJ162" s="4"/>
      <c r="KRK162" s="4"/>
      <c r="KRL162" s="4"/>
      <c r="KRM162" s="4"/>
      <c r="KRN162" s="4"/>
      <c r="KRO162" s="4"/>
      <c r="KRP162" s="4"/>
      <c r="KRQ162" s="4"/>
      <c r="KRR162" s="4"/>
      <c r="KRS162" s="4"/>
      <c r="KRT162" s="4"/>
      <c r="KRU162" s="4"/>
      <c r="KRV162" s="4"/>
      <c r="KRW162" s="4"/>
      <c r="KRX162" s="4"/>
      <c r="KRY162" s="4"/>
      <c r="KRZ162" s="4"/>
      <c r="KSA162" s="4"/>
      <c r="KSB162" s="4"/>
      <c r="KSC162" s="4"/>
      <c r="KSD162" s="4"/>
      <c r="KSE162" s="4"/>
      <c r="KSF162" s="4"/>
      <c r="KSG162" s="4"/>
      <c r="KSH162" s="4"/>
      <c r="KSI162" s="4"/>
      <c r="KSJ162" s="4"/>
      <c r="KSK162" s="4"/>
      <c r="KSL162" s="4"/>
      <c r="KSM162" s="4"/>
      <c r="KSN162" s="4"/>
      <c r="KSO162" s="4"/>
      <c r="KSP162" s="4"/>
      <c r="KSQ162" s="4"/>
      <c r="KSR162" s="4"/>
      <c r="KSS162" s="4"/>
      <c r="KST162" s="4"/>
      <c r="KSU162" s="4"/>
      <c r="KSV162" s="4"/>
      <c r="KSW162" s="4"/>
      <c r="KSX162" s="4"/>
      <c r="KSY162" s="4"/>
      <c r="KSZ162" s="4"/>
      <c r="KTA162" s="4"/>
      <c r="KTB162" s="4"/>
      <c r="KTC162" s="4"/>
      <c r="KTD162" s="4"/>
      <c r="KTE162" s="4"/>
      <c r="KTF162" s="4"/>
      <c r="KTG162" s="4"/>
      <c r="KTH162" s="4"/>
      <c r="KTI162" s="4"/>
      <c r="KTJ162" s="4"/>
      <c r="KTK162" s="4"/>
      <c r="KTL162" s="4"/>
      <c r="KTM162" s="4"/>
      <c r="KTN162" s="4"/>
      <c r="KTO162" s="4"/>
      <c r="KTP162" s="4"/>
      <c r="KTQ162" s="4"/>
      <c r="KTR162" s="4"/>
      <c r="KTS162" s="4"/>
      <c r="KTT162" s="4"/>
      <c r="KTU162" s="4"/>
      <c r="KTV162" s="4"/>
      <c r="KTW162" s="4"/>
      <c r="KTX162" s="4"/>
      <c r="KTY162" s="4"/>
      <c r="KTZ162" s="4"/>
      <c r="KUA162" s="4"/>
      <c r="KUB162" s="4"/>
      <c r="KUC162" s="4"/>
      <c r="KUD162" s="4"/>
      <c r="KUE162" s="4"/>
      <c r="KUF162" s="4"/>
      <c r="KUG162" s="4"/>
      <c r="KUH162" s="4"/>
      <c r="KUI162" s="4"/>
      <c r="KUJ162" s="4"/>
      <c r="KUK162" s="4"/>
      <c r="KUL162" s="4"/>
      <c r="KUM162" s="4"/>
      <c r="KUN162" s="4"/>
      <c r="KUO162" s="4"/>
      <c r="KUP162" s="4"/>
      <c r="KUQ162" s="4"/>
      <c r="KUR162" s="4"/>
      <c r="KUS162" s="4"/>
      <c r="KUT162" s="4"/>
      <c r="KUU162" s="4"/>
      <c r="KUV162" s="4"/>
      <c r="KUW162" s="4"/>
      <c r="KUX162" s="4"/>
      <c r="KUY162" s="4"/>
      <c r="KUZ162" s="4"/>
      <c r="KVA162" s="4"/>
      <c r="KVB162" s="4"/>
      <c r="KVC162" s="4"/>
      <c r="KVD162" s="4"/>
      <c r="KVE162" s="4"/>
      <c r="KVF162" s="4"/>
      <c r="KVG162" s="4"/>
      <c r="KVH162" s="4"/>
      <c r="KVI162" s="4"/>
      <c r="KVJ162" s="4"/>
      <c r="KVK162" s="4"/>
      <c r="KVL162" s="4"/>
      <c r="KVM162" s="4"/>
      <c r="KVN162" s="4"/>
      <c r="KVO162" s="4"/>
      <c r="KVP162" s="4"/>
      <c r="KVQ162" s="4"/>
      <c r="KVR162" s="4"/>
      <c r="KVS162" s="4"/>
      <c r="KVT162" s="4"/>
      <c r="KVU162" s="4"/>
      <c r="KVV162" s="4"/>
      <c r="KVW162" s="4"/>
      <c r="KVX162" s="4"/>
      <c r="KVY162" s="4"/>
      <c r="KVZ162" s="4"/>
      <c r="KWA162" s="4"/>
      <c r="KWB162" s="4"/>
      <c r="KWC162" s="4"/>
      <c r="KWD162" s="4"/>
      <c r="KWE162" s="4"/>
      <c r="KWF162" s="4"/>
      <c r="KWG162" s="4"/>
      <c r="KWH162" s="4"/>
      <c r="KWI162" s="4"/>
      <c r="KWJ162" s="4"/>
      <c r="KWK162" s="4"/>
      <c r="KWL162" s="4"/>
      <c r="KWM162" s="4"/>
      <c r="KWN162" s="4"/>
      <c r="KWO162" s="4"/>
      <c r="KWP162" s="4"/>
      <c r="KWQ162" s="4"/>
      <c r="KWR162" s="4"/>
      <c r="KWS162" s="4"/>
      <c r="KWT162" s="4"/>
      <c r="KWU162" s="4"/>
      <c r="KWV162" s="4"/>
      <c r="KWW162" s="4"/>
      <c r="KWX162" s="4"/>
      <c r="KWY162" s="4"/>
      <c r="KWZ162" s="4"/>
      <c r="KXA162" s="4"/>
      <c r="KXB162" s="4"/>
      <c r="KXC162" s="4"/>
      <c r="KXD162" s="4"/>
      <c r="KXE162" s="4"/>
      <c r="KXF162" s="4"/>
      <c r="KXG162" s="4"/>
      <c r="KXH162" s="4"/>
      <c r="KXI162" s="4"/>
      <c r="KXJ162" s="4"/>
      <c r="KXK162" s="4"/>
      <c r="KXL162" s="4"/>
      <c r="KXM162" s="4"/>
      <c r="KXN162" s="4"/>
      <c r="KXO162" s="4"/>
      <c r="KXP162" s="4"/>
      <c r="KXQ162" s="4"/>
      <c r="KXR162" s="4"/>
      <c r="KXS162" s="4"/>
      <c r="KXT162" s="4"/>
      <c r="KXU162" s="4"/>
      <c r="KXV162" s="4"/>
      <c r="KXW162" s="4"/>
      <c r="KXX162" s="4"/>
      <c r="KXY162" s="4"/>
      <c r="KXZ162" s="4"/>
      <c r="KYA162" s="4"/>
      <c r="KYB162" s="4"/>
      <c r="KYC162" s="4"/>
      <c r="KYD162" s="4"/>
      <c r="KYE162" s="4"/>
      <c r="KYF162" s="4"/>
      <c r="KYG162" s="4"/>
      <c r="KYH162" s="4"/>
      <c r="KYI162" s="4"/>
      <c r="KYJ162" s="4"/>
      <c r="KYK162" s="4"/>
      <c r="KYL162" s="4"/>
      <c r="KYM162" s="4"/>
      <c r="KYN162" s="4"/>
      <c r="KYO162" s="4"/>
      <c r="KYP162" s="4"/>
      <c r="KYQ162" s="4"/>
      <c r="KYR162" s="4"/>
      <c r="KYS162" s="4"/>
      <c r="KYT162" s="4"/>
      <c r="KYU162" s="4"/>
      <c r="KYV162" s="4"/>
      <c r="KYW162" s="4"/>
      <c r="KYX162" s="4"/>
      <c r="KYY162" s="4"/>
      <c r="KYZ162" s="4"/>
      <c r="KZA162" s="4"/>
      <c r="KZB162" s="4"/>
      <c r="KZC162" s="4"/>
      <c r="KZD162" s="4"/>
      <c r="KZE162" s="4"/>
      <c r="KZF162" s="4"/>
      <c r="KZG162" s="4"/>
      <c r="KZH162" s="4"/>
      <c r="KZI162" s="4"/>
      <c r="KZJ162" s="4"/>
      <c r="KZK162" s="4"/>
      <c r="KZL162" s="4"/>
      <c r="KZM162" s="4"/>
      <c r="KZN162" s="4"/>
      <c r="KZO162" s="4"/>
      <c r="KZP162" s="4"/>
      <c r="KZQ162" s="4"/>
      <c r="KZR162" s="4"/>
      <c r="KZS162" s="4"/>
      <c r="KZT162" s="4"/>
      <c r="KZU162" s="4"/>
      <c r="KZV162" s="4"/>
      <c r="KZW162" s="4"/>
      <c r="KZX162" s="4"/>
      <c r="KZY162" s="4"/>
      <c r="KZZ162" s="4"/>
      <c r="LAA162" s="4"/>
      <c r="LAB162" s="4"/>
      <c r="LAC162" s="4"/>
      <c r="LAD162" s="4"/>
      <c r="LAE162" s="4"/>
      <c r="LAF162" s="4"/>
      <c r="LAG162" s="4"/>
      <c r="LAH162" s="4"/>
      <c r="LAI162" s="4"/>
      <c r="LAJ162" s="4"/>
      <c r="LAK162" s="4"/>
      <c r="LAL162" s="4"/>
      <c r="LAM162" s="4"/>
      <c r="LAN162" s="4"/>
      <c r="LAO162" s="4"/>
      <c r="LAP162" s="4"/>
      <c r="LAQ162" s="4"/>
      <c r="LAR162" s="4"/>
      <c r="LAS162" s="4"/>
      <c r="LAT162" s="4"/>
      <c r="LAU162" s="4"/>
      <c r="LAV162" s="4"/>
      <c r="LAW162" s="4"/>
      <c r="LAX162" s="4"/>
      <c r="LAY162" s="4"/>
      <c r="LAZ162" s="4"/>
      <c r="LBA162" s="4"/>
      <c r="LBB162" s="4"/>
      <c r="LBC162" s="4"/>
      <c r="LBD162" s="4"/>
      <c r="LBE162" s="4"/>
      <c r="LBF162" s="4"/>
      <c r="LBG162" s="4"/>
      <c r="LBH162" s="4"/>
      <c r="LBI162" s="4"/>
      <c r="LBJ162" s="4"/>
      <c r="LBK162" s="4"/>
      <c r="LBL162" s="4"/>
      <c r="LBM162" s="4"/>
      <c r="LBN162" s="4"/>
      <c r="LBO162" s="4"/>
      <c r="LBP162" s="4"/>
      <c r="LBQ162" s="4"/>
      <c r="LBR162" s="4"/>
      <c r="LBS162" s="4"/>
      <c r="LBT162" s="4"/>
      <c r="LBU162" s="4"/>
      <c r="LBV162" s="4"/>
      <c r="LBW162" s="4"/>
      <c r="LBX162" s="4"/>
      <c r="LBY162" s="4"/>
      <c r="LBZ162" s="4"/>
      <c r="LCA162" s="4"/>
      <c r="LCB162" s="4"/>
      <c r="LCC162" s="4"/>
      <c r="LCD162" s="4"/>
      <c r="LCE162" s="4"/>
      <c r="LCF162" s="4"/>
      <c r="LCG162" s="4"/>
      <c r="LCH162" s="4"/>
      <c r="LCI162" s="4"/>
      <c r="LCJ162" s="4"/>
      <c r="LCK162" s="4"/>
      <c r="LCL162" s="4"/>
      <c r="LCM162" s="4"/>
      <c r="LCN162" s="4"/>
      <c r="LCO162" s="4"/>
      <c r="LCP162" s="4"/>
      <c r="LCQ162" s="4"/>
      <c r="LCR162" s="4"/>
      <c r="LCS162" s="4"/>
      <c r="LCT162" s="4"/>
      <c r="LCU162" s="4"/>
      <c r="LCV162" s="4"/>
      <c r="LCW162" s="4"/>
      <c r="LCX162" s="4"/>
      <c r="LCY162" s="4"/>
      <c r="LCZ162" s="4"/>
      <c r="LDA162" s="4"/>
      <c r="LDB162" s="4"/>
      <c r="LDC162" s="4"/>
      <c r="LDD162" s="4"/>
      <c r="LDE162" s="4"/>
      <c r="LDF162" s="4"/>
      <c r="LDG162" s="4"/>
      <c r="LDH162" s="4"/>
      <c r="LDI162" s="4"/>
      <c r="LDJ162" s="4"/>
      <c r="LDK162" s="4"/>
      <c r="LDL162" s="4"/>
      <c r="LDM162" s="4"/>
      <c r="LDN162" s="4"/>
      <c r="LDO162" s="4"/>
      <c r="LDP162" s="4"/>
      <c r="LDQ162" s="4"/>
      <c r="LDR162" s="4"/>
      <c r="LDS162" s="4"/>
      <c r="LDT162" s="4"/>
      <c r="LDU162" s="4"/>
      <c r="LDV162" s="4"/>
      <c r="LDW162" s="4"/>
      <c r="LDX162" s="4"/>
      <c r="LDY162" s="4"/>
      <c r="LDZ162" s="4"/>
      <c r="LEA162" s="4"/>
      <c r="LEB162" s="4"/>
      <c r="LEC162" s="4"/>
      <c r="LED162" s="4"/>
      <c r="LEE162" s="4"/>
      <c r="LEF162" s="4"/>
      <c r="LEG162" s="4"/>
      <c r="LEH162" s="4"/>
      <c r="LEI162" s="4"/>
      <c r="LEJ162" s="4"/>
      <c r="LEK162" s="4"/>
      <c r="LEL162" s="4"/>
      <c r="LEM162" s="4"/>
      <c r="LEN162" s="4"/>
      <c r="LEO162" s="4"/>
      <c r="LEP162" s="4"/>
      <c r="LEQ162" s="4"/>
      <c r="LER162" s="4"/>
      <c r="LES162" s="4"/>
      <c r="LET162" s="4"/>
      <c r="LEU162" s="4"/>
      <c r="LEV162" s="4"/>
      <c r="LEW162" s="4"/>
      <c r="LEX162" s="4"/>
      <c r="LEY162" s="4"/>
      <c r="LEZ162" s="4"/>
      <c r="LFA162" s="4"/>
      <c r="LFB162" s="4"/>
      <c r="LFC162" s="4"/>
      <c r="LFD162" s="4"/>
      <c r="LFE162" s="4"/>
      <c r="LFF162" s="4"/>
      <c r="LFG162" s="4"/>
      <c r="LFH162" s="4"/>
      <c r="LFI162" s="4"/>
      <c r="LFJ162" s="4"/>
      <c r="LFK162" s="4"/>
      <c r="LFL162" s="4"/>
      <c r="LFM162" s="4"/>
      <c r="LFN162" s="4"/>
      <c r="LFO162" s="4"/>
      <c r="LFP162" s="4"/>
      <c r="LFQ162" s="4"/>
      <c r="LFR162" s="4"/>
      <c r="LFS162" s="4"/>
      <c r="LFT162" s="4"/>
      <c r="LFU162" s="4"/>
      <c r="LFV162" s="4"/>
      <c r="LFW162" s="4"/>
      <c r="LFX162" s="4"/>
      <c r="LFY162" s="4"/>
      <c r="LFZ162" s="4"/>
      <c r="LGA162" s="4"/>
      <c r="LGB162" s="4"/>
      <c r="LGC162" s="4"/>
      <c r="LGD162" s="4"/>
      <c r="LGE162" s="4"/>
      <c r="LGF162" s="4"/>
      <c r="LGG162" s="4"/>
      <c r="LGH162" s="4"/>
      <c r="LGI162" s="4"/>
      <c r="LGJ162" s="4"/>
      <c r="LGK162" s="4"/>
      <c r="LGL162" s="4"/>
      <c r="LGM162" s="4"/>
      <c r="LGN162" s="4"/>
      <c r="LGO162" s="4"/>
      <c r="LGP162" s="4"/>
      <c r="LGQ162" s="4"/>
      <c r="LGR162" s="4"/>
      <c r="LGS162" s="4"/>
      <c r="LGT162" s="4"/>
      <c r="LGU162" s="4"/>
      <c r="LGV162" s="4"/>
      <c r="LGW162" s="4"/>
      <c r="LGX162" s="4"/>
      <c r="LGY162" s="4"/>
      <c r="LGZ162" s="4"/>
      <c r="LHA162" s="4"/>
      <c r="LHB162" s="4"/>
      <c r="LHC162" s="4"/>
      <c r="LHD162" s="4"/>
      <c r="LHE162" s="4"/>
      <c r="LHF162" s="4"/>
      <c r="LHG162" s="4"/>
      <c r="LHH162" s="4"/>
      <c r="LHI162" s="4"/>
      <c r="LHJ162" s="4"/>
      <c r="LHK162" s="4"/>
      <c r="LHL162" s="4"/>
      <c r="LHM162" s="4"/>
      <c r="LHN162" s="4"/>
      <c r="LHO162" s="4"/>
      <c r="LHP162" s="4"/>
      <c r="LHQ162" s="4"/>
      <c r="LHR162" s="4"/>
      <c r="LHS162" s="4"/>
      <c r="LHT162" s="4"/>
      <c r="LHU162" s="4"/>
      <c r="LHV162" s="4"/>
      <c r="LHW162" s="4"/>
      <c r="LHX162" s="4"/>
      <c r="LHY162" s="4"/>
      <c r="LHZ162" s="4"/>
      <c r="LIA162" s="4"/>
      <c r="LIB162" s="4"/>
      <c r="LIC162" s="4"/>
      <c r="LID162" s="4"/>
      <c r="LIE162" s="4"/>
      <c r="LIF162" s="4"/>
      <c r="LIG162" s="4"/>
      <c r="LIH162" s="4"/>
      <c r="LII162" s="4"/>
      <c r="LIJ162" s="4"/>
      <c r="LIK162" s="4"/>
      <c r="LIL162" s="4"/>
      <c r="LIM162" s="4"/>
      <c r="LIN162" s="4"/>
      <c r="LIO162" s="4"/>
      <c r="LIP162" s="4"/>
      <c r="LIQ162" s="4"/>
      <c r="LIR162" s="4"/>
      <c r="LIS162" s="4"/>
      <c r="LIT162" s="4"/>
      <c r="LIU162" s="4"/>
      <c r="LIV162" s="4"/>
      <c r="LIW162" s="4"/>
      <c r="LIX162" s="4"/>
      <c r="LIY162" s="4"/>
      <c r="LIZ162" s="4"/>
      <c r="LJA162" s="4"/>
      <c r="LJB162" s="4"/>
      <c r="LJC162" s="4"/>
      <c r="LJD162" s="4"/>
      <c r="LJE162" s="4"/>
      <c r="LJF162" s="4"/>
      <c r="LJG162" s="4"/>
      <c r="LJH162" s="4"/>
      <c r="LJI162" s="4"/>
      <c r="LJJ162" s="4"/>
      <c r="LJK162" s="4"/>
      <c r="LJL162" s="4"/>
      <c r="LJM162" s="4"/>
      <c r="LJN162" s="4"/>
      <c r="LJO162" s="4"/>
      <c r="LJP162" s="4"/>
      <c r="LJQ162" s="4"/>
      <c r="LJR162" s="4"/>
      <c r="LJS162" s="4"/>
      <c r="LJT162" s="4"/>
      <c r="LJU162" s="4"/>
      <c r="LJV162" s="4"/>
      <c r="LJW162" s="4"/>
      <c r="LJX162" s="4"/>
      <c r="LJY162" s="4"/>
      <c r="LJZ162" s="4"/>
      <c r="LKA162" s="4"/>
      <c r="LKB162" s="4"/>
      <c r="LKC162" s="4"/>
      <c r="LKD162" s="4"/>
      <c r="LKE162" s="4"/>
      <c r="LKF162" s="4"/>
      <c r="LKG162" s="4"/>
      <c r="LKH162" s="4"/>
      <c r="LKI162" s="4"/>
      <c r="LKJ162" s="4"/>
      <c r="LKK162" s="4"/>
      <c r="LKL162" s="4"/>
      <c r="LKM162" s="4"/>
      <c r="LKN162" s="4"/>
      <c r="LKO162" s="4"/>
      <c r="LKP162" s="4"/>
      <c r="LKQ162" s="4"/>
      <c r="LKR162" s="4"/>
      <c r="LKS162" s="4"/>
      <c r="LKT162" s="4"/>
      <c r="LKU162" s="4"/>
      <c r="LKV162" s="4"/>
      <c r="LKW162" s="4"/>
      <c r="LKX162" s="4"/>
      <c r="LKY162" s="4"/>
      <c r="LKZ162" s="4"/>
      <c r="LLA162" s="4"/>
      <c r="LLB162" s="4"/>
      <c r="LLC162" s="4"/>
      <c r="LLD162" s="4"/>
      <c r="LLE162" s="4"/>
      <c r="LLF162" s="4"/>
      <c r="LLG162" s="4"/>
      <c r="LLH162" s="4"/>
      <c r="LLI162" s="4"/>
      <c r="LLJ162" s="4"/>
      <c r="LLK162" s="4"/>
      <c r="LLL162" s="4"/>
      <c r="LLM162" s="4"/>
      <c r="LLN162" s="4"/>
      <c r="LLO162" s="4"/>
      <c r="LLP162" s="4"/>
      <c r="LLQ162" s="4"/>
      <c r="LLR162" s="4"/>
      <c r="LLS162" s="4"/>
      <c r="LLT162" s="4"/>
      <c r="LLU162" s="4"/>
      <c r="LLV162" s="4"/>
      <c r="LLW162" s="4"/>
      <c r="LLX162" s="4"/>
      <c r="LLY162" s="4"/>
      <c r="LLZ162" s="4"/>
      <c r="LMA162" s="4"/>
      <c r="LMB162" s="4"/>
      <c r="LMC162" s="4"/>
      <c r="LMD162" s="4"/>
      <c r="LME162" s="4"/>
      <c r="LMF162" s="4"/>
      <c r="LMG162" s="4"/>
      <c r="LMH162" s="4"/>
      <c r="LMI162" s="4"/>
      <c r="LMJ162" s="4"/>
      <c r="LMK162" s="4"/>
      <c r="LML162" s="4"/>
      <c r="LMM162" s="4"/>
      <c r="LMN162" s="4"/>
      <c r="LMO162" s="4"/>
      <c r="LMP162" s="4"/>
      <c r="LMQ162" s="4"/>
      <c r="LMR162" s="4"/>
      <c r="LMS162" s="4"/>
      <c r="LMT162" s="4"/>
      <c r="LMU162" s="4"/>
      <c r="LMV162" s="4"/>
      <c r="LMW162" s="4"/>
      <c r="LMX162" s="4"/>
      <c r="LMY162" s="4"/>
      <c r="LMZ162" s="4"/>
      <c r="LNA162" s="4"/>
      <c r="LNB162" s="4"/>
      <c r="LNC162" s="4"/>
      <c r="LND162" s="4"/>
      <c r="LNE162" s="4"/>
      <c r="LNF162" s="4"/>
      <c r="LNG162" s="4"/>
      <c r="LNH162" s="4"/>
      <c r="LNI162" s="4"/>
      <c r="LNJ162" s="4"/>
      <c r="LNK162" s="4"/>
      <c r="LNL162" s="4"/>
      <c r="LNM162" s="4"/>
      <c r="LNN162" s="4"/>
      <c r="LNO162" s="4"/>
      <c r="LNP162" s="4"/>
      <c r="LNQ162" s="4"/>
      <c r="LNR162" s="4"/>
      <c r="LNS162" s="4"/>
      <c r="LNT162" s="4"/>
      <c r="LNU162" s="4"/>
      <c r="LNV162" s="4"/>
      <c r="LNW162" s="4"/>
      <c r="LNX162" s="4"/>
      <c r="LNY162" s="4"/>
      <c r="LNZ162" s="4"/>
      <c r="LOA162" s="4"/>
      <c r="LOB162" s="4"/>
      <c r="LOC162" s="4"/>
      <c r="LOD162" s="4"/>
      <c r="LOE162" s="4"/>
      <c r="LOF162" s="4"/>
      <c r="LOG162" s="4"/>
      <c r="LOH162" s="4"/>
      <c r="LOI162" s="4"/>
      <c r="LOJ162" s="4"/>
      <c r="LOK162" s="4"/>
      <c r="LOL162" s="4"/>
      <c r="LOM162" s="4"/>
      <c r="LON162" s="4"/>
      <c r="LOO162" s="4"/>
      <c r="LOP162" s="4"/>
      <c r="LOQ162" s="4"/>
      <c r="LOR162" s="4"/>
      <c r="LOS162" s="4"/>
      <c r="LOT162" s="4"/>
      <c r="LOU162" s="4"/>
      <c r="LOV162" s="4"/>
      <c r="LOW162" s="4"/>
      <c r="LOX162" s="4"/>
      <c r="LOY162" s="4"/>
      <c r="LOZ162" s="4"/>
      <c r="LPA162" s="4"/>
      <c r="LPB162" s="4"/>
      <c r="LPC162" s="4"/>
      <c r="LPD162" s="4"/>
      <c r="LPE162" s="4"/>
      <c r="LPF162" s="4"/>
      <c r="LPG162" s="4"/>
      <c r="LPH162" s="4"/>
      <c r="LPI162" s="4"/>
      <c r="LPJ162" s="4"/>
      <c r="LPK162" s="4"/>
      <c r="LPL162" s="4"/>
      <c r="LPM162" s="4"/>
      <c r="LPN162" s="4"/>
      <c r="LPO162" s="4"/>
      <c r="LPP162" s="4"/>
      <c r="LPQ162" s="4"/>
      <c r="LPR162" s="4"/>
      <c r="LPS162" s="4"/>
      <c r="LPT162" s="4"/>
      <c r="LPU162" s="4"/>
      <c r="LPV162" s="4"/>
      <c r="LPW162" s="4"/>
      <c r="LPX162" s="4"/>
      <c r="LPY162" s="4"/>
      <c r="LPZ162" s="4"/>
      <c r="LQA162" s="4"/>
      <c r="LQB162" s="4"/>
      <c r="LQC162" s="4"/>
      <c r="LQD162" s="4"/>
      <c r="LQE162" s="4"/>
      <c r="LQF162" s="4"/>
      <c r="LQG162" s="4"/>
      <c r="LQH162" s="4"/>
      <c r="LQI162" s="4"/>
      <c r="LQJ162" s="4"/>
      <c r="LQK162" s="4"/>
      <c r="LQL162" s="4"/>
      <c r="LQM162" s="4"/>
      <c r="LQN162" s="4"/>
      <c r="LQO162" s="4"/>
      <c r="LQP162" s="4"/>
      <c r="LQQ162" s="4"/>
      <c r="LQR162" s="4"/>
      <c r="LQS162" s="4"/>
      <c r="LQT162" s="4"/>
      <c r="LQU162" s="4"/>
      <c r="LQV162" s="4"/>
      <c r="LQW162" s="4"/>
      <c r="LQX162" s="4"/>
      <c r="LQY162" s="4"/>
      <c r="LQZ162" s="4"/>
      <c r="LRA162" s="4"/>
      <c r="LRB162" s="4"/>
      <c r="LRC162" s="4"/>
      <c r="LRD162" s="4"/>
      <c r="LRE162" s="4"/>
      <c r="LRF162" s="4"/>
      <c r="LRG162" s="4"/>
      <c r="LRH162" s="4"/>
      <c r="LRI162" s="4"/>
      <c r="LRJ162" s="4"/>
      <c r="LRK162" s="4"/>
      <c r="LRL162" s="4"/>
      <c r="LRM162" s="4"/>
      <c r="LRN162" s="4"/>
      <c r="LRO162" s="4"/>
      <c r="LRP162" s="4"/>
      <c r="LRQ162" s="4"/>
      <c r="LRR162" s="4"/>
      <c r="LRS162" s="4"/>
      <c r="LRT162" s="4"/>
      <c r="LRU162" s="4"/>
      <c r="LRV162" s="4"/>
      <c r="LRW162" s="4"/>
      <c r="LRX162" s="4"/>
      <c r="LRY162" s="4"/>
      <c r="LRZ162" s="4"/>
      <c r="LSA162" s="4"/>
      <c r="LSB162" s="4"/>
      <c r="LSC162" s="4"/>
      <c r="LSD162" s="4"/>
      <c r="LSE162" s="4"/>
      <c r="LSF162" s="4"/>
      <c r="LSG162" s="4"/>
      <c r="LSH162" s="4"/>
      <c r="LSI162" s="4"/>
      <c r="LSJ162" s="4"/>
      <c r="LSK162" s="4"/>
      <c r="LSL162" s="4"/>
      <c r="LSM162" s="4"/>
      <c r="LSN162" s="4"/>
      <c r="LSO162" s="4"/>
      <c r="LSP162" s="4"/>
      <c r="LSQ162" s="4"/>
      <c r="LSR162" s="4"/>
      <c r="LSS162" s="4"/>
      <c r="LST162" s="4"/>
      <c r="LSU162" s="4"/>
      <c r="LSV162" s="4"/>
      <c r="LSW162" s="4"/>
      <c r="LSX162" s="4"/>
      <c r="LSY162" s="4"/>
      <c r="LSZ162" s="4"/>
      <c r="LTA162" s="4"/>
      <c r="LTB162" s="4"/>
      <c r="LTC162" s="4"/>
      <c r="LTD162" s="4"/>
      <c r="LTE162" s="4"/>
      <c r="LTF162" s="4"/>
      <c r="LTG162" s="4"/>
      <c r="LTH162" s="4"/>
      <c r="LTI162" s="4"/>
      <c r="LTJ162" s="4"/>
      <c r="LTK162" s="4"/>
      <c r="LTL162" s="4"/>
      <c r="LTM162" s="4"/>
      <c r="LTN162" s="4"/>
      <c r="LTO162" s="4"/>
      <c r="LTP162" s="4"/>
      <c r="LTQ162" s="4"/>
      <c r="LTR162" s="4"/>
      <c r="LTS162" s="4"/>
      <c r="LTT162" s="4"/>
      <c r="LTU162" s="4"/>
      <c r="LTV162" s="4"/>
      <c r="LTW162" s="4"/>
      <c r="LTX162" s="4"/>
      <c r="LTY162" s="4"/>
      <c r="LTZ162" s="4"/>
      <c r="LUA162" s="4"/>
      <c r="LUB162" s="4"/>
      <c r="LUC162" s="4"/>
      <c r="LUD162" s="4"/>
      <c r="LUE162" s="4"/>
      <c r="LUF162" s="4"/>
      <c r="LUG162" s="4"/>
      <c r="LUH162" s="4"/>
      <c r="LUI162" s="4"/>
      <c r="LUJ162" s="4"/>
      <c r="LUK162" s="4"/>
      <c r="LUL162" s="4"/>
      <c r="LUM162" s="4"/>
      <c r="LUN162" s="4"/>
      <c r="LUO162" s="4"/>
      <c r="LUP162" s="4"/>
      <c r="LUQ162" s="4"/>
      <c r="LUR162" s="4"/>
      <c r="LUS162" s="4"/>
      <c r="LUT162" s="4"/>
      <c r="LUU162" s="4"/>
      <c r="LUV162" s="4"/>
      <c r="LUW162" s="4"/>
      <c r="LUX162" s="4"/>
      <c r="LUY162" s="4"/>
      <c r="LUZ162" s="4"/>
      <c r="LVA162" s="4"/>
      <c r="LVB162" s="4"/>
      <c r="LVC162" s="4"/>
      <c r="LVD162" s="4"/>
      <c r="LVE162" s="4"/>
      <c r="LVF162" s="4"/>
      <c r="LVG162" s="4"/>
      <c r="LVH162" s="4"/>
      <c r="LVI162" s="4"/>
      <c r="LVJ162" s="4"/>
      <c r="LVK162" s="4"/>
      <c r="LVL162" s="4"/>
      <c r="LVM162" s="4"/>
      <c r="LVN162" s="4"/>
      <c r="LVO162" s="4"/>
      <c r="LVP162" s="4"/>
      <c r="LVQ162" s="4"/>
      <c r="LVR162" s="4"/>
      <c r="LVS162" s="4"/>
      <c r="LVT162" s="4"/>
      <c r="LVU162" s="4"/>
      <c r="LVV162" s="4"/>
      <c r="LVW162" s="4"/>
      <c r="LVX162" s="4"/>
      <c r="LVY162" s="4"/>
      <c r="LVZ162" s="4"/>
      <c r="LWA162" s="4"/>
      <c r="LWB162" s="4"/>
      <c r="LWC162" s="4"/>
      <c r="LWD162" s="4"/>
      <c r="LWE162" s="4"/>
      <c r="LWF162" s="4"/>
      <c r="LWG162" s="4"/>
      <c r="LWH162" s="4"/>
      <c r="LWI162" s="4"/>
      <c r="LWJ162" s="4"/>
      <c r="LWK162" s="4"/>
      <c r="LWL162" s="4"/>
      <c r="LWM162" s="4"/>
      <c r="LWN162" s="4"/>
      <c r="LWO162" s="4"/>
      <c r="LWP162" s="4"/>
      <c r="LWQ162" s="4"/>
      <c r="LWR162" s="4"/>
      <c r="LWS162" s="4"/>
      <c r="LWT162" s="4"/>
      <c r="LWU162" s="4"/>
      <c r="LWV162" s="4"/>
      <c r="LWW162" s="4"/>
      <c r="LWX162" s="4"/>
      <c r="LWY162" s="4"/>
      <c r="LWZ162" s="4"/>
      <c r="LXA162" s="4"/>
      <c r="LXB162" s="4"/>
      <c r="LXC162" s="4"/>
      <c r="LXD162" s="4"/>
      <c r="LXE162" s="4"/>
      <c r="LXF162" s="4"/>
      <c r="LXG162" s="4"/>
      <c r="LXH162" s="4"/>
      <c r="LXI162" s="4"/>
      <c r="LXJ162" s="4"/>
      <c r="LXK162" s="4"/>
      <c r="LXL162" s="4"/>
      <c r="LXM162" s="4"/>
      <c r="LXN162" s="4"/>
      <c r="LXO162" s="4"/>
      <c r="LXP162" s="4"/>
      <c r="LXQ162" s="4"/>
      <c r="LXR162" s="4"/>
      <c r="LXS162" s="4"/>
      <c r="LXT162" s="4"/>
      <c r="LXU162" s="4"/>
      <c r="LXV162" s="4"/>
      <c r="LXW162" s="4"/>
      <c r="LXX162" s="4"/>
      <c r="LXY162" s="4"/>
      <c r="LXZ162" s="4"/>
      <c r="LYA162" s="4"/>
      <c r="LYB162" s="4"/>
      <c r="LYC162" s="4"/>
      <c r="LYD162" s="4"/>
      <c r="LYE162" s="4"/>
      <c r="LYF162" s="4"/>
      <c r="LYG162" s="4"/>
      <c r="LYH162" s="4"/>
      <c r="LYI162" s="4"/>
      <c r="LYJ162" s="4"/>
      <c r="LYK162" s="4"/>
      <c r="LYL162" s="4"/>
      <c r="LYM162" s="4"/>
      <c r="LYN162" s="4"/>
      <c r="LYO162" s="4"/>
      <c r="LYP162" s="4"/>
      <c r="LYQ162" s="4"/>
      <c r="LYR162" s="4"/>
      <c r="LYS162" s="4"/>
      <c r="LYT162" s="4"/>
      <c r="LYU162" s="4"/>
      <c r="LYV162" s="4"/>
      <c r="LYW162" s="4"/>
      <c r="LYX162" s="4"/>
      <c r="LYY162" s="4"/>
      <c r="LYZ162" s="4"/>
      <c r="LZA162" s="4"/>
      <c r="LZB162" s="4"/>
      <c r="LZC162" s="4"/>
      <c r="LZD162" s="4"/>
      <c r="LZE162" s="4"/>
      <c r="LZF162" s="4"/>
      <c r="LZG162" s="4"/>
      <c r="LZH162" s="4"/>
      <c r="LZI162" s="4"/>
      <c r="LZJ162" s="4"/>
      <c r="LZK162" s="4"/>
      <c r="LZL162" s="4"/>
      <c r="LZM162" s="4"/>
      <c r="LZN162" s="4"/>
      <c r="LZO162" s="4"/>
      <c r="LZP162" s="4"/>
      <c r="LZQ162" s="4"/>
      <c r="LZR162" s="4"/>
      <c r="LZS162" s="4"/>
      <c r="LZT162" s="4"/>
      <c r="LZU162" s="4"/>
      <c r="LZV162" s="4"/>
      <c r="LZW162" s="4"/>
      <c r="LZX162" s="4"/>
      <c r="LZY162" s="4"/>
      <c r="LZZ162" s="4"/>
      <c r="MAA162" s="4"/>
      <c r="MAB162" s="4"/>
      <c r="MAC162" s="4"/>
      <c r="MAD162" s="4"/>
      <c r="MAE162" s="4"/>
      <c r="MAF162" s="4"/>
      <c r="MAG162" s="4"/>
      <c r="MAH162" s="4"/>
      <c r="MAI162" s="4"/>
      <c r="MAJ162" s="4"/>
      <c r="MAK162" s="4"/>
      <c r="MAL162" s="4"/>
      <c r="MAM162" s="4"/>
      <c r="MAN162" s="4"/>
      <c r="MAO162" s="4"/>
      <c r="MAP162" s="4"/>
      <c r="MAQ162" s="4"/>
      <c r="MAR162" s="4"/>
      <c r="MAS162" s="4"/>
      <c r="MAT162" s="4"/>
      <c r="MAU162" s="4"/>
      <c r="MAV162" s="4"/>
      <c r="MAW162" s="4"/>
      <c r="MAX162" s="4"/>
      <c r="MAY162" s="4"/>
      <c r="MAZ162" s="4"/>
      <c r="MBA162" s="4"/>
      <c r="MBB162" s="4"/>
      <c r="MBC162" s="4"/>
      <c r="MBD162" s="4"/>
      <c r="MBE162" s="4"/>
      <c r="MBF162" s="4"/>
      <c r="MBG162" s="4"/>
      <c r="MBH162" s="4"/>
      <c r="MBI162" s="4"/>
      <c r="MBJ162" s="4"/>
      <c r="MBK162" s="4"/>
      <c r="MBL162" s="4"/>
      <c r="MBM162" s="4"/>
      <c r="MBN162" s="4"/>
      <c r="MBO162" s="4"/>
      <c r="MBP162" s="4"/>
      <c r="MBQ162" s="4"/>
      <c r="MBR162" s="4"/>
      <c r="MBS162" s="4"/>
      <c r="MBT162" s="4"/>
      <c r="MBU162" s="4"/>
      <c r="MBV162" s="4"/>
      <c r="MBW162" s="4"/>
      <c r="MBX162" s="4"/>
      <c r="MBY162" s="4"/>
      <c r="MBZ162" s="4"/>
      <c r="MCA162" s="4"/>
      <c r="MCB162" s="4"/>
      <c r="MCC162" s="4"/>
      <c r="MCD162" s="4"/>
      <c r="MCE162" s="4"/>
      <c r="MCF162" s="4"/>
      <c r="MCG162" s="4"/>
      <c r="MCH162" s="4"/>
      <c r="MCI162" s="4"/>
      <c r="MCJ162" s="4"/>
      <c r="MCK162" s="4"/>
      <c r="MCL162" s="4"/>
      <c r="MCM162" s="4"/>
      <c r="MCN162" s="4"/>
      <c r="MCO162" s="4"/>
      <c r="MCP162" s="4"/>
      <c r="MCQ162" s="4"/>
      <c r="MCR162" s="4"/>
      <c r="MCS162" s="4"/>
      <c r="MCT162" s="4"/>
      <c r="MCU162" s="4"/>
      <c r="MCV162" s="4"/>
      <c r="MCW162" s="4"/>
      <c r="MCX162" s="4"/>
      <c r="MCY162" s="4"/>
      <c r="MCZ162" s="4"/>
      <c r="MDA162" s="4"/>
      <c r="MDB162" s="4"/>
      <c r="MDC162" s="4"/>
      <c r="MDD162" s="4"/>
      <c r="MDE162" s="4"/>
      <c r="MDF162" s="4"/>
      <c r="MDG162" s="4"/>
      <c r="MDH162" s="4"/>
      <c r="MDI162" s="4"/>
      <c r="MDJ162" s="4"/>
      <c r="MDK162" s="4"/>
      <c r="MDL162" s="4"/>
      <c r="MDM162" s="4"/>
      <c r="MDN162" s="4"/>
      <c r="MDO162" s="4"/>
      <c r="MDP162" s="4"/>
      <c r="MDQ162" s="4"/>
      <c r="MDR162" s="4"/>
      <c r="MDS162" s="4"/>
      <c r="MDT162" s="4"/>
      <c r="MDU162" s="4"/>
      <c r="MDV162" s="4"/>
      <c r="MDW162" s="4"/>
      <c r="MDX162" s="4"/>
      <c r="MDY162" s="4"/>
      <c r="MDZ162" s="4"/>
      <c r="MEA162" s="4"/>
      <c r="MEB162" s="4"/>
      <c r="MEC162" s="4"/>
      <c r="MED162" s="4"/>
      <c r="MEE162" s="4"/>
      <c r="MEF162" s="4"/>
      <c r="MEG162" s="4"/>
      <c r="MEH162" s="4"/>
      <c r="MEI162" s="4"/>
      <c r="MEJ162" s="4"/>
      <c r="MEK162" s="4"/>
      <c r="MEL162" s="4"/>
      <c r="MEM162" s="4"/>
      <c r="MEN162" s="4"/>
      <c r="MEO162" s="4"/>
      <c r="MEP162" s="4"/>
      <c r="MEQ162" s="4"/>
      <c r="MER162" s="4"/>
      <c r="MES162" s="4"/>
      <c r="MET162" s="4"/>
      <c r="MEU162" s="4"/>
      <c r="MEV162" s="4"/>
      <c r="MEW162" s="4"/>
      <c r="MEX162" s="4"/>
      <c r="MEY162" s="4"/>
      <c r="MEZ162" s="4"/>
      <c r="MFA162" s="4"/>
      <c r="MFB162" s="4"/>
      <c r="MFC162" s="4"/>
      <c r="MFD162" s="4"/>
      <c r="MFE162" s="4"/>
      <c r="MFF162" s="4"/>
      <c r="MFG162" s="4"/>
      <c r="MFH162" s="4"/>
      <c r="MFI162" s="4"/>
      <c r="MFJ162" s="4"/>
      <c r="MFK162" s="4"/>
      <c r="MFL162" s="4"/>
      <c r="MFM162" s="4"/>
      <c r="MFN162" s="4"/>
      <c r="MFO162" s="4"/>
      <c r="MFP162" s="4"/>
      <c r="MFQ162" s="4"/>
      <c r="MFR162" s="4"/>
      <c r="MFS162" s="4"/>
      <c r="MFT162" s="4"/>
      <c r="MFU162" s="4"/>
      <c r="MFV162" s="4"/>
      <c r="MFW162" s="4"/>
      <c r="MFX162" s="4"/>
      <c r="MFY162" s="4"/>
      <c r="MFZ162" s="4"/>
      <c r="MGA162" s="4"/>
      <c r="MGB162" s="4"/>
      <c r="MGC162" s="4"/>
      <c r="MGD162" s="4"/>
      <c r="MGE162" s="4"/>
      <c r="MGF162" s="4"/>
      <c r="MGG162" s="4"/>
      <c r="MGH162" s="4"/>
      <c r="MGI162" s="4"/>
      <c r="MGJ162" s="4"/>
      <c r="MGK162" s="4"/>
      <c r="MGL162" s="4"/>
      <c r="MGM162" s="4"/>
      <c r="MGN162" s="4"/>
      <c r="MGO162" s="4"/>
      <c r="MGP162" s="4"/>
      <c r="MGQ162" s="4"/>
      <c r="MGR162" s="4"/>
      <c r="MGS162" s="4"/>
      <c r="MGT162" s="4"/>
      <c r="MGU162" s="4"/>
      <c r="MGV162" s="4"/>
      <c r="MGW162" s="4"/>
      <c r="MGX162" s="4"/>
      <c r="MGY162" s="4"/>
      <c r="MGZ162" s="4"/>
      <c r="MHA162" s="4"/>
      <c r="MHB162" s="4"/>
      <c r="MHC162" s="4"/>
      <c r="MHD162" s="4"/>
      <c r="MHE162" s="4"/>
      <c r="MHF162" s="4"/>
      <c r="MHG162" s="4"/>
      <c r="MHH162" s="4"/>
      <c r="MHI162" s="4"/>
      <c r="MHJ162" s="4"/>
      <c r="MHK162" s="4"/>
      <c r="MHL162" s="4"/>
      <c r="MHM162" s="4"/>
      <c r="MHN162" s="4"/>
      <c r="MHO162" s="4"/>
      <c r="MHP162" s="4"/>
      <c r="MHQ162" s="4"/>
      <c r="MHR162" s="4"/>
      <c r="MHS162" s="4"/>
      <c r="MHT162" s="4"/>
      <c r="MHU162" s="4"/>
      <c r="MHV162" s="4"/>
      <c r="MHW162" s="4"/>
      <c r="MHX162" s="4"/>
      <c r="MHY162" s="4"/>
      <c r="MHZ162" s="4"/>
      <c r="MIA162" s="4"/>
      <c r="MIB162" s="4"/>
      <c r="MIC162" s="4"/>
      <c r="MID162" s="4"/>
      <c r="MIE162" s="4"/>
      <c r="MIF162" s="4"/>
      <c r="MIG162" s="4"/>
      <c r="MIH162" s="4"/>
      <c r="MII162" s="4"/>
      <c r="MIJ162" s="4"/>
      <c r="MIK162" s="4"/>
      <c r="MIL162" s="4"/>
      <c r="MIM162" s="4"/>
      <c r="MIN162" s="4"/>
      <c r="MIO162" s="4"/>
      <c r="MIP162" s="4"/>
      <c r="MIQ162" s="4"/>
      <c r="MIR162" s="4"/>
      <c r="MIS162" s="4"/>
      <c r="MIT162" s="4"/>
      <c r="MIU162" s="4"/>
      <c r="MIV162" s="4"/>
      <c r="MIW162" s="4"/>
      <c r="MIX162" s="4"/>
      <c r="MIY162" s="4"/>
      <c r="MIZ162" s="4"/>
      <c r="MJA162" s="4"/>
      <c r="MJB162" s="4"/>
      <c r="MJC162" s="4"/>
      <c r="MJD162" s="4"/>
      <c r="MJE162" s="4"/>
      <c r="MJF162" s="4"/>
      <c r="MJG162" s="4"/>
      <c r="MJH162" s="4"/>
      <c r="MJI162" s="4"/>
      <c r="MJJ162" s="4"/>
      <c r="MJK162" s="4"/>
      <c r="MJL162" s="4"/>
      <c r="MJM162" s="4"/>
      <c r="MJN162" s="4"/>
      <c r="MJO162" s="4"/>
      <c r="MJP162" s="4"/>
      <c r="MJQ162" s="4"/>
      <c r="MJR162" s="4"/>
      <c r="MJS162" s="4"/>
      <c r="MJT162" s="4"/>
      <c r="MJU162" s="4"/>
      <c r="MJV162" s="4"/>
      <c r="MJW162" s="4"/>
      <c r="MJX162" s="4"/>
      <c r="MJY162" s="4"/>
      <c r="MJZ162" s="4"/>
      <c r="MKA162" s="4"/>
      <c r="MKB162" s="4"/>
      <c r="MKC162" s="4"/>
      <c r="MKD162" s="4"/>
      <c r="MKE162" s="4"/>
      <c r="MKF162" s="4"/>
      <c r="MKG162" s="4"/>
      <c r="MKH162" s="4"/>
      <c r="MKI162" s="4"/>
      <c r="MKJ162" s="4"/>
      <c r="MKK162" s="4"/>
      <c r="MKL162" s="4"/>
      <c r="MKM162" s="4"/>
      <c r="MKN162" s="4"/>
      <c r="MKO162" s="4"/>
      <c r="MKP162" s="4"/>
      <c r="MKQ162" s="4"/>
      <c r="MKR162" s="4"/>
      <c r="MKS162" s="4"/>
      <c r="MKT162" s="4"/>
      <c r="MKU162" s="4"/>
      <c r="MKV162" s="4"/>
      <c r="MKW162" s="4"/>
      <c r="MKX162" s="4"/>
      <c r="MKY162" s="4"/>
      <c r="MKZ162" s="4"/>
      <c r="MLA162" s="4"/>
      <c r="MLB162" s="4"/>
      <c r="MLC162" s="4"/>
      <c r="MLD162" s="4"/>
      <c r="MLE162" s="4"/>
      <c r="MLF162" s="4"/>
      <c r="MLG162" s="4"/>
      <c r="MLH162" s="4"/>
      <c r="MLI162" s="4"/>
      <c r="MLJ162" s="4"/>
      <c r="MLK162" s="4"/>
      <c r="MLL162" s="4"/>
      <c r="MLM162" s="4"/>
      <c r="MLN162" s="4"/>
      <c r="MLO162" s="4"/>
      <c r="MLP162" s="4"/>
      <c r="MLQ162" s="4"/>
      <c r="MLR162" s="4"/>
      <c r="MLS162" s="4"/>
      <c r="MLT162" s="4"/>
      <c r="MLU162" s="4"/>
      <c r="MLV162" s="4"/>
      <c r="MLW162" s="4"/>
      <c r="MLX162" s="4"/>
      <c r="MLY162" s="4"/>
      <c r="MLZ162" s="4"/>
      <c r="MMA162" s="4"/>
      <c r="MMB162" s="4"/>
      <c r="MMC162" s="4"/>
      <c r="MMD162" s="4"/>
      <c r="MME162" s="4"/>
      <c r="MMF162" s="4"/>
      <c r="MMG162" s="4"/>
      <c r="MMH162" s="4"/>
      <c r="MMI162" s="4"/>
      <c r="MMJ162" s="4"/>
      <c r="MMK162" s="4"/>
      <c r="MML162" s="4"/>
      <c r="MMM162" s="4"/>
      <c r="MMN162" s="4"/>
      <c r="MMO162" s="4"/>
      <c r="MMP162" s="4"/>
      <c r="MMQ162" s="4"/>
      <c r="MMR162" s="4"/>
      <c r="MMS162" s="4"/>
      <c r="MMT162" s="4"/>
      <c r="MMU162" s="4"/>
      <c r="MMV162" s="4"/>
      <c r="MMW162" s="4"/>
      <c r="MMX162" s="4"/>
      <c r="MMY162" s="4"/>
      <c r="MMZ162" s="4"/>
      <c r="MNA162" s="4"/>
      <c r="MNB162" s="4"/>
      <c r="MNC162" s="4"/>
      <c r="MND162" s="4"/>
      <c r="MNE162" s="4"/>
      <c r="MNF162" s="4"/>
      <c r="MNG162" s="4"/>
      <c r="MNH162" s="4"/>
      <c r="MNI162" s="4"/>
      <c r="MNJ162" s="4"/>
      <c r="MNK162" s="4"/>
      <c r="MNL162" s="4"/>
      <c r="MNM162" s="4"/>
      <c r="MNN162" s="4"/>
      <c r="MNO162" s="4"/>
      <c r="MNP162" s="4"/>
      <c r="MNQ162" s="4"/>
      <c r="MNR162" s="4"/>
      <c r="MNS162" s="4"/>
      <c r="MNT162" s="4"/>
      <c r="MNU162" s="4"/>
      <c r="MNV162" s="4"/>
      <c r="MNW162" s="4"/>
      <c r="MNX162" s="4"/>
      <c r="MNY162" s="4"/>
      <c r="MNZ162" s="4"/>
      <c r="MOA162" s="4"/>
      <c r="MOB162" s="4"/>
      <c r="MOC162" s="4"/>
      <c r="MOD162" s="4"/>
      <c r="MOE162" s="4"/>
      <c r="MOF162" s="4"/>
      <c r="MOG162" s="4"/>
      <c r="MOH162" s="4"/>
      <c r="MOI162" s="4"/>
      <c r="MOJ162" s="4"/>
      <c r="MOK162" s="4"/>
      <c r="MOL162" s="4"/>
      <c r="MOM162" s="4"/>
      <c r="MON162" s="4"/>
      <c r="MOO162" s="4"/>
      <c r="MOP162" s="4"/>
      <c r="MOQ162" s="4"/>
      <c r="MOR162" s="4"/>
      <c r="MOS162" s="4"/>
      <c r="MOT162" s="4"/>
      <c r="MOU162" s="4"/>
      <c r="MOV162" s="4"/>
      <c r="MOW162" s="4"/>
      <c r="MOX162" s="4"/>
      <c r="MOY162" s="4"/>
      <c r="MOZ162" s="4"/>
      <c r="MPA162" s="4"/>
      <c r="MPB162" s="4"/>
      <c r="MPC162" s="4"/>
      <c r="MPD162" s="4"/>
      <c r="MPE162" s="4"/>
      <c r="MPF162" s="4"/>
      <c r="MPG162" s="4"/>
      <c r="MPH162" s="4"/>
      <c r="MPI162" s="4"/>
      <c r="MPJ162" s="4"/>
      <c r="MPK162" s="4"/>
      <c r="MPL162" s="4"/>
      <c r="MPM162" s="4"/>
      <c r="MPN162" s="4"/>
      <c r="MPO162" s="4"/>
      <c r="MPP162" s="4"/>
      <c r="MPQ162" s="4"/>
      <c r="MPR162" s="4"/>
      <c r="MPS162" s="4"/>
      <c r="MPT162" s="4"/>
      <c r="MPU162" s="4"/>
      <c r="MPV162" s="4"/>
      <c r="MPW162" s="4"/>
      <c r="MPX162" s="4"/>
      <c r="MPY162" s="4"/>
      <c r="MPZ162" s="4"/>
      <c r="MQA162" s="4"/>
      <c r="MQB162" s="4"/>
      <c r="MQC162" s="4"/>
      <c r="MQD162" s="4"/>
      <c r="MQE162" s="4"/>
      <c r="MQF162" s="4"/>
      <c r="MQG162" s="4"/>
      <c r="MQH162" s="4"/>
      <c r="MQI162" s="4"/>
      <c r="MQJ162" s="4"/>
      <c r="MQK162" s="4"/>
      <c r="MQL162" s="4"/>
      <c r="MQM162" s="4"/>
      <c r="MQN162" s="4"/>
      <c r="MQO162" s="4"/>
      <c r="MQP162" s="4"/>
      <c r="MQQ162" s="4"/>
      <c r="MQR162" s="4"/>
      <c r="MQS162" s="4"/>
      <c r="MQT162" s="4"/>
      <c r="MQU162" s="4"/>
      <c r="MQV162" s="4"/>
      <c r="MQW162" s="4"/>
      <c r="MQX162" s="4"/>
      <c r="MQY162" s="4"/>
      <c r="MQZ162" s="4"/>
      <c r="MRA162" s="4"/>
      <c r="MRB162" s="4"/>
      <c r="MRC162" s="4"/>
      <c r="MRD162" s="4"/>
      <c r="MRE162" s="4"/>
      <c r="MRF162" s="4"/>
      <c r="MRG162" s="4"/>
      <c r="MRH162" s="4"/>
      <c r="MRI162" s="4"/>
      <c r="MRJ162" s="4"/>
      <c r="MRK162" s="4"/>
      <c r="MRL162" s="4"/>
      <c r="MRM162" s="4"/>
      <c r="MRN162" s="4"/>
      <c r="MRO162" s="4"/>
      <c r="MRP162" s="4"/>
      <c r="MRQ162" s="4"/>
      <c r="MRR162" s="4"/>
      <c r="MRS162" s="4"/>
      <c r="MRT162" s="4"/>
      <c r="MRU162" s="4"/>
      <c r="MRV162" s="4"/>
      <c r="MRW162" s="4"/>
      <c r="MRX162" s="4"/>
      <c r="MRY162" s="4"/>
      <c r="MRZ162" s="4"/>
      <c r="MSA162" s="4"/>
      <c r="MSB162" s="4"/>
      <c r="MSC162" s="4"/>
      <c r="MSD162" s="4"/>
      <c r="MSE162" s="4"/>
      <c r="MSF162" s="4"/>
      <c r="MSG162" s="4"/>
      <c r="MSH162" s="4"/>
      <c r="MSI162" s="4"/>
      <c r="MSJ162" s="4"/>
      <c r="MSK162" s="4"/>
      <c r="MSL162" s="4"/>
      <c r="MSM162" s="4"/>
      <c r="MSN162" s="4"/>
      <c r="MSO162" s="4"/>
      <c r="MSP162" s="4"/>
      <c r="MSQ162" s="4"/>
      <c r="MSR162" s="4"/>
      <c r="MSS162" s="4"/>
      <c r="MST162" s="4"/>
      <c r="MSU162" s="4"/>
      <c r="MSV162" s="4"/>
      <c r="MSW162" s="4"/>
      <c r="MSX162" s="4"/>
      <c r="MSY162" s="4"/>
      <c r="MSZ162" s="4"/>
      <c r="MTA162" s="4"/>
      <c r="MTB162" s="4"/>
      <c r="MTC162" s="4"/>
      <c r="MTD162" s="4"/>
      <c r="MTE162" s="4"/>
      <c r="MTF162" s="4"/>
      <c r="MTG162" s="4"/>
      <c r="MTH162" s="4"/>
      <c r="MTI162" s="4"/>
      <c r="MTJ162" s="4"/>
      <c r="MTK162" s="4"/>
      <c r="MTL162" s="4"/>
      <c r="MTM162" s="4"/>
      <c r="MTN162" s="4"/>
      <c r="MTO162" s="4"/>
      <c r="MTP162" s="4"/>
      <c r="MTQ162" s="4"/>
      <c r="MTR162" s="4"/>
      <c r="MTS162" s="4"/>
      <c r="MTT162" s="4"/>
      <c r="MTU162" s="4"/>
      <c r="MTV162" s="4"/>
      <c r="MTW162" s="4"/>
      <c r="MTX162" s="4"/>
      <c r="MTY162" s="4"/>
      <c r="MTZ162" s="4"/>
      <c r="MUA162" s="4"/>
      <c r="MUB162" s="4"/>
      <c r="MUC162" s="4"/>
      <c r="MUD162" s="4"/>
      <c r="MUE162" s="4"/>
      <c r="MUF162" s="4"/>
      <c r="MUG162" s="4"/>
      <c r="MUH162" s="4"/>
      <c r="MUI162" s="4"/>
      <c r="MUJ162" s="4"/>
      <c r="MUK162" s="4"/>
      <c r="MUL162" s="4"/>
      <c r="MUM162" s="4"/>
      <c r="MUN162" s="4"/>
      <c r="MUO162" s="4"/>
      <c r="MUP162" s="4"/>
      <c r="MUQ162" s="4"/>
      <c r="MUR162" s="4"/>
      <c r="MUS162" s="4"/>
      <c r="MUT162" s="4"/>
      <c r="MUU162" s="4"/>
      <c r="MUV162" s="4"/>
      <c r="MUW162" s="4"/>
      <c r="MUX162" s="4"/>
      <c r="MUY162" s="4"/>
      <c r="MUZ162" s="4"/>
      <c r="MVA162" s="4"/>
      <c r="MVB162" s="4"/>
      <c r="MVC162" s="4"/>
      <c r="MVD162" s="4"/>
      <c r="MVE162" s="4"/>
      <c r="MVF162" s="4"/>
      <c r="MVG162" s="4"/>
      <c r="MVH162" s="4"/>
      <c r="MVI162" s="4"/>
      <c r="MVJ162" s="4"/>
      <c r="MVK162" s="4"/>
      <c r="MVL162" s="4"/>
      <c r="MVM162" s="4"/>
      <c r="MVN162" s="4"/>
      <c r="MVO162" s="4"/>
      <c r="MVP162" s="4"/>
      <c r="MVQ162" s="4"/>
      <c r="MVR162" s="4"/>
      <c r="MVS162" s="4"/>
      <c r="MVT162" s="4"/>
      <c r="MVU162" s="4"/>
      <c r="MVV162" s="4"/>
      <c r="MVW162" s="4"/>
      <c r="MVX162" s="4"/>
      <c r="MVY162" s="4"/>
      <c r="MVZ162" s="4"/>
      <c r="MWA162" s="4"/>
      <c r="MWB162" s="4"/>
      <c r="MWC162" s="4"/>
      <c r="MWD162" s="4"/>
      <c r="MWE162" s="4"/>
      <c r="MWF162" s="4"/>
      <c r="MWG162" s="4"/>
      <c r="MWH162" s="4"/>
      <c r="MWI162" s="4"/>
      <c r="MWJ162" s="4"/>
      <c r="MWK162" s="4"/>
      <c r="MWL162" s="4"/>
      <c r="MWM162" s="4"/>
      <c r="MWN162" s="4"/>
      <c r="MWO162" s="4"/>
      <c r="MWP162" s="4"/>
      <c r="MWQ162" s="4"/>
      <c r="MWR162" s="4"/>
      <c r="MWS162" s="4"/>
      <c r="MWT162" s="4"/>
      <c r="MWU162" s="4"/>
      <c r="MWV162" s="4"/>
      <c r="MWW162" s="4"/>
      <c r="MWX162" s="4"/>
      <c r="MWY162" s="4"/>
      <c r="MWZ162" s="4"/>
      <c r="MXA162" s="4"/>
      <c r="MXB162" s="4"/>
      <c r="MXC162" s="4"/>
      <c r="MXD162" s="4"/>
      <c r="MXE162" s="4"/>
      <c r="MXF162" s="4"/>
      <c r="MXG162" s="4"/>
      <c r="MXH162" s="4"/>
      <c r="MXI162" s="4"/>
      <c r="MXJ162" s="4"/>
      <c r="MXK162" s="4"/>
      <c r="MXL162" s="4"/>
      <c r="MXM162" s="4"/>
      <c r="MXN162" s="4"/>
      <c r="MXO162" s="4"/>
      <c r="MXP162" s="4"/>
      <c r="MXQ162" s="4"/>
      <c r="MXR162" s="4"/>
      <c r="MXS162" s="4"/>
      <c r="MXT162" s="4"/>
      <c r="MXU162" s="4"/>
      <c r="MXV162" s="4"/>
      <c r="MXW162" s="4"/>
      <c r="MXX162" s="4"/>
      <c r="MXY162" s="4"/>
      <c r="MXZ162" s="4"/>
      <c r="MYA162" s="4"/>
      <c r="MYB162" s="4"/>
      <c r="MYC162" s="4"/>
      <c r="MYD162" s="4"/>
      <c r="MYE162" s="4"/>
      <c r="MYF162" s="4"/>
      <c r="MYG162" s="4"/>
      <c r="MYH162" s="4"/>
      <c r="MYI162" s="4"/>
      <c r="MYJ162" s="4"/>
      <c r="MYK162" s="4"/>
      <c r="MYL162" s="4"/>
      <c r="MYM162" s="4"/>
      <c r="MYN162" s="4"/>
      <c r="MYO162" s="4"/>
      <c r="MYP162" s="4"/>
      <c r="MYQ162" s="4"/>
      <c r="MYR162" s="4"/>
      <c r="MYS162" s="4"/>
      <c r="MYT162" s="4"/>
      <c r="MYU162" s="4"/>
      <c r="MYV162" s="4"/>
      <c r="MYW162" s="4"/>
      <c r="MYX162" s="4"/>
      <c r="MYY162" s="4"/>
      <c r="MYZ162" s="4"/>
      <c r="MZA162" s="4"/>
      <c r="MZB162" s="4"/>
      <c r="MZC162" s="4"/>
      <c r="MZD162" s="4"/>
      <c r="MZE162" s="4"/>
      <c r="MZF162" s="4"/>
      <c r="MZG162" s="4"/>
      <c r="MZH162" s="4"/>
      <c r="MZI162" s="4"/>
      <c r="MZJ162" s="4"/>
      <c r="MZK162" s="4"/>
      <c r="MZL162" s="4"/>
      <c r="MZM162" s="4"/>
      <c r="MZN162" s="4"/>
      <c r="MZO162" s="4"/>
      <c r="MZP162" s="4"/>
      <c r="MZQ162" s="4"/>
      <c r="MZR162" s="4"/>
      <c r="MZS162" s="4"/>
      <c r="MZT162" s="4"/>
      <c r="MZU162" s="4"/>
      <c r="MZV162" s="4"/>
      <c r="MZW162" s="4"/>
      <c r="MZX162" s="4"/>
      <c r="MZY162" s="4"/>
      <c r="MZZ162" s="4"/>
      <c r="NAA162" s="4"/>
      <c r="NAB162" s="4"/>
      <c r="NAC162" s="4"/>
      <c r="NAD162" s="4"/>
      <c r="NAE162" s="4"/>
      <c r="NAF162" s="4"/>
      <c r="NAG162" s="4"/>
      <c r="NAH162" s="4"/>
      <c r="NAI162" s="4"/>
      <c r="NAJ162" s="4"/>
      <c r="NAK162" s="4"/>
      <c r="NAL162" s="4"/>
      <c r="NAM162" s="4"/>
      <c r="NAN162" s="4"/>
      <c r="NAO162" s="4"/>
      <c r="NAP162" s="4"/>
      <c r="NAQ162" s="4"/>
      <c r="NAR162" s="4"/>
      <c r="NAS162" s="4"/>
      <c r="NAT162" s="4"/>
      <c r="NAU162" s="4"/>
      <c r="NAV162" s="4"/>
      <c r="NAW162" s="4"/>
      <c r="NAX162" s="4"/>
      <c r="NAY162" s="4"/>
      <c r="NAZ162" s="4"/>
      <c r="NBA162" s="4"/>
      <c r="NBB162" s="4"/>
      <c r="NBC162" s="4"/>
      <c r="NBD162" s="4"/>
      <c r="NBE162" s="4"/>
      <c r="NBF162" s="4"/>
      <c r="NBG162" s="4"/>
      <c r="NBH162" s="4"/>
      <c r="NBI162" s="4"/>
      <c r="NBJ162" s="4"/>
      <c r="NBK162" s="4"/>
      <c r="NBL162" s="4"/>
      <c r="NBM162" s="4"/>
      <c r="NBN162" s="4"/>
      <c r="NBO162" s="4"/>
      <c r="NBP162" s="4"/>
      <c r="NBQ162" s="4"/>
      <c r="NBR162" s="4"/>
      <c r="NBS162" s="4"/>
      <c r="NBT162" s="4"/>
      <c r="NBU162" s="4"/>
      <c r="NBV162" s="4"/>
      <c r="NBW162" s="4"/>
      <c r="NBX162" s="4"/>
      <c r="NBY162" s="4"/>
      <c r="NBZ162" s="4"/>
      <c r="NCA162" s="4"/>
      <c r="NCB162" s="4"/>
      <c r="NCC162" s="4"/>
      <c r="NCD162" s="4"/>
      <c r="NCE162" s="4"/>
      <c r="NCF162" s="4"/>
      <c r="NCG162" s="4"/>
      <c r="NCH162" s="4"/>
      <c r="NCI162" s="4"/>
      <c r="NCJ162" s="4"/>
      <c r="NCK162" s="4"/>
      <c r="NCL162" s="4"/>
      <c r="NCM162" s="4"/>
      <c r="NCN162" s="4"/>
      <c r="NCO162" s="4"/>
      <c r="NCP162" s="4"/>
      <c r="NCQ162" s="4"/>
      <c r="NCR162" s="4"/>
      <c r="NCS162" s="4"/>
      <c r="NCT162" s="4"/>
      <c r="NCU162" s="4"/>
      <c r="NCV162" s="4"/>
      <c r="NCW162" s="4"/>
      <c r="NCX162" s="4"/>
      <c r="NCY162" s="4"/>
      <c r="NCZ162" s="4"/>
      <c r="NDA162" s="4"/>
      <c r="NDB162" s="4"/>
      <c r="NDC162" s="4"/>
      <c r="NDD162" s="4"/>
      <c r="NDE162" s="4"/>
      <c r="NDF162" s="4"/>
      <c r="NDG162" s="4"/>
      <c r="NDH162" s="4"/>
      <c r="NDI162" s="4"/>
      <c r="NDJ162" s="4"/>
      <c r="NDK162" s="4"/>
      <c r="NDL162" s="4"/>
      <c r="NDM162" s="4"/>
      <c r="NDN162" s="4"/>
      <c r="NDO162" s="4"/>
      <c r="NDP162" s="4"/>
      <c r="NDQ162" s="4"/>
      <c r="NDR162" s="4"/>
      <c r="NDS162" s="4"/>
      <c r="NDT162" s="4"/>
      <c r="NDU162" s="4"/>
      <c r="NDV162" s="4"/>
      <c r="NDW162" s="4"/>
      <c r="NDX162" s="4"/>
      <c r="NDY162" s="4"/>
      <c r="NDZ162" s="4"/>
      <c r="NEA162" s="4"/>
      <c r="NEB162" s="4"/>
      <c r="NEC162" s="4"/>
      <c r="NED162" s="4"/>
      <c r="NEE162" s="4"/>
      <c r="NEF162" s="4"/>
      <c r="NEG162" s="4"/>
      <c r="NEH162" s="4"/>
      <c r="NEI162" s="4"/>
      <c r="NEJ162" s="4"/>
      <c r="NEK162" s="4"/>
      <c r="NEL162" s="4"/>
      <c r="NEM162" s="4"/>
      <c r="NEN162" s="4"/>
      <c r="NEO162" s="4"/>
      <c r="NEP162" s="4"/>
      <c r="NEQ162" s="4"/>
      <c r="NER162" s="4"/>
      <c r="NES162" s="4"/>
      <c r="NET162" s="4"/>
      <c r="NEU162" s="4"/>
      <c r="NEV162" s="4"/>
      <c r="NEW162" s="4"/>
      <c r="NEX162" s="4"/>
      <c r="NEY162" s="4"/>
      <c r="NEZ162" s="4"/>
      <c r="NFA162" s="4"/>
      <c r="NFB162" s="4"/>
      <c r="NFC162" s="4"/>
      <c r="NFD162" s="4"/>
      <c r="NFE162" s="4"/>
      <c r="NFF162" s="4"/>
      <c r="NFG162" s="4"/>
      <c r="NFH162" s="4"/>
      <c r="NFI162" s="4"/>
      <c r="NFJ162" s="4"/>
      <c r="NFK162" s="4"/>
      <c r="NFL162" s="4"/>
      <c r="NFM162" s="4"/>
      <c r="NFN162" s="4"/>
      <c r="NFO162" s="4"/>
      <c r="NFP162" s="4"/>
      <c r="NFQ162" s="4"/>
      <c r="NFR162" s="4"/>
      <c r="NFS162" s="4"/>
      <c r="NFT162" s="4"/>
      <c r="NFU162" s="4"/>
      <c r="NFV162" s="4"/>
      <c r="NFW162" s="4"/>
      <c r="NFX162" s="4"/>
      <c r="NFY162" s="4"/>
      <c r="NFZ162" s="4"/>
      <c r="NGA162" s="4"/>
      <c r="NGB162" s="4"/>
      <c r="NGC162" s="4"/>
      <c r="NGD162" s="4"/>
      <c r="NGE162" s="4"/>
      <c r="NGF162" s="4"/>
      <c r="NGG162" s="4"/>
      <c r="NGH162" s="4"/>
      <c r="NGI162" s="4"/>
      <c r="NGJ162" s="4"/>
      <c r="NGK162" s="4"/>
      <c r="NGL162" s="4"/>
      <c r="NGM162" s="4"/>
      <c r="NGN162" s="4"/>
      <c r="NGO162" s="4"/>
      <c r="NGP162" s="4"/>
      <c r="NGQ162" s="4"/>
      <c r="NGR162" s="4"/>
      <c r="NGS162" s="4"/>
      <c r="NGT162" s="4"/>
      <c r="NGU162" s="4"/>
      <c r="NGV162" s="4"/>
      <c r="NGW162" s="4"/>
      <c r="NGX162" s="4"/>
      <c r="NGY162" s="4"/>
      <c r="NGZ162" s="4"/>
      <c r="NHA162" s="4"/>
      <c r="NHB162" s="4"/>
      <c r="NHC162" s="4"/>
      <c r="NHD162" s="4"/>
      <c r="NHE162" s="4"/>
      <c r="NHF162" s="4"/>
      <c r="NHG162" s="4"/>
      <c r="NHH162" s="4"/>
      <c r="NHI162" s="4"/>
      <c r="NHJ162" s="4"/>
      <c r="NHK162" s="4"/>
      <c r="NHL162" s="4"/>
      <c r="NHM162" s="4"/>
      <c r="NHN162" s="4"/>
      <c r="NHO162" s="4"/>
      <c r="NHP162" s="4"/>
      <c r="NHQ162" s="4"/>
      <c r="NHR162" s="4"/>
      <c r="NHS162" s="4"/>
      <c r="NHT162" s="4"/>
      <c r="NHU162" s="4"/>
      <c r="NHV162" s="4"/>
      <c r="NHW162" s="4"/>
      <c r="NHX162" s="4"/>
      <c r="NHY162" s="4"/>
      <c r="NHZ162" s="4"/>
      <c r="NIA162" s="4"/>
      <c r="NIB162" s="4"/>
      <c r="NIC162" s="4"/>
      <c r="NID162" s="4"/>
      <c r="NIE162" s="4"/>
      <c r="NIF162" s="4"/>
      <c r="NIG162" s="4"/>
      <c r="NIH162" s="4"/>
      <c r="NII162" s="4"/>
      <c r="NIJ162" s="4"/>
      <c r="NIK162" s="4"/>
      <c r="NIL162" s="4"/>
      <c r="NIM162" s="4"/>
      <c r="NIN162" s="4"/>
      <c r="NIO162" s="4"/>
      <c r="NIP162" s="4"/>
      <c r="NIQ162" s="4"/>
      <c r="NIR162" s="4"/>
      <c r="NIS162" s="4"/>
      <c r="NIT162" s="4"/>
      <c r="NIU162" s="4"/>
      <c r="NIV162" s="4"/>
      <c r="NIW162" s="4"/>
      <c r="NIX162" s="4"/>
      <c r="NIY162" s="4"/>
      <c r="NIZ162" s="4"/>
      <c r="NJA162" s="4"/>
      <c r="NJB162" s="4"/>
      <c r="NJC162" s="4"/>
      <c r="NJD162" s="4"/>
      <c r="NJE162" s="4"/>
      <c r="NJF162" s="4"/>
      <c r="NJG162" s="4"/>
      <c r="NJH162" s="4"/>
      <c r="NJI162" s="4"/>
      <c r="NJJ162" s="4"/>
      <c r="NJK162" s="4"/>
      <c r="NJL162" s="4"/>
      <c r="NJM162" s="4"/>
      <c r="NJN162" s="4"/>
      <c r="NJO162" s="4"/>
      <c r="NJP162" s="4"/>
      <c r="NJQ162" s="4"/>
      <c r="NJR162" s="4"/>
      <c r="NJS162" s="4"/>
      <c r="NJT162" s="4"/>
      <c r="NJU162" s="4"/>
      <c r="NJV162" s="4"/>
      <c r="NJW162" s="4"/>
      <c r="NJX162" s="4"/>
      <c r="NJY162" s="4"/>
      <c r="NJZ162" s="4"/>
      <c r="NKA162" s="4"/>
      <c r="NKB162" s="4"/>
      <c r="NKC162" s="4"/>
      <c r="NKD162" s="4"/>
      <c r="NKE162" s="4"/>
      <c r="NKF162" s="4"/>
      <c r="NKG162" s="4"/>
      <c r="NKH162" s="4"/>
      <c r="NKI162" s="4"/>
      <c r="NKJ162" s="4"/>
      <c r="NKK162" s="4"/>
      <c r="NKL162" s="4"/>
      <c r="NKM162" s="4"/>
      <c r="NKN162" s="4"/>
      <c r="NKO162" s="4"/>
      <c r="NKP162" s="4"/>
      <c r="NKQ162" s="4"/>
      <c r="NKR162" s="4"/>
      <c r="NKS162" s="4"/>
      <c r="NKT162" s="4"/>
      <c r="NKU162" s="4"/>
      <c r="NKV162" s="4"/>
      <c r="NKW162" s="4"/>
      <c r="NKX162" s="4"/>
      <c r="NKY162" s="4"/>
      <c r="NKZ162" s="4"/>
      <c r="NLA162" s="4"/>
      <c r="NLB162" s="4"/>
      <c r="NLC162" s="4"/>
      <c r="NLD162" s="4"/>
      <c r="NLE162" s="4"/>
      <c r="NLF162" s="4"/>
      <c r="NLG162" s="4"/>
      <c r="NLH162" s="4"/>
      <c r="NLI162" s="4"/>
      <c r="NLJ162" s="4"/>
      <c r="NLK162" s="4"/>
      <c r="NLL162" s="4"/>
      <c r="NLM162" s="4"/>
      <c r="NLN162" s="4"/>
      <c r="NLO162" s="4"/>
      <c r="NLP162" s="4"/>
      <c r="NLQ162" s="4"/>
      <c r="NLR162" s="4"/>
      <c r="NLS162" s="4"/>
      <c r="NLT162" s="4"/>
      <c r="NLU162" s="4"/>
      <c r="NLV162" s="4"/>
      <c r="NLW162" s="4"/>
      <c r="NLX162" s="4"/>
      <c r="NLY162" s="4"/>
      <c r="NLZ162" s="4"/>
      <c r="NMA162" s="4"/>
      <c r="NMB162" s="4"/>
      <c r="NMC162" s="4"/>
      <c r="NMD162" s="4"/>
      <c r="NME162" s="4"/>
      <c r="NMF162" s="4"/>
      <c r="NMG162" s="4"/>
      <c r="NMH162" s="4"/>
      <c r="NMI162" s="4"/>
      <c r="NMJ162" s="4"/>
      <c r="NMK162" s="4"/>
      <c r="NML162" s="4"/>
      <c r="NMM162" s="4"/>
      <c r="NMN162" s="4"/>
      <c r="NMO162" s="4"/>
      <c r="NMP162" s="4"/>
      <c r="NMQ162" s="4"/>
      <c r="NMR162" s="4"/>
      <c r="NMS162" s="4"/>
      <c r="NMT162" s="4"/>
      <c r="NMU162" s="4"/>
      <c r="NMV162" s="4"/>
      <c r="NMW162" s="4"/>
      <c r="NMX162" s="4"/>
      <c r="NMY162" s="4"/>
      <c r="NMZ162" s="4"/>
      <c r="NNA162" s="4"/>
      <c r="NNB162" s="4"/>
      <c r="NNC162" s="4"/>
      <c r="NND162" s="4"/>
      <c r="NNE162" s="4"/>
      <c r="NNF162" s="4"/>
      <c r="NNG162" s="4"/>
      <c r="NNH162" s="4"/>
      <c r="NNI162" s="4"/>
      <c r="NNJ162" s="4"/>
      <c r="NNK162" s="4"/>
      <c r="NNL162" s="4"/>
      <c r="NNM162" s="4"/>
      <c r="NNN162" s="4"/>
      <c r="NNO162" s="4"/>
      <c r="NNP162" s="4"/>
      <c r="NNQ162" s="4"/>
      <c r="NNR162" s="4"/>
      <c r="NNS162" s="4"/>
      <c r="NNT162" s="4"/>
      <c r="NNU162" s="4"/>
      <c r="NNV162" s="4"/>
      <c r="NNW162" s="4"/>
      <c r="NNX162" s="4"/>
      <c r="NNY162" s="4"/>
      <c r="NNZ162" s="4"/>
      <c r="NOA162" s="4"/>
      <c r="NOB162" s="4"/>
      <c r="NOC162" s="4"/>
      <c r="NOD162" s="4"/>
      <c r="NOE162" s="4"/>
      <c r="NOF162" s="4"/>
      <c r="NOG162" s="4"/>
      <c r="NOH162" s="4"/>
      <c r="NOI162" s="4"/>
      <c r="NOJ162" s="4"/>
      <c r="NOK162" s="4"/>
      <c r="NOL162" s="4"/>
      <c r="NOM162" s="4"/>
      <c r="NON162" s="4"/>
      <c r="NOO162" s="4"/>
      <c r="NOP162" s="4"/>
      <c r="NOQ162" s="4"/>
      <c r="NOR162" s="4"/>
      <c r="NOS162" s="4"/>
      <c r="NOT162" s="4"/>
      <c r="NOU162" s="4"/>
      <c r="NOV162" s="4"/>
      <c r="NOW162" s="4"/>
      <c r="NOX162" s="4"/>
      <c r="NOY162" s="4"/>
      <c r="NOZ162" s="4"/>
      <c r="NPA162" s="4"/>
      <c r="NPB162" s="4"/>
      <c r="NPC162" s="4"/>
      <c r="NPD162" s="4"/>
      <c r="NPE162" s="4"/>
      <c r="NPF162" s="4"/>
      <c r="NPG162" s="4"/>
      <c r="NPH162" s="4"/>
      <c r="NPI162" s="4"/>
      <c r="NPJ162" s="4"/>
      <c r="NPK162" s="4"/>
      <c r="NPL162" s="4"/>
      <c r="NPM162" s="4"/>
      <c r="NPN162" s="4"/>
      <c r="NPO162" s="4"/>
      <c r="NPP162" s="4"/>
      <c r="NPQ162" s="4"/>
      <c r="NPR162" s="4"/>
      <c r="NPS162" s="4"/>
      <c r="NPT162" s="4"/>
      <c r="NPU162" s="4"/>
      <c r="NPV162" s="4"/>
      <c r="NPW162" s="4"/>
      <c r="NPX162" s="4"/>
      <c r="NPY162" s="4"/>
      <c r="NPZ162" s="4"/>
      <c r="NQA162" s="4"/>
      <c r="NQB162" s="4"/>
      <c r="NQC162" s="4"/>
      <c r="NQD162" s="4"/>
      <c r="NQE162" s="4"/>
      <c r="NQF162" s="4"/>
      <c r="NQG162" s="4"/>
      <c r="NQH162" s="4"/>
      <c r="NQI162" s="4"/>
      <c r="NQJ162" s="4"/>
      <c r="NQK162" s="4"/>
      <c r="NQL162" s="4"/>
      <c r="NQM162" s="4"/>
      <c r="NQN162" s="4"/>
      <c r="NQO162" s="4"/>
      <c r="NQP162" s="4"/>
      <c r="NQQ162" s="4"/>
      <c r="NQR162" s="4"/>
      <c r="NQS162" s="4"/>
      <c r="NQT162" s="4"/>
      <c r="NQU162" s="4"/>
      <c r="NQV162" s="4"/>
      <c r="NQW162" s="4"/>
      <c r="NQX162" s="4"/>
      <c r="NQY162" s="4"/>
      <c r="NQZ162" s="4"/>
      <c r="NRA162" s="4"/>
      <c r="NRB162" s="4"/>
      <c r="NRC162" s="4"/>
      <c r="NRD162" s="4"/>
      <c r="NRE162" s="4"/>
      <c r="NRF162" s="4"/>
      <c r="NRG162" s="4"/>
      <c r="NRH162" s="4"/>
      <c r="NRI162" s="4"/>
      <c r="NRJ162" s="4"/>
      <c r="NRK162" s="4"/>
      <c r="NRL162" s="4"/>
      <c r="NRM162" s="4"/>
      <c r="NRN162" s="4"/>
      <c r="NRO162" s="4"/>
      <c r="NRP162" s="4"/>
      <c r="NRQ162" s="4"/>
      <c r="NRR162" s="4"/>
      <c r="NRS162" s="4"/>
      <c r="NRT162" s="4"/>
      <c r="NRU162" s="4"/>
      <c r="NRV162" s="4"/>
      <c r="NRW162" s="4"/>
      <c r="NRX162" s="4"/>
      <c r="NRY162" s="4"/>
      <c r="NRZ162" s="4"/>
      <c r="NSA162" s="4"/>
      <c r="NSB162" s="4"/>
      <c r="NSC162" s="4"/>
      <c r="NSD162" s="4"/>
      <c r="NSE162" s="4"/>
      <c r="NSF162" s="4"/>
      <c r="NSG162" s="4"/>
      <c r="NSH162" s="4"/>
      <c r="NSI162" s="4"/>
      <c r="NSJ162" s="4"/>
      <c r="NSK162" s="4"/>
      <c r="NSL162" s="4"/>
      <c r="NSM162" s="4"/>
      <c r="NSN162" s="4"/>
      <c r="NSO162" s="4"/>
      <c r="NSP162" s="4"/>
      <c r="NSQ162" s="4"/>
      <c r="NSR162" s="4"/>
      <c r="NSS162" s="4"/>
      <c r="NST162" s="4"/>
      <c r="NSU162" s="4"/>
      <c r="NSV162" s="4"/>
      <c r="NSW162" s="4"/>
      <c r="NSX162" s="4"/>
      <c r="NSY162" s="4"/>
      <c r="NSZ162" s="4"/>
      <c r="NTA162" s="4"/>
      <c r="NTB162" s="4"/>
      <c r="NTC162" s="4"/>
      <c r="NTD162" s="4"/>
      <c r="NTE162" s="4"/>
      <c r="NTF162" s="4"/>
      <c r="NTG162" s="4"/>
      <c r="NTH162" s="4"/>
      <c r="NTI162" s="4"/>
      <c r="NTJ162" s="4"/>
      <c r="NTK162" s="4"/>
      <c r="NTL162" s="4"/>
      <c r="NTM162" s="4"/>
      <c r="NTN162" s="4"/>
      <c r="NTO162" s="4"/>
      <c r="NTP162" s="4"/>
      <c r="NTQ162" s="4"/>
      <c r="NTR162" s="4"/>
      <c r="NTS162" s="4"/>
      <c r="NTT162" s="4"/>
      <c r="NTU162" s="4"/>
      <c r="NTV162" s="4"/>
      <c r="NTW162" s="4"/>
      <c r="NTX162" s="4"/>
      <c r="NTY162" s="4"/>
      <c r="NTZ162" s="4"/>
      <c r="NUA162" s="4"/>
      <c r="NUB162" s="4"/>
      <c r="NUC162" s="4"/>
      <c r="NUD162" s="4"/>
      <c r="NUE162" s="4"/>
      <c r="NUF162" s="4"/>
      <c r="NUG162" s="4"/>
      <c r="NUH162" s="4"/>
      <c r="NUI162" s="4"/>
      <c r="NUJ162" s="4"/>
      <c r="NUK162" s="4"/>
      <c r="NUL162" s="4"/>
      <c r="NUM162" s="4"/>
      <c r="NUN162" s="4"/>
      <c r="NUO162" s="4"/>
      <c r="NUP162" s="4"/>
      <c r="NUQ162" s="4"/>
      <c r="NUR162" s="4"/>
      <c r="NUS162" s="4"/>
      <c r="NUT162" s="4"/>
      <c r="NUU162" s="4"/>
      <c r="NUV162" s="4"/>
      <c r="NUW162" s="4"/>
      <c r="NUX162" s="4"/>
      <c r="NUY162" s="4"/>
      <c r="NUZ162" s="4"/>
      <c r="NVA162" s="4"/>
      <c r="NVB162" s="4"/>
      <c r="NVC162" s="4"/>
      <c r="NVD162" s="4"/>
      <c r="NVE162" s="4"/>
      <c r="NVF162" s="4"/>
      <c r="NVG162" s="4"/>
      <c r="NVH162" s="4"/>
      <c r="NVI162" s="4"/>
      <c r="NVJ162" s="4"/>
      <c r="NVK162" s="4"/>
      <c r="NVL162" s="4"/>
      <c r="NVM162" s="4"/>
      <c r="NVN162" s="4"/>
      <c r="NVO162" s="4"/>
      <c r="NVP162" s="4"/>
      <c r="NVQ162" s="4"/>
      <c r="NVR162" s="4"/>
      <c r="NVS162" s="4"/>
      <c r="NVT162" s="4"/>
      <c r="NVU162" s="4"/>
      <c r="NVV162" s="4"/>
      <c r="NVW162" s="4"/>
      <c r="NVX162" s="4"/>
      <c r="NVY162" s="4"/>
      <c r="NVZ162" s="4"/>
      <c r="NWA162" s="4"/>
      <c r="NWB162" s="4"/>
      <c r="NWC162" s="4"/>
      <c r="NWD162" s="4"/>
      <c r="NWE162" s="4"/>
      <c r="NWF162" s="4"/>
      <c r="NWG162" s="4"/>
      <c r="NWH162" s="4"/>
      <c r="NWI162" s="4"/>
      <c r="NWJ162" s="4"/>
      <c r="NWK162" s="4"/>
      <c r="NWL162" s="4"/>
      <c r="NWM162" s="4"/>
      <c r="NWN162" s="4"/>
      <c r="NWO162" s="4"/>
      <c r="NWP162" s="4"/>
      <c r="NWQ162" s="4"/>
      <c r="NWR162" s="4"/>
      <c r="NWS162" s="4"/>
      <c r="NWT162" s="4"/>
      <c r="NWU162" s="4"/>
      <c r="NWV162" s="4"/>
      <c r="NWW162" s="4"/>
      <c r="NWX162" s="4"/>
      <c r="NWY162" s="4"/>
      <c r="NWZ162" s="4"/>
      <c r="NXA162" s="4"/>
      <c r="NXB162" s="4"/>
      <c r="NXC162" s="4"/>
      <c r="NXD162" s="4"/>
      <c r="NXE162" s="4"/>
      <c r="NXF162" s="4"/>
      <c r="NXG162" s="4"/>
      <c r="NXH162" s="4"/>
      <c r="NXI162" s="4"/>
      <c r="NXJ162" s="4"/>
      <c r="NXK162" s="4"/>
      <c r="NXL162" s="4"/>
      <c r="NXM162" s="4"/>
      <c r="NXN162" s="4"/>
      <c r="NXO162" s="4"/>
      <c r="NXP162" s="4"/>
      <c r="NXQ162" s="4"/>
      <c r="NXR162" s="4"/>
      <c r="NXS162" s="4"/>
      <c r="NXT162" s="4"/>
      <c r="NXU162" s="4"/>
      <c r="NXV162" s="4"/>
      <c r="NXW162" s="4"/>
      <c r="NXX162" s="4"/>
      <c r="NXY162" s="4"/>
      <c r="NXZ162" s="4"/>
      <c r="NYA162" s="4"/>
      <c r="NYB162" s="4"/>
      <c r="NYC162" s="4"/>
      <c r="NYD162" s="4"/>
      <c r="NYE162" s="4"/>
      <c r="NYF162" s="4"/>
      <c r="NYG162" s="4"/>
      <c r="NYH162" s="4"/>
      <c r="NYI162" s="4"/>
      <c r="NYJ162" s="4"/>
      <c r="NYK162" s="4"/>
      <c r="NYL162" s="4"/>
      <c r="NYM162" s="4"/>
      <c r="NYN162" s="4"/>
      <c r="NYO162" s="4"/>
      <c r="NYP162" s="4"/>
      <c r="NYQ162" s="4"/>
      <c r="NYR162" s="4"/>
      <c r="NYS162" s="4"/>
      <c r="NYT162" s="4"/>
      <c r="NYU162" s="4"/>
      <c r="NYV162" s="4"/>
      <c r="NYW162" s="4"/>
      <c r="NYX162" s="4"/>
      <c r="NYY162" s="4"/>
      <c r="NYZ162" s="4"/>
      <c r="NZA162" s="4"/>
      <c r="NZB162" s="4"/>
      <c r="NZC162" s="4"/>
      <c r="NZD162" s="4"/>
      <c r="NZE162" s="4"/>
      <c r="NZF162" s="4"/>
      <c r="NZG162" s="4"/>
      <c r="NZH162" s="4"/>
      <c r="NZI162" s="4"/>
      <c r="NZJ162" s="4"/>
      <c r="NZK162" s="4"/>
      <c r="NZL162" s="4"/>
      <c r="NZM162" s="4"/>
      <c r="NZN162" s="4"/>
      <c r="NZO162" s="4"/>
      <c r="NZP162" s="4"/>
      <c r="NZQ162" s="4"/>
      <c r="NZR162" s="4"/>
      <c r="NZS162" s="4"/>
      <c r="NZT162" s="4"/>
      <c r="NZU162" s="4"/>
      <c r="NZV162" s="4"/>
      <c r="NZW162" s="4"/>
      <c r="NZX162" s="4"/>
      <c r="NZY162" s="4"/>
      <c r="NZZ162" s="4"/>
      <c r="OAA162" s="4"/>
      <c r="OAB162" s="4"/>
      <c r="OAC162" s="4"/>
      <c r="OAD162" s="4"/>
      <c r="OAE162" s="4"/>
      <c r="OAF162" s="4"/>
      <c r="OAG162" s="4"/>
      <c r="OAH162" s="4"/>
      <c r="OAI162" s="4"/>
      <c r="OAJ162" s="4"/>
      <c r="OAK162" s="4"/>
      <c r="OAL162" s="4"/>
      <c r="OAM162" s="4"/>
      <c r="OAN162" s="4"/>
      <c r="OAO162" s="4"/>
      <c r="OAP162" s="4"/>
      <c r="OAQ162" s="4"/>
      <c r="OAR162" s="4"/>
      <c r="OAS162" s="4"/>
      <c r="OAT162" s="4"/>
      <c r="OAU162" s="4"/>
      <c r="OAV162" s="4"/>
      <c r="OAW162" s="4"/>
      <c r="OAX162" s="4"/>
      <c r="OAY162" s="4"/>
      <c r="OAZ162" s="4"/>
      <c r="OBA162" s="4"/>
      <c r="OBB162" s="4"/>
      <c r="OBC162" s="4"/>
      <c r="OBD162" s="4"/>
      <c r="OBE162" s="4"/>
      <c r="OBF162" s="4"/>
      <c r="OBG162" s="4"/>
      <c r="OBH162" s="4"/>
      <c r="OBI162" s="4"/>
      <c r="OBJ162" s="4"/>
      <c r="OBK162" s="4"/>
      <c r="OBL162" s="4"/>
      <c r="OBM162" s="4"/>
      <c r="OBN162" s="4"/>
      <c r="OBO162" s="4"/>
      <c r="OBP162" s="4"/>
      <c r="OBQ162" s="4"/>
      <c r="OBR162" s="4"/>
      <c r="OBS162" s="4"/>
      <c r="OBT162" s="4"/>
      <c r="OBU162" s="4"/>
      <c r="OBV162" s="4"/>
      <c r="OBW162" s="4"/>
      <c r="OBX162" s="4"/>
      <c r="OBY162" s="4"/>
      <c r="OBZ162" s="4"/>
      <c r="OCA162" s="4"/>
      <c r="OCB162" s="4"/>
      <c r="OCC162" s="4"/>
      <c r="OCD162" s="4"/>
      <c r="OCE162" s="4"/>
      <c r="OCF162" s="4"/>
      <c r="OCG162" s="4"/>
      <c r="OCH162" s="4"/>
      <c r="OCI162" s="4"/>
      <c r="OCJ162" s="4"/>
      <c r="OCK162" s="4"/>
      <c r="OCL162" s="4"/>
      <c r="OCM162" s="4"/>
      <c r="OCN162" s="4"/>
      <c r="OCO162" s="4"/>
      <c r="OCP162" s="4"/>
      <c r="OCQ162" s="4"/>
      <c r="OCR162" s="4"/>
      <c r="OCS162" s="4"/>
      <c r="OCT162" s="4"/>
      <c r="OCU162" s="4"/>
      <c r="OCV162" s="4"/>
      <c r="OCW162" s="4"/>
      <c r="OCX162" s="4"/>
      <c r="OCY162" s="4"/>
      <c r="OCZ162" s="4"/>
      <c r="ODA162" s="4"/>
      <c r="ODB162" s="4"/>
      <c r="ODC162" s="4"/>
      <c r="ODD162" s="4"/>
      <c r="ODE162" s="4"/>
      <c r="ODF162" s="4"/>
      <c r="ODG162" s="4"/>
      <c r="ODH162" s="4"/>
      <c r="ODI162" s="4"/>
      <c r="ODJ162" s="4"/>
      <c r="ODK162" s="4"/>
      <c r="ODL162" s="4"/>
      <c r="ODM162" s="4"/>
      <c r="ODN162" s="4"/>
      <c r="ODO162" s="4"/>
      <c r="ODP162" s="4"/>
      <c r="ODQ162" s="4"/>
      <c r="ODR162" s="4"/>
      <c r="ODS162" s="4"/>
      <c r="ODT162" s="4"/>
      <c r="ODU162" s="4"/>
      <c r="ODV162" s="4"/>
      <c r="ODW162" s="4"/>
      <c r="ODX162" s="4"/>
      <c r="ODY162" s="4"/>
      <c r="ODZ162" s="4"/>
      <c r="OEA162" s="4"/>
      <c r="OEB162" s="4"/>
      <c r="OEC162" s="4"/>
      <c r="OED162" s="4"/>
      <c r="OEE162" s="4"/>
      <c r="OEF162" s="4"/>
      <c r="OEG162" s="4"/>
      <c r="OEH162" s="4"/>
      <c r="OEI162" s="4"/>
      <c r="OEJ162" s="4"/>
      <c r="OEK162" s="4"/>
      <c r="OEL162" s="4"/>
      <c r="OEM162" s="4"/>
      <c r="OEN162" s="4"/>
      <c r="OEO162" s="4"/>
      <c r="OEP162" s="4"/>
      <c r="OEQ162" s="4"/>
      <c r="OER162" s="4"/>
      <c r="OES162" s="4"/>
      <c r="OET162" s="4"/>
      <c r="OEU162" s="4"/>
      <c r="OEV162" s="4"/>
      <c r="OEW162" s="4"/>
      <c r="OEX162" s="4"/>
      <c r="OEY162" s="4"/>
      <c r="OEZ162" s="4"/>
      <c r="OFA162" s="4"/>
      <c r="OFB162" s="4"/>
      <c r="OFC162" s="4"/>
      <c r="OFD162" s="4"/>
      <c r="OFE162" s="4"/>
      <c r="OFF162" s="4"/>
      <c r="OFG162" s="4"/>
      <c r="OFH162" s="4"/>
      <c r="OFI162" s="4"/>
      <c r="OFJ162" s="4"/>
      <c r="OFK162" s="4"/>
      <c r="OFL162" s="4"/>
      <c r="OFM162" s="4"/>
      <c r="OFN162" s="4"/>
      <c r="OFO162" s="4"/>
      <c r="OFP162" s="4"/>
      <c r="OFQ162" s="4"/>
      <c r="OFR162" s="4"/>
      <c r="OFS162" s="4"/>
      <c r="OFT162" s="4"/>
      <c r="OFU162" s="4"/>
      <c r="OFV162" s="4"/>
      <c r="OFW162" s="4"/>
      <c r="OFX162" s="4"/>
      <c r="OFY162" s="4"/>
      <c r="OFZ162" s="4"/>
      <c r="OGA162" s="4"/>
      <c r="OGB162" s="4"/>
      <c r="OGC162" s="4"/>
      <c r="OGD162" s="4"/>
      <c r="OGE162" s="4"/>
      <c r="OGF162" s="4"/>
      <c r="OGG162" s="4"/>
      <c r="OGH162" s="4"/>
      <c r="OGI162" s="4"/>
      <c r="OGJ162" s="4"/>
      <c r="OGK162" s="4"/>
      <c r="OGL162" s="4"/>
      <c r="OGM162" s="4"/>
      <c r="OGN162" s="4"/>
      <c r="OGO162" s="4"/>
      <c r="OGP162" s="4"/>
      <c r="OGQ162" s="4"/>
      <c r="OGR162" s="4"/>
      <c r="OGS162" s="4"/>
      <c r="OGT162" s="4"/>
      <c r="OGU162" s="4"/>
      <c r="OGV162" s="4"/>
      <c r="OGW162" s="4"/>
      <c r="OGX162" s="4"/>
      <c r="OGY162" s="4"/>
      <c r="OGZ162" s="4"/>
      <c r="OHA162" s="4"/>
      <c r="OHB162" s="4"/>
      <c r="OHC162" s="4"/>
      <c r="OHD162" s="4"/>
      <c r="OHE162" s="4"/>
      <c r="OHF162" s="4"/>
      <c r="OHG162" s="4"/>
      <c r="OHH162" s="4"/>
      <c r="OHI162" s="4"/>
      <c r="OHJ162" s="4"/>
      <c r="OHK162" s="4"/>
      <c r="OHL162" s="4"/>
      <c r="OHM162" s="4"/>
      <c r="OHN162" s="4"/>
      <c r="OHO162" s="4"/>
      <c r="OHP162" s="4"/>
      <c r="OHQ162" s="4"/>
      <c r="OHR162" s="4"/>
      <c r="OHS162" s="4"/>
      <c r="OHT162" s="4"/>
      <c r="OHU162" s="4"/>
      <c r="OHV162" s="4"/>
      <c r="OHW162" s="4"/>
      <c r="OHX162" s="4"/>
      <c r="OHY162" s="4"/>
      <c r="OHZ162" s="4"/>
      <c r="OIA162" s="4"/>
      <c r="OIB162" s="4"/>
      <c r="OIC162" s="4"/>
      <c r="OID162" s="4"/>
      <c r="OIE162" s="4"/>
      <c r="OIF162" s="4"/>
      <c r="OIG162" s="4"/>
      <c r="OIH162" s="4"/>
      <c r="OII162" s="4"/>
      <c r="OIJ162" s="4"/>
      <c r="OIK162" s="4"/>
      <c r="OIL162" s="4"/>
      <c r="OIM162" s="4"/>
      <c r="OIN162" s="4"/>
      <c r="OIO162" s="4"/>
      <c r="OIP162" s="4"/>
      <c r="OIQ162" s="4"/>
      <c r="OIR162" s="4"/>
      <c r="OIS162" s="4"/>
      <c r="OIT162" s="4"/>
      <c r="OIU162" s="4"/>
      <c r="OIV162" s="4"/>
      <c r="OIW162" s="4"/>
      <c r="OIX162" s="4"/>
      <c r="OIY162" s="4"/>
      <c r="OIZ162" s="4"/>
      <c r="OJA162" s="4"/>
      <c r="OJB162" s="4"/>
      <c r="OJC162" s="4"/>
      <c r="OJD162" s="4"/>
      <c r="OJE162" s="4"/>
      <c r="OJF162" s="4"/>
      <c r="OJG162" s="4"/>
      <c r="OJH162" s="4"/>
      <c r="OJI162" s="4"/>
      <c r="OJJ162" s="4"/>
      <c r="OJK162" s="4"/>
      <c r="OJL162" s="4"/>
      <c r="OJM162" s="4"/>
      <c r="OJN162" s="4"/>
      <c r="OJO162" s="4"/>
      <c r="OJP162" s="4"/>
      <c r="OJQ162" s="4"/>
      <c r="OJR162" s="4"/>
      <c r="OJS162" s="4"/>
      <c r="OJT162" s="4"/>
      <c r="OJU162" s="4"/>
      <c r="OJV162" s="4"/>
      <c r="OJW162" s="4"/>
      <c r="OJX162" s="4"/>
      <c r="OJY162" s="4"/>
      <c r="OJZ162" s="4"/>
      <c r="OKA162" s="4"/>
      <c r="OKB162" s="4"/>
      <c r="OKC162" s="4"/>
      <c r="OKD162" s="4"/>
      <c r="OKE162" s="4"/>
      <c r="OKF162" s="4"/>
      <c r="OKG162" s="4"/>
      <c r="OKH162" s="4"/>
      <c r="OKI162" s="4"/>
      <c r="OKJ162" s="4"/>
      <c r="OKK162" s="4"/>
      <c r="OKL162" s="4"/>
      <c r="OKM162" s="4"/>
      <c r="OKN162" s="4"/>
      <c r="OKO162" s="4"/>
      <c r="OKP162" s="4"/>
      <c r="OKQ162" s="4"/>
      <c r="OKR162" s="4"/>
      <c r="OKS162" s="4"/>
      <c r="OKT162" s="4"/>
      <c r="OKU162" s="4"/>
      <c r="OKV162" s="4"/>
      <c r="OKW162" s="4"/>
      <c r="OKX162" s="4"/>
      <c r="OKY162" s="4"/>
      <c r="OKZ162" s="4"/>
      <c r="OLA162" s="4"/>
      <c r="OLB162" s="4"/>
      <c r="OLC162" s="4"/>
      <c r="OLD162" s="4"/>
      <c r="OLE162" s="4"/>
      <c r="OLF162" s="4"/>
      <c r="OLG162" s="4"/>
      <c r="OLH162" s="4"/>
      <c r="OLI162" s="4"/>
      <c r="OLJ162" s="4"/>
      <c r="OLK162" s="4"/>
      <c r="OLL162" s="4"/>
      <c r="OLM162" s="4"/>
      <c r="OLN162" s="4"/>
      <c r="OLO162" s="4"/>
      <c r="OLP162" s="4"/>
      <c r="OLQ162" s="4"/>
      <c r="OLR162" s="4"/>
      <c r="OLS162" s="4"/>
      <c r="OLT162" s="4"/>
      <c r="OLU162" s="4"/>
      <c r="OLV162" s="4"/>
      <c r="OLW162" s="4"/>
      <c r="OLX162" s="4"/>
      <c r="OLY162" s="4"/>
      <c r="OLZ162" s="4"/>
      <c r="OMA162" s="4"/>
      <c r="OMB162" s="4"/>
      <c r="OMC162" s="4"/>
      <c r="OMD162" s="4"/>
      <c r="OME162" s="4"/>
      <c r="OMF162" s="4"/>
      <c r="OMG162" s="4"/>
      <c r="OMH162" s="4"/>
      <c r="OMI162" s="4"/>
      <c r="OMJ162" s="4"/>
      <c r="OMK162" s="4"/>
      <c r="OML162" s="4"/>
      <c r="OMM162" s="4"/>
      <c r="OMN162" s="4"/>
      <c r="OMO162" s="4"/>
      <c r="OMP162" s="4"/>
      <c r="OMQ162" s="4"/>
      <c r="OMR162" s="4"/>
      <c r="OMS162" s="4"/>
      <c r="OMT162" s="4"/>
      <c r="OMU162" s="4"/>
      <c r="OMV162" s="4"/>
      <c r="OMW162" s="4"/>
      <c r="OMX162" s="4"/>
      <c r="OMY162" s="4"/>
      <c r="OMZ162" s="4"/>
      <c r="ONA162" s="4"/>
      <c r="ONB162" s="4"/>
      <c r="ONC162" s="4"/>
      <c r="OND162" s="4"/>
      <c r="ONE162" s="4"/>
      <c r="ONF162" s="4"/>
      <c r="ONG162" s="4"/>
      <c r="ONH162" s="4"/>
      <c r="ONI162" s="4"/>
      <c r="ONJ162" s="4"/>
      <c r="ONK162" s="4"/>
      <c r="ONL162" s="4"/>
      <c r="ONM162" s="4"/>
      <c r="ONN162" s="4"/>
      <c r="ONO162" s="4"/>
      <c r="ONP162" s="4"/>
      <c r="ONQ162" s="4"/>
      <c r="ONR162" s="4"/>
      <c r="ONS162" s="4"/>
      <c r="ONT162" s="4"/>
      <c r="ONU162" s="4"/>
      <c r="ONV162" s="4"/>
      <c r="ONW162" s="4"/>
      <c r="ONX162" s="4"/>
      <c r="ONY162" s="4"/>
      <c r="ONZ162" s="4"/>
      <c r="OOA162" s="4"/>
      <c r="OOB162" s="4"/>
      <c r="OOC162" s="4"/>
      <c r="OOD162" s="4"/>
      <c r="OOE162" s="4"/>
      <c r="OOF162" s="4"/>
      <c r="OOG162" s="4"/>
      <c r="OOH162" s="4"/>
      <c r="OOI162" s="4"/>
      <c r="OOJ162" s="4"/>
      <c r="OOK162" s="4"/>
      <c r="OOL162" s="4"/>
      <c r="OOM162" s="4"/>
      <c r="OON162" s="4"/>
      <c r="OOO162" s="4"/>
      <c r="OOP162" s="4"/>
      <c r="OOQ162" s="4"/>
      <c r="OOR162" s="4"/>
      <c r="OOS162" s="4"/>
      <c r="OOT162" s="4"/>
      <c r="OOU162" s="4"/>
      <c r="OOV162" s="4"/>
      <c r="OOW162" s="4"/>
      <c r="OOX162" s="4"/>
      <c r="OOY162" s="4"/>
      <c r="OOZ162" s="4"/>
      <c r="OPA162" s="4"/>
      <c r="OPB162" s="4"/>
      <c r="OPC162" s="4"/>
      <c r="OPD162" s="4"/>
      <c r="OPE162" s="4"/>
      <c r="OPF162" s="4"/>
      <c r="OPG162" s="4"/>
      <c r="OPH162" s="4"/>
      <c r="OPI162" s="4"/>
      <c r="OPJ162" s="4"/>
      <c r="OPK162" s="4"/>
      <c r="OPL162" s="4"/>
      <c r="OPM162" s="4"/>
      <c r="OPN162" s="4"/>
      <c r="OPO162" s="4"/>
      <c r="OPP162" s="4"/>
      <c r="OPQ162" s="4"/>
      <c r="OPR162" s="4"/>
      <c r="OPS162" s="4"/>
      <c r="OPT162" s="4"/>
      <c r="OPU162" s="4"/>
      <c r="OPV162" s="4"/>
      <c r="OPW162" s="4"/>
      <c r="OPX162" s="4"/>
      <c r="OPY162" s="4"/>
      <c r="OPZ162" s="4"/>
      <c r="OQA162" s="4"/>
      <c r="OQB162" s="4"/>
      <c r="OQC162" s="4"/>
      <c r="OQD162" s="4"/>
      <c r="OQE162" s="4"/>
      <c r="OQF162" s="4"/>
      <c r="OQG162" s="4"/>
      <c r="OQH162" s="4"/>
      <c r="OQI162" s="4"/>
      <c r="OQJ162" s="4"/>
      <c r="OQK162" s="4"/>
      <c r="OQL162" s="4"/>
      <c r="OQM162" s="4"/>
      <c r="OQN162" s="4"/>
      <c r="OQO162" s="4"/>
      <c r="OQP162" s="4"/>
      <c r="OQQ162" s="4"/>
      <c r="OQR162" s="4"/>
      <c r="OQS162" s="4"/>
      <c r="OQT162" s="4"/>
      <c r="OQU162" s="4"/>
      <c r="OQV162" s="4"/>
      <c r="OQW162" s="4"/>
      <c r="OQX162" s="4"/>
      <c r="OQY162" s="4"/>
      <c r="OQZ162" s="4"/>
      <c r="ORA162" s="4"/>
      <c r="ORB162" s="4"/>
      <c r="ORC162" s="4"/>
      <c r="ORD162" s="4"/>
      <c r="ORE162" s="4"/>
      <c r="ORF162" s="4"/>
      <c r="ORG162" s="4"/>
      <c r="ORH162" s="4"/>
      <c r="ORI162" s="4"/>
      <c r="ORJ162" s="4"/>
      <c r="ORK162" s="4"/>
      <c r="ORL162" s="4"/>
      <c r="ORM162" s="4"/>
      <c r="ORN162" s="4"/>
      <c r="ORO162" s="4"/>
      <c r="ORP162" s="4"/>
      <c r="ORQ162" s="4"/>
      <c r="ORR162" s="4"/>
      <c r="ORS162" s="4"/>
      <c r="ORT162" s="4"/>
      <c r="ORU162" s="4"/>
      <c r="ORV162" s="4"/>
      <c r="ORW162" s="4"/>
      <c r="ORX162" s="4"/>
      <c r="ORY162" s="4"/>
      <c r="ORZ162" s="4"/>
      <c r="OSA162" s="4"/>
      <c r="OSB162" s="4"/>
      <c r="OSC162" s="4"/>
      <c r="OSD162" s="4"/>
      <c r="OSE162" s="4"/>
      <c r="OSF162" s="4"/>
      <c r="OSG162" s="4"/>
      <c r="OSH162" s="4"/>
      <c r="OSI162" s="4"/>
      <c r="OSJ162" s="4"/>
      <c r="OSK162" s="4"/>
      <c r="OSL162" s="4"/>
      <c r="OSM162" s="4"/>
      <c r="OSN162" s="4"/>
      <c r="OSO162" s="4"/>
      <c r="OSP162" s="4"/>
      <c r="OSQ162" s="4"/>
      <c r="OSR162" s="4"/>
      <c r="OSS162" s="4"/>
      <c r="OST162" s="4"/>
      <c r="OSU162" s="4"/>
      <c r="OSV162" s="4"/>
      <c r="OSW162" s="4"/>
      <c r="OSX162" s="4"/>
      <c r="OSY162" s="4"/>
      <c r="OSZ162" s="4"/>
      <c r="OTA162" s="4"/>
      <c r="OTB162" s="4"/>
      <c r="OTC162" s="4"/>
      <c r="OTD162" s="4"/>
      <c r="OTE162" s="4"/>
      <c r="OTF162" s="4"/>
      <c r="OTG162" s="4"/>
      <c r="OTH162" s="4"/>
      <c r="OTI162" s="4"/>
      <c r="OTJ162" s="4"/>
      <c r="OTK162" s="4"/>
      <c r="OTL162" s="4"/>
      <c r="OTM162" s="4"/>
      <c r="OTN162" s="4"/>
      <c r="OTO162" s="4"/>
      <c r="OTP162" s="4"/>
      <c r="OTQ162" s="4"/>
      <c r="OTR162" s="4"/>
      <c r="OTS162" s="4"/>
      <c r="OTT162" s="4"/>
      <c r="OTU162" s="4"/>
      <c r="OTV162" s="4"/>
      <c r="OTW162" s="4"/>
      <c r="OTX162" s="4"/>
      <c r="OTY162" s="4"/>
      <c r="OTZ162" s="4"/>
      <c r="OUA162" s="4"/>
      <c r="OUB162" s="4"/>
      <c r="OUC162" s="4"/>
      <c r="OUD162" s="4"/>
      <c r="OUE162" s="4"/>
      <c r="OUF162" s="4"/>
      <c r="OUG162" s="4"/>
      <c r="OUH162" s="4"/>
      <c r="OUI162" s="4"/>
      <c r="OUJ162" s="4"/>
      <c r="OUK162" s="4"/>
      <c r="OUL162" s="4"/>
      <c r="OUM162" s="4"/>
      <c r="OUN162" s="4"/>
      <c r="OUO162" s="4"/>
      <c r="OUP162" s="4"/>
      <c r="OUQ162" s="4"/>
      <c r="OUR162" s="4"/>
      <c r="OUS162" s="4"/>
      <c r="OUT162" s="4"/>
      <c r="OUU162" s="4"/>
      <c r="OUV162" s="4"/>
      <c r="OUW162" s="4"/>
      <c r="OUX162" s="4"/>
      <c r="OUY162" s="4"/>
      <c r="OUZ162" s="4"/>
      <c r="OVA162" s="4"/>
      <c r="OVB162" s="4"/>
      <c r="OVC162" s="4"/>
      <c r="OVD162" s="4"/>
      <c r="OVE162" s="4"/>
      <c r="OVF162" s="4"/>
      <c r="OVG162" s="4"/>
      <c r="OVH162" s="4"/>
      <c r="OVI162" s="4"/>
      <c r="OVJ162" s="4"/>
      <c r="OVK162" s="4"/>
      <c r="OVL162" s="4"/>
      <c r="OVM162" s="4"/>
      <c r="OVN162" s="4"/>
      <c r="OVO162" s="4"/>
      <c r="OVP162" s="4"/>
      <c r="OVQ162" s="4"/>
      <c r="OVR162" s="4"/>
      <c r="OVS162" s="4"/>
      <c r="OVT162" s="4"/>
      <c r="OVU162" s="4"/>
      <c r="OVV162" s="4"/>
      <c r="OVW162" s="4"/>
      <c r="OVX162" s="4"/>
      <c r="OVY162" s="4"/>
      <c r="OVZ162" s="4"/>
      <c r="OWA162" s="4"/>
      <c r="OWB162" s="4"/>
      <c r="OWC162" s="4"/>
      <c r="OWD162" s="4"/>
      <c r="OWE162" s="4"/>
      <c r="OWF162" s="4"/>
      <c r="OWG162" s="4"/>
      <c r="OWH162" s="4"/>
      <c r="OWI162" s="4"/>
      <c r="OWJ162" s="4"/>
      <c r="OWK162" s="4"/>
      <c r="OWL162" s="4"/>
      <c r="OWM162" s="4"/>
      <c r="OWN162" s="4"/>
      <c r="OWO162" s="4"/>
      <c r="OWP162" s="4"/>
      <c r="OWQ162" s="4"/>
      <c r="OWR162" s="4"/>
      <c r="OWS162" s="4"/>
      <c r="OWT162" s="4"/>
      <c r="OWU162" s="4"/>
      <c r="OWV162" s="4"/>
      <c r="OWW162" s="4"/>
      <c r="OWX162" s="4"/>
      <c r="OWY162" s="4"/>
      <c r="OWZ162" s="4"/>
      <c r="OXA162" s="4"/>
      <c r="OXB162" s="4"/>
      <c r="OXC162" s="4"/>
      <c r="OXD162" s="4"/>
      <c r="OXE162" s="4"/>
      <c r="OXF162" s="4"/>
      <c r="OXG162" s="4"/>
      <c r="OXH162" s="4"/>
      <c r="OXI162" s="4"/>
      <c r="OXJ162" s="4"/>
      <c r="OXK162" s="4"/>
      <c r="OXL162" s="4"/>
      <c r="OXM162" s="4"/>
      <c r="OXN162" s="4"/>
      <c r="OXO162" s="4"/>
      <c r="OXP162" s="4"/>
      <c r="OXQ162" s="4"/>
      <c r="OXR162" s="4"/>
      <c r="OXS162" s="4"/>
      <c r="OXT162" s="4"/>
      <c r="OXU162" s="4"/>
      <c r="OXV162" s="4"/>
      <c r="OXW162" s="4"/>
      <c r="OXX162" s="4"/>
      <c r="OXY162" s="4"/>
      <c r="OXZ162" s="4"/>
      <c r="OYA162" s="4"/>
      <c r="OYB162" s="4"/>
      <c r="OYC162" s="4"/>
      <c r="OYD162" s="4"/>
      <c r="OYE162" s="4"/>
      <c r="OYF162" s="4"/>
      <c r="OYG162" s="4"/>
      <c r="OYH162" s="4"/>
      <c r="OYI162" s="4"/>
      <c r="OYJ162" s="4"/>
      <c r="OYK162" s="4"/>
      <c r="OYL162" s="4"/>
      <c r="OYM162" s="4"/>
      <c r="OYN162" s="4"/>
      <c r="OYO162" s="4"/>
      <c r="OYP162" s="4"/>
      <c r="OYQ162" s="4"/>
      <c r="OYR162" s="4"/>
      <c r="OYS162" s="4"/>
      <c r="OYT162" s="4"/>
      <c r="OYU162" s="4"/>
      <c r="OYV162" s="4"/>
      <c r="OYW162" s="4"/>
      <c r="OYX162" s="4"/>
      <c r="OYY162" s="4"/>
      <c r="OYZ162" s="4"/>
      <c r="OZA162" s="4"/>
      <c r="OZB162" s="4"/>
      <c r="OZC162" s="4"/>
      <c r="OZD162" s="4"/>
      <c r="OZE162" s="4"/>
      <c r="OZF162" s="4"/>
      <c r="OZG162" s="4"/>
      <c r="OZH162" s="4"/>
      <c r="OZI162" s="4"/>
      <c r="OZJ162" s="4"/>
      <c r="OZK162" s="4"/>
      <c r="OZL162" s="4"/>
      <c r="OZM162" s="4"/>
      <c r="OZN162" s="4"/>
      <c r="OZO162" s="4"/>
      <c r="OZP162" s="4"/>
      <c r="OZQ162" s="4"/>
      <c r="OZR162" s="4"/>
      <c r="OZS162" s="4"/>
      <c r="OZT162" s="4"/>
      <c r="OZU162" s="4"/>
      <c r="OZV162" s="4"/>
      <c r="OZW162" s="4"/>
      <c r="OZX162" s="4"/>
      <c r="OZY162" s="4"/>
      <c r="OZZ162" s="4"/>
      <c r="PAA162" s="4"/>
      <c r="PAB162" s="4"/>
      <c r="PAC162" s="4"/>
      <c r="PAD162" s="4"/>
      <c r="PAE162" s="4"/>
      <c r="PAF162" s="4"/>
      <c r="PAG162" s="4"/>
      <c r="PAH162" s="4"/>
      <c r="PAI162" s="4"/>
      <c r="PAJ162" s="4"/>
      <c r="PAK162" s="4"/>
      <c r="PAL162" s="4"/>
      <c r="PAM162" s="4"/>
      <c r="PAN162" s="4"/>
      <c r="PAO162" s="4"/>
      <c r="PAP162" s="4"/>
      <c r="PAQ162" s="4"/>
      <c r="PAR162" s="4"/>
      <c r="PAS162" s="4"/>
      <c r="PAT162" s="4"/>
      <c r="PAU162" s="4"/>
      <c r="PAV162" s="4"/>
      <c r="PAW162" s="4"/>
      <c r="PAX162" s="4"/>
      <c r="PAY162" s="4"/>
      <c r="PAZ162" s="4"/>
      <c r="PBA162" s="4"/>
      <c r="PBB162" s="4"/>
      <c r="PBC162" s="4"/>
      <c r="PBD162" s="4"/>
      <c r="PBE162" s="4"/>
      <c r="PBF162" s="4"/>
      <c r="PBG162" s="4"/>
      <c r="PBH162" s="4"/>
      <c r="PBI162" s="4"/>
      <c r="PBJ162" s="4"/>
      <c r="PBK162" s="4"/>
      <c r="PBL162" s="4"/>
      <c r="PBM162" s="4"/>
      <c r="PBN162" s="4"/>
      <c r="PBO162" s="4"/>
      <c r="PBP162" s="4"/>
      <c r="PBQ162" s="4"/>
      <c r="PBR162" s="4"/>
      <c r="PBS162" s="4"/>
      <c r="PBT162" s="4"/>
      <c r="PBU162" s="4"/>
      <c r="PBV162" s="4"/>
      <c r="PBW162" s="4"/>
      <c r="PBX162" s="4"/>
      <c r="PBY162" s="4"/>
      <c r="PBZ162" s="4"/>
      <c r="PCA162" s="4"/>
      <c r="PCB162" s="4"/>
      <c r="PCC162" s="4"/>
      <c r="PCD162" s="4"/>
      <c r="PCE162" s="4"/>
      <c r="PCF162" s="4"/>
      <c r="PCG162" s="4"/>
      <c r="PCH162" s="4"/>
      <c r="PCI162" s="4"/>
      <c r="PCJ162" s="4"/>
      <c r="PCK162" s="4"/>
      <c r="PCL162" s="4"/>
      <c r="PCM162" s="4"/>
      <c r="PCN162" s="4"/>
      <c r="PCO162" s="4"/>
      <c r="PCP162" s="4"/>
      <c r="PCQ162" s="4"/>
      <c r="PCR162" s="4"/>
      <c r="PCS162" s="4"/>
      <c r="PCT162" s="4"/>
      <c r="PCU162" s="4"/>
      <c r="PCV162" s="4"/>
      <c r="PCW162" s="4"/>
      <c r="PCX162" s="4"/>
      <c r="PCY162" s="4"/>
      <c r="PCZ162" s="4"/>
      <c r="PDA162" s="4"/>
      <c r="PDB162" s="4"/>
      <c r="PDC162" s="4"/>
      <c r="PDD162" s="4"/>
      <c r="PDE162" s="4"/>
      <c r="PDF162" s="4"/>
      <c r="PDG162" s="4"/>
      <c r="PDH162" s="4"/>
      <c r="PDI162" s="4"/>
      <c r="PDJ162" s="4"/>
      <c r="PDK162" s="4"/>
      <c r="PDL162" s="4"/>
      <c r="PDM162" s="4"/>
      <c r="PDN162" s="4"/>
      <c r="PDO162" s="4"/>
      <c r="PDP162" s="4"/>
      <c r="PDQ162" s="4"/>
      <c r="PDR162" s="4"/>
      <c r="PDS162" s="4"/>
      <c r="PDT162" s="4"/>
      <c r="PDU162" s="4"/>
      <c r="PDV162" s="4"/>
      <c r="PDW162" s="4"/>
      <c r="PDX162" s="4"/>
      <c r="PDY162" s="4"/>
      <c r="PDZ162" s="4"/>
      <c r="PEA162" s="4"/>
      <c r="PEB162" s="4"/>
      <c r="PEC162" s="4"/>
      <c r="PED162" s="4"/>
      <c r="PEE162" s="4"/>
      <c r="PEF162" s="4"/>
      <c r="PEG162" s="4"/>
      <c r="PEH162" s="4"/>
      <c r="PEI162" s="4"/>
      <c r="PEJ162" s="4"/>
      <c r="PEK162" s="4"/>
      <c r="PEL162" s="4"/>
      <c r="PEM162" s="4"/>
      <c r="PEN162" s="4"/>
      <c r="PEO162" s="4"/>
      <c r="PEP162" s="4"/>
      <c r="PEQ162" s="4"/>
      <c r="PER162" s="4"/>
      <c r="PES162" s="4"/>
      <c r="PET162" s="4"/>
      <c r="PEU162" s="4"/>
      <c r="PEV162" s="4"/>
      <c r="PEW162" s="4"/>
      <c r="PEX162" s="4"/>
      <c r="PEY162" s="4"/>
      <c r="PEZ162" s="4"/>
      <c r="PFA162" s="4"/>
      <c r="PFB162" s="4"/>
      <c r="PFC162" s="4"/>
      <c r="PFD162" s="4"/>
      <c r="PFE162" s="4"/>
      <c r="PFF162" s="4"/>
      <c r="PFG162" s="4"/>
      <c r="PFH162" s="4"/>
      <c r="PFI162" s="4"/>
      <c r="PFJ162" s="4"/>
      <c r="PFK162" s="4"/>
      <c r="PFL162" s="4"/>
      <c r="PFM162" s="4"/>
      <c r="PFN162" s="4"/>
      <c r="PFO162" s="4"/>
      <c r="PFP162" s="4"/>
      <c r="PFQ162" s="4"/>
      <c r="PFR162" s="4"/>
      <c r="PFS162" s="4"/>
      <c r="PFT162" s="4"/>
      <c r="PFU162" s="4"/>
      <c r="PFV162" s="4"/>
      <c r="PFW162" s="4"/>
      <c r="PFX162" s="4"/>
      <c r="PFY162" s="4"/>
      <c r="PFZ162" s="4"/>
      <c r="PGA162" s="4"/>
      <c r="PGB162" s="4"/>
      <c r="PGC162" s="4"/>
      <c r="PGD162" s="4"/>
      <c r="PGE162" s="4"/>
      <c r="PGF162" s="4"/>
      <c r="PGG162" s="4"/>
      <c r="PGH162" s="4"/>
      <c r="PGI162" s="4"/>
      <c r="PGJ162" s="4"/>
      <c r="PGK162" s="4"/>
      <c r="PGL162" s="4"/>
      <c r="PGM162" s="4"/>
      <c r="PGN162" s="4"/>
      <c r="PGO162" s="4"/>
      <c r="PGP162" s="4"/>
      <c r="PGQ162" s="4"/>
      <c r="PGR162" s="4"/>
      <c r="PGS162" s="4"/>
      <c r="PGT162" s="4"/>
      <c r="PGU162" s="4"/>
      <c r="PGV162" s="4"/>
      <c r="PGW162" s="4"/>
      <c r="PGX162" s="4"/>
      <c r="PGY162" s="4"/>
      <c r="PGZ162" s="4"/>
      <c r="PHA162" s="4"/>
      <c r="PHB162" s="4"/>
      <c r="PHC162" s="4"/>
      <c r="PHD162" s="4"/>
      <c r="PHE162" s="4"/>
      <c r="PHF162" s="4"/>
      <c r="PHG162" s="4"/>
      <c r="PHH162" s="4"/>
      <c r="PHI162" s="4"/>
      <c r="PHJ162" s="4"/>
      <c r="PHK162" s="4"/>
      <c r="PHL162" s="4"/>
      <c r="PHM162" s="4"/>
      <c r="PHN162" s="4"/>
      <c r="PHO162" s="4"/>
      <c r="PHP162" s="4"/>
      <c r="PHQ162" s="4"/>
      <c r="PHR162" s="4"/>
      <c r="PHS162" s="4"/>
      <c r="PHT162" s="4"/>
      <c r="PHU162" s="4"/>
      <c r="PHV162" s="4"/>
      <c r="PHW162" s="4"/>
      <c r="PHX162" s="4"/>
      <c r="PHY162" s="4"/>
      <c r="PHZ162" s="4"/>
      <c r="PIA162" s="4"/>
      <c r="PIB162" s="4"/>
      <c r="PIC162" s="4"/>
      <c r="PID162" s="4"/>
      <c r="PIE162" s="4"/>
      <c r="PIF162" s="4"/>
      <c r="PIG162" s="4"/>
      <c r="PIH162" s="4"/>
      <c r="PII162" s="4"/>
      <c r="PIJ162" s="4"/>
      <c r="PIK162" s="4"/>
      <c r="PIL162" s="4"/>
      <c r="PIM162" s="4"/>
      <c r="PIN162" s="4"/>
      <c r="PIO162" s="4"/>
      <c r="PIP162" s="4"/>
      <c r="PIQ162" s="4"/>
      <c r="PIR162" s="4"/>
      <c r="PIS162" s="4"/>
      <c r="PIT162" s="4"/>
      <c r="PIU162" s="4"/>
      <c r="PIV162" s="4"/>
      <c r="PIW162" s="4"/>
      <c r="PIX162" s="4"/>
      <c r="PIY162" s="4"/>
      <c r="PIZ162" s="4"/>
      <c r="PJA162" s="4"/>
      <c r="PJB162" s="4"/>
      <c r="PJC162" s="4"/>
      <c r="PJD162" s="4"/>
      <c r="PJE162" s="4"/>
      <c r="PJF162" s="4"/>
      <c r="PJG162" s="4"/>
      <c r="PJH162" s="4"/>
      <c r="PJI162" s="4"/>
      <c r="PJJ162" s="4"/>
      <c r="PJK162" s="4"/>
      <c r="PJL162" s="4"/>
      <c r="PJM162" s="4"/>
      <c r="PJN162" s="4"/>
      <c r="PJO162" s="4"/>
      <c r="PJP162" s="4"/>
      <c r="PJQ162" s="4"/>
      <c r="PJR162" s="4"/>
      <c r="PJS162" s="4"/>
      <c r="PJT162" s="4"/>
      <c r="PJU162" s="4"/>
      <c r="PJV162" s="4"/>
      <c r="PJW162" s="4"/>
      <c r="PJX162" s="4"/>
      <c r="PJY162" s="4"/>
      <c r="PJZ162" s="4"/>
      <c r="PKA162" s="4"/>
      <c r="PKB162" s="4"/>
      <c r="PKC162" s="4"/>
      <c r="PKD162" s="4"/>
      <c r="PKE162" s="4"/>
      <c r="PKF162" s="4"/>
      <c r="PKG162" s="4"/>
      <c r="PKH162" s="4"/>
      <c r="PKI162" s="4"/>
      <c r="PKJ162" s="4"/>
      <c r="PKK162" s="4"/>
      <c r="PKL162" s="4"/>
      <c r="PKM162" s="4"/>
      <c r="PKN162" s="4"/>
      <c r="PKO162" s="4"/>
      <c r="PKP162" s="4"/>
      <c r="PKQ162" s="4"/>
      <c r="PKR162" s="4"/>
      <c r="PKS162" s="4"/>
      <c r="PKT162" s="4"/>
      <c r="PKU162" s="4"/>
      <c r="PKV162" s="4"/>
      <c r="PKW162" s="4"/>
      <c r="PKX162" s="4"/>
      <c r="PKY162" s="4"/>
      <c r="PKZ162" s="4"/>
      <c r="PLA162" s="4"/>
      <c r="PLB162" s="4"/>
      <c r="PLC162" s="4"/>
      <c r="PLD162" s="4"/>
      <c r="PLE162" s="4"/>
      <c r="PLF162" s="4"/>
      <c r="PLG162" s="4"/>
      <c r="PLH162" s="4"/>
      <c r="PLI162" s="4"/>
      <c r="PLJ162" s="4"/>
      <c r="PLK162" s="4"/>
      <c r="PLL162" s="4"/>
      <c r="PLM162" s="4"/>
      <c r="PLN162" s="4"/>
      <c r="PLO162" s="4"/>
      <c r="PLP162" s="4"/>
      <c r="PLQ162" s="4"/>
      <c r="PLR162" s="4"/>
      <c r="PLS162" s="4"/>
      <c r="PLT162" s="4"/>
      <c r="PLU162" s="4"/>
      <c r="PLV162" s="4"/>
      <c r="PLW162" s="4"/>
      <c r="PLX162" s="4"/>
      <c r="PLY162" s="4"/>
      <c r="PLZ162" s="4"/>
      <c r="PMA162" s="4"/>
      <c r="PMB162" s="4"/>
      <c r="PMC162" s="4"/>
      <c r="PMD162" s="4"/>
      <c r="PME162" s="4"/>
      <c r="PMF162" s="4"/>
      <c r="PMG162" s="4"/>
      <c r="PMH162" s="4"/>
      <c r="PMI162" s="4"/>
      <c r="PMJ162" s="4"/>
      <c r="PMK162" s="4"/>
      <c r="PML162" s="4"/>
      <c r="PMM162" s="4"/>
      <c r="PMN162" s="4"/>
      <c r="PMO162" s="4"/>
      <c r="PMP162" s="4"/>
      <c r="PMQ162" s="4"/>
      <c r="PMR162" s="4"/>
      <c r="PMS162" s="4"/>
      <c r="PMT162" s="4"/>
      <c r="PMU162" s="4"/>
      <c r="PMV162" s="4"/>
      <c r="PMW162" s="4"/>
      <c r="PMX162" s="4"/>
      <c r="PMY162" s="4"/>
      <c r="PMZ162" s="4"/>
      <c r="PNA162" s="4"/>
      <c r="PNB162" s="4"/>
      <c r="PNC162" s="4"/>
      <c r="PND162" s="4"/>
      <c r="PNE162" s="4"/>
      <c r="PNF162" s="4"/>
      <c r="PNG162" s="4"/>
      <c r="PNH162" s="4"/>
      <c r="PNI162" s="4"/>
      <c r="PNJ162" s="4"/>
      <c r="PNK162" s="4"/>
      <c r="PNL162" s="4"/>
      <c r="PNM162" s="4"/>
      <c r="PNN162" s="4"/>
      <c r="PNO162" s="4"/>
      <c r="PNP162" s="4"/>
      <c r="PNQ162" s="4"/>
      <c r="PNR162" s="4"/>
      <c r="PNS162" s="4"/>
      <c r="PNT162" s="4"/>
      <c r="PNU162" s="4"/>
      <c r="PNV162" s="4"/>
      <c r="PNW162" s="4"/>
      <c r="PNX162" s="4"/>
      <c r="PNY162" s="4"/>
      <c r="PNZ162" s="4"/>
      <c r="POA162" s="4"/>
      <c r="POB162" s="4"/>
      <c r="POC162" s="4"/>
      <c r="POD162" s="4"/>
      <c r="POE162" s="4"/>
      <c r="POF162" s="4"/>
      <c r="POG162" s="4"/>
      <c r="POH162" s="4"/>
      <c r="POI162" s="4"/>
      <c r="POJ162" s="4"/>
      <c r="POK162" s="4"/>
      <c r="POL162" s="4"/>
      <c r="POM162" s="4"/>
      <c r="PON162" s="4"/>
      <c r="POO162" s="4"/>
      <c r="POP162" s="4"/>
      <c r="POQ162" s="4"/>
      <c r="POR162" s="4"/>
      <c r="POS162" s="4"/>
      <c r="POT162" s="4"/>
      <c r="POU162" s="4"/>
      <c r="POV162" s="4"/>
      <c r="POW162" s="4"/>
      <c r="POX162" s="4"/>
      <c r="POY162" s="4"/>
      <c r="POZ162" s="4"/>
      <c r="PPA162" s="4"/>
      <c r="PPB162" s="4"/>
      <c r="PPC162" s="4"/>
      <c r="PPD162" s="4"/>
      <c r="PPE162" s="4"/>
      <c r="PPF162" s="4"/>
      <c r="PPG162" s="4"/>
      <c r="PPH162" s="4"/>
      <c r="PPI162" s="4"/>
      <c r="PPJ162" s="4"/>
      <c r="PPK162" s="4"/>
      <c r="PPL162" s="4"/>
      <c r="PPM162" s="4"/>
      <c r="PPN162" s="4"/>
      <c r="PPO162" s="4"/>
      <c r="PPP162" s="4"/>
      <c r="PPQ162" s="4"/>
      <c r="PPR162" s="4"/>
      <c r="PPS162" s="4"/>
      <c r="PPT162" s="4"/>
      <c r="PPU162" s="4"/>
      <c r="PPV162" s="4"/>
      <c r="PPW162" s="4"/>
      <c r="PPX162" s="4"/>
      <c r="PPY162" s="4"/>
      <c r="PPZ162" s="4"/>
      <c r="PQA162" s="4"/>
      <c r="PQB162" s="4"/>
      <c r="PQC162" s="4"/>
      <c r="PQD162" s="4"/>
      <c r="PQE162" s="4"/>
      <c r="PQF162" s="4"/>
      <c r="PQG162" s="4"/>
      <c r="PQH162" s="4"/>
      <c r="PQI162" s="4"/>
      <c r="PQJ162" s="4"/>
      <c r="PQK162" s="4"/>
      <c r="PQL162" s="4"/>
      <c r="PQM162" s="4"/>
      <c r="PQN162" s="4"/>
      <c r="PQO162" s="4"/>
      <c r="PQP162" s="4"/>
      <c r="PQQ162" s="4"/>
      <c r="PQR162" s="4"/>
      <c r="PQS162" s="4"/>
      <c r="PQT162" s="4"/>
      <c r="PQU162" s="4"/>
      <c r="PQV162" s="4"/>
      <c r="PQW162" s="4"/>
      <c r="PQX162" s="4"/>
      <c r="PQY162" s="4"/>
      <c r="PQZ162" s="4"/>
      <c r="PRA162" s="4"/>
      <c r="PRB162" s="4"/>
      <c r="PRC162" s="4"/>
      <c r="PRD162" s="4"/>
      <c r="PRE162" s="4"/>
      <c r="PRF162" s="4"/>
      <c r="PRG162" s="4"/>
      <c r="PRH162" s="4"/>
      <c r="PRI162" s="4"/>
      <c r="PRJ162" s="4"/>
      <c r="PRK162" s="4"/>
      <c r="PRL162" s="4"/>
      <c r="PRM162" s="4"/>
      <c r="PRN162" s="4"/>
      <c r="PRO162" s="4"/>
      <c r="PRP162" s="4"/>
      <c r="PRQ162" s="4"/>
      <c r="PRR162" s="4"/>
      <c r="PRS162" s="4"/>
      <c r="PRT162" s="4"/>
      <c r="PRU162" s="4"/>
      <c r="PRV162" s="4"/>
      <c r="PRW162" s="4"/>
      <c r="PRX162" s="4"/>
      <c r="PRY162" s="4"/>
      <c r="PRZ162" s="4"/>
      <c r="PSA162" s="4"/>
      <c r="PSB162" s="4"/>
      <c r="PSC162" s="4"/>
      <c r="PSD162" s="4"/>
      <c r="PSE162" s="4"/>
      <c r="PSF162" s="4"/>
      <c r="PSG162" s="4"/>
      <c r="PSH162" s="4"/>
      <c r="PSI162" s="4"/>
      <c r="PSJ162" s="4"/>
      <c r="PSK162" s="4"/>
      <c r="PSL162" s="4"/>
      <c r="PSM162" s="4"/>
      <c r="PSN162" s="4"/>
      <c r="PSO162" s="4"/>
      <c r="PSP162" s="4"/>
      <c r="PSQ162" s="4"/>
      <c r="PSR162" s="4"/>
      <c r="PSS162" s="4"/>
      <c r="PST162" s="4"/>
      <c r="PSU162" s="4"/>
      <c r="PSV162" s="4"/>
      <c r="PSW162" s="4"/>
      <c r="PSX162" s="4"/>
      <c r="PSY162" s="4"/>
      <c r="PSZ162" s="4"/>
      <c r="PTA162" s="4"/>
      <c r="PTB162" s="4"/>
      <c r="PTC162" s="4"/>
      <c r="PTD162" s="4"/>
      <c r="PTE162" s="4"/>
      <c r="PTF162" s="4"/>
      <c r="PTG162" s="4"/>
      <c r="PTH162" s="4"/>
      <c r="PTI162" s="4"/>
      <c r="PTJ162" s="4"/>
      <c r="PTK162" s="4"/>
      <c r="PTL162" s="4"/>
      <c r="PTM162" s="4"/>
      <c r="PTN162" s="4"/>
      <c r="PTO162" s="4"/>
      <c r="PTP162" s="4"/>
      <c r="PTQ162" s="4"/>
      <c r="PTR162" s="4"/>
      <c r="PTS162" s="4"/>
      <c r="PTT162" s="4"/>
      <c r="PTU162" s="4"/>
      <c r="PTV162" s="4"/>
      <c r="PTW162" s="4"/>
      <c r="PTX162" s="4"/>
      <c r="PTY162" s="4"/>
      <c r="PTZ162" s="4"/>
      <c r="PUA162" s="4"/>
      <c r="PUB162" s="4"/>
      <c r="PUC162" s="4"/>
      <c r="PUD162" s="4"/>
      <c r="PUE162" s="4"/>
      <c r="PUF162" s="4"/>
      <c r="PUG162" s="4"/>
      <c r="PUH162" s="4"/>
      <c r="PUI162" s="4"/>
      <c r="PUJ162" s="4"/>
      <c r="PUK162" s="4"/>
      <c r="PUL162" s="4"/>
      <c r="PUM162" s="4"/>
      <c r="PUN162" s="4"/>
      <c r="PUO162" s="4"/>
      <c r="PUP162" s="4"/>
      <c r="PUQ162" s="4"/>
      <c r="PUR162" s="4"/>
      <c r="PUS162" s="4"/>
      <c r="PUT162" s="4"/>
      <c r="PUU162" s="4"/>
      <c r="PUV162" s="4"/>
      <c r="PUW162" s="4"/>
      <c r="PUX162" s="4"/>
      <c r="PUY162" s="4"/>
      <c r="PUZ162" s="4"/>
      <c r="PVA162" s="4"/>
      <c r="PVB162" s="4"/>
      <c r="PVC162" s="4"/>
      <c r="PVD162" s="4"/>
      <c r="PVE162" s="4"/>
      <c r="PVF162" s="4"/>
      <c r="PVG162" s="4"/>
      <c r="PVH162" s="4"/>
      <c r="PVI162" s="4"/>
      <c r="PVJ162" s="4"/>
      <c r="PVK162" s="4"/>
      <c r="PVL162" s="4"/>
      <c r="PVM162" s="4"/>
      <c r="PVN162" s="4"/>
      <c r="PVO162" s="4"/>
      <c r="PVP162" s="4"/>
      <c r="PVQ162" s="4"/>
      <c r="PVR162" s="4"/>
      <c r="PVS162" s="4"/>
      <c r="PVT162" s="4"/>
      <c r="PVU162" s="4"/>
      <c r="PVV162" s="4"/>
      <c r="PVW162" s="4"/>
      <c r="PVX162" s="4"/>
      <c r="PVY162" s="4"/>
      <c r="PVZ162" s="4"/>
      <c r="PWA162" s="4"/>
      <c r="PWB162" s="4"/>
      <c r="PWC162" s="4"/>
      <c r="PWD162" s="4"/>
      <c r="PWE162" s="4"/>
      <c r="PWF162" s="4"/>
      <c r="PWG162" s="4"/>
      <c r="PWH162" s="4"/>
      <c r="PWI162" s="4"/>
      <c r="PWJ162" s="4"/>
      <c r="PWK162" s="4"/>
      <c r="PWL162" s="4"/>
      <c r="PWM162" s="4"/>
      <c r="PWN162" s="4"/>
      <c r="PWO162" s="4"/>
      <c r="PWP162" s="4"/>
      <c r="PWQ162" s="4"/>
      <c r="PWR162" s="4"/>
      <c r="PWS162" s="4"/>
      <c r="PWT162" s="4"/>
      <c r="PWU162" s="4"/>
      <c r="PWV162" s="4"/>
      <c r="PWW162" s="4"/>
      <c r="PWX162" s="4"/>
      <c r="PWY162" s="4"/>
      <c r="PWZ162" s="4"/>
      <c r="PXA162" s="4"/>
      <c r="PXB162" s="4"/>
      <c r="PXC162" s="4"/>
      <c r="PXD162" s="4"/>
      <c r="PXE162" s="4"/>
      <c r="PXF162" s="4"/>
      <c r="PXG162" s="4"/>
      <c r="PXH162" s="4"/>
      <c r="PXI162" s="4"/>
      <c r="PXJ162" s="4"/>
      <c r="PXK162" s="4"/>
      <c r="PXL162" s="4"/>
      <c r="PXM162" s="4"/>
      <c r="PXN162" s="4"/>
      <c r="PXO162" s="4"/>
      <c r="PXP162" s="4"/>
      <c r="PXQ162" s="4"/>
      <c r="PXR162" s="4"/>
      <c r="PXS162" s="4"/>
      <c r="PXT162" s="4"/>
      <c r="PXU162" s="4"/>
      <c r="PXV162" s="4"/>
      <c r="PXW162" s="4"/>
      <c r="PXX162" s="4"/>
      <c r="PXY162" s="4"/>
      <c r="PXZ162" s="4"/>
      <c r="PYA162" s="4"/>
      <c r="PYB162" s="4"/>
      <c r="PYC162" s="4"/>
      <c r="PYD162" s="4"/>
      <c r="PYE162" s="4"/>
      <c r="PYF162" s="4"/>
      <c r="PYG162" s="4"/>
      <c r="PYH162" s="4"/>
      <c r="PYI162" s="4"/>
      <c r="PYJ162" s="4"/>
      <c r="PYK162" s="4"/>
      <c r="PYL162" s="4"/>
      <c r="PYM162" s="4"/>
      <c r="PYN162" s="4"/>
      <c r="PYO162" s="4"/>
      <c r="PYP162" s="4"/>
      <c r="PYQ162" s="4"/>
      <c r="PYR162" s="4"/>
      <c r="PYS162" s="4"/>
      <c r="PYT162" s="4"/>
      <c r="PYU162" s="4"/>
      <c r="PYV162" s="4"/>
      <c r="PYW162" s="4"/>
      <c r="PYX162" s="4"/>
      <c r="PYY162" s="4"/>
      <c r="PYZ162" s="4"/>
      <c r="PZA162" s="4"/>
      <c r="PZB162" s="4"/>
      <c r="PZC162" s="4"/>
      <c r="PZD162" s="4"/>
      <c r="PZE162" s="4"/>
      <c r="PZF162" s="4"/>
      <c r="PZG162" s="4"/>
      <c r="PZH162" s="4"/>
      <c r="PZI162" s="4"/>
      <c r="PZJ162" s="4"/>
      <c r="PZK162" s="4"/>
      <c r="PZL162" s="4"/>
      <c r="PZM162" s="4"/>
      <c r="PZN162" s="4"/>
      <c r="PZO162" s="4"/>
      <c r="PZP162" s="4"/>
      <c r="PZQ162" s="4"/>
      <c r="PZR162" s="4"/>
      <c r="PZS162" s="4"/>
      <c r="PZT162" s="4"/>
      <c r="PZU162" s="4"/>
      <c r="PZV162" s="4"/>
      <c r="PZW162" s="4"/>
      <c r="PZX162" s="4"/>
      <c r="PZY162" s="4"/>
      <c r="PZZ162" s="4"/>
      <c r="QAA162" s="4"/>
      <c r="QAB162" s="4"/>
      <c r="QAC162" s="4"/>
      <c r="QAD162" s="4"/>
      <c r="QAE162" s="4"/>
      <c r="QAF162" s="4"/>
      <c r="QAG162" s="4"/>
      <c r="QAH162" s="4"/>
      <c r="QAI162" s="4"/>
      <c r="QAJ162" s="4"/>
      <c r="QAK162" s="4"/>
      <c r="QAL162" s="4"/>
      <c r="QAM162" s="4"/>
      <c r="QAN162" s="4"/>
      <c r="QAO162" s="4"/>
      <c r="QAP162" s="4"/>
      <c r="QAQ162" s="4"/>
      <c r="QAR162" s="4"/>
      <c r="QAS162" s="4"/>
      <c r="QAT162" s="4"/>
      <c r="QAU162" s="4"/>
      <c r="QAV162" s="4"/>
      <c r="QAW162" s="4"/>
      <c r="QAX162" s="4"/>
      <c r="QAY162" s="4"/>
      <c r="QAZ162" s="4"/>
      <c r="QBA162" s="4"/>
      <c r="QBB162" s="4"/>
      <c r="QBC162" s="4"/>
      <c r="QBD162" s="4"/>
      <c r="QBE162" s="4"/>
      <c r="QBF162" s="4"/>
      <c r="QBG162" s="4"/>
      <c r="QBH162" s="4"/>
      <c r="QBI162" s="4"/>
      <c r="QBJ162" s="4"/>
      <c r="QBK162" s="4"/>
      <c r="QBL162" s="4"/>
      <c r="QBM162" s="4"/>
      <c r="QBN162" s="4"/>
      <c r="QBO162" s="4"/>
      <c r="QBP162" s="4"/>
      <c r="QBQ162" s="4"/>
      <c r="QBR162" s="4"/>
      <c r="QBS162" s="4"/>
      <c r="QBT162" s="4"/>
      <c r="QBU162" s="4"/>
      <c r="QBV162" s="4"/>
      <c r="QBW162" s="4"/>
      <c r="QBX162" s="4"/>
      <c r="QBY162" s="4"/>
      <c r="QBZ162" s="4"/>
      <c r="QCA162" s="4"/>
      <c r="QCB162" s="4"/>
      <c r="QCC162" s="4"/>
      <c r="QCD162" s="4"/>
      <c r="QCE162" s="4"/>
      <c r="QCF162" s="4"/>
      <c r="QCG162" s="4"/>
      <c r="QCH162" s="4"/>
      <c r="QCI162" s="4"/>
      <c r="QCJ162" s="4"/>
      <c r="QCK162" s="4"/>
      <c r="QCL162" s="4"/>
      <c r="QCM162" s="4"/>
      <c r="QCN162" s="4"/>
      <c r="QCO162" s="4"/>
      <c r="QCP162" s="4"/>
      <c r="QCQ162" s="4"/>
      <c r="QCR162" s="4"/>
      <c r="QCS162" s="4"/>
      <c r="QCT162" s="4"/>
      <c r="QCU162" s="4"/>
      <c r="QCV162" s="4"/>
      <c r="QCW162" s="4"/>
      <c r="QCX162" s="4"/>
      <c r="QCY162" s="4"/>
      <c r="QCZ162" s="4"/>
      <c r="QDA162" s="4"/>
      <c r="QDB162" s="4"/>
      <c r="QDC162" s="4"/>
      <c r="QDD162" s="4"/>
      <c r="QDE162" s="4"/>
      <c r="QDF162" s="4"/>
      <c r="QDG162" s="4"/>
      <c r="QDH162" s="4"/>
      <c r="QDI162" s="4"/>
      <c r="QDJ162" s="4"/>
      <c r="QDK162" s="4"/>
      <c r="QDL162" s="4"/>
      <c r="QDM162" s="4"/>
      <c r="QDN162" s="4"/>
      <c r="QDO162" s="4"/>
      <c r="QDP162" s="4"/>
      <c r="QDQ162" s="4"/>
      <c r="QDR162" s="4"/>
      <c r="QDS162" s="4"/>
      <c r="QDT162" s="4"/>
      <c r="QDU162" s="4"/>
      <c r="QDV162" s="4"/>
      <c r="QDW162" s="4"/>
      <c r="QDX162" s="4"/>
      <c r="QDY162" s="4"/>
      <c r="QDZ162" s="4"/>
      <c r="QEA162" s="4"/>
      <c r="QEB162" s="4"/>
      <c r="QEC162" s="4"/>
      <c r="QED162" s="4"/>
      <c r="QEE162" s="4"/>
      <c r="QEF162" s="4"/>
      <c r="QEG162" s="4"/>
      <c r="QEH162" s="4"/>
      <c r="QEI162" s="4"/>
      <c r="QEJ162" s="4"/>
      <c r="QEK162" s="4"/>
      <c r="QEL162" s="4"/>
      <c r="QEM162" s="4"/>
      <c r="QEN162" s="4"/>
      <c r="QEO162" s="4"/>
      <c r="QEP162" s="4"/>
      <c r="QEQ162" s="4"/>
      <c r="QER162" s="4"/>
      <c r="QES162" s="4"/>
      <c r="QET162" s="4"/>
      <c r="QEU162" s="4"/>
      <c r="QEV162" s="4"/>
      <c r="QEW162" s="4"/>
      <c r="QEX162" s="4"/>
      <c r="QEY162" s="4"/>
      <c r="QEZ162" s="4"/>
      <c r="QFA162" s="4"/>
      <c r="QFB162" s="4"/>
      <c r="QFC162" s="4"/>
      <c r="QFD162" s="4"/>
      <c r="QFE162" s="4"/>
      <c r="QFF162" s="4"/>
      <c r="QFG162" s="4"/>
      <c r="QFH162" s="4"/>
      <c r="QFI162" s="4"/>
      <c r="QFJ162" s="4"/>
      <c r="QFK162" s="4"/>
      <c r="QFL162" s="4"/>
      <c r="QFM162" s="4"/>
      <c r="QFN162" s="4"/>
      <c r="QFO162" s="4"/>
      <c r="QFP162" s="4"/>
      <c r="QFQ162" s="4"/>
      <c r="QFR162" s="4"/>
      <c r="QFS162" s="4"/>
      <c r="QFT162" s="4"/>
      <c r="QFU162" s="4"/>
      <c r="QFV162" s="4"/>
      <c r="QFW162" s="4"/>
      <c r="QFX162" s="4"/>
      <c r="QFY162" s="4"/>
      <c r="QFZ162" s="4"/>
      <c r="QGA162" s="4"/>
      <c r="QGB162" s="4"/>
      <c r="QGC162" s="4"/>
      <c r="QGD162" s="4"/>
      <c r="QGE162" s="4"/>
      <c r="QGF162" s="4"/>
      <c r="QGG162" s="4"/>
      <c r="QGH162" s="4"/>
      <c r="QGI162" s="4"/>
      <c r="QGJ162" s="4"/>
      <c r="QGK162" s="4"/>
      <c r="QGL162" s="4"/>
      <c r="QGM162" s="4"/>
      <c r="QGN162" s="4"/>
      <c r="QGO162" s="4"/>
      <c r="QGP162" s="4"/>
      <c r="QGQ162" s="4"/>
      <c r="QGR162" s="4"/>
      <c r="QGS162" s="4"/>
      <c r="QGT162" s="4"/>
      <c r="QGU162" s="4"/>
      <c r="QGV162" s="4"/>
      <c r="QGW162" s="4"/>
      <c r="QGX162" s="4"/>
      <c r="QGY162" s="4"/>
      <c r="QGZ162" s="4"/>
      <c r="QHA162" s="4"/>
      <c r="QHB162" s="4"/>
      <c r="QHC162" s="4"/>
      <c r="QHD162" s="4"/>
      <c r="QHE162" s="4"/>
      <c r="QHF162" s="4"/>
      <c r="QHG162" s="4"/>
      <c r="QHH162" s="4"/>
      <c r="QHI162" s="4"/>
      <c r="QHJ162" s="4"/>
      <c r="QHK162" s="4"/>
      <c r="QHL162" s="4"/>
      <c r="QHM162" s="4"/>
      <c r="QHN162" s="4"/>
      <c r="QHO162" s="4"/>
      <c r="QHP162" s="4"/>
      <c r="QHQ162" s="4"/>
      <c r="QHR162" s="4"/>
      <c r="QHS162" s="4"/>
      <c r="QHT162" s="4"/>
      <c r="QHU162" s="4"/>
      <c r="QHV162" s="4"/>
      <c r="QHW162" s="4"/>
      <c r="QHX162" s="4"/>
      <c r="QHY162" s="4"/>
      <c r="QHZ162" s="4"/>
      <c r="QIA162" s="4"/>
      <c r="QIB162" s="4"/>
      <c r="QIC162" s="4"/>
      <c r="QID162" s="4"/>
      <c r="QIE162" s="4"/>
      <c r="QIF162" s="4"/>
      <c r="QIG162" s="4"/>
      <c r="QIH162" s="4"/>
      <c r="QII162" s="4"/>
      <c r="QIJ162" s="4"/>
      <c r="QIK162" s="4"/>
      <c r="QIL162" s="4"/>
      <c r="QIM162" s="4"/>
      <c r="QIN162" s="4"/>
      <c r="QIO162" s="4"/>
      <c r="QIP162" s="4"/>
      <c r="QIQ162" s="4"/>
      <c r="QIR162" s="4"/>
      <c r="QIS162" s="4"/>
      <c r="QIT162" s="4"/>
      <c r="QIU162" s="4"/>
      <c r="QIV162" s="4"/>
      <c r="QIW162" s="4"/>
      <c r="QIX162" s="4"/>
      <c r="QIY162" s="4"/>
      <c r="QIZ162" s="4"/>
      <c r="QJA162" s="4"/>
      <c r="QJB162" s="4"/>
      <c r="QJC162" s="4"/>
      <c r="QJD162" s="4"/>
      <c r="QJE162" s="4"/>
      <c r="QJF162" s="4"/>
      <c r="QJG162" s="4"/>
      <c r="QJH162" s="4"/>
      <c r="QJI162" s="4"/>
      <c r="QJJ162" s="4"/>
      <c r="QJK162" s="4"/>
      <c r="QJL162" s="4"/>
      <c r="QJM162" s="4"/>
      <c r="QJN162" s="4"/>
      <c r="QJO162" s="4"/>
      <c r="QJP162" s="4"/>
      <c r="QJQ162" s="4"/>
      <c r="QJR162" s="4"/>
      <c r="QJS162" s="4"/>
      <c r="QJT162" s="4"/>
      <c r="QJU162" s="4"/>
      <c r="QJV162" s="4"/>
      <c r="QJW162" s="4"/>
      <c r="QJX162" s="4"/>
      <c r="QJY162" s="4"/>
      <c r="QJZ162" s="4"/>
      <c r="QKA162" s="4"/>
      <c r="QKB162" s="4"/>
      <c r="QKC162" s="4"/>
      <c r="QKD162" s="4"/>
      <c r="QKE162" s="4"/>
      <c r="QKF162" s="4"/>
      <c r="QKG162" s="4"/>
      <c r="QKH162" s="4"/>
      <c r="QKI162" s="4"/>
      <c r="QKJ162" s="4"/>
      <c r="QKK162" s="4"/>
      <c r="QKL162" s="4"/>
      <c r="QKM162" s="4"/>
      <c r="QKN162" s="4"/>
      <c r="QKO162" s="4"/>
      <c r="QKP162" s="4"/>
      <c r="QKQ162" s="4"/>
      <c r="QKR162" s="4"/>
      <c r="QKS162" s="4"/>
      <c r="QKT162" s="4"/>
      <c r="QKU162" s="4"/>
      <c r="QKV162" s="4"/>
      <c r="QKW162" s="4"/>
      <c r="QKX162" s="4"/>
      <c r="QKY162" s="4"/>
      <c r="QKZ162" s="4"/>
      <c r="QLA162" s="4"/>
      <c r="QLB162" s="4"/>
      <c r="QLC162" s="4"/>
      <c r="QLD162" s="4"/>
      <c r="QLE162" s="4"/>
      <c r="QLF162" s="4"/>
      <c r="QLG162" s="4"/>
      <c r="QLH162" s="4"/>
      <c r="QLI162" s="4"/>
      <c r="QLJ162" s="4"/>
      <c r="QLK162" s="4"/>
      <c r="QLL162" s="4"/>
      <c r="QLM162" s="4"/>
      <c r="QLN162" s="4"/>
      <c r="QLO162" s="4"/>
      <c r="QLP162" s="4"/>
      <c r="QLQ162" s="4"/>
      <c r="QLR162" s="4"/>
      <c r="QLS162" s="4"/>
      <c r="QLT162" s="4"/>
      <c r="QLU162" s="4"/>
      <c r="QLV162" s="4"/>
      <c r="QLW162" s="4"/>
      <c r="QLX162" s="4"/>
      <c r="QLY162" s="4"/>
      <c r="QLZ162" s="4"/>
      <c r="QMA162" s="4"/>
      <c r="QMB162" s="4"/>
      <c r="QMC162" s="4"/>
      <c r="QMD162" s="4"/>
      <c r="QME162" s="4"/>
      <c r="QMF162" s="4"/>
      <c r="QMG162" s="4"/>
      <c r="QMH162" s="4"/>
      <c r="QMI162" s="4"/>
      <c r="QMJ162" s="4"/>
      <c r="QMK162" s="4"/>
      <c r="QML162" s="4"/>
      <c r="QMM162" s="4"/>
      <c r="QMN162" s="4"/>
      <c r="QMO162" s="4"/>
      <c r="QMP162" s="4"/>
      <c r="QMQ162" s="4"/>
      <c r="QMR162" s="4"/>
      <c r="QMS162" s="4"/>
      <c r="QMT162" s="4"/>
      <c r="QMU162" s="4"/>
      <c r="QMV162" s="4"/>
      <c r="QMW162" s="4"/>
      <c r="QMX162" s="4"/>
      <c r="QMY162" s="4"/>
      <c r="QMZ162" s="4"/>
      <c r="QNA162" s="4"/>
      <c r="QNB162" s="4"/>
      <c r="QNC162" s="4"/>
      <c r="QND162" s="4"/>
      <c r="QNE162" s="4"/>
      <c r="QNF162" s="4"/>
      <c r="QNG162" s="4"/>
      <c r="QNH162" s="4"/>
      <c r="QNI162" s="4"/>
      <c r="QNJ162" s="4"/>
      <c r="QNK162" s="4"/>
      <c r="QNL162" s="4"/>
      <c r="QNM162" s="4"/>
      <c r="QNN162" s="4"/>
      <c r="QNO162" s="4"/>
      <c r="QNP162" s="4"/>
      <c r="QNQ162" s="4"/>
      <c r="QNR162" s="4"/>
      <c r="QNS162" s="4"/>
      <c r="QNT162" s="4"/>
      <c r="QNU162" s="4"/>
      <c r="QNV162" s="4"/>
      <c r="QNW162" s="4"/>
      <c r="QNX162" s="4"/>
      <c r="QNY162" s="4"/>
      <c r="QNZ162" s="4"/>
      <c r="QOA162" s="4"/>
      <c r="QOB162" s="4"/>
      <c r="QOC162" s="4"/>
      <c r="QOD162" s="4"/>
      <c r="QOE162" s="4"/>
      <c r="QOF162" s="4"/>
      <c r="QOG162" s="4"/>
      <c r="QOH162" s="4"/>
      <c r="QOI162" s="4"/>
      <c r="QOJ162" s="4"/>
      <c r="QOK162" s="4"/>
      <c r="QOL162" s="4"/>
      <c r="QOM162" s="4"/>
      <c r="QON162" s="4"/>
      <c r="QOO162" s="4"/>
      <c r="QOP162" s="4"/>
      <c r="QOQ162" s="4"/>
      <c r="QOR162" s="4"/>
      <c r="QOS162" s="4"/>
      <c r="QOT162" s="4"/>
      <c r="QOU162" s="4"/>
      <c r="QOV162" s="4"/>
      <c r="QOW162" s="4"/>
      <c r="QOX162" s="4"/>
      <c r="QOY162" s="4"/>
      <c r="QOZ162" s="4"/>
      <c r="QPA162" s="4"/>
      <c r="QPB162" s="4"/>
      <c r="QPC162" s="4"/>
      <c r="QPD162" s="4"/>
      <c r="QPE162" s="4"/>
      <c r="QPF162" s="4"/>
      <c r="QPG162" s="4"/>
      <c r="QPH162" s="4"/>
      <c r="QPI162" s="4"/>
      <c r="QPJ162" s="4"/>
      <c r="QPK162" s="4"/>
      <c r="QPL162" s="4"/>
      <c r="QPM162" s="4"/>
      <c r="QPN162" s="4"/>
      <c r="QPO162" s="4"/>
      <c r="QPP162" s="4"/>
      <c r="QPQ162" s="4"/>
      <c r="QPR162" s="4"/>
      <c r="QPS162" s="4"/>
      <c r="QPT162" s="4"/>
      <c r="QPU162" s="4"/>
      <c r="QPV162" s="4"/>
      <c r="QPW162" s="4"/>
      <c r="QPX162" s="4"/>
      <c r="QPY162" s="4"/>
      <c r="QPZ162" s="4"/>
      <c r="QQA162" s="4"/>
      <c r="QQB162" s="4"/>
      <c r="QQC162" s="4"/>
      <c r="QQD162" s="4"/>
      <c r="QQE162" s="4"/>
      <c r="QQF162" s="4"/>
      <c r="QQG162" s="4"/>
      <c r="QQH162" s="4"/>
      <c r="QQI162" s="4"/>
      <c r="QQJ162" s="4"/>
      <c r="QQK162" s="4"/>
      <c r="QQL162" s="4"/>
      <c r="QQM162" s="4"/>
      <c r="QQN162" s="4"/>
      <c r="QQO162" s="4"/>
      <c r="QQP162" s="4"/>
      <c r="QQQ162" s="4"/>
      <c r="QQR162" s="4"/>
      <c r="QQS162" s="4"/>
      <c r="QQT162" s="4"/>
      <c r="QQU162" s="4"/>
      <c r="QQV162" s="4"/>
      <c r="QQW162" s="4"/>
      <c r="QQX162" s="4"/>
      <c r="QQY162" s="4"/>
      <c r="QQZ162" s="4"/>
      <c r="QRA162" s="4"/>
      <c r="QRB162" s="4"/>
      <c r="QRC162" s="4"/>
      <c r="QRD162" s="4"/>
      <c r="QRE162" s="4"/>
      <c r="QRF162" s="4"/>
      <c r="QRG162" s="4"/>
      <c r="QRH162" s="4"/>
      <c r="QRI162" s="4"/>
      <c r="QRJ162" s="4"/>
      <c r="QRK162" s="4"/>
      <c r="QRL162" s="4"/>
      <c r="QRM162" s="4"/>
      <c r="QRN162" s="4"/>
      <c r="QRO162" s="4"/>
      <c r="QRP162" s="4"/>
      <c r="QRQ162" s="4"/>
      <c r="QRR162" s="4"/>
      <c r="QRS162" s="4"/>
      <c r="QRT162" s="4"/>
      <c r="QRU162" s="4"/>
      <c r="QRV162" s="4"/>
      <c r="QRW162" s="4"/>
      <c r="QRX162" s="4"/>
      <c r="QRY162" s="4"/>
      <c r="QRZ162" s="4"/>
      <c r="QSA162" s="4"/>
      <c r="QSB162" s="4"/>
      <c r="QSC162" s="4"/>
      <c r="QSD162" s="4"/>
      <c r="QSE162" s="4"/>
      <c r="QSF162" s="4"/>
      <c r="QSG162" s="4"/>
      <c r="QSH162" s="4"/>
      <c r="QSI162" s="4"/>
      <c r="QSJ162" s="4"/>
      <c r="QSK162" s="4"/>
      <c r="QSL162" s="4"/>
      <c r="QSM162" s="4"/>
      <c r="QSN162" s="4"/>
      <c r="QSO162" s="4"/>
      <c r="QSP162" s="4"/>
      <c r="QSQ162" s="4"/>
      <c r="QSR162" s="4"/>
      <c r="QSS162" s="4"/>
      <c r="QST162" s="4"/>
      <c r="QSU162" s="4"/>
      <c r="QSV162" s="4"/>
      <c r="QSW162" s="4"/>
      <c r="QSX162" s="4"/>
      <c r="QSY162" s="4"/>
      <c r="QSZ162" s="4"/>
      <c r="QTA162" s="4"/>
      <c r="QTB162" s="4"/>
      <c r="QTC162" s="4"/>
      <c r="QTD162" s="4"/>
      <c r="QTE162" s="4"/>
      <c r="QTF162" s="4"/>
      <c r="QTG162" s="4"/>
      <c r="QTH162" s="4"/>
      <c r="QTI162" s="4"/>
      <c r="QTJ162" s="4"/>
      <c r="QTK162" s="4"/>
      <c r="QTL162" s="4"/>
      <c r="QTM162" s="4"/>
      <c r="QTN162" s="4"/>
      <c r="QTO162" s="4"/>
      <c r="QTP162" s="4"/>
      <c r="QTQ162" s="4"/>
      <c r="QTR162" s="4"/>
      <c r="QTS162" s="4"/>
      <c r="QTT162" s="4"/>
      <c r="QTU162" s="4"/>
      <c r="QTV162" s="4"/>
      <c r="QTW162" s="4"/>
      <c r="QTX162" s="4"/>
      <c r="QTY162" s="4"/>
      <c r="QTZ162" s="4"/>
      <c r="QUA162" s="4"/>
      <c r="QUB162" s="4"/>
      <c r="QUC162" s="4"/>
      <c r="QUD162" s="4"/>
      <c r="QUE162" s="4"/>
      <c r="QUF162" s="4"/>
      <c r="QUG162" s="4"/>
      <c r="QUH162" s="4"/>
      <c r="QUI162" s="4"/>
      <c r="QUJ162" s="4"/>
      <c r="QUK162" s="4"/>
      <c r="QUL162" s="4"/>
      <c r="QUM162" s="4"/>
      <c r="QUN162" s="4"/>
      <c r="QUO162" s="4"/>
      <c r="QUP162" s="4"/>
      <c r="QUQ162" s="4"/>
      <c r="QUR162" s="4"/>
      <c r="QUS162" s="4"/>
      <c r="QUT162" s="4"/>
      <c r="QUU162" s="4"/>
      <c r="QUV162" s="4"/>
      <c r="QUW162" s="4"/>
      <c r="QUX162" s="4"/>
      <c r="QUY162" s="4"/>
      <c r="QUZ162" s="4"/>
      <c r="QVA162" s="4"/>
      <c r="QVB162" s="4"/>
      <c r="QVC162" s="4"/>
      <c r="QVD162" s="4"/>
      <c r="QVE162" s="4"/>
      <c r="QVF162" s="4"/>
      <c r="QVG162" s="4"/>
      <c r="QVH162" s="4"/>
      <c r="QVI162" s="4"/>
      <c r="QVJ162" s="4"/>
      <c r="QVK162" s="4"/>
      <c r="QVL162" s="4"/>
      <c r="QVM162" s="4"/>
      <c r="QVN162" s="4"/>
      <c r="QVO162" s="4"/>
      <c r="QVP162" s="4"/>
      <c r="QVQ162" s="4"/>
      <c r="QVR162" s="4"/>
      <c r="QVS162" s="4"/>
      <c r="QVT162" s="4"/>
      <c r="QVU162" s="4"/>
      <c r="QVV162" s="4"/>
      <c r="QVW162" s="4"/>
      <c r="QVX162" s="4"/>
      <c r="QVY162" s="4"/>
      <c r="QVZ162" s="4"/>
      <c r="QWA162" s="4"/>
      <c r="QWB162" s="4"/>
      <c r="QWC162" s="4"/>
      <c r="QWD162" s="4"/>
      <c r="QWE162" s="4"/>
      <c r="QWF162" s="4"/>
      <c r="QWG162" s="4"/>
      <c r="QWH162" s="4"/>
      <c r="QWI162" s="4"/>
      <c r="QWJ162" s="4"/>
      <c r="QWK162" s="4"/>
      <c r="QWL162" s="4"/>
      <c r="QWM162" s="4"/>
      <c r="QWN162" s="4"/>
      <c r="QWO162" s="4"/>
      <c r="QWP162" s="4"/>
      <c r="QWQ162" s="4"/>
      <c r="QWR162" s="4"/>
      <c r="QWS162" s="4"/>
      <c r="QWT162" s="4"/>
      <c r="QWU162" s="4"/>
      <c r="QWV162" s="4"/>
      <c r="QWW162" s="4"/>
      <c r="QWX162" s="4"/>
      <c r="QWY162" s="4"/>
      <c r="QWZ162" s="4"/>
      <c r="QXA162" s="4"/>
      <c r="QXB162" s="4"/>
      <c r="QXC162" s="4"/>
      <c r="QXD162" s="4"/>
      <c r="QXE162" s="4"/>
      <c r="QXF162" s="4"/>
      <c r="QXG162" s="4"/>
      <c r="QXH162" s="4"/>
      <c r="QXI162" s="4"/>
      <c r="QXJ162" s="4"/>
      <c r="QXK162" s="4"/>
      <c r="QXL162" s="4"/>
      <c r="QXM162" s="4"/>
      <c r="QXN162" s="4"/>
      <c r="QXO162" s="4"/>
      <c r="QXP162" s="4"/>
      <c r="QXQ162" s="4"/>
      <c r="QXR162" s="4"/>
      <c r="QXS162" s="4"/>
      <c r="QXT162" s="4"/>
      <c r="QXU162" s="4"/>
      <c r="QXV162" s="4"/>
      <c r="QXW162" s="4"/>
      <c r="QXX162" s="4"/>
      <c r="QXY162" s="4"/>
      <c r="QXZ162" s="4"/>
      <c r="QYA162" s="4"/>
      <c r="QYB162" s="4"/>
      <c r="QYC162" s="4"/>
      <c r="QYD162" s="4"/>
      <c r="QYE162" s="4"/>
      <c r="QYF162" s="4"/>
      <c r="QYG162" s="4"/>
      <c r="QYH162" s="4"/>
      <c r="QYI162" s="4"/>
      <c r="QYJ162" s="4"/>
      <c r="QYK162" s="4"/>
      <c r="QYL162" s="4"/>
      <c r="QYM162" s="4"/>
      <c r="QYN162" s="4"/>
      <c r="QYO162" s="4"/>
      <c r="QYP162" s="4"/>
      <c r="QYQ162" s="4"/>
      <c r="QYR162" s="4"/>
      <c r="QYS162" s="4"/>
      <c r="QYT162" s="4"/>
      <c r="QYU162" s="4"/>
      <c r="QYV162" s="4"/>
      <c r="QYW162" s="4"/>
      <c r="QYX162" s="4"/>
      <c r="QYY162" s="4"/>
      <c r="QYZ162" s="4"/>
      <c r="QZA162" s="4"/>
      <c r="QZB162" s="4"/>
      <c r="QZC162" s="4"/>
      <c r="QZD162" s="4"/>
      <c r="QZE162" s="4"/>
      <c r="QZF162" s="4"/>
      <c r="QZG162" s="4"/>
      <c r="QZH162" s="4"/>
      <c r="QZI162" s="4"/>
      <c r="QZJ162" s="4"/>
      <c r="QZK162" s="4"/>
      <c r="QZL162" s="4"/>
      <c r="QZM162" s="4"/>
      <c r="QZN162" s="4"/>
      <c r="QZO162" s="4"/>
      <c r="QZP162" s="4"/>
      <c r="QZQ162" s="4"/>
      <c r="QZR162" s="4"/>
      <c r="QZS162" s="4"/>
      <c r="QZT162" s="4"/>
      <c r="QZU162" s="4"/>
      <c r="QZV162" s="4"/>
      <c r="QZW162" s="4"/>
      <c r="QZX162" s="4"/>
      <c r="QZY162" s="4"/>
      <c r="QZZ162" s="4"/>
      <c r="RAA162" s="4"/>
      <c r="RAB162" s="4"/>
      <c r="RAC162" s="4"/>
      <c r="RAD162" s="4"/>
      <c r="RAE162" s="4"/>
      <c r="RAF162" s="4"/>
      <c r="RAG162" s="4"/>
      <c r="RAH162" s="4"/>
      <c r="RAI162" s="4"/>
      <c r="RAJ162" s="4"/>
      <c r="RAK162" s="4"/>
      <c r="RAL162" s="4"/>
      <c r="RAM162" s="4"/>
      <c r="RAN162" s="4"/>
      <c r="RAO162" s="4"/>
      <c r="RAP162" s="4"/>
      <c r="RAQ162" s="4"/>
      <c r="RAR162" s="4"/>
      <c r="RAS162" s="4"/>
      <c r="RAT162" s="4"/>
      <c r="RAU162" s="4"/>
      <c r="RAV162" s="4"/>
      <c r="RAW162" s="4"/>
      <c r="RAX162" s="4"/>
      <c r="RAY162" s="4"/>
      <c r="RAZ162" s="4"/>
      <c r="RBA162" s="4"/>
      <c r="RBB162" s="4"/>
      <c r="RBC162" s="4"/>
      <c r="RBD162" s="4"/>
      <c r="RBE162" s="4"/>
      <c r="RBF162" s="4"/>
      <c r="RBG162" s="4"/>
      <c r="RBH162" s="4"/>
      <c r="RBI162" s="4"/>
      <c r="RBJ162" s="4"/>
      <c r="RBK162" s="4"/>
      <c r="RBL162" s="4"/>
      <c r="RBM162" s="4"/>
      <c r="RBN162" s="4"/>
      <c r="RBO162" s="4"/>
      <c r="RBP162" s="4"/>
      <c r="RBQ162" s="4"/>
      <c r="RBR162" s="4"/>
      <c r="RBS162" s="4"/>
      <c r="RBT162" s="4"/>
      <c r="RBU162" s="4"/>
      <c r="RBV162" s="4"/>
      <c r="RBW162" s="4"/>
      <c r="RBX162" s="4"/>
      <c r="RBY162" s="4"/>
      <c r="RBZ162" s="4"/>
      <c r="RCA162" s="4"/>
      <c r="RCB162" s="4"/>
      <c r="RCC162" s="4"/>
      <c r="RCD162" s="4"/>
      <c r="RCE162" s="4"/>
      <c r="RCF162" s="4"/>
      <c r="RCG162" s="4"/>
      <c r="RCH162" s="4"/>
      <c r="RCI162" s="4"/>
      <c r="RCJ162" s="4"/>
      <c r="RCK162" s="4"/>
      <c r="RCL162" s="4"/>
      <c r="RCM162" s="4"/>
      <c r="RCN162" s="4"/>
      <c r="RCO162" s="4"/>
      <c r="RCP162" s="4"/>
      <c r="RCQ162" s="4"/>
      <c r="RCR162" s="4"/>
      <c r="RCS162" s="4"/>
      <c r="RCT162" s="4"/>
      <c r="RCU162" s="4"/>
      <c r="RCV162" s="4"/>
      <c r="RCW162" s="4"/>
      <c r="RCX162" s="4"/>
      <c r="RCY162" s="4"/>
      <c r="RCZ162" s="4"/>
      <c r="RDA162" s="4"/>
      <c r="RDB162" s="4"/>
      <c r="RDC162" s="4"/>
      <c r="RDD162" s="4"/>
      <c r="RDE162" s="4"/>
      <c r="RDF162" s="4"/>
      <c r="RDG162" s="4"/>
      <c r="RDH162" s="4"/>
      <c r="RDI162" s="4"/>
      <c r="RDJ162" s="4"/>
      <c r="RDK162" s="4"/>
      <c r="RDL162" s="4"/>
      <c r="RDM162" s="4"/>
      <c r="RDN162" s="4"/>
      <c r="RDO162" s="4"/>
      <c r="RDP162" s="4"/>
      <c r="RDQ162" s="4"/>
      <c r="RDR162" s="4"/>
      <c r="RDS162" s="4"/>
      <c r="RDT162" s="4"/>
      <c r="RDU162" s="4"/>
      <c r="RDV162" s="4"/>
      <c r="RDW162" s="4"/>
      <c r="RDX162" s="4"/>
      <c r="RDY162" s="4"/>
      <c r="RDZ162" s="4"/>
      <c r="REA162" s="4"/>
      <c r="REB162" s="4"/>
      <c r="REC162" s="4"/>
      <c r="RED162" s="4"/>
      <c r="REE162" s="4"/>
      <c r="REF162" s="4"/>
      <c r="REG162" s="4"/>
      <c r="REH162" s="4"/>
      <c r="REI162" s="4"/>
      <c r="REJ162" s="4"/>
      <c r="REK162" s="4"/>
      <c r="REL162" s="4"/>
      <c r="REM162" s="4"/>
      <c r="REN162" s="4"/>
      <c r="REO162" s="4"/>
      <c r="REP162" s="4"/>
      <c r="REQ162" s="4"/>
      <c r="RER162" s="4"/>
      <c r="RES162" s="4"/>
      <c r="RET162" s="4"/>
      <c r="REU162" s="4"/>
      <c r="REV162" s="4"/>
      <c r="REW162" s="4"/>
      <c r="REX162" s="4"/>
      <c r="REY162" s="4"/>
      <c r="REZ162" s="4"/>
      <c r="RFA162" s="4"/>
      <c r="RFB162" s="4"/>
      <c r="RFC162" s="4"/>
      <c r="RFD162" s="4"/>
      <c r="RFE162" s="4"/>
      <c r="RFF162" s="4"/>
      <c r="RFG162" s="4"/>
      <c r="RFH162" s="4"/>
      <c r="RFI162" s="4"/>
      <c r="RFJ162" s="4"/>
      <c r="RFK162" s="4"/>
      <c r="RFL162" s="4"/>
      <c r="RFM162" s="4"/>
      <c r="RFN162" s="4"/>
      <c r="RFO162" s="4"/>
      <c r="RFP162" s="4"/>
      <c r="RFQ162" s="4"/>
      <c r="RFR162" s="4"/>
      <c r="RFS162" s="4"/>
      <c r="RFT162" s="4"/>
      <c r="RFU162" s="4"/>
      <c r="RFV162" s="4"/>
      <c r="RFW162" s="4"/>
      <c r="RFX162" s="4"/>
      <c r="RFY162" s="4"/>
      <c r="RFZ162" s="4"/>
      <c r="RGA162" s="4"/>
      <c r="RGB162" s="4"/>
      <c r="RGC162" s="4"/>
      <c r="RGD162" s="4"/>
      <c r="RGE162" s="4"/>
      <c r="RGF162" s="4"/>
      <c r="RGG162" s="4"/>
      <c r="RGH162" s="4"/>
      <c r="RGI162" s="4"/>
      <c r="RGJ162" s="4"/>
      <c r="RGK162" s="4"/>
      <c r="RGL162" s="4"/>
      <c r="RGM162" s="4"/>
      <c r="RGN162" s="4"/>
      <c r="RGO162" s="4"/>
      <c r="RGP162" s="4"/>
      <c r="RGQ162" s="4"/>
      <c r="RGR162" s="4"/>
      <c r="RGS162" s="4"/>
      <c r="RGT162" s="4"/>
      <c r="RGU162" s="4"/>
      <c r="RGV162" s="4"/>
      <c r="RGW162" s="4"/>
      <c r="RGX162" s="4"/>
      <c r="RGY162" s="4"/>
      <c r="RGZ162" s="4"/>
      <c r="RHA162" s="4"/>
      <c r="RHB162" s="4"/>
      <c r="RHC162" s="4"/>
      <c r="RHD162" s="4"/>
      <c r="RHE162" s="4"/>
      <c r="RHF162" s="4"/>
      <c r="RHG162" s="4"/>
      <c r="RHH162" s="4"/>
      <c r="RHI162" s="4"/>
      <c r="RHJ162" s="4"/>
      <c r="RHK162" s="4"/>
      <c r="RHL162" s="4"/>
      <c r="RHM162" s="4"/>
      <c r="RHN162" s="4"/>
      <c r="RHO162" s="4"/>
      <c r="RHP162" s="4"/>
      <c r="RHQ162" s="4"/>
      <c r="RHR162" s="4"/>
      <c r="RHS162" s="4"/>
      <c r="RHT162" s="4"/>
      <c r="RHU162" s="4"/>
      <c r="RHV162" s="4"/>
      <c r="RHW162" s="4"/>
      <c r="RHX162" s="4"/>
      <c r="RHY162" s="4"/>
      <c r="RHZ162" s="4"/>
      <c r="RIA162" s="4"/>
      <c r="RIB162" s="4"/>
      <c r="RIC162" s="4"/>
      <c r="RID162" s="4"/>
      <c r="RIE162" s="4"/>
      <c r="RIF162" s="4"/>
      <c r="RIG162" s="4"/>
      <c r="RIH162" s="4"/>
      <c r="RII162" s="4"/>
      <c r="RIJ162" s="4"/>
      <c r="RIK162" s="4"/>
      <c r="RIL162" s="4"/>
      <c r="RIM162" s="4"/>
      <c r="RIN162" s="4"/>
      <c r="RIO162" s="4"/>
      <c r="RIP162" s="4"/>
      <c r="RIQ162" s="4"/>
      <c r="RIR162" s="4"/>
      <c r="RIS162" s="4"/>
      <c r="RIT162" s="4"/>
      <c r="RIU162" s="4"/>
      <c r="RIV162" s="4"/>
      <c r="RIW162" s="4"/>
      <c r="RIX162" s="4"/>
      <c r="RIY162" s="4"/>
      <c r="RIZ162" s="4"/>
      <c r="RJA162" s="4"/>
      <c r="RJB162" s="4"/>
      <c r="RJC162" s="4"/>
      <c r="RJD162" s="4"/>
      <c r="RJE162" s="4"/>
      <c r="RJF162" s="4"/>
      <c r="RJG162" s="4"/>
      <c r="RJH162" s="4"/>
      <c r="RJI162" s="4"/>
      <c r="RJJ162" s="4"/>
      <c r="RJK162" s="4"/>
      <c r="RJL162" s="4"/>
      <c r="RJM162" s="4"/>
      <c r="RJN162" s="4"/>
      <c r="RJO162" s="4"/>
      <c r="RJP162" s="4"/>
      <c r="RJQ162" s="4"/>
      <c r="RJR162" s="4"/>
      <c r="RJS162" s="4"/>
      <c r="RJT162" s="4"/>
      <c r="RJU162" s="4"/>
      <c r="RJV162" s="4"/>
      <c r="RJW162" s="4"/>
      <c r="RJX162" s="4"/>
      <c r="RJY162" s="4"/>
      <c r="RJZ162" s="4"/>
      <c r="RKA162" s="4"/>
      <c r="RKB162" s="4"/>
      <c r="RKC162" s="4"/>
      <c r="RKD162" s="4"/>
      <c r="RKE162" s="4"/>
      <c r="RKF162" s="4"/>
      <c r="RKG162" s="4"/>
      <c r="RKH162" s="4"/>
      <c r="RKI162" s="4"/>
      <c r="RKJ162" s="4"/>
      <c r="RKK162" s="4"/>
      <c r="RKL162" s="4"/>
      <c r="RKM162" s="4"/>
      <c r="RKN162" s="4"/>
      <c r="RKO162" s="4"/>
      <c r="RKP162" s="4"/>
      <c r="RKQ162" s="4"/>
      <c r="RKR162" s="4"/>
      <c r="RKS162" s="4"/>
      <c r="RKT162" s="4"/>
      <c r="RKU162" s="4"/>
      <c r="RKV162" s="4"/>
      <c r="RKW162" s="4"/>
      <c r="RKX162" s="4"/>
      <c r="RKY162" s="4"/>
      <c r="RKZ162" s="4"/>
      <c r="RLA162" s="4"/>
      <c r="RLB162" s="4"/>
      <c r="RLC162" s="4"/>
      <c r="RLD162" s="4"/>
      <c r="RLE162" s="4"/>
      <c r="RLF162" s="4"/>
      <c r="RLG162" s="4"/>
      <c r="RLH162" s="4"/>
      <c r="RLI162" s="4"/>
      <c r="RLJ162" s="4"/>
      <c r="RLK162" s="4"/>
      <c r="RLL162" s="4"/>
      <c r="RLM162" s="4"/>
      <c r="RLN162" s="4"/>
      <c r="RLO162" s="4"/>
      <c r="RLP162" s="4"/>
      <c r="RLQ162" s="4"/>
      <c r="RLR162" s="4"/>
      <c r="RLS162" s="4"/>
      <c r="RLT162" s="4"/>
      <c r="RLU162" s="4"/>
      <c r="RLV162" s="4"/>
      <c r="RLW162" s="4"/>
      <c r="RLX162" s="4"/>
      <c r="RLY162" s="4"/>
      <c r="RLZ162" s="4"/>
      <c r="RMA162" s="4"/>
      <c r="RMB162" s="4"/>
      <c r="RMC162" s="4"/>
      <c r="RMD162" s="4"/>
      <c r="RME162" s="4"/>
      <c r="RMF162" s="4"/>
      <c r="RMG162" s="4"/>
      <c r="RMH162" s="4"/>
      <c r="RMI162" s="4"/>
      <c r="RMJ162" s="4"/>
      <c r="RMK162" s="4"/>
      <c r="RML162" s="4"/>
      <c r="RMM162" s="4"/>
      <c r="RMN162" s="4"/>
      <c r="RMO162" s="4"/>
      <c r="RMP162" s="4"/>
      <c r="RMQ162" s="4"/>
      <c r="RMR162" s="4"/>
      <c r="RMS162" s="4"/>
      <c r="RMT162" s="4"/>
      <c r="RMU162" s="4"/>
      <c r="RMV162" s="4"/>
      <c r="RMW162" s="4"/>
      <c r="RMX162" s="4"/>
      <c r="RMY162" s="4"/>
      <c r="RMZ162" s="4"/>
      <c r="RNA162" s="4"/>
      <c r="RNB162" s="4"/>
      <c r="RNC162" s="4"/>
      <c r="RND162" s="4"/>
      <c r="RNE162" s="4"/>
      <c r="RNF162" s="4"/>
      <c r="RNG162" s="4"/>
      <c r="RNH162" s="4"/>
      <c r="RNI162" s="4"/>
      <c r="RNJ162" s="4"/>
      <c r="RNK162" s="4"/>
      <c r="RNL162" s="4"/>
      <c r="RNM162" s="4"/>
      <c r="RNN162" s="4"/>
      <c r="RNO162" s="4"/>
      <c r="RNP162" s="4"/>
      <c r="RNQ162" s="4"/>
      <c r="RNR162" s="4"/>
      <c r="RNS162" s="4"/>
      <c r="RNT162" s="4"/>
      <c r="RNU162" s="4"/>
      <c r="RNV162" s="4"/>
      <c r="RNW162" s="4"/>
      <c r="RNX162" s="4"/>
      <c r="RNY162" s="4"/>
      <c r="RNZ162" s="4"/>
      <c r="ROA162" s="4"/>
      <c r="ROB162" s="4"/>
      <c r="ROC162" s="4"/>
      <c r="ROD162" s="4"/>
      <c r="ROE162" s="4"/>
      <c r="ROF162" s="4"/>
      <c r="ROG162" s="4"/>
      <c r="ROH162" s="4"/>
      <c r="ROI162" s="4"/>
      <c r="ROJ162" s="4"/>
      <c r="ROK162" s="4"/>
      <c r="ROL162" s="4"/>
      <c r="ROM162" s="4"/>
      <c r="RON162" s="4"/>
      <c r="ROO162" s="4"/>
      <c r="ROP162" s="4"/>
      <c r="ROQ162" s="4"/>
      <c r="ROR162" s="4"/>
      <c r="ROS162" s="4"/>
      <c r="ROT162" s="4"/>
      <c r="ROU162" s="4"/>
      <c r="ROV162" s="4"/>
      <c r="ROW162" s="4"/>
      <c r="ROX162" s="4"/>
      <c r="ROY162" s="4"/>
      <c r="ROZ162" s="4"/>
      <c r="RPA162" s="4"/>
      <c r="RPB162" s="4"/>
      <c r="RPC162" s="4"/>
      <c r="RPD162" s="4"/>
      <c r="RPE162" s="4"/>
      <c r="RPF162" s="4"/>
      <c r="RPG162" s="4"/>
      <c r="RPH162" s="4"/>
      <c r="RPI162" s="4"/>
      <c r="RPJ162" s="4"/>
      <c r="RPK162" s="4"/>
      <c r="RPL162" s="4"/>
      <c r="RPM162" s="4"/>
      <c r="RPN162" s="4"/>
      <c r="RPO162" s="4"/>
      <c r="RPP162" s="4"/>
      <c r="RPQ162" s="4"/>
      <c r="RPR162" s="4"/>
      <c r="RPS162" s="4"/>
      <c r="RPT162" s="4"/>
      <c r="RPU162" s="4"/>
      <c r="RPV162" s="4"/>
      <c r="RPW162" s="4"/>
      <c r="RPX162" s="4"/>
      <c r="RPY162" s="4"/>
      <c r="RPZ162" s="4"/>
      <c r="RQA162" s="4"/>
      <c r="RQB162" s="4"/>
      <c r="RQC162" s="4"/>
      <c r="RQD162" s="4"/>
      <c r="RQE162" s="4"/>
      <c r="RQF162" s="4"/>
      <c r="RQG162" s="4"/>
      <c r="RQH162" s="4"/>
      <c r="RQI162" s="4"/>
      <c r="RQJ162" s="4"/>
      <c r="RQK162" s="4"/>
      <c r="RQL162" s="4"/>
      <c r="RQM162" s="4"/>
      <c r="RQN162" s="4"/>
      <c r="RQO162" s="4"/>
      <c r="RQP162" s="4"/>
      <c r="RQQ162" s="4"/>
      <c r="RQR162" s="4"/>
      <c r="RQS162" s="4"/>
      <c r="RQT162" s="4"/>
      <c r="RQU162" s="4"/>
      <c r="RQV162" s="4"/>
      <c r="RQW162" s="4"/>
      <c r="RQX162" s="4"/>
      <c r="RQY162" s="4"/>
      <c r="RQZ162" s="4"/>
      <c r="RRA162" s="4"/>
      <c r="RRB162" s="4"/>
      <c r="RRC162" s="4"/>
      <c r="RRD162" s="4"/>
      <c r="RRE162" s="4"/>
      <c r="RRF162" s="4"/>
      <c r="RRG162" s="4"/>
      <c r="RRH162" s="4"/>
      <c r="RRI162" s="4"/>
      <c r="RRJ162" s="4"/>
      <c r="RRK162" s="4"/>
      <c r="RRL162" s="4"/>
      <c r="RRM162" s="4"/>
      <c r="RRN162" s="4"/>
      <c r="RRO162" s="4"/>
      <c r="RRP162" s="4"/>
      <c r="RRQ162" s="4"/>
      <c r="RRR162" s="4"/>
      <c r="RRS162" s="4"/>
      <c r="RRT162" s="4"/>
      <c r="RRU162" s="4"/>
      <c r="RRV162" s="4"/>
      <c r="RRW162" s="4"/>
      <c r="RRX162" s="4"/>
      <c r="RRY162" s="4"/>
      <c r="RRZ162" s="4"/>
      <c r="RSA162" s="4"/>
      <c r="RSB162" s="4"/>
      <c r="RSC162" s="4"/>
      <c r="RSD162" s="4"/>
      <c r="RSE162" s="4"/>
      <c r="RSF162" s="4"/>
      <c r="RSG162" s="4"/>
      <c r="RSH162" s="4"/>
      <c r="RSI162" s="4"/>
      <c r="RSJ162" s="4"/>
      <c r="RSK162" s="4"/>
      <c r="RSL162" s="4"/>
      <c r="RSM162" s="4"/>
      <c r="RSN162" s="4"/>
      <c r="RSO162" s="4"/>
      <c r="RSP162" s="4"/>
      <c r="RSQ162" s="4"/>
      <c r="RSR162" s="4"/>
      <c r="RSS162" s="4"/>
      <c r="RST162" s="4"/>
      <c r="RSU162" s="4"/>
      <c r="RSV162" s="4"/>
      <c r="RSW162" s="4"/>
      <c r="RSX162" s="4"/>
      <c r="RSY162" s="4"/>
      <c r="RSZ162" s="4"/>
      <c r="RTA162" s="4"/>
      <c r="RTB162" s="4"/>
      <c r="RTC162" s="4"/>
      <c r="RTD162" s="4"/>
      <c r="RTE162" s="4"/>
      <c r="RTF162" s="4"/>
      <c r="RTG162" s="4"/>
      <c r="RTH162" s="4"/>
      <c r="RTI162" s="4"/>
      <c r="RTJ162" s="4"/>
      <c r="RTK162" s="4"/>
      <c r="RTL162" s="4"/>
      <c r="RTM162" s="4"/>
      <c r="RTN162" s="4"/>
      <c r="RTO162" s="4"/>
      <c r="RTP162" s="4"/>
      <c r="RTQ162" s="4"/>
      <c r="RTR162" s="4"/>
      <c r="RTS162" s="4"/>
      <c r="RTT162" s="4"/>
      <c r="RTU162" s="4"/>
      <c r="RTV162" s="4"/>
      <c r="RTW162" s="4"/>
      <c r="RTX162" s="4"/>
      <c r="RTY162" s="4"/>
      <c r="RTZ162" s="4"/>
      <c r="RUA162" s="4"/>
      <c r="RUB162" s="4"/>
      <c r="RUC162" s="4"/>
      <c r="RUD162" s="4"/>
      <c r="RUE162" s="4"/>
      <c r="RUF162" s="4"/>
      <c r="RUG162" s="4"/>
      <c r="RUH162" s="4"/>
      <c r="RUI162" s="4"/>
      <c r="RUJ162" s="4"/>
      <c r="RUK162" s="4"/>
      <c r="RUL162" s="4"/>
      <c r="RUM162" s="4"/>
      <c r="RUN162" s="4"/>
      <c r="RUO162" s="4"/>
      <c r="RUP162" s="4"/>
      <c r="RUQ162" s="4"/>
      <c r="RUR162" s="4"/>
      <c r="RUS162" s="4"/>
      <c r="RUT162" s="4"/>
      <c r="RUU162" s="4"/>
      <c r="RUV162" s="4"/>
      <c r="RUW162" s="4"/>
      <c r="RUX162" s="4"/>
      <c r="RUY162" s="4"/>
      <c r="RUZ162" s="4"/>
      <c r="RVA162" s="4"/>
      <c r="RVB162" s="4"/>
      <c r="RVC162" s="4"/>
      <c r="RVD162" s="4"/>
      <c r="RVE162" s="4"/>
      <c r="RVF162" s="4"/>
      <c r="RVG162" s="4"/>
      <c r="RVH162" s="4"/>
      <c r="RVI162" s="4"/>
      <c r="RVJ162" s="4"/>
      <c r="RVK162" s="4"/>
      <c r="RVL162" s="4"/>
      <c r="RVM162" s="4"/>
      <c r="RVN162" s="4"/>
      <c r="RVO162" s="4"/>
      <c r="RVP162" s="4"/>
      <c r="RVQ162" s="4"/>
      <c r="RVR162" s="4"/>
      <c r="RVS162" s="4"/>
      <c r="RVT162" s="4"/>
      <c r="RVU162" s="4"/>
      <c r="RVV162" s="4"/>
      <c r="RVW162" s="4"/>
      <c r="RVX162" s="4"/>
      <c r="RVY162" s="4"/>
      <c r="RVZ162" s="4"/>
      <c r="RWA162" s="4"/>
      <c r="RWB162" s="4"/>
      <c r="RWC162" s="4"/>
      <c r="RWD162" s="4"/>
      <c r="RWE162" s="4"/>
      <c r="RWF162" s="4"/>
      <c r="RWG162" s="4"/>
      <c r="RWH162" s="4"/>
      <c r="RWI162" s="4"/>
      <c r="RWJ162" s="4"/>
      <c r="RWK162" s="4"/>
      <c r="RWL162" s="4"/>
      <c r="RWM162" s="4"/>
      <c r="RWN162" s="4"/>
      <c r="RWO162" s="4"/>
      <c r="RWP162" s="4"/>
      <c r="RWQ162" s="4"/>
      <c r="RWR162" s="4"/>
      <c r="RWS162" s="4"/>
      <c r="RWT162" s="4"/>
      <c r="RWU162" s="4"/>
      <c r="RWV162" s="4"/>
      <c r="RWW162" s="4"/>
      <c r="RWX162" s="4"/>
      <c r="RWY162" s="4"/>
      <c r="RWZ162" s="4"/>
      <c r="RXA162" s="4"/>
      <c r="RXB162" s="4"/>
      <c r="RXC162" s="4"/>
      <c r="RXD162" s="4"/>
      <c r="RXE162" s="4"/>
      <c r="RXF162" s="4"/>
      <c r="RXG162" s="4"/>
      <c r="RXH162" s="4"/>
      <c r="RXI162" s="4"/>
      <c r="RXJ162" s="4"/>
      <c r="RXK162" s="4"/>
      <c r="RXL162" s="4"/>
      <c r="RXM162" s="4"/>
      <c r="RXN162" s="4"/>
      <c r="RXO162" s="4"/>
      <c r="RXP162" s="4"/>
      <c r="RXQ162" s="4"/>
      <c r="RXR162" s="4"/>
      <c r="RXS162" s="4"/>
      <c r="RXT162" s="4"/>
      <c r="RXU162" s="4"/>
      <c r="RXV162" s="4"/>
      <c r="RXW162" s="4"/>
      <c r="RXX162" s="4"/>
      <c r="RXY162" s="4"/>
      <c r="RXZ162" s="4"/>
      <c r="RYA162" s="4"/>
      <c r="RYB162" s="4"/>
      <c r="RYC162" s="4"/>
      <c r="RYD162" s="4"/>
      <c r="RYE162" s="4"/>
      <c r="RYF162" s="4"/>
      <c r="RYG162" s="4"/>
      <c r="RYH162" s="4"/>
      <c r="RYI162" s="4"/>
      <c r="RYJ162" s="4"/>
      <c r="RYK162" s="4"/>
      <c r="RYL162" s="4"/>
      <c r="RYM162" s="4"/>
      <c r="RYN162" s="4"/>
      <c r="RYO162" s="4"/>
      <c r="RYP162" s="4"/>
      <c r="RYQ162" s="4"/>
      <c r="RYR162" s="4"/>
      <c r="RYS162" s="4"/>
      <c r="RYT162" s="4"/>
      <c r="RYU162" s="4"/>
      <c r="RYV162" s="4"/>
      <c r="RYW162" s="4"/>
      <c r="RYX162" s="4"/>
      <c r="RYY162" s="4"/>
      <c r="RYZ162" s="4"/>
      <c r="RZA162" s="4"/>
      <c r="RZB162" s="4"/>
      <c r="RZC162" s="4"/>
      <c r="RZD162" s="4"/>
      <c r="RZE162" s="4"/>
      <c r="RZF162" s="4"/>
      <c r="RZG162" s="4"/>
      <c r="RZH162" s="4"/>
      <c r="RZI162" s="4"/>
      <c r="RZJ162" s="4"/>
      <c r="RZK162" s="4"/>
      <c r="RZL162" s="4"/>
      <c r="RZM162" s="4"/>
      <c r="RZN162" s="4"/>
      <c r="RZO162" s="4"/>
      <c r="RZP162" s="4"/>
      <c r="RZQ162" s="4"/>
      <c r="RZR162" s="4"/>
      <c r="RZS162" s="4"/>
      <c r="RZT162" s="4"/>
      <c r="RZU162" s="4"/>
      <c r="RZV162" s="4"/>
      <c r="RZW162" s="4"/>
      <c r="RZX162" s="4"/>
      <c r="RZY162" s="4"/>
      <c r="RZZ162" s="4"/>
      <c r="SAA162" s="4"/>
      <c r="SAB162" s="4"/>
      <c r="SAC162" s="4"/>
      <c r="SAD162" s="4"/>
      <c r="SAE162" s="4"/>
      <c r="SAF162" s="4"/>
      <c r="SAG162" s="4"/>
      <c r="SAH162" s="4"/>
      <c r="SAI162" s="4"/>
      <c r="SAJ162" s="4"/>
      <c r="SAK162" s="4"/>
      <c r="SAL162" s="4"/>
      <c r="SAM162" s="4"/>
      <c r="SAN162" s="4"/>
      <c r="SAO162" s="4"/>
      <c r="SAP162" s="4"/>
      <c r="SAQ162" s="4"/>
      <c r="SAR162" s="4"/>
      <c r="SAS162" s="4"/>
      <c r="SAT162" s="4"/>
      <c r="SAU162" s="4"/>
      <c r="SAV162" s="4"/>
      <c r="SAW162" s="4"/>
      <c r="SAX162" s="4"/>
      <c r="SAY162" s="4"/>
      <c r="SAZ162" s="4"/>
      <c r="SBA162" s="4"/>
      <c r="SBB162" s="4"/>
      <c r="SBC162" s="4"/>
      <c r="SBD162" s="4"/>
      <c r="SBE162" s="4"/>
      <c r="SBF162" s="4"/>
      <c r="SBG162" s="4"/>
      <c r="SBH162" s="4"/>
      <c r="SBI162" s="4"/>
      <c r="SBJ162" s="4"/>
      <c r="SBK162" s="4"/>
      <c r="SBL162" s="4"/>
      <c r="SBM162" s="4"/>
      <c r="SBN162" s="4"/>
      <c r="SBO162" s="4"/>
      <c r="SBP162" s="4"/>
      <c r="SBQ162" s="4"/>
      <c r="SBR162" s="4"/>
      <c r="SBS162" s="4"/>
      <c r="SBT162" s="4"/>
      <c r="SBU162" s="4"/>
      <c r="SBV162" s="4"/>
      <c r="SBW162" s="4"/>
      <c r="SBX162" s="4"/>
      <c r="SBY162" s="4"/>
      <c r="SBZ162" s="4"/>
      <c r="SCA162" s="4"/>
      <c r="SCB162" s="4"/>
      <c r="SCC162" s="4"/>
      <c r="SCD162" s="4"/>
      <c r="SCE162" s="4"/>
      <c r="SCF162" s="4"/>
      <c r="SCG162" s="4"/>
      <c r="SCH162" s="4"/>
      <c r="SCI162" s="4"/>
      <c r="SCJ162" s="4"/>
      <c r="SCK162" s="4"/>
      <c r="SCL162" s="4"/>
      <c r="SCM162" s="4"/>
      <c r="SCN162" s="4"/>
      <c r="SCO162" s="4"/>
      <c r="SCP162" s="4"/>
      <c r="SCQ162" s="4"/>
      <c r="SCR162" s="4"/>
      <c r="SCS162" s="4"/>
      <c r="SCT162" s="4"/>
      <c r="SCU162" s="4"/>
      <c r="SCV162" s="4"/>
      <c r="SCW162" s="4"/>
      <c r="SCX162" s="4"/>
      <c r="SCY162" s="4"/>
      <c r="SCZ162" s="4"/>
      <c r="SDA162" s="4"/>
      <c r="SDB162" s="4"/>
      <c r="SDC162" s="4"/>
      <c r="SDD162" s="4"/>
      <c r="SDE162" s="4"/>
      <c r="SDF162" s="4"/>
      <c r="SDG162" s="4"/>
      <c r="SDH162" s="4"/>
      <c r="SDI162" s="4"/>
      <c r="SDJ162" s="4"/>
      <c r="SDK162" s="4"/>
      <c r="SDL162" s="4"/>
      <c r="SDM162" s="4"/>
      <c r="SDN162" s="4"/>
      <c r="SDO162" s="4"/>
      <c r="SDP162" s="4"/>
      <c r="SDQ162" s="4"/>
      <c r="SDR162" s="4"/>
      <c r="SDS162" s="4"/>
      <c r="SDT162" s="4"/>
      <c r="SDU162" s="4"/>
      <c r="SDV162" s="4"/>
      <c r="SDW162" s="4"/>
      <c r="SDX162" s="4"/>
      <c r="SDY162" s="4"/>
      <c r="SDZ162" s="4"/>
      <c r="SEA162" s="4"/>
      <c r="SEB162" s="4"/>
      <c r="SEC162" s="4"/>
      <c r="SED162" s="4"/>
      <c r="SEE162" s="4"/>
      <c r="SEF162" s="4"/>
      <c r="SEG162" s="4"/>
      <c r="SEH162" s="4"/>
      <c r="SEI162" s="4"/>
      <c r="SEJ162" s="4"/>
      <c r="SEK162" s="4"/>
      <c r="SEL162" s="4"/>
      <c r="SEM162" s="4"/>
      <c r="SEN162" s="4"/>
      <c r="SEO162" s="4"/>
      <c r="SEP162" s="4"/>
      <c r="SEQ162" s="4"/>
      <c r="SER162" s="4"/>
      <c r="SES162" s="4"/>
      <c r="SET162" s="4"/>
      <c r="SEU162" s="4"/>
      <c r="SEV162" s="4"/>
      <c r="SEW162" s="4"/>
      <c r="SEX162" s="4"/>
      <c r="SEY162" s="4"/>
      <c r="SEZ162" s="4"/>
      <c r="SFA162" s="4"/>
      <c r="SFB162" s="4"/>
      <c r="SFC162" s="4"/>
      <c r="SFD162" s="4"/>
      <c r="SFE162" s="4"/>
      <c r="SFF162" s="4"/>
      <c r="SFG162" s="4"/>
      <c r="SFH162" s="4"/>
      <c r="SFI162" s="4"/>
      <c r="SFJ162" s="4"/>
      <c r="SFK162" s="4"/>
      <c r="SFL162" s="4"/>
      <c r="SFM162" s="4"/>
      <c r="SFN162" s="4"/>
      <c r="SFO162" s="4"/>
      <c r="SFP162" s="4"/>
      <c r="SFQ162" s="4"/>
      <c r="SFR162" s="4"/>
      <c r="SFS162" s="4"/>
      <c r="SFT162" s="4"/>
      <c r="SFU162" s="4"/>
      <c r="SFV162" s="4"/>
      <c r="SFW162" s="4"/>
      <c r="SFX162" s="4"/>
      <c r="SFY162" s="4"/>
      <c r="SFZ162" s="4"/>
      <c r="SGA162" s="4"/>
      <c r="SGB162" s="4"/>
      <c r="SGC162" s="4"/>
      <c r="SGD162" s="4"/>
      <c r="SGE162" s="4"/>
      <c r="SGF162" s="4"/>
      <c r="SGG162" s="4"/>
      <c r="SGH162" s="4"/>
      <c r="SGI162" s="4"/>
      <c r="SGJ162" s="4"/>
      <c r="SGK162" s="4"/>
      <c r="SGL162" s="4"/>
      <c r="SGM162" s="4"/>
      <c r="SGN162" s="4"/>
      <c r="SGO162" s="4"/>
      <c r="SGP162" s="4"/>
      <c r="SGQ162" s="4"/>
      <c r="SGR162" s="4"/>
      <c r="SGS162" s="4"/>
      <c r="SGT162" s="4"/>
      <c r="SGU162" s="4"/>
      <c r="SGV162" s="4"/>
      <c r="SGW162" s="4"/>
      <c r="SGX162" s="4"/>
      <c r="SGY162" s="4"/>
      <c r="SGZ162" s="4"/>
      <c r="SHA162" s="4"/>
      <c r="SHB162" s="4"/>
      <c r="SHC162" s="4"/>
      <c r="SHD162" s="4"/>
      <c r="SHE162" s="4"/>
      <c r="SHF162" s="4"/>
      <c r="SHG162" s="4"/>
      <c r="SHH162" s="4"/>
      <c r="SHI162" s="4"/>
      <c r="SHJ162" s="4"/>
      <c r="SHK162" s="4"/>
      <c r="SHL162" s="4"/>
      <c r="SHM162" s="4"/>
      <c r="SHN162" s="4"/>
      <c r="SHO162" s="4"/>
      <c r="SHP162" s="4"/>
      <c r="SHQ162" s="4"/>
      <c r="SHR162" s="4"/>
      <c r="SHS162" s="4"/>
      <c r="SHT162" s="4"/>
      <c r="SHU162" s="4"/>
      <c r="SHV162" s="4"/>
      <c r="SHW162" s="4"/>
      <c r="SHX162" s="4"/>
      <c r="SHY162" s="4"/>
      <c r="SHZ162" s="4"/>
      <c r="SIA162" s="4"/>
      <c r="SIB162" s="4"/>
      <c r="SIC162" s="4"/>
      <c r="SID162" s="4"/>
      <c r="SIE162" s="4"/>
      <c r="SIF162" s="4"/>
      <c r="SIG162" s="4"/>
      <c r="SIH162" s="4"/>
      <c r="SII162" s="4"/>
      <c r="SIJ162" s="4"/>
      <c r="SIK162" s="4"/>
      <c r="SIL162" s="4"/>
      <c r="SIM162" s="4"/>
      <c r="SIN162" s="4"/>
      <c r="SIO162" s="4"/>
      <c r="SIP162" s="4"/>
      <c r="SIQ162" s="4"/>
      <c r="SIR162" s="4"/>
      <c r="SIS162" s="4"/>
      <c r="SIT162" s="4"/>
      <c r="SIU162" s="4"/>
      <c r="SIV162" s="4"/>
      <c r="SIW162" s="4"/>
      <c r="SIX162" s="4"/>
      <c r="SIY162" s="4"/>
      <c r="SIZ162" s="4"/>
      <c r="SJA162" s="4"/>
      <c r="SJB162" s="4"/>
      <c r="SJC162" s="4"/>
      <c r="SJD162" s="4"/>
      <c r="SJE162" s="4"/>
      <c r="SJF162" s="4"/>
      <c r="SJG162" s="4"/>
      <c r="SJH162" s="4"/>
      <c r="SJI162" s="4"/>
      <c r="SJJ162" s="4"/>
      <c r="SJK162" s="4"/>
      <c r="SJL162" s="4"/>
      <c r="SJM162" s="4"/>
      <c r="SJN162" s="4"/>
      <c r="SJO162" s="4"/>
      <c r="SJP162" s="4"/>
      <c r="SJQ162" s="4"/>
      <c r="SJR162" s="4"/>
      <c r="SJS162" s="4"/>
      <c r="SJT162" s="4"/>
      <c r="SJU162" s="4"/>
      <c r="SJV162" s="4"/>
      <c r="SJW162" s="4"/>
      <c r="SJX162" s="4"/>
      <c r="SJY162" s="4"/>
      <c r="SJZ162" s="4"/>
      <c r="SKA162" s="4"/>
      <c r="SKB162" s="4"/>
      <c r="SKC162" s="4"/>
      <c r="SKD162" s="4"/>
      <c r="SKE162" s="4"/>
      <c r="SKF162" s="4"/>
      <c r="SKG162" s="4"/>
      <c r="SKH162" s="4"/>
      <c r="SKI162" s="4"/>
      <c r="SKJ162" s="4"/>
      <c r="SKK162" s="4"/>
      <c r="SKL162" s="4"/>
      <c r="SKM162" s="4"/>
      <c r="SKN162" s="4"/>
      <c r="SKO162" s="4"/>
      <c r="SKP162" s="4"/>
      <c r="SKQ162" s="4"/>
      <c r="SKR162" s="4"/>
      <c r="SKS162" s="4"/>
      <c r="SKT162" s="4"/>
      <c r="SKU162" s="4"/>
      <c r="SKV162" s="4"/>
      <c r="SKW162" s="4"/>
      <c r="SKX162" s="4"/>
      <c r="SKY162" s="4"/>
      <c r="SKZ162" s="4"/>
      <c r="SLA162" s="4"/>
      <c r="SLB162" s="4"/>
      <c r="SLC162" s="4"/>
      <c r="SLD162" s="4"/>
      <c r="SLE162" s="4"/>
      <c r="SLF162" s="4"/>
      <c r="SLG162" s="4"/>
      <c r="SLH162" s="4"/>
      <c r="SLI162" s="4"/>
      <c r="SLJ162" s="4"/>
      <c r="SLK162" s="4"/>
      <c r="SLL162" s="4"/>
      <c r="SLM162" s="4"/>
      <c r="SLN162" s="4"/>
      <c r="SLO162" s="4"/>
      <c r="SLP162" s="4"/>
      <c r="SLQ162" s="4"/>
      <c r="SLR162" s="4"/>
      <c r="SLS162" s="4"/>
      <c r="SLT162" s="4"/>
      <c r="SLU162" s="4"/>
      <c r="SLV162" s="4"/>
      <c r="SLW162" s="4"/>
      <c r="SLX162" s="4"/>
      <c r="SLY162" s="4"/>
      <c r="SLZ162" s="4"/>
      <c r="SMA162" s="4"/>
      <c r="SMB162" s="4"/>
      <c r="SMC162" s="4"/>
      <c r="SMD162" s="4"/>
      <c r="SME162" s="4"/>
      <c r="SMF162" s="4"/>
      <c r="SMG162" s="4"/>
      <c r="SMH162" s="4"/>
      <c r="SMI162" s="4"/>
      <c r="SMJ162" s="4"/>
      <c r="SMK162" s="4"/>
      <c r="SML162" s="4"/>
      <c r="SMM162" s="4"/>
      <c r="SMN162" s="4"/>
      <c r="SMO162" s="4"/>
      <c r="SMP162" s="4"/>
      <c r="SMQ162" s="4"/>
      <c r="SMR162" s="4"/>
      <c r="SMS162" s="4"/>
      <c r="SMT162" s="4"/>
      <c r="SMU162" s="4"/>
      <c r="SMV162" s="4"/>
      <c r="SMW162" s="4"/>
      <c r="SMX162" s="4"/>
      <c r="SMY162" s="4"/>
      <c r="SMZ162" s="4"/>
      <c r="SNA162" s="4"/>
      <c r="SNB162" s="4"/>
      <c r="SNC162" s="4"/>
      <c r="SND162" s="4"/>
      <c r="SNE162" s="4"/>
      <c r="SNF162" s="4"/>
      <c r="SNG162" s="4"/>
      <c r="SNH162" s="4"/>
      <c r="SNI162" s="4"/>
      <c r="SNJ162" s="4"/>
      <c r="SNK162" s="4"/>
      <c r="SNL162" s="4"/>
      <c r="SNM162" s="4"/>
      <c r="SNN162" s="4"/>
      <c r="SNO162" s="4"/>
      <c r="SNP162" s="4"/>
      <c r="SNQ162" s="4"/>
      <c r="SNR162" s="4"/>
      <c r="SNS162" s="4"/>
      <c r="SNT162" s="4"/>
      <c r="SNU162" s="4"/>
      <c r="SNV162" s="4"/>
      <c r="SNW162" s="4"/>
      <c r="SNX162" s="4"/>
      <c r="SNY162" s="4"/>
      <c r="SNZ162" s="4"/>
      <c r="SOA162" s="4"/>
      <c r="SOB162" s="4"/>
      <c r="SOC162" s="4"/>
      <c r="SOD162" s="4"/>
      <c r="SOE162" s="4"/>
      <c r="SOF162" s="4"/>
      <c r="SOG162" s="4"/>
      <c r="SOH162" s="4"/>
      <c r="SOI162" s="4"/>
      <c r="SOJ162" s="4"/>
      <c r="SOK162" s="4"/>
      <c r="SOL162" s="4"/>
      <c r="SOM162" s="4"/>
      <c r="SON162" s="4"/>
      <c r="SOO162" s="4"/>
      <c r="SOP162" s="4"/>
      <c r="SOQ162" s="4"/>
      <c r="SOR162" s="4"/>
      <c r="SOS162" s="4"/>
      <c r="SOT162" s="4"/>
      <c r="SOU162" s="4"/>
      <c r="SOV162" s="4"/>
      <c r="SOW162" s="4"/>
      <c r="SOX162" s="4"/>
      <c r="SOY162" s="4"/>
      <c r="SOZ162" s="4"/>
      <c r="SPA162" s="4"/>
      <c r="SPB162" s="4"/>
      <c r="SPC162" s="4"/>
      <c r="SPD162" s="4"/>
      <c r="SPE162" s="4"/>
      <c r="SPF162" s="4"/>
      <c r="SPG162" s="4"/>
      <c r="SPH162" s="4"/>
      <c r="SPI162" s="4"/>
      <c r="SPJ162" s="4"/>
      <c r="SPK162" s="4"/>
      <c r="SPL162" s="4"/>
      <c r="SPM162" s="4"/>
      <c r="SPN162" s="4"/>
      <c r="SPO162" s="4"/>
      <c r="SPP162" s="4"/>
      <c r="SPQ162" s="4"/>
      <c r="SPR162" s="4"/>
      <c r="SPS162" s="4"/>
      <c r="SPT162" s="4"/>
      <c r="SPU162" s="4"/>
      <c r="SPV162" s="4"/>
      <c r="SPW162" s="4"/>
      <c r="SPX162" s="4"/>
      <c r="SPY162" s="4"/>
      <c r="SPZ162" s="4"/>
      <c r="SQA162" s="4"/>
      <c r="SQB162" s="4"/>
      <c r="SQC162" s="4"/>
      <c r="SQD162" s="4"/>
      <c r="SQE162" s="4"/>
      <c r="SQF162" s="4"/>
      <c r="SQG162" s="4"/>
      <c r="SQH162" s="4"/>
      <c r="SQI162" s="4"/>
      <c r="SQJ162" s="4"/>
      <c r="SQK162" s="4"/>
      <c r="SQL162" s="4"/>
      <c r="SQM162" s="4"/>
      <c r="SQN162" s="4"/>
      <c r="SQO162" s="4"/>
      <c r="SQP162" s="4"/>
      <c r="SQQ162" s="4"/>
      <c r="SQR162" s="4"/>
      <c r="SQS162" s="4"/>
      <c r="SQT162" s="4"/>
      <c r="SQU162" s="4"/>
      <c r="SQV162" s="4"/>
      <c r="SQW162" s="4"/>
      <c r="SQX162" s="4"/>
      <c r="SQY162" s="4"/>
      <c r="SQZ162" s="4"/>
      <c r="SRA162" s="4"/>
      <c r="SRB162" s="4"/>
      <c r="SRC162" s="4"/>
      <c r="SRD162" s="4"/>
      <c r="SRE162" s="4"/>
      <c r="SRF162" s="4"/>
      <c r="SRG162" s="4"/>
      <c r="SRH162" s="4"/>
      <c r="SRI162" s="4"/>
      <c r="SRJ162" s="4"/>
      <c r="SRK162" s="4"/>
      <c r="SRL162" s="4"/>
      <c r="SRM162" s="4"/>
      <c r="SRN162" s="4"/>
      <c r="SRO162" s="4"/>
      <c r="SRP162" s="4"/>
      <c r="SRQ162" s="4"/>
      <c r="SRR162" s="4"/>
      <c r="SRS162" s="4"/>
      <c r="SRT162" s="4"/>
      <c r="SRU162" s="4"/>
      <c r="SRV162" s="4"/>
      <c r="SRW162" s="4"/>
      <c r="SRX162" s="4"/>
      <c r="SRY162" s="4"/>
      <c r="SRZ162" s="4"/>
      <c r="SSA162" s="4"/>
      <c r="SSB162" s="4"/>
      <c r="SSC162" s="4"/>
      <c r="SSD162" s="4"/>
      <c r="SSE162" s="4"/>
      <c r="SSF162" s="4"/>
      <c r="SSG162" s="4"/>
      <c r="SSH162" s="4"/>
      <c r="SSI162" s="4"/>
      <c r="SSJ162" s="4"/>
      <c r="SSK162" s="4"/>
      <c r="SSL162" s="4"/>
      <c r="SSM162" s="4"/>
      <c r="SSN162" s="4"/>
      <c r="SSO162" s="4"/>
      <c r="SSP162" s="4"/>
      <c r="SSQ162" s="4"/>
      <c r="SSR162" s="4"/>
      <c r="SSS162" s="4"/>
      <c r="SST162" s="4"/>
      <c r="SSU162" s="4"/>
      <c r="SSV162" s="4"/>
      <c r="SSW162" s="4"/>
      <c r="SSX162" s="4"/>
      <c r="SSY162" s="4"/>
      <c r="SSZ162" s="4"/>
      <c r="STA162" s="4"/>
      <c r="STB162" s="4"/>
      <c r="STC162" s="4"/>
      <c r="STD162" s="4"/>
      <c r="STE162" s="4"/>
      <c r="STF162" s="4"/>
      <c r="STG162" s="4"/>
      <c r="STH162" s="4"/>
      <c r="STI162" s="4"/>
      <c r="STJ162" s="4"/>
      <c r="STK162" s="4"/>
      <c r="STL162" s="4"/>
      <c r="STM162" s="4"/>
      <c r="STN162" s="4"/>
      <c r="STO162" s="4"/>
      <c r="STP162" s="4"/>
      <c r="STQ162" s="4"/>
      <c r="STR162" s="4"/>
      <c r="STS162" s="4"/>
      <c r="STT162" s="4"/>
      <c r="STU162" s="4"/>
      <c r="STV162" s="4"/>
      <c r="STW162" s="4"/>
      <c r="STX162" s="4"/>
      <c r="STY162" s="4"/>
      <c r="STZ162" s="4"/>
      <c r="SUA162" s="4"/>
      <c r="SUB162" s="4"/>
      <c r="SUC162" s="4"/>
      <c r="SUD162" s="4"/>
      <c r="SUE162" s="4"/>
      <c r="SUF162" s="4"/>
      <c r="SUG162" s="4"/>
      <c r="SUH162" s="4"/>
      <c r="SUI162" s="4"/>
      <c r="SUJ162" s="4"/>
      <c r="SUK162" s="4"/>
      <c r="SUL162" s="4"/>
      <c r="SUM162" s="4"/>
      <c r="SUN162" s="4"/>
      <c r="SUO162" s="4"/>
      <c r="SUP162" s="4"/>
      <c r="SUQ162" s="4"/>
      <c r="SUR162" s="4"/>
      <c r="SUS162" s="4"/>
      <c r="SUT162" s="4"/>
      <c r="SUU162" s="4"/>
      <c r="SUV162" s="4"/>
      <c r="SUW162" s="4"/>
      <c r="SUX162" s="4"/>
      <c r="SUY162" s="4"/>
      <c r="SUZ162" s="4"/>
      <c r="SVA162" s="4"/>
      <c r="SVB162" s="4"/>
      <c r="SVC162" s="4"/>
      <c r="SVD162" s="4"/>
      <c r="SVE162" s="4"/>
      <c r="SVF162" s="4"/>
      <c r="SVG162" s="4"/>
      <c r="SVH162" s="4"/>
      <c r="SVI162" s="4"/>
      <c r="SVJ162" s="4"/>
      <c r="SVK162" s="4"/>
      <c r="SVL162" s="4"/>
      <c r="SVM162" s="4"/>
      <c r="SVN162" s="4"/>
      <c r="SVO162" s="4"/>
      <c r="SVP162" s="4"/>
      <c r="SVQ162" s="4"/>
      <c r="SVR162" s="4"/>
      <c r="SVS162" s="4"/>
      <c r="SVT162" s="4"/>
      <c r="SVU162" s="4"/>
      <c r="SVV162" s="4"/>
      <c r="SVW162" s="4"/>
      <c r="SVX162" s="4"/>
      <c r="SVY162" s="4"/>
      <c r="SVZ162" s="4"/>
      <c r="SWA162" s="4"/>
      <c r="SWB162" s="4"/>
      <c r="SWC162" s="4"/>
      <c r="SWD162" s="4"/>
      <c r="SWE162" s="4"/>
      <c r="SWF162" s="4"/>
      <c r="SWG162" s="4"/>
      <c r="SWH162" s="4"/>
      <c r="SWI162" s="4"/>
      <c r="SWJ162" s="4"/>
      <c r="SWK162" s="4"/>
      <c r="SWL162" s="4"/>
      <c r="SWM162" s="4"/>
      <c r="SWN162" s="4"/>
      <c r="SWO162" s="4"/>
      <c r="SWP162" s="4"/>
      <c r="SWQ162" s="4"/>
      <c r="SWR162" s="4"/>
      <c r="SWS162" s="4"/>
      <c r="SWT162" s="4"/>
      <c r="SWU162" s="4"/>
      <c r="SWV162" s="4"/>
      <c r="SWW162" s="4"/>
      <c r="SWX162" s="4"/>
      <c r="SWY162" s="4"/>
      <c r="SWZ162" s="4"/>
      <c r="SXA162" s="4"/>
      <c r="SXB162" s="4"/>
      <c r="SXC162" s="4"/>
      <c r="SXD162" s="4"/>
      <c r="SXE162" s="4"/>
      <c r="SXF162" s="4"/>
      <c r="SXG162" s="4"/>
      <c r="SXH162" s="4"/>
      <c r="SXI162" s="4"/>
      <c r="SXJ162" s="4"/>
      <c r="SXK162" s="4"/>
      <c r="SXL162" s="4"/>
      <c r="SXM162" s="4"/>
      <c r="SXN162" s="4"/>
      <c r="SXO162" s="4"/>
      <c r="SXP162" s="4"/>
      <c r="SXQ162" s="4"/>
      <c r="SXR162" s="4"/>
      <c r="SXS162" s="4"/>
      <c r="SXT162" s="4"/>
      <c r="SXU162" s="4"/>
      <c r="SXV162" s="4"/>
      <c r="SXW162" s="4"/>
      <c r="SXX162" s="4"/>
      <c r="SXY162" s="4"/>
      <c r="SXZ162" s="4"/>
      <c r="SYA162" s="4"/>
      <c r="SYB162" s="4"/>
      <c r="SYC162" s="4"/>
      <c r="SYD162" s="4"/>
      <c r="SYE162" s="4"/>
      <c r="SYF162" s="4"/>
      <c r="SYG162" s="4"/>
      <c r="SYH162" s="4"/>
      <c r="SYI162" s="4"/>
      <c r="SYJ162" s="4"/>
      <c r="SYK162" s="4"/>
      <c r="SYL162" s="4"/>
      <c r="SYM162" s="4"/>
      <c r="SYN162" s="4"/>
      <c r="SYO162" s="4"/>
      <c r="SYP162" s="4"/>
      <c r="SYQ162" s="4"/>
      <c r="SYR162" s="4"/>
      <c r="SYS162" s="4"/>
      <c r="SYT162" s="4"/>
      <c r="SYU162" s="4"/>
      <c r="SYV162" s="4"/>
      <c r="SYW162" s="4"/>
      <c r="SYX162" s="4"/>
      <c r="SYY162" s="4"/>
      <c r="SYZ162" s="4"/>
      <c r="SZA162" s="4"/>
      <c r="SZB162" s="4"/>
      <c r="SZC162" s="4"/>
      <c r="SZD162" s="4"/>
      <c r="SZE162" s="4"/>
      <c r="SZF162" s="4"/>
      <c r="SZG162" s="4"/>
      <c r="SZH162" s="4"/>
      <c r="SZI162" s="4"/>
      <c r="SZJ162" s="4"/>
      <c r="SZK162" s="4"/>
      <c r="SZL162" s="4"/>
      <c r="SZM162" s="4"/>
      <c r="SZN162" s="4"/>
      <c r="SZO162" s="4"/>
      <c r="SZP162" s="4"/>
      <c r="SZQ162" s="4"/>
      <c r="SZR162" s="4"/>
      <c r="SZS162" s="4"/>
      <c r="SZT162" s="4"/>
      <c r="SZU162" s="4"/>
      <c r="SZV162" s="4"/>
      <c r="SZW162" s="4"/>
      <c r="SZX162" s="4"/>
      <c r="SZY162" s="4"/>
      <c r="SZZ162" s="4"/>
      <c r="TAA162" s="4"/>
      <c r="TAB162" s="4"/>
      <c r="TAC162" s="4"/>
      <c r="TAD162" s="4"/>
      <c r="TAE162" s="4"/>
      <c r="TAF162" s="4"/>
      <c r="TAG162" s="4"/>
      <c r="TAH162" s="4"/>
      <c r="TAI162" s="4"/>
      <c r="TAJ162" s="4"/>
      <c r="TAK162" s="4"/>
      <c r="TAL162" s="4"/>
      <c r="TAM162" s="4"/>
      <c r="TAN162" s="4"/>
      <c r="TAO162" s="4"/>
      <c r="TAP162" s="4"/>
      <c r="TAQ162" s="4"/>
      <c r="TAR162" s="4"/>
      <c r="TAS162" s="4"/>
      <c r="TAT162" s="4"/>
      <c r="TAU162" s="4"/>
      <c r="TAV162" s="4"/>
      <c r="TAW162" s="4"/>
      <c r="TAX162" s="4"/>
      <c r="TAY162" s="4"/>
      <c r="TAZ162" s="4"/>
      <c r="TBA162" s="4"/>
      <c r="TBB162" s="4"/>
      <c r="TBC162" s="4"/>
      <c r="TBD162" s="4"/>
      <c r="TBE162" s="4"/>
      <c r="TBF162" s="4"/>
      <c r="TBG162" s="4"/>
      <c r="TBH162" s="4"/>
      <c r="TBI162" s="4"/>
      <c r="TBJ162" s="4"/>
      <c r="TBK162" s="4"/>
      <c r="TBL162" s="4"/>
      <c r="TBM162" s="4"/>
      <c r="TBN162" s="4"/>
      <c r="TBO162" s="4"/>
      <c r="TBP162" s="4"/>
      <c r="TBQ162" s="4"/>
      <c r="TBR162" s="4"/>
      <c r="TBS162" s="4"/>
      <c r="TBT162" s="4"/>
      <c r="TBU162" s="4"/>
      <c r="TBV162" s="4"/>
      <c r="TBW162" s="4"/>
      <c r="TBX162" s="4"/>
      <c r="TBY162" s="4"/>
      <c r="TBZ162" s="4"/>
      <c r="TCA162" s="4"/>
      <c r="TCB162" s="4"/>
      <c r="TCC162" s="4"/>
      <c r="TCD162" s="4"/>
      <c r="TCE162" s="4"/>
      <c r="TCF162" s="4"/>
      <c r="TCG162" s="4"/>
      <c r="TCH162" s="4"/>
      <c r="TCI162" s="4"/>
      <c r="TCJ162" s="4"/>
      <c r="TCK162" s="4"/>
      <c r="TCL162" s="4"/>
      <c r="TCM162" s="4"/>
      <c r="TCN162" s="4"/>
      <c r="TCO162" s="4"/>
      <c r="TCP162" s="4"/>
      <c r="TCQ162" s="4"/>
      <c r="TCR162" s="4"/>
      <c r="TCS162" s="4"/>
      <c r="TCT162" s="4"/>
      <c r="TCU162" s="4"/>
      <c r="TCV162" s="4"/>
      <c r="TCW162" s="4"/>
      <c r="TCX162" s="4"/>
      <c r="TCY162" s="4"/>
      <c r="TCZ162" s="4"/>
      <c r="TDA162" s="4"/>
      <c r="TDB162" s="4"/>
      <c r="TDC162" s="4"/>
      <c r="TDD162" s="4"/>
      <c r="TDE162" s="4"/>
      <c r="TDF162" s="4"/>
      <c r="TDG162" s="4"/>
      <c r="TDH162" s="4"/>
      <c r="TDI162" s="4"/>
      <c r="TDJ162" s="4"/>
      <c r="TDK162" s="4"/>
      <c r="TDL162" s="4"/>
      <c r="TDM162" s="4"/>
      <c r="TDN162" s="4"/>
      <c r="TDO162" s="4"/>
      <c r="TDP162" s="4"/>
      <c r="TDQ162" s="4"/>
      <c r="TDR162" s="4"/>
      <c r="TDS162" s="4"/>
      <c r="TDT162" s="4"/>
      <c r="TDU162" s="4"/>
      <c r="TDV162" s="4"/>
      <c r="TDW162" s="4"/>
      <c r="TDX162" s="4"/>
      <c r="TDY162" s="4"/>
      <c r="TDZ162" s="4"/>
      <c r="TEA162" s="4"/>
      <c r="TEB162" s="4"/>
      <c r="TEC162" s="4"/>
      <c r="TED162" s="4"/>
      <c r="TEE162" s="4"/>
      <c r="TEF162" s="4"/>
      <c r="TEG162" s="4"/>
      <c r="TEH162" s="4"/>
      <c r="TEI162" s="4"/>
      <c r="TEJ162" s="4"/>
      <c r="TEK162" s="4"/>
      <c r="TEL162" s="4"/>
      <c r="TEM162" s="4"/>
      <c r="TEN162" s="4"/>
      <c r="TEO162" s="4"/>
      <c r="TEP162" s="4"/>
      <c r="TEQ162" s="4"/>
      <c r="TER162" s="4"/>
      <c r="TES162" s="4"/>
      <c r="TET162" s="4"/>
      <c r="TEU162" s="4"/>
      <c r="TEV162" s="4"/>
      <c r="TEW162" s="4"/>
      <c r="TEX162" s="4"/>
      <c r="TEY162" s="4"/>
      <c r="TEZ162" s="4"/>
      <c r="TFA162" s="4"/>
      <c r="TFB162" s="4"/>
      <c r="TFC162" s="4"/>
      <c r="TFD162" s="4"/>
      <c r="TFE162" s="4"/>
      <c r="TFF162" s="4"/>
      <c r="TFG162" s="4"/>
      <c r="TFH162" s="4"/>
      <c r="TFI162" s="4"/>
      <c r="TFJ162" s="4"/>
      <c r="TFK162" s="4"/>
      <c r="TFL162" s="4"/>
      <c r="TFM162" s="4"/>
      <c r="TFN162" s="4"/>
      <c r="TFO162" s="4"/>
      <c r="TFP162" s="4"/>
      <c r="TFQ162" s="4"/>
      <c r="TFR162" s="4"/>
      <c r="TFS162" s="4"/>
      <c r="TFT162" s="4"/>
      <c r="TFU162" s="4"/>
      <c r="TFV162" s="4"/>
      <c r="TFW162" s="4"/>
      <c r="TFX162" s="4"/>
      <c r="TFY162" s="4"/>
      <c r="TFZ162" s="4"/>
      <c r="TGA162" s="4"/>
      <c r="TGB162" s="4"/>
      <c r="TGC162" s="4"/>
      <c r="TGD162" s="4"/>
      <c r="TGE162" s="4"/>
      <c r="TGF162" s="4"/>
      <c r="TGG162" s="4"/>
      <c r="TGH162" s="4"/>
      <c r="TGI162" s="4"/>
      <c r="TGJ162" s="4"/>
      <c r="TGK162" s="4"/>
      <c r="TGL162" s="4"/>
      <c r="TGM162" s="4"/>
      <c r="TGN162" s="4"/>
      <c r="TGO162" s="4"/>
      <c r="TGP162" s="4"/>
      <c r="TGQ162" s="4"/>
      <c r="TGR162" s="4"/>
      <c r="TGS162" s="4"/>
      <c r="TGT162" s="4"/>
      <c r="TGU162" s="4"/>
      <c r="TGV162" s="4"/>
      <c r="TGW162" s="4"/>
      <c r="TGX162" s="4"/>
      <c r="TGY162" s="4"/>
      <c r="TGZ162" s="4"/>
      <c r="THA162" s="4"/>
      <c r="THB162" s="4"/>
      <c r="THC162" s="4"/>
      <c r="THD162" s="4"/>
      <c r="THE162" s="4"/>
      <c r="THF162" s="4"/>
      <c r="THG162" s="4"/>
      <c r="THH162" s="4"/>
      <c r="THI162" s="4"/>
      <c r="THJ162" s="4"/>
      <c r="THK162" s="4"/>
      <c r="THL162" s="4"/>
      <c r="THM162" s="4"/>
      <c r="THN162" s="4"/>
      <c r="THO162" s="4"/>
      <c r="THP162" s="4"/>
      <c r="THQ162" s="4"/>
      <c r="THR162" s="4"/>
      <c r="THS162" s="4"/>
      <c r="THT162" s="4"/>
      <c r="THU162" s="4"/>
      <c r="THV162" s="4"/>
      <c r="THW162" s="4"/>
      <c r="THX162" s="4"/>
      <c r="THY162" s="4"/>
      <c r="THZ162" s="4"/>
      <c r="TIA162" s="4"/>
      <c r="TIB162" s="4"/>
      <c r="TIC162" s="4"/>
      <c r="TID162" s="4"/>
      <c r="TIE162" s="4"/>
      <c r="TIF162" s="4"/>
      <c r="TIG162" s="4"/>
      <c r="TIH162" s="4"/>
      <c r="TII162" s="4"/>
      <c r="TIJ162" s="4"/>
      <c r="TIK162" s="4"/>
      <c r="TIL162" s="4"/>
      <c r="TIM162" s="4"/>
      <c r="TIN162" s="4"/>
      <c r="TIO162" s="4"/>
      <c r="TIP162" s="4"/>
      <c r="TIQ162" s="4"/>
      <c r="TIR162" s="4"/>
      <c r="TIS162" s="4"/>
      <c r="TIT162" s="4"/>
      <c r="TIU162" s="4"/>
      <c r="TIV162" s="4"/>
      <c r="TIW162" s="4"/>
      <c r="TIX162" s="4"/>
      <c r="TIY162" s="4"/>
      <c r="TIZ162" s="4"/>
      <c r="TJA162" s="4"/>
      <c r="TJB162" s="4"/>
      <c r="TJC162" s="4"/>
      <c r="TJD162" s="4"/>
      <c r="TJE162" s="4"/>
      <c r="TJF162" s="4"/>
      <c r="TJG162" s="4"/>
      <c r="TJH162" s="4"/>
      <c r="TJI162" s="4"/>
      <c r="TJJ162" s="4"/>
      <c r="TJK162" s="4"/>
      <c r="TJL162" s="4"/>
      <c r="TJM162" s="4"/>
      <c r="TJN162" s="4"/>
      <c r="TJO162" s="4"/>
      <c r="TJP162" s="4"/>
      <c r="TJQ162" s="4"/>
      <c r="TJR162" s="4"/>
      <c r="TJS162" s="4"/>
      <c r="TJT162" s="4"/>
      <c r="TJU162" s="4"/>
      <c r="TJV162" s="4"/>
      <c r="TJW162" s="4"/>
      <c r="TJX162" s="4"/>
      <c r="TJY162" s="4"/>
      <c r="TJZ162" s="4"/>
      <c r="TKA162" s="4"/>
      <c r="TKB162" s="4"/>
      <c r="TKC162" s="4"/>
      <c r="TKD162" s="4"/>
      <c r="TKE162" s="4"/>
      <c r="TKF162" s="4"/>
      <c r="TKG162" s="4"/>
      <c r="TKH162" s="4"/>
      <c r="TKI162" s="4"/>
      <c r="TKJ162" s="4"/>
      <c r="TKK162" s="4"/>
      <c r="TKL162" s="4"/>
      <c r="TKM162" s="4"/>
      <c r="TKN162" s="4"/>
      <c r="TKO162" s="4"/>
      <c r="TKP162" s="4"/>
      <c r="TKQ162" s="4"/>
      <c r="TKR162" s="4"/>
      <c r="TKS162" s="4"/>
      <c r="TKT162" s="4"/>
      <c r="TKU162" s="4"/>
      <c r="TKV162" s="4"/>
      <c r="TKW162" s="4"/>
      <c r="TKX162" s="4"/>
      <c r="TKY162" s="4"/>
      <c r="TKZ162" s="4"/>
      <c r="TLA162" s="4"/>
      <c r="TLB162" s="4"/>
      <c r="TLC162" s="4"/>
      <c r="TLD162" s="4"/>
      <c r="TLE162" s="4"/>
      <c r="TLF162" s="4"/>
      <c r="TLG162" s="4"/>
      <c r="TLH162" s="4"/>
      <c r="TLI162" s="4"/>
      <c r="TLJ162" s="4"/>
      <c r="TLK162" s="4"/>
      <c r="TLL162" s="4"/>
      <c r="TLM162" s="4"/>
      <c r="TLN162" s="4"/>
      <c r="TLO162" s="4"/>
      <c r="TLP162" s="4"/>
      <c r="TLQ162" s="4"/>
      <c r="TLR162" s="4"/>
      <c r="TLS162" s="4"/>
      <c r="TLT162" s="4"/>
      <c r="TLU162" s="4"/>
      <c r="TLV162" s="4"/>
      <c r="TLW162" s="4"/>
      <c r="TLX162" s="4"/>
      <c r="TLY162" s="4"/>
      <c r="TLZ162" s="4"/>
      <c r="TMA162" s="4"/>
      <c r="TMB162" s="4"/>
      <c r="TMC162" s="4"/>
      <c r="TMD162" s="4"/>
      <c r="TME162" s="4"/>
      <c r="TMF162" s="4"/>
      <c r="TMG162" s="4"/>
      <c r="TMH162" s="4"/>
      <c r="TMI162" s="4"/>
      <c r="TMJ162" s="4"/>
      <c r="TMK162" s="4"/>
      <c r="TML162" s="4"/>
      <c r="TMM162" s="4"/>
      <c r="TMN162" s="4"/>
      <c r="TMO162" s="4"/>
      <c r="TMP162" s="4"/>
      <c r="TMQ162" s="4"/>
      <c r="TMR162" s="4"/>
      <c r="TMS162" s="4"/>
      <c r="TMT162" s="4"/>
      <c r="TMU162" s="4"/>
      <c r="TMV162" s="4"/>
      <c r="TMW162" s="4"/>
      <c r="TMX162" s="4"/>
      <c r="TMY162" s="4"/>
      <c r="TMZ162" s="4"/>
      <c r="TNA162" s="4"/>
      <c r="TNB162" s="4"/>
      <c r="TNC162" s="4"/>
      <c r="TND162" s="4"/>
      <c r="TNE162" s="4"/>
      <c r="TNF162" s="4"/>
      <c r="TNG162" s="4"/>
      <c r="TNH162" s="4"/>
      <c r="TNI162" s="4"/>
      <c r="TNJ162" s="4"/>
      <c r="TNK162" s="4"/>
      <c r="TNL162" s="4"/>
      <c r="TNM162" s="4"/>
      <c r="TNN162" s="4"/>
      <c r="TNO162" s="4"/>
      <c r="TNP162" s="4"/>
      <c r="TNQ162" s="4"/>
      <c r="TNR162" s="4"/>
      <c r="TNS162" s="4"/>
      <c r="TNT162" s="4"/>
      <c r="TNU162" s="4"/>
      <c r="TNV162" s="4"/>
      <c r="TNW162" s="4"/>
      <c r="TNX162" s="4"/>
      <c r="TNY162" s="4"/>
      <c r="TNZ162" s="4"/>
      <c r="TOA162" s="4"/>
      <c r="TOB162" s="4"/>
      <c r="TOC162" s="4"/>
      <c r="TOD162" s="4"/>
      <c r="TOE162" s="4"/>
      <c r="TOF162" s="4"/>
      <c r="TOG162" s="4"/>
      <c r="TOH162" s="4"/>
      <c r="TOI162" s="4"/>
      <c r="TOJ162" s="4"/>
      <c r="TOK162" s="4"/>
      <c r="TOL162" s="4"/>
      <c r="TOM162" s="4"/>
      <c r="TON162" s="4"/>
      <c r="TOO162" s="4"/>
      <c r="TOP162" s="4"/>
      <c r="TOQ162" s="4"/>
      <c r="TOR162" s="4"/>
      <c r="TOS162" s="4"/>
      <c r="TOT162" s="4"/>
      <c r="TOU162" s="4"/>
      <c r="TOV162" s="4"/>
      <c r="TOW162" s="4"/>
      <c r="TOX162" s="4"/>
      <c r="TOY162" s="4"/>
      <c r="TOZ162" s="4"/>
      <c r="TPA162" s="4"/>
      <c r="TPB162" s="4"/>
      <c r="TPC162" s="4"/>
      <c r="TPD162" s="4"/>
      <c r="TPE162" s="4"/>
      <c r="TPF162" s="4"/>
      <c r="TPG162" s="4"/>
      <c r="TPH162" s="4"/>
      <c r="TPI162" s="4"/>
      <c r="TPJ162" s="4"/>
      <c r="TPK162" s="4"/>
      <c r="TPL162" s="4"/>
      <c r="TPM162" s="4"/>
      <c r="TPN162" s="4"/>
      <c r="TPO162" s="4"/>
      <c r="TPP162" s="4"/>
      <c r="TPQ162" s="4"/>
      <c r="TPR162" s="4"/>
      <c r="TPS162" s="4"/>
      <c r="TPT162" s="4"/>
      <c r="TPU162" s="4"/>
      <c r="TPV162" s="4"/>
      <c r="TPW162" s="4"/>
      <c r="TPX162" s="4"/>
      <c r="TPY162" s="4"/>
      <c r="TPZ162" s="4"/>
      <c r="TQA162" s="4"/>
      <c r="TQB162" s="4"/>
      <c r="TQC162" s="4"/>
      <c r="TQD162" s="4"/>
      <c r="TQE162" s="4"/>
      <c r="TQF162" s="4"/>
      <c r="TQG162" s="4"/>
      <c r="TQH162" s="4"/>
      <c r="TQI162" s="4"/>
      <c r="TQJ162" s="4"/>
      <c r="TQK162" s="4"/>
      <c r="TQL162" s="4"/>
      <c r="TQM162" s="4"/>
      <c r="TQN162" s="4"/>
      <c r="TQO162" s="4"/>
      <c r="TQP162" s="4"/>
      <c r="TQQ162" s="4"/>
      <c r="TQR162" s="4"/>
      <c r="TQS162" s="4"/>
      <c r="TQT162" s="4"/>
      <c r="TQU162" s="4"/>
      <c r="TQV162" s="4"/>
      <c r="TQW162" s="4"/>
      <c r="TQX162" s="4"/>
      <c r="TQY162" s="4"/>
      <c r="TQZ162" s="4"/>
      <c r="TRA162" s="4"/>
      <c r="TRB162" s="4"/>
      <c r="TRC162" s="4"/>
      <c r="TRD162" s="4"/>
      <c r="TRE162" s="4"/>
      <c r="TRF162" s="4"/>
      <c r="TRG162" s="4"/>
      <c r="TRH162" s="4"/>
      <c r="TRI162" s="4"/>
      <c r="TRJ162" s="4"/>
      <c r="TRK162" s="4"/>
      <c r="TRL162" s="4"/>
      <c r="TRM162" s="4"/>
      <c r="TRN162" s="4"/>
      <c r="TRO162" s="4"/>
      <c r="TRP162" s="4"/>
      <c r="TRQ162" s="4"/>
      <c r="TRR162" s="4"/>
      <c r="TRS162" s="4"/>
      <c r="TRT162" s="4"/>
      <c r="TRU162" s="4"/>
      <c r="TRV162" s="4"/>
      <c r="TRW162" s="4"/>
      <c r="TRX162" s="4"/>
      <c r="TRY162" s="4"/>
      <c r="TRZ162" s="4"/>
      <c r="TSA162" s="4"/>
      <c r="TSB162" s="4"/>
      <c r="TSC162" s="4"/>
      <c r="TSD162" s="4"/>
      <c r="TSE162" s="4"/>
      <c r="TSF162" s="4"/>
      <c r="TSG162" s="4"/>
      <c r="TSH162" s="4"/>
      <c r="TSI162" s="4"/>
      <c r="TSJ162" s="4"/>
      <c r="TSK162" s="4"/>
      <c r="TSL162" s="4"/>
      <c r="TSM162" s="4"/>
      <c r="TSN162" s="4"/>
      <c r="TSO162" s="4"/>
      <c r="TSP162" s="4"/>
      <c r="TSQ162" s="4"/>
      <c r="TSR162" s="4"/>
      <c r="TSS162" s="4"/>
      <c r="TST162" s="4"/>
      <c r="TSU162" s="4"/>
      <c r="TSV162" s="4"/>
      <c r="TSW162" s="4"/>
      <c r="TSX162" s="4"/>
      <c r="TSY162" s="4"/>
      <c r="TSZ162" s="4"/>
      <c r="TTA162" s="4"/>
      <c r="TTB162" s="4"/>
      <c r="TTC162" s="4"/>
      <c r="TTD162" s="4"/>
      <c r="TTE162" s="4"/>
      <c r="TTF162" s="4"/>
      <c r="TTG162" s="4"/>
      <c r="TTH162" s="4"/>
      <c r="TTI162" s="4"/>
      <c r="TTJ162" s="4"/>
      <c r="TTK162" s="4"/>
      <c r="TTL162" s="4"/>
      <c r="TTM162" s="4"/>
      <c r="TTN162" s="4"/>
      <c r="TTO162" s="4"/>
      <c r="TTP162" s="4"/>
      <c r="TTQ162" s="4"/>
      <c r="TTR162" s="4"/>
      <c r="TTS162" s="4"/>
      <c r="TTT162" s="4"/>
      <c r="TTU162" s="4"/>
      <c r="TTV162" s="4"/>
      <c r="TTW162" s="4"/>
      <c r="TTX162" s="4"/>
      <c r="TTY162" s="4"/>
      <c r="TTZ162" s="4"/>
      <c r="TUA162" s="4"/>
      <c r="TUB162" s="4"/>
      <c r="TUC162" s="4"/>
      <c r="TUD162" s="4"/>
      <c r="TUE162" s="4"/>
      <c r="TUF162" s="4"/>
      <c r="TUG162" s="4"/>
      <c r="TUH162" s="4"/>
      <c r="TUI162" s="4"/>
      <c r="TUJ162" s="4"/>
      <c r="TUK162" s="4"/>
      <c r="TUL162" s="4"/>
      <c r="TUM162" s="4"/>
      <c r="TUN162" s="4"/>
      <c r="TUO162" s="4"/>
      <c r="TUP162" s="4"/>
      <c r="TUQ162" s="4"/>
      <c r="TUR162" s="4"/>
      <c r="TUS162" s="4"/>
      <c r="TUT162" s="4"/>
      <c r="TUU162" s="4"/>
      <c r="TUV162" s="4"/>
      <c r="TUW162" s="4"/>
      <c r="TUX162" s="4"/>
      <c r="TUY162" s="4"/>
      <c r="TUZ162" s="4"/>
      <c r="TVA162" s="4"/>
      <c r="TVB162" s="4"/>
      <c r="TVC162" s="4"/>
      <c r="TVD162" s="4"/>
      <c r="TVE162" s="4"/>
      <c r="TVF162" s="4"/>
      <c r="TVG162" s="4"/>
      <c r="TVH162" s="4"/>
      <c r="TVI162" s="4"/>
      <c r="TVJ162" s="4"/>
      <c r="TVK162" s="4"/>
      <c r="TVL162" s="4"/>
      <c r="TVM162" s="4"/>
      <c r="TVN162" s="4"/>
      <c r="TVO162" s="4"/>
      <c r="TVP162" s="4"/>
      <c r="TVQ162" s="4"/>
      <c r="TVR162" s="4"/>
      <c r="TVS162" s="4"/>
      <c r="TVT162" s="4"/>
      <c r="TVU162" s="4"/>
      <c r="TVV162" s="4"/>
      <c r="TVW162" s="4"/>
      <c r="TVX162" s="4"/>
      <c r="TVY162" s="4"/>
      <c r="TVZ162" s="4"/>
      <c r="TWA162" s="4"/>
      <c r="TWB162" s="4"/>
      <c r="TWC162" s="4"/>
      <c r="TWD162" s="4"/>
      <c r="TWE162" s="4"/>
      <c r="TWF162" s="4"/>
      <c r="TWG162" s="4"/>
      <c r="TWH162" s="4"/>
      <c r="TWI162" s="4"/>
      <c r="TWJ162" s="4"/>
      <c r="TWK162" s="4"/>
      <c r="TWL162" s="4"/>
      <c r="TWM162" s="4"/>
      <c r="TWN162" s="4"/>
      <c r="TWO162" s="4"/>
      <c r="TWP162" s="4"/>
      <c r="TWQ162" s="4"/>
      <c r="TWR162" s="4"/>
      <c r="TWS162" s="4"/>
      <c r="TWT162" s="4"/>
      <c r="TWU162" s="4"/>
      <c r="TWV162" s="4"/>
      <c r="TWW162" s="4"/>
      <c r="TWX162" s="4"/>
      <c r="TWY162" s="4"/>
      <c r="TWZ162" s="4"/>
      <c r="TXA162" s="4"/>
      <c r="TXB162" s="4"/>
      <c r="TXC162" s="4"/>
      <c r="TXD162" s="4"/>
      <c r="TXE162" s="4"/>
      <c r="TXF162" s="4"/>
      <c r="TXG162" s="4"/>
      <c r="TXH162" s="4"/>
      <c r="TXI162" s="4"/>
      <c r="TXJ162" s="4"/>
      <c r="TXK162" s="4"/>
      <c r="TXL162" s="4"/>
      <c r="TXM162" s="4"/>
      <c r="TXN162" s="4"/>
      <c r="TXO162" s="4"/>
      <c r="TXP162" s="4"/>
      <c r="TXQ162" s="4"/>
      <c r="TXR162" s="4"/>
      <c r="TXS162" s="4"/>
      <c r="TXT162" s="4"/>
      <c r="TXU162" s="4"/>
      <c r="TXV162" s="4"/>
      <c r="TXW162" s="4"/>
      <c r="TXX162" s="4"/>
      <c r="TXY162" s="4"/>
      <c r="TXZ162" s="4"/>
      <c r="TYA162" s="4"/>
      <c r="TYB162" s="4"/>
      <c r="TYC162" s="4"/>
      <c r="TYD162" s="4"/>
      <c r="TYE162" s="4"/>
      <c r="TYF162" s="4"/>
      <c r="TYG162" s="4"/>
      <c r="TYH162" s="4"/>
      <c r="TYI162" s="4"/>
      <c r="TYJ162" s="4"/>
      <c r="TYK162" s="4"/>
      <c r="TYL162" s="4"/>
      <c r="TYM162" s="4"/>
      <c r="TYN162" s="4"/>
      <c r="TYO162" s="4"/>
      <c r="TYP162" s="4"/>
      <c r="TYQ162" s="4"/>
      <c r="TYR162" s="4"/>
      <c r="TYS162" s="4"/>
      <c r="TYT162" s="4"/>
      <c r="TYU162" s="4"/>
      <c r="TYV162" s="4"/>
      <c r="TYW162" s="4"/>
      <c r="TYX162" s="4"/>
      <c r="TYY162" s="4"/>
      <c r="TYZ162" s="4"/>
      <c r="TZA162" s="4"/>
      <c r="TZB162" s="4"/>
      <c r="TZC162" s="4"/>
      <c r="TZD162" s="4"/>
      <c r="TZE162" s="4"/>
      <c r="TZF162" s="4"/>
      <c r="TZG162" s="4"/>
      <c r="TZH162" s="4"/>
      <c r="TZI162" s="4"/>
      <c r="TZJ162" s="4"/>
      <c r="TZK162" s="4"/>
      <c r="TZL162" s="4"/>
      <c r="TZM162" s="4"/>
      <c r="TZN162" s="4"/>
      <c r="TZO162" s="4"/>
      <c r="TZP162" s="4"/>
      <c r="TZQ162" s="4"/>
      <c r="TZR162" s="4"/>
      <c r="TZS162" s="4"/>
      <c r="TZT162" s="4"/>
      <c r="TZU162" s="4"/>
      <c r="TZV162" s="4"/>
      <c r="TZW162" s="4"/>
      <c r="TZX162" s="4"/>
      <c r="TZY162" s="4"/>
      <c r="TZZ162" s="4"/>
      <c r="UAA162" s="4"/>
      <c r="UAB162" s="4"/>
      <c r="UAC162" s="4"/>
      <c r="UAD162" s="4"/>
      <c r="UAE162" s="4"/>
      <c r="UAF162" s="4"/>
      <c r="UAG162" s="4"/>
      <c r="UAH162" s="4"/>
      <c r="UAI162" s="4"/>
      <c r="UAJ162" s="4"/>
      <c r="UAK162" s="4"/>
      <c r="UAL162" s="4"/>
      <c r="UAM162" s="4"/>
      <c r="UAN162" s="4"/>
      <c r="UAO162" s="4"/>
      <c r="UAP162" s="4"/>
      <c r="UAQ162" s="4"/>
      <c r="UAR162" s="4"/>
      <c r="UAS162" s="4"/>
      <c r="UAT162" s="4"/>
      <c r="UAU162" s="4"/>
      <c r="UAV162" s="4"/>
      <c r="UAW162" s="4"/>
      <c r="UAX162" s="4"/>
      <c r="UAY162" s="4"/>
      <c r="UAZ162" s="4"/>
      <c r="UBA162" s="4"/>
      <c r="UBB162" s="4"/>
      <c r="UBC162" s="4"/>
      <c r="UBD162" s="4"/>
      <c r="UBE162" s="4"/>
      <c r="UBF162" s="4"/>
      <c r="UBG162" s="4"/>
      <c r="UBH162" s="4"/>
      <c r="UBI162" s="4"/>
      <c r="UBJ162" s="4"/>
      <c r="UBK162" s="4"/>
      <c r="UBL162" s="4"/>
      <c r="UBM162" s="4"/>
      <c r="UBN162" s="4"/>
      <c r="UBO162" s="4"/>
      <c r="UBP162" s="4"/>
      <c r="UBQ162" s="4"/>
      <c r="UBR162" s="4"/>
      <c r="UBS162" s="4"/>
      <c r="UBT162" s="4"/>
      <c r="UBU162" s="4"/>
      <c r="UBV162" s="4"/>
      <c r="UBW162" s="4"/>
      <c r="UBX162" s="4"/>
      <c r="UBY162" s="4"/>
      <c r="UBZ162" s="4"/>
      <c r="UCA162" s="4"/>
      <c r="UCB162" s="4"/>
      <c r="UCC162" s="4"/>
      <c r="UCD162" s="4"/>
      <c r="UCE162" s="4"/>
      <c r="UCF162" s="4"/>
      <c r="UCG162" s="4"/>
      <c r="UCH162" s="4"/>
      <c r="UCI162" s="4"/>
      <c r="UCJ162" s="4"/>
      <c r="UCK162" s="4"/>
      <c r="UCL162" s="4"/>
      <c r="UCM162" s="4"/>
      <c r="UCN162" s="4"/>
      <c r="UCO162" s="4"/>
      <c r="UCP162" s="4"/>
      <c r="UCQ162" s="4"/>
      <c r="UCR162" s="4"/>
      <c r="UCS162" s="4"/>
      <c r="UCT162" s="4"/>
      <c r="UCU162" s="4"/>
      <c r="UCV162" s="4"/>
      <c r="UCW162" s="4"/>
      <c r="UCX162" s="4"/>
      <c r="UCY162" s="4"/>
      <c r="UCZ162" s="4"/>
      <c r="UDA162" s="4"/>
      <c r="UDB162" s="4"/>
      <c r="UDC162" s="4"/>
      <c r="UDD162" s="4"/>
      <c r="UDE162" s="4"/>
      <c r="UDF162" s="4"/>
      <c r="UDG162" s="4"/>
      <c r="UDH162" s="4"/>
      <c r="UDI162" s="4"/>
      <c r="UDJ162" s="4"/>
      <c r="UDK162" s="4"/>
      <c r="UDL162" s="4"/>
      <c r="UDM162" s="4"/>
      <c r="UDN162" s="4"/>
      <c r="UDO162" s="4"/>
      <c r="UDP162" s="4"/>
      <c r="UDQ162" s="4"/>
      <c r="UDR162" s="4"/>
      <c r="UDS162" s="4"/>
      <c r="UDT162" s="4"/>
      <c r="UDU162" s="4"/>
      <c r="UDV162" s="4"/>
      <c r="UDW162" s="4"/>
      <c r="UDX162" s="4"/>
      <c r="UDY162" s="4"/>
      <c r="UDZ162" s="4"/>
      <c r="UEA162" s="4"/>
      <c r="UEB162" s="4"/>
      <c r="UEC162" s="4"/>
      <c r="UED162" s="4"/>
      <c r="UEE162" s="4"/>
      <c r="UEF162" s="4"/>
      <c r="UEG162" s="4"/>
      <c r="UEH162" s="4"/>
      <c r="UEI162" s="4"/>
      <c r="UEJ162" s="4"/>
      <c r="UEK162" s="4"/>
      <c r="UEL162" s="4"/>
      <c r="UEM162" s="4"/>
      <c r="UEN162" s="4"/>
      <c r="UEO162" s="4"/>
      <c r="UEP162" s="4"/>
      <c r="UEQ162" s="4"/>
      <c r="UER162" s="4"/>
      <c r="UES162" s="4"/>
      <c r="UET162" s="4"/>
      <c r="UEU162" s="4"/>
      <c r="UEV162" s="4"/>
      <c r="UEW162" s="4"/>
      <c r="UEX162" s="4"/>
      <c r="UEY162" s="4"/>
      <c r="UEZ162" s="4"/>
      <c r="UFA162" s="4"/>
      <c r="UFB162" s="4"/>
      <c r="UFC162" s="4"/>
      <c r="UFD162" s="4"/>
      <c r="UFE162" s="4"/>
      <c r="UFF162" s="4"/>
      <c r="UFG162" s="4"/>
      <c r="UFH162" s="4"/>
      <c r="UFI162" s="4"/>
      <c r="UFJ162" s="4"/>
      <c r="UFK162" s="4"/>
      <c r="UFL162" s="4"/>
      <c r="UFM162" s="4"/>
      <c r="UFN162" s="4"/>
      <c r="UFO162" s="4"/>
      <c r="UFP162" s="4"/>
      <c r="UFQ162" s="4"/>
      <c r="UFR162" s="4"/>
      <c r="UFS162" s="4"/>
      <c r="UFT162" s="4"/>
      <c r="UFU162" s="4"/>
      <c r="UFV162" s="4"/>
      <c r="UFW162" s="4"/>
      <c r="UFX162" s="4"/>
      <c r="UFY162" s="4"/>
      <c r="UFZ162" s="4"/>
      <c r="UGA162" s="4"/>
      <c r="UGB162" s="4"/>
      <c r="UGC162" s="4"/>
      <c r="UGD162" s="4"/>
      <c r="UGE162" s="4"/>
      <c r="UGF162" s="4"/>
      <c r="UGG162" s="4"/>
      <c r="UGH162" s="4"/>
      <c r="UGI162" s="4"/>
      <c r="UGJ162" s="4"/>
      <c r="UGK162" s="4"/>
      <c r="UGL162" s="4"/>
      <c r="UGM162" s="4"/>
      <c r="UGN162" s="4"/>
      <c r="UGO162" s="4"/>
      <c r="UGP162" s="4"/>
      <c r="UGQ162" s="4"/>
      <c r="UGR162" s="4"/>
      <c r="UGS162" s="4"/>
      <c r="UGT162" s="4"/>
      <c r="UGU162" s="4"/>
      <c r="UGV162" s="4"/>
      <c r="UGW162" s="4"/>
      <c r="UGX162" s="4"/>
      <c r="UGY162" s="4"/>
      <c r="UGZ162" s="4"/>
      <c r="UHA162" s="4"/>
      <c r="UHB162" s="4"/>
      <c r="UHC162" s="4"/>
      <c r="UHD162" s="4"/>
      <c r="UHE162" s="4"/>
      <c r="UHF162" s="4"/>
      <c r="UHG162" s="4"/>
      <c r="UHH162" s="4"/>
      <c r="UHI162" s="4"/>
      <c r="UHJ162" s="4"/>
      <c r="UHK162" s="4"/>
      <c r="UHL162" s="4"/>
      <c r="UHM162" s="4"/>
      <c r="UHN162" s="4"/>
      <c r="UHO162" s="4"/>
      <c r="UHP162" s="4"/>
      <c r="UHQ162" s="4"/>
      <c r="UHR162" s="4"/>
      <c r="UHS162" s="4"/>
      <c r="UHT162" s="4"/>
      <c r="UHU162" s="4"/>
      <c r="UHV162" s="4"/>
      <c r="UHW162" s="4"/>
      <c r="UHX162" s="4"/>
      <c r="UHY162" s="4"/>
      <c r="UHZ162" s="4"/>
      <c r="UIA162" s="4"/>
      <c r="UIB162" s="4"/>
      <c r="UIC162" s="4"/>
      <c r="UID162" s="4"/>
      <c r="UIE162" s="4"/>
      <c r="UIF162" s="4"/>
      <c r="UIG162" s="4"/>
      <c r="UIH162" s="4"/>
      <c r="UII162" s="4"/>
      <c r="UIJ162" s="4"/>
      <c r="UIK162" s="4"/>
      <c r="UIL162" s="4"/>
      <c r="UIM162" s="4"/>
      <c r="UIN162" s="4"/>
      <c r="UIO162" s="4"/>
      <c r="UIP162" s="4"/>
      <c r="UIQ162" s="4"/>
      <c r="UIR162" s="4"/>
      <c r="UIS162" s="4"/>
      <c r="UIT162" s="4"/>
      <c r="UIU162" s="4"/>
      <c r="UIV162" s="4"/>
      <c r="UIW162" s="4"/>
      <c r="UIX162" s="4"/>
      <c r="UIY162" s="4"/>
      <c r="UIZ162" s="4"/>
      <c r="UJA162" s="4"/>
      <c r="UJB162" s="4"/>
      <c r="UJC162" s="4"/>
      <c r="UJD162" s="4"/>
      <c r="UJE162" s="4"/>
      <c r="UJF162" s="4"/>
      <c r="UJG162" s="4"/>
      <c r="UJH162" s="4"/>
      <c r="UJI162" s="4"/>
      <c r="UJJ162" s="4"/>
      <c r="UJK162" s="4"/>
      <c r="UJL162" s="4"/>
      <c r="UJM162" s="4"/>
      <c r="UJN162" s="4"/>
      <c r="UJO162" s="4"/>
      <c r="UJP162" s="4"/>
      <c r="UJQ162" s="4"/>
      <c r="UJR162" s="4"/>
      <c r="UJS162" s="4"/>
      <c r="UJT162" s="4"/>
      <c r="UJU162" s="4"/>
      <c r="UJV162" s="4"/>
      <c r="UJW162" s="4"/>
      <c r="UJX162" s="4"/>
      <c r="UJY162" s="4"/>
      <c r="UJZ162" s="4"/>
      <c r="UKA162" s="4"/>
      <c r="UKB162" s="4"/>
      <c r="UKC162" s="4"/>
      <c r="UKD162" s="4"/>
      <c r="UKE162" s="4"/>
      <c r="UKF162" s="4"/>
      <c r="UKG162" s="4"/>
      <c r="UKH162" s="4"/>
      <c r="UKI162" s="4"/>
      <c r="UKJ162" s="4"/>
      <c r="UKK162" s="4"/>
      <c r="UKL162" s="4"/>
      <c r="UKM162" s="4"/>
      <c r="UKN162" s="4"/>
      <c r="UKO162" s="4"/>
      <c r="UKP162" s="4"/>
      <c r="UKQ162" s="4"/>
      <c r="UKR162" s="4"/>
      <c r="UKS162" s="4"/>
      <c r="UKT162" s="4"/>
      <c r="UKU162" s="4"/>
      <c r="UKV162" s="4"/>
      <c r="UKW162" s="4"/>
      <c r="UKX162" s="4"/>
      <c r="UKY162" s="4"/>
      <c r="UKZ162" s="4"/>
      <c r="ULA162" s="4"/>
      <c r="ULB162" s="4"/>
      <c r="ULC162" s="4"/>
      <c r="ULD162" s="4"/>
      <c r="ULE162" s="4"/>
      <c r="ULF162" s="4"/>
      <c r="ULG162" s="4"/>
      <c r="ULH162" s="4"/>
      <c r="ULI162" s="4"/>
      <c r="ULJ162" s="4"/>
      <c r="ULK162" s="4"/>
      <c r="ULL162" s="4"/>
      <c r="ULM162" s="4"/>
      <c r="ULN162" s="4"/>
      <c r="ULO162" s="4"/>
      <c r="ULP162" s="4"/>
      <c r="ULQ162" s="4"/>
      <c r="ULR162" s="4"/>
      <c r="ULS162" s="4"/>
      <c r="ULT162" s="4"/>
      <c r="ULU162" s="4"/>
      <c r="ULV162" s="4"/>
      <c r="ULW162" s="4"/>
      <c r="ULX162" s="4"/>
      <c r="ULY162" s="4"/>
      <c r="ULZ162" s="4"/>
      <c r="UMA162" s="4"/>
      <c r="UMB162" s="4"/>
      <c r="UMC162" s="4"/>
      <c r="UMD162" s="4"/>
      <c r="UME162" s="4"/>
      <c r="UMF162" s="4"/>
      <c r="UMG162" s="4"/>
      <c r="UMH162" s="4"/>
      <c r="UMI162" s="4"/>
      <c r="UMJ162" s="4"/>
      <c r="UMK162" s="4"/>
      <c r="UML162" s="4"/>
      <c r="UMM162" s="4"/>
      <c r="UMN162" s="4"/>
      <c r="UMO162" s="4"/>
      <c r="UMP162" s="4"/>
      <c r="UMQ162" s="4"/>
      <c r="UMR162" s="4"/>
      <c r="UMS162" s="4"/>
      <c r="UMT162" s="4"/>
      <c r="UMU162" s="4"/>
      <c r="UMV162" s="4"/>
      <c r="UMW162" s="4"/>
      <c r="UMX162" s="4"/>
      <c r="UMY162" s="4"/>
      <c r="UMZ162" s="4"/>
      <c r="UNA162" s="4"/>
      <c r="UNB162" s="4"/>
      <c r="UNC162" s="4"/>
      <c r="UND162" s="4"/>
      <c r="UNE162" s="4"/>
      <c r="UNF162" s="4"/>
      <c r="UNG162" s="4"/>
      <c r="UNH162" s="4"/>
      <c r="UNI162" s="4"/>
      <c r="UNJ162" s="4"/>
      <c r="UNK162" s="4"/>
      <c r="UNL162" s="4"/>
      <c r="UNM162" s="4"/>
      <c r="UNN162" s="4"/>
      <c r="UNO162" s="4"/>
      <c r="UNP162" s="4"/>
      <c r="UNQ162" s="4"/>
      <c r="UNR162" s="4"/>
      <c r="UNS162" s="4"/>
      <c r="UNT162" s="4"/>
      <c r="UNU162" s="4"/>
      <c r="UNV162" s="4"/>
      <c r="UNW162" s="4"/>
      <c r="UNX162" s="4"/>
      <c r="UNY162" s="4"/>
      <c r="UNZ162" s="4"/>
      <c r="UOA162" s="4"/>
      <c r="UOB162" s="4"/>
      <c r="UOC162" s="4"/>
      <c r="UOD162" s="4"/>
      <c r="UOE162" s="4"/>
      <c r="UOF162" s="4"/>
      <c r="UOG162" s="4"/>
      <c r="UOH162" s="4"/>
      <c r="UOI162" s="4"/>
      <c r="UOJ162" s="4"/>
      <c r="UOK162" s="4"/>
      <c r="UOL162" s="4"/>
      <c r="UOM162" s="4"/>
      <c r="UON162" s="4"/>
      <c r="UOO162" s="4"/>
      <c r="UOP162" s="4"/>
      <c r="UOQ162" s="4"/>
      <c r="UOR162" s="4"/>
      <c r="UOS162" s="4"/>
      <c r="UOT162" s="4"/>
      <c r="UOU162" s="4"/>
      <c r="UOV162" s="4"/>
      <c r="UOW162" s="4"/>
      <c r="UOX162" s="4"/>
      <c r="UOY162" s="4"/>
      <c r="UOZ162" s="4"/>
      <c r="UPA162" s="4"/>
      <c r="UPB162" s="4"/>
      <c r="UPC162" s="4"/>
      <c r="UPD162" s="4"/>
      <c r="UPE162" s="4"/>
      <c r="UPF162" s="4"/>
      <c r="UPG162" s="4"/>
      <c r="UPH162" s="4"/>
      <c r="UPI162" s="4"/>
      <c r="UPJ162" s="4"/>
      <c r="UPK162" s="4"/>
      <c r="UPL162" s="4"/>
      <c r="UPM162" s="4"/>
      <c r="UPN162" s="4"/>
      <c r="UPO162" s="4"/>
      <c r="UPP162" s="4"/>
      <c r="UPQ162" s="4"/>
      <c r="UPR162" s="4"/>
      <c r="UPS162" s="4"/>
      <c r="UPT162" s="4"/>
      <c r="UPU162" s="4"/>
      <c r="UPV162" s="4"/>
      <c r="UPW162" s="4"/>
      <c r="UPX162" s="4"/>
      <c r="UPY162" s="4"/>
      <c r="UPZ162" s="4"/>
      <c r="UQA162" s="4"/>
      <c r="UQB162" s="4"/>
      <c r="UQC162" s="4"/>
      <c r="UQD162" s="4"/>
      <c r="UQE162" s="4"/>
      <c r="UQF162" s="4"/>
      <c r="UQG162" s="4"/>
      <c r="UQH162" s="4"/>
      <c r="UQI162" s="4"/>
      <c r="UQJ162" s="4"/>
      <c r="UQK162" s="4"/>
      <c r="UQL162" s="4"/>
      <c r="UQM162" s="4"/>
      <c r="UQN162" s="4"/>
      <c r="UQO162" s="4"/>
      <c r="UQP162" s="4"/>
      <c r="UQQ162" s="4"/>
      <c r="UQR162" s="4"/>
      <c r="UQS162" s="4"/>
      <c r="UQT162" s="4"/>
      <c r="UQU162" s="4"/>
      <c r="UQV162" s="4"/>
      <c r="UQW162" s="4"/>
      <c r="UQX162" s="4"/>
      <c r="UQY162" s="4"/>
      <c r="UQZ162" s="4"/>
      <c r="URA162" s="4"/>
      <c r="URB162" s="4"/>
      <c r="URC162" s="4"/>
      <c r="URD162" s="4"/>
      <c r="URE162" s="4"/>
      <c r="URF162" s="4"/>
      <c r="URG162" s="4"/>
      <c r="URH162" s="4"/>
      <c r="URI162" s="4"/>
      <c r="URJ162" s="4"/>
      <c r="URK162" s="4"/>
      <c r="URL162" s="4"/>
      <c r="URM162" s="4"/>
      <c r="URN162" s="4"/>
      <c r="URO162" s="4"/>
      <c r="URP162" s="4"/>
      <c r="URQ162" s="4"/>
      <c r="URR162" s="4"/>
      <c r="URS162" s="4"/>
      <c r="URT162" s="4"/>
      <c r="URU162" s="4"/>
      <c r="URV162" s="4"/>
      <c r="URW162" s="4"/>
      <c r="URX162" s="4"/>
      <c r="URY162" s="4"/>
      <c r="URZ162" s="4"/>
      <c r="USA162" s="4"/>
      <c r="USB162" s="4"/>
      <c r="USC162" s="4"/>
      <c r="USD162" s="4"/>
      <c r="USE162" s="4"/>
      <c r="USF162" s="4"/>
      <c r="USG162" s="4"/>
      <c r="USH162" s="4"/>
      <c r="USI162" s="4"/>
      <c r="USJ162" s="4"/>
      <c r="USK162" s="4"/>
      <c r="USL162" s="4"/>
      <c r="USM162" s="4"/>
      <c r="USN162" s="4"/>
      <c r="USO162" s="4"/>
      <c r="USP162" s="4"/>
      <c r="USQ162" s="4"/>
      <c r="USR162" s="4"/>
      <c r="USS162" s="4"/>
      <c r="UST162" s="4"/>
      <c r="USU162" s="4"/>
      <c r="USV162" s="4"/>
      <c r="USW162" s="4"/>
      <c r="USX162" s="4"/>
      <c r="USY162" s="4"/>
      <c r="USZ162" s="4"/>
      <c r="UTA162" s="4"/>
      <c r="UTB162" s="4"/>
      <c r="UTC162" s="4"/>
      <c r="UTD162" s="4"/>
      <c r="UTE162" s="4"/>
      <c r="UTF162" s="4"/>
      <c r="UTG162" s="4"/>
      <c r="UTH162" s="4"/>
      <c r="UTI162" s="4"/>
      <c r="UTJ162" s="4"/>
      <c r="UTK162" s="4"/>
      <c r="UTL162" s="4"/>
      <c r="UTM162" s="4"/>
      <c r="UTN162" s="4"/>
      <c r="UTO162" s="4"/>
      <c r="UTP162" s="4"/>
      <c r="UTQ162" s="4"/>
      <c r="UTR162" s="4"/>
      <c r="UTS162" s="4"/>
      <c r="UTT162" s="4"/>
      <c r="UTU162" s="4"/>
      <c r="UTV162" s="4"/>
      <c r="UTW162" s="4"/>
      <c r="UTX162" s="4"/>
      <c r="UTY162" s="4"/>
      <c r="UTZ162" s="4"/>
      <c r="UUA162" s="4"/>
      <c r="UUB162" s="4"/>
      <c r="UUC162" s="4"/>
      <c r="UUD162" s="4"/>
      <c r="UUE162" s="4"/>
      <c r="UUF162" s="4"/>
      <c r="UUG162" s="4"/>
      <c r="UUH162" s="4"/>
      <c r="UUI162" s="4"/>
      <c r="UUJ162" s="4"/>
      <c r="UUK162" s="4"/>
      <c r="UUL162" s="4"/>
      <c r="UUM162" s="4"/>
      <c r="UUN162" s="4"/>
      <c r="UUO162" s="4"/>
      <c r="UUP162" s="4"/>
      <c r="UUQ162" s="4"/>
      <c r="UUR162" s="4"/>
      <c r="UUS162" s="4"/>
      <c r="UUT162" s="4"/>
      <c r="UUU162" s="4"/>
      <c r="UUV162" s="4"/>
      <c r="UUW162" s="4"/>
      <c r="UUX162" s="4"/>
      <c r="UUY162" s="4"/>
      <c r="UUZ162" s="4"/>
      <c r="UVA162" s="4"/>
      <c r="UVB162" s="4"/>
      <c r="UVC162" s="4"/>
      <c r="UVD162" s="4"/>
      <c r="UVE162" s="4"/>
      <c r="UVF162" s="4"/>
      <c r="UVG162" s="4"/>
      <c r="UVH162" s="4"/>
      <c r="UVI162" s="4"/>
      <c r="UVJ162" s="4"/>
      <c r="UVK162" s="4"/>
      <c r="UVL162" s="4"/>
      <c r="UVM162" s="4"/>
      <c r="UVN162" s="4"/>
      <c r="UVO162" s="4"/>
      <c r="UVP162" s="4"/>
      <c r="UVQ162" s="4"/>
      <c r="UVR162" s="4"/>
      <c r="UVS162" s="4"/>
      <c r="UVT162" s="4"/>
      <c r="UVU162" s="4"/>
      <c r="UVV162" s="4"/>
      <c r="UVW162" s="4"/>
      <c r="UVX162" s="4"/>
      <c r="UVY162" s="4"/>
      <c r="UVZ162" s="4"/>
      <c r="UWA162" s="4"/>
      <c r="UWB162" s="4"/>
      <c r="UWC162" s="4"/>
      <c r="UWD162" s="4"/>
      <c r="UWE162" s="4"/>
      <c r="UWF162" s="4"/>
      <c r="UWG162" s="4"/>
      <c r="UWH162" s="4"/>
      <c r="UWI162" s="4"/>
      <c r="UWJ162" s="4"/>
      <c r="UWK162" s="4"/>
      <c r="UWL162" s="4"/>
      <c r="UWM162" s="4"/>
      <c r="UWN162" s="4"/>
      <c r="UWO162" s="4"/>
      <c r="UWP162" s="4"/>
      <c r="UWQ162" s="4"/>
      <c r="UWR162" s="4"/>
      <c r="UWS162" s="4"/>
      <c r="UWT162" s="4"/>
      <c r="UWU162" s="4"/>
      <c r="UWV162" s="4"/>
      <c r="UWW162" s="4"/>
      <c r="UWX162" s="4"/>
      <c r="UWY162" s="4"/>
      <c r="UWZ162" s="4"/>
      <c r="UXA162" s="4"/>
      <c r="UXB162" s="4"/>
      <c r="UXC162" s="4"/>
      <c r="UXD162" s="4"/>
      <c r="UXE162" s="4"/>
      <c r="UXF162" s="4"/>
      <c r="UXG162" s="4"/>
      <c r="UXH162" s="4"/>
      <c r="UXI162" s="4"/>
      <c r="UXJ162" s="4"/>
      <c r="UXK162" s="4"/>
      <c r="UXL162" s="4"/>
      <c r="UXM162" s="4"/>
      <c r="UXN162" s="4"/>
      <c r="UXO162" s="4"/>
      <c r="UXP162" s="4"/>
      <c r="UXQ162" s="4"/>
      <c r="UXR162" s="4"/>
      <c r="UXS162" s="4"/>
      <c r="UXT162" s="4"/>
      <c r="UXU162" s="4"/>
      <c r="UXV162" s="4"/>
      <c r="UXW162" s="4"/>
      <c r="UXX162" s="4"/>
      <c r="UXY162" s="4"/>
      <c r="UXZ162" s="4"/>
      <c r="UYA162" s="4"/>
      <c r="UYB162" s="4"/>
      <c r="UYC162" s="4"/>
      <c r="UYD162" s="4"/>
      <c r="UYE162" s="4"/>
      <c r="UYF162" s="4"/>
      <c r="UYG162" s="4"/>
      <c r="UYH162" s="4"/>
      <c r="UYI162" s="4"/>
      <c r="UYJ162" s="4"/>
      <c r="UYK162" s="4"/>
      <c r="UYL162" s="4"/>
      <c r="UYM162" s="4"/>
      <c r="UYN162" s="4"/>
      <c r="UYO162" s="4"/>
      <c r="UYP162" s="4"/>
      <c r="UYQ162" s="4"/>
      <c r="UYR162" s="4"/>
      <c r="UYS162" s="4"/>
      <c r="UYT162" s="4"/>
      <c r="UYU162" s="4"/>
      <c r="UYV162" s="4"/>
      <c r="UYW162" s="4"/>
      <c r="UYX162" s="4"/>
      <c r="UYY162" s="4"/>
      <c r="UYZ162" s="4"/>
      <c r="UZA162" s="4"/>
      <c r="UZB162" s="4"/>
      <c r="UZC162" s="4"/>
      <c r="UZD162" s="4"/>
      <c r="UZE162" s="4"/>
      <c r="UZF162" s="4"/>
      <c r="UZG162" s="4"/>
      <c r="UZH162" s="4"/>
      <c r="UZI162" s="4"/>
      <c r="UZJ162" s="4"/>
      <c r="UZK162" s="4"/>
      <c r="UZL162" s="4"/>
      <c r="UZM162" s="4"/>
      <c r="UZN162" s="4"/>
      <c r="UZO162" s="4"/>
      <c r="UZP162" s="4"/>
      <c r="UZQ162" s="4"/>
      <c r="UZR162" s="4"/>
      <c r="UZS162" s="4"/>
      <c r="UZT162" s="4"/>
      <c r="UZU162" s="4"/>
      <c r="UZV162" s="4"/>
      <c r="UZW162" s="4"/>
      <c r="UZX162" s="4"/>
      <c r="UZY162" s="4"/>
      <c r="UZZ162" s="4"/>
      <c r="VAA162" s="4"/>
      <c r="VAB162" s="4"/>
      <c r="VAC162" s="4"/>
      <c r="VAD162" s="4"/>
      <c r="VAE162" s="4"/>
      <c r="VAF162" s="4"/>
      <c r="VAG162" s="4"/>
      <c r="VAH162" s="4"/>
      <c r="VAI162" s="4"/>
      <c r="VAJ162" s="4"/>
      <c r="VAK162" s="4"/>
      <c r="VAL162" s="4"/>
      <c r="VAM162" s="4"/>
      <c r="VAN162" s="4"/>
      <c r="VAO162" s="4"/>
      <c r="VAP162" s="4"/>
      <c r="VAQ162" s="4"/>
      <c r="VAR162" s="4"/>
      <c r="VAS162" s="4"/>
      <c r="VAT162" s="4"/>
      <c r="VAU162" s="4"/>
      <c r="VAV162" s="4"/>
      <c r="VAW162" s="4"/>
      <c r="VAX162" s="4"/>
      <c r="VAY162" s="4"/>
      <c r="VAZ162" s="4"/>
      <c r="VBA162" s="4"/>
      <c r="VBB162" s="4"/>
      <c r="VBC162" s="4"/>
      <c r="VBD162" s="4"/>
      <c r="VBE162" s="4"/>
      <c r="VBF162" s="4"/>
      <c r="VBG162" s="4"/>
      <c r="VBH162" s="4"/>
      <c r="VBI162" s="4"/>
      <c r="VBJ162" s="4"/>
      <c r="VBK162" s="4"/>
      <c r="VBL162" s="4"/>
      <c r="VBM162" s="4"/>
      <c r="VBN162" s="4"/>
      <c r="VBO162" s="4"/>
      <c r="VBP162" s="4"/>
      <c r="VBQ162" s="4"/>
      <c r="VBR162" s="4"/>
      <c r="VBS162" s="4"/>
      <c r="VBT162" s="4"/>
      <c r="VBU162" s="4"/>
      <c r="VBV162" s="4"/>
      <c r="VBW162" s="4"/>
      <c r="VBX162" s="4"/>
      <c r="VBY162" s="4"/>
      <c r="VBZ162" s="4"/>
      <c r="VCA162" s="4"/>
      <c r="VCB162" s="4"/>
      <c r="VCC162" s="4"/>
      <c r="VCD162" s="4"/>
      <c r="VCE162" s="4"/>
      <c r="VCF162" s="4"/>
      <c r="VCG162" s="4"/>
      <c r="VCH162" s="4"/>
      <c r="VCI162" s="4"/>
      <c r="VCJ162" s="4"/>
      <c r="VCK162" s="4"/>
      <c r="VCL162" s="4"/>
      <c r="VCM162" s="4"/>
      <c r="VCN162" s="4"/>
      <c r="VCO162" s="4"/>
      <c r="VCP162" s="4"/>
      <c r="VCQ162" s="4"/>
      <c r="VCR162" s="4"/>
      <c r="VCS162" s="4"/>
      <c r="VCT162" s="4"/>
      <c r="VCU162" s="4"/>
      <c r="VCV162" s="4"/>
      <c r="VCW162" s="4"/>
      <c r="VCX162" s="4"/>
      <c r="VCY162" s="4"/>
      <c r="VCZ162" s="4"/>
      <c r="VDA162" s="4"/>
      <c r="VDB162" s="4"/>
      <c r="VDC162" s="4"/>
      <c r="VDD162" s="4"/>
      <c r="VDE162" s="4"/>
      <c r="VDF162" s="4"/>
      <c r="VDG162" s="4"/>
      <c r="VDH162" s="4"/>
      <c r="VDI162" s="4"/>
      <c r="VDJ162" s="4"/>
      <c r="VDK162" s="4"/>
      <c r="VDL162" s="4"/>
      <c r="VDM162" s="4"/>
      <c r="VDN162" s="4"/>
      <c r="VDO162" s="4"/>
      <c r="VDP162" s="4"/>
      <c r="VDQ162" s="4"/>
      <c r="VDR162" s="4"/>
      <c r="VDS162" s="4"/>
      <c r="VDT162" s="4"/>
      <c r="VDU162" s="4"/>
      <c r="VDV162" s="4"/>
      <c r="VDW162" s="4"/>
      <c r="VDX162" s="4"/>
      <c r="VDY162" s="4"/>
      <c r="VDZ162" s="4"/>
      <c r="VEA162" s="4"/>
      <c r="VEB162" s="4"/>
      <c r="VEC162" s="4"/>
      <c r="VED162" s="4"/>
      <c r="VEE162" s="4"/>
      <c r="VEF162" s="4"/>
      <c r="VEG162" s="4"/>
      <c r="VEH162" s="4"/>
      <c r="VEI162" s="4"/>
      <c r="VEJ162" s="4"/>
      <c r="VEK162" s="4"/>
      <c r="VEL162" s="4"/>
      <c r="VEM162" s="4"/>
      <c r="VEN162" s="4"/>
      <c r="VEO162" s="4"/>
      <c r="VEP162" s="4"/>
      <c r="VEQ162" s="4"/>
      <c r="VER162" s="4"/>
      <c r="VES162" s="4"/>
      <c r="VET162" s="4"/>
      <c r="VEU162" s="4"/>
      <c r="VEV162" s="4"/>
      <c r="VEW162" s="4"/>
      <c r="VEX162" s="4"/>
      <c r="VEY162" s="4"/>
      <c r="VEZ162" s="4"/>
      <c r="VFA162" s="4"/>
      <c r="VFB162" s="4"/>
      <c r="VFC162" s="4"/>
      <c r="VFD162" s="4"/>
      <c r="VFE162" s="4"/>
      <c r="VFF162" s="4"/>
      <c r="VFG162" s="4"/>
      <c r="VFH162" s="4"/>
      <c r="VFI162" s="4"/>
      <c r="VFJ162" s="4"/>
      <c r="VFK162" s="4"/>
      <c r="VFL162" s="4"/>
      <c r="VFM162" s="4"/>
      <c r="VFN162" s="4"/>
      <c r="VFO162" s="4"/>
      <c r="VFP162" s="4"/>
      <c r="VFQ162" s="4"/>
      <c r="VFR162" s="4"/>
      <c r="VFS162" s="4"/>
      <c r="VFT162" s="4"/>
      <c r="VFU162" s="4"/>
      <c r="VFV162" s="4"/>
      <c r="VFW162" s="4"/>
      <c r="VFX162" s="4"/>
      <c r="VFY162" s="4"/>
      <c r="VFZ162" s="4"/>
      <c r="VGA162" s="4"/>
      <c r="VGB162" s="4"/>
      <c r="VGC162" s="4"/>
      <c r="VGD162" s="4"/>
      <c r="VGE162" s="4"/>
      <c r="VGF162" s="4"/>
      <c r="VGG162" s="4"/>
      <c r="VGH162" s="4"/>
      <c r="VGI162" s="4"/>
      <c r="VGJ162" s="4"/>
      <c r="VGK162" s="4"/>
      <c r="VGL162" s="4"/>
      <c r="VGM162" s="4"/>
      <c r="VGN162" s="4"/>
      <c r="VGO162" s="4"/>
      <c r="VGP162" s="4"/>
      <c r="VGQ162" s="4"/>
      <c r="VGR162" s="4"/>
      <c r="VGS162" s="4"/>
      <c r="VGT162" s="4"/>
      <c r="VGU162" s="4"/>
      <c r="VGV162" s="4"/>
      <c r="VGW162" s="4"/>
      <c r="VGX162" s="4"/>
      <c r="VGY162" s="4"/>
      <c r="VGZ162" s="4"/>
      <c r="VHA162" s="4"/>
      <c r="VHB162" s="4"/>
      <c r="VHC162" s="4"/>
      <c r="VHD162" s="4"/>
      <c r="VHE162" s="4"/>
      <c r="VHF162" s="4"/>
      <c r="VHG162" s="4"/>
      <c r="VHH162" s="4"/>
      <c r="VHI162" s="4"/>
      <c r="VHJ162" s="4"/>
      <c r="VHK162" s="4"/>
      <c r="VHL162" s="4"/>
      <c r="VHM162" s="4"/>
      <c r="VHN162" s="4"/>
      <c r="VHO162" s="4"/>
      <c r="VHP162" s="4"/>
      <c r="VHQ162" s="4"/>
      <c r="VHR162" s="4"/>
      <c r="VHS162" s="4"/>
      <c r="VHT162" s="4"/>
      <c r="VHU162" s="4"/>
      <c r="VHV162" s="4"/>
      <c r="VHW162" s="4"/>
      <c r="VHX162" s="4"/>
      <c r="VHY162" s="4"/>
      <c r="VHZ162" s="4"/>
      <c r="VIA162" s="4"/>
      <c r="VIB162" s="4"/>
      <c r="VIC162" s="4"/>
      <c r="VID162" s="4"/>
      <c r="VIE162" s="4"/>
      <c r="VIF162" s="4"/>
      <c r="VIG162" s="4"/>
      <c r="VIH162" s="4"/>
      <c r="VII162" s="4"/>
      <c r="VIJ162" s="4"/>
      <c r="VIK162" s="4"/>
      <c r="VIL162" s="4"/>
      <c r="VIM162" s="4"/>
      <c r="VIN162" s="4"/>
      <c r="VIO162" s="4"/>
      <c r="VIP162" s="4"/>
      <c r="VIQ162" s="4"/>
      <c r="VIR162" s="4"/>
      <c r="VIS162" s="4"/>
      <c r="VIT162" s="4"/>
      <c r="VIU162" s="4"/>
      <c r="VIV162" s="4"/>
      <c r="VIW162" s="4"/>
      <c r="VIX162" s="4"/>
      <c r="VIY162" s="4"/>
      <c r="VIZ162" s="4"/>
      <c r="VJA162" s="4"/>
      <c r="VJB162" s="4"/>
      <c r="VJC162" s="4"/>
      <c r="VJD162" s="4"/>
      <c r="VJE162" s="4"/>
      <c r="VJF162" s="4"/>
      <c r="VJG162" s="4"/>
      <c r="VJH162" s="4"/>
      <c r="VJI162" s="4"/>
      <c r="VJJ162" s="4"/>
      <c r="VJK162" s="4"/>
      <c r="VJL162" s="4"/>
      <c r="VJM162" s="4"/>
      <c r="VJN162" s="4"/>
      <c r="VJO162" s="4"/>
      <c r="VJP162" s="4"/>
      <c r="VJQ162" s="4"/>
      <c r="VJR162" s="4"/>
      <c r="VJS162" s="4"/>
      <c r="VJT162" s="4"/>
      <c r="VJU162" s="4"/>
      <c r="VJV162" s="4"/>
      <c r="VJW162" s="4"/>
      <c r="VJX162" s="4"/>
      <c r="VJY162" s="4"/>
      <c r="VJZ162" s="4"/>
      <c r="VKA162" s="4"/>
      <c r="VKB162" s="4"/>
      <c r="VKC162" s="4"/>
      <c r="VKD162" s="4"/>
      <c r="VKE162" s="4"/>
      <c r="VKF162" s="4"/>
      <c r="VKG162" s="4"/>
      <c r="VKH162" s="4"/>
      <c r="VKI162" s="4"/>
      <c r="VKJ162" s="4"/>
      <c r="VKK162" s="4"/>
      <c r="VKL162" s="4"/>
      <c r="VKM162" s="4"/>
      <c r="VKN162" s="4"/>
      <c r="VKO162" s="4"/>
      <c r="VKP162" s="4"/>
      <c r="VKQ162" s="4"/>
      <c r="VKR162" s="4"/>
      <c r="VKS162" s="4"/>
      <c r="VKT162" s="4"/>
      <c r="VKU162" s="4"/>
      <c r="VKV162" s="4"/>
      <c r="VKW162" s="4"/>
      <c r="VKX162" s="4"/>
      <c r="VKY162" s="4"/>
      <c r="VKZ162" s="4"/>
      <c r="VLA162" s="4"/>
      <c r="VLB162" s="4"/>
      <c r="VLC162" s="4"/>
      <c r="VLD162" s="4"/>
      <c r="VLE162" s="4"/>
      <c r="VLF162" s="4"/>
      <c r="VLG162" s="4"/>
      <c r="VLH162" s="4"/>
      <c r="VLI162" s="4"/>
      <c r="VLJ162" s="4"/>
      <c r="VLK162" s="4"/>
      <c r="VLL162" s="4"/>
      <c r="VLM162" s="4"/>
      <c r="VLN162" s="4"/>
      <c r="VLO162" s="4"/>
      <c r="VLP162" s="4"/>
      <c r="VLQ162" s="4"/>
      <c r="VLR162" s="4"/>
      <c r="VLS162" s="4"/>
      <c r="VLT162" s="4"/>
      <c r="VLU162" s="4"/>
      <c r="VLV162" s="4"/>
      <c r="VLW162" s="4"/>
      <c r="VLX162" s="4"/>
      <c r="VLY162" s="4"/>
      <c r="VLZ162" s="4"/>
      <c r="VMA162" s="4"/>
      <c r="VMB162" s="4"/>
      <c r="VMC162" s="4"/>
      <c r="VMD162" s="4"/>
      <c r="VME162" s="4"/>
      <c r="VMF162" s="4"/>
      <c r="VMG162" s="4"/>
      <c r="VMH162" s="4"/>
      <c r="VMI162" s="4"/>
      <c r="VMJ162" s="4"/>
      <c r="VMK162" s="4"/>
      <c r="VML162" s="4"/>
      <c r="VMM162" s="4"/>
      <c r="VMN162" s="4"/>
      <c r="VMO162" s="4"/>
      <c r="VMP162" s="4"/>
      <c r="VMQ162" s="4"/>
      <c r="VMR162" s="4"/>
      <c r="VMS162" s="4"/>
      <c r="VMT162" s="4"/>
      <c r="VMU162" s="4"/>
      <c r="VMV162" s="4"/>
      <c r="VMW162" s="4"/>
      <c r="VMX162" s="4"/>
      <c r="VMY162" s="4"/>
      <c r="VMZ162" s="4"/>
      <c r="VNA162" s="4"/>
      <c r="VNB162" s="4"/>
      <c r="VNC162" s="4"/>
      <c r="VND162" s="4"/>
      <c r="VNE162" s="4"/>
      <c r="VNF162" s="4"/>
      <c r="VNG162" s="4"/>
      <c r="VNH162" s="4"/>
      <c r="VNI162" s="4"/>
      <c r="VNJ162" s="4"/>
      <c r="VNK162" s="4"/>
      <c r="VNL162" s="4"/>
      <c r="VNM162" s="4"/>
      <c r="VNN162" s="4"/>
      <c r="VNO162" s="4"/>
      <c r="VNP162" s="4"/>
      <c r="VNQ162" s="4"/>
      <c r="VNR162" s="4"/>
      <c r="VNS162" s="4"/>
      <c r="VNT162" s="4"/>
      <c r="VNU162" s="4"/>
      <c r="VNV162" s="4"/>
      <c r="VNW162" s="4"/>
      <c r="VNX162" s="4"/>
      <c r="VNY162" s="4"/>
      <c r="VNZ162" s="4"/>
      <c r="VOA162" s="4"/>
      <c r="VOB162" s="4"/>
      <c r="VOC162" s="4"/>
      <c r="VOD162" s="4"/>
      <c r="VOE162" s="4"/>
      <c r="VOF162" s="4"/>
      <c r="VOG162" s="4"/>
      <c r="VOH162" s="4"/>
      <c r="VOI162" s="4"/>
      <c r="VOJ162" s="4"/>
      <c r="VOK162" s="4"/>
      <c r="VOL162" s="4"/>
      <c r="VOM162" s="4"/>
      <c r="VON162" s="4"/>
      <c r="VOO162" s="4"/>
      <c r="VOP162" s="4"/>
      <c r="VOQ162" s="4"/>
      <c r="VOR162" s="4"/>
      <c r="VOS162" s="4"/>
      <c r="VOT162" s="4"/>
      <c r="VOU162" s="4"/>
      <c r="VOV162" s="4"/>
      <c r="VOW162" s="4"/>
      <c r="VOX162" s="4"/>
      <c r="VOY162" s="4"/>
      <c r="VOZ162" s="4"/>
      <c r="VPA162" s="4"/>
      <c r="VPB162" s="4"/>
      <c r="VPC162" s="4"/>
      <c r="VPD162" s="4"/>
      <c r="VPE162" s="4"/>
      <c r="VPF162" s="4"/>
      <c r="VPG162" s="4"/>
      <c r="VPH162" s="4"/>
      <c r="VPI162" s="4"/>
      <c r="VPJ162" s="4"/>
      <c r="VPK162" s="4"/>
      <c r="VPL162" s="4"/>
      <c r="VPM162" s="4"/>
      <c r="VPN162" s="4"/>
      <c r="VPO162" s="4"/>
      <c r="VPP162" s="4"/>
      <c r="VPQ162" s="4"/>
      <c r="VPR162" s="4"/>
      <c r="VPS162" s="4"/>
      <c r="VPT162" s="4"/>
      <c r="VPU162" s="4"/>
      <c r="VPV162" s="4"/>
      <c r="VPW162" s="4"/>
      <c r="VPX162" s="4"/>
      <c r="VPY162" s="4"/>
      <c r="VPZ162" s="4"/>
      <c r="VQA162" s="4"/>
      <c r="VQB162" s="4"/>
      <c r="VQC162" s="4"/>
      <c r="VQD162" s="4"/>
      <c r="VQE162" s="4"/>
      <c r="VQF162" s="4"/>
      <c r="VQG162" s="4"/>
      <c r="VQH162" s="4"/>
      <c r="VQI162" s="4"/>
      <c r="VQJ162" s="4"/>
      <c r="VQK162" s="4"/>
      <c r="VQL162" s="4"/>
      <c r="VQM162" s="4"/>
      <c r="VQN162" s="4"/>
      <c r="VQO162" s="4"/>
      <c r="VQP162" s="4"/>
      <c r="VQQ162" s="4"/>
      <c r="VQR162" s="4"/>
      <c r="VQS162" s="4"/>
      <c r="VQT162" s="4"/>
      <c r="VQU162" s="4"/>
      <c r="VQV162" s="4"/>
      <c r="VQW162" s="4"/>
      <c r="VQX162" s="4"/>
      <c r="VQY162" s="4"/>
      <c r="VQZ162" s="4"/>
      <c r="VRA162" s="4"/>
      <c r="VRB162" s="4"/>
      <c r="VRC162" s="4"/>
      <c r="VRD162" s="4"/>
      <c r="VRE162" s="4"/>
      <c r="VRF162" s="4"/>
      <c r="VRG162" s="4"/>
      <c r="VRH162" s="4"/>
      <c r="VRI162" s="4"/>
      <c r="VRJ162" s="4"/>
      <c r="VRK162" s="4"/>
      <c r="VRL162" s="4"/>
      <c r="VRM162" s="4"/>
      <c r="VRN162" s="4"/>
      <c r="VRO162" s="4"/>
      <c r="VRP162" s="4"/>
      <c r="VRQ162" s="4"/>
      <c r="VRR162" s="4"/>
      <c r="VRS162" s="4"/>
      <c r="VRT162" s="4"/>
      <c r="VRU162" s="4"/>
      <c r="VRV162" s="4"/>
      <c r="VRW162" s="4"/>
      <c r="VRX162" s="4"/>
      <c r="VRY162" s="4"/>
      <c r="VRZ162" s="4"/>
      <c r="VSA162" s="4"/>
      <c r="VSB162" s="4"/>
      <c r="VSC162" s="4"/>
      <c r="VSD162" s="4"/>
      <c r="VSE162" s="4"/>
      <c r="VSF162" s="4"/>
      <c r="VSG162" s="4"/>
      <c r="VSH162" s="4"/>
      <c r="VSI162" s="4"/>
      <c r="VSJ162" s="4"/>
      <c r="VSK162" s="4"/>
      <c r="VSL162" s="4"/>
      <c r="VSM162" s="4"/>
      <c r="VSN162" s="4"/>
      <c r="VSO162" s="4"/>
      <c r="VSP162" s="4"/>
      <c r="VSQ162" s="4"/>
      <c r="VSR162" s="4"/>
      <c r="VSS162" s="4"/>
      <c r="VST162" s="4"/>
      <c r="VSU162" s="4"/>
      <c r="VSV162" s="4"/>
      <c r="VSW162" s="4"/>
      <c r="VSX162" s="4"/>
      <c r="VSY162" s="4"/>
      <c r="VSZ162" s="4"/>
      <c r="VTA162" s="4"/>
      <c r="VTB162" s="4"/>
      <c r="VTC162" s="4"/>
      <c r="VTD162" s="4"/>
      <c r="VTE162" s="4"/>
      <c r="VTF162" s="4"/>
      <c r="VTG162" s="4"/>
      <c r="VTH162" s="4"/>
      <c r="VTI162" s="4"/>
      <c r="VTJ162" s="4"/>
      <c r="VTK162" s="4"/>
      <c r="VTL162" s="4"/>
      <c r="VTM162" s="4"/>
      <c r="VTN162" s="4"/>
      <c r="VTO162" s="4"/>
      <c r="VTP162" s="4"/>
      <c r="VTQ162" s="4"/>
      <c r="VTR162" s="4"/>
      <c r="VTS162" s="4"/>
      <c r="VTT162" s="4"/>
      <c r="VTU162" s="4"/>
      <c r="VTV162" s="4"/>
      <c r="VTW162" s="4"/>
      <c r="VTX162" s="4"/>
      <c r="VTY162" s="4"/>
      <c r="VTZ162" s="4"/>
      <c r="VUA162" s="4"/>
      <c r="VUB162" s="4"/>
      <c r="VUC162" s="4"/>
      <c r="VUD162" s="4"/>
      <c r="VUE162" s="4"/>
      <c r="VUF162" s="4"/>
      <c r="VUG162" s="4"/>
      <c r="VUH162" s="4"/>
      <c r="VUI162" s="4"/>
      <c r="VUJ162" s="4"/>
      <c r="VUK162" s="4"/>
      <c r="VUL162" s="4"/>
      <c r="VUM162" s="4"/>
      <c r="VUN162" s="4"/>
      <c r="VUO162" s="4"/>
      <c r="VUP162" s="4"/>
      <c r="VUQ162" s="4"/>
      <c r="VUR162" s="4"/>
      <c r="VUS162" s="4"/>
      <c r="VUT162" s="4"/>
      <c r="VUU162" s="4"/>
      <c r="VUV162" s="4"/>
      <c r="VUW162" s="4"/>
      <c r="VUX162" s="4"/>
      <c r="VUY162" s="4"/>
      <c r="VUZ162" s="4"/>
      <c r="VVA162" s="4"/>
      <c r="VVB162" s="4"/>
      <c r="VVC162" s="4"/>
      <c r="VVD162" s="4"/>
      <c r="VVE162" s="4"/>
      <c r="VVF162" s="4"/>
      <c r="VVG162" s="4"/>
      <c r="VVH162" s="4"/>
      <c r="VVI162" s="4"/>
      <c r="VVJ162" s="4"/>
      <c r="VVK162" s="4"/>
      <c r="VVL162" s="4"/>
      <c r="VVM162" s="4"/>
      <c r="VVN162" s="4"/>
      <c r="VVO162" s="4"/>
      <c r="VVP162" s="4"/>
      <c r="VVQ162" s="4"/>
      <c r="VVR162" s="4"/>
      <c r="VVS162" s="4"/>
      <c r="VVT162" s="4"/>
      <c r="VVU162" s="4"/>
      <c r="VVV162" s="4"/>
      <c r="VVW162" s="4"/>
      <c r="VVX162" s="4"/>
      <c r="VVY162" s="4"/>
      <c r="VVZ162" s="4"/>
      <c r="VWA162" s="4"/>
      <c r="VWB162" s="4"/>
      <c r="VWC162" s="4"/>
      <c r="VWD162" s="4"/>
      <c r="VWE162" s="4"/>
      <c r="VWF162" s="4"/>
      <c r="VWG162" s="4"/>
      <c r="VWH162" s="4"/>
      <c r="VWI162" s="4"/>
      <c r="VWJ162" s="4"/>
      <c r="VWK162" s="4"/>
      <c r="VWL162" s="4"/>
      <c r="VWM162" s="4"/>
      <c r="VWN162" s="4"/>
      <c r="VWO162" s="4"/>
      <c r="VWP162" s="4"/>
      <c r="VWQ162" s="4"/>
      <c r="VWR162" s="4"/>
      <c r="VWS162" s="4"/>
      <c r="VWT162" s="4"/>
      <c r="VWU162" s="4"/>
      <c r="VWV162" s="4"/>
      <c r="VWW162" s="4"/>
      <c r="VWX162" s="4"/>
      <c r="VWY162" s="4"/>
      <c r="VWZ162" s="4"/>
      <c r="VXA162" s="4"/>
      <c r="VXB162" s="4"/>
      <c r="VXC162" s="4"/>
      <c r="VXD162" s="4"/>
      <c r="VXE162" s="4"/>
      <c r="VXF162" s="4"/>
      <c r="VXG162" s="4"/>
      <c r="VXH162" s="4"/>
      <c r="VXI162" s="4"/>
      <c r="VXJ162" s="4"/>
      <c r="VXK162" s="4"/>
      <c r="VXL162" s="4"/>
      <c r="VXM162" s="4"/>
      <c r="VXN162" s="4"/>
      <c r="VXO162" s="4"/>
      <c r="VXP162" s="4"/>
      <c r="VXQ162" s="4"/>
      <c r="VXR162" s="4"/>
      <c r="VXS162" s="4"/>
      <c r="VXT162" s="4"/>
      <c r="VXU162" s="4"/>
      <c r="VXV162" s="4"/>
      <c r="VXW162" s="4"/>
      <c r="VXX162" s="4"/>
      <c r="VXY162" s="4"/>
      <c r="VXZ162" s="4"/>
      <c r="VYA162" s="4"/>
      <c r="VYB162" s="4"/>
      <c r="VYC162" s="4"/>
      <c r="VYD162" s="4"/>
      <c r="VYE162" s="4"/>
      <c r="VYF162" s="4"/>
      <c r="VYG162" s="4"/>
      <c r="VYH162" s="4"/>
      <c r="VYI162" s="4"/>
      <c r="VYJ162" s="4"/>
      <c r="VYK162" s="4"/>
      <c r="VYL162" s="4"/>
      <c r="VYM162" s="4"/>
      <c r="VYN162" s="4"/>
      <c r="VYO162" s="4"/>
      <c r="VYP162" s="4"/>
      <c r="VYQ162" s="4"/>
      <c r="VYR162" s="4"/>
      <c r="VYS162" s="4"/>
      <c r="VYT162" s="4"/>
      <c r="VYU162" s="4"/>
      <c r="VYV162" s="4"/>
      <c r="VYW162" s="4"/>
      <c r="VYX162" s="4"/>
      <c r="VYY162" s="4"/>
      <c r="VYZ162" s="4"/>
      <c r="VZA162" s="4"/>
      <c r="VZB162" s="4"/>
      <c r="VZC162" s="4"/>
      <c r="VZD162" s="4"/>
      <c r="VZE162" s="4"/>
      <c r="VZF162" s="4"/>
      <c r="VZG162" s="4"/>
      <c r="VZH162" s="4"/>
      <c r="VZI162" s="4"/>
      <c r="VZJ162" s="4"/>
      <c r="VZK162" s="4"/>
      <c r="VZL162" s="4"/>
      <c r="VZM162" s="4"/>
      <c r="VZN162" s="4"/>
      <c r="VZO162" s="4"/>
      <c r="VZP162" s="4"/>
      <c r="VZQ162" s="4"/>
      <c r="VZR162" s="4"/>
      <c r="VZS162" s="4"/>
      <c r="VZT162" s="4"/>
      <c r="VZU162" s="4"/>
      <c r="VZV162" s="4"/>
      <c r="VZW162" s="4"/>
      <c r="VZX162" s="4"/>
      <c r="VZY162" s="4"/>
      <c r="VZZ162" s="4"/>
      <c r="WAA162" s="4"/>
      <c r="WAB162" s="4"/>
      <c r="WAC162" s="4"/>
      <c r="WAD162" s="4"/>
      <c r="WAE162" s="4"/>
      <c r="WAF162" s="4"/>
      <c r="WAG162" s="4"/>
      <c r="WAH162" s="4"/>
      <c r="WAI162" s="4"/>
      <c r="WAJ162" s="4"/>
      <c r="WAK162" s="4"/>
      <c r="WAL162" s="4"/>
      <c r="WAM162" s="4"/>
      <c r="WAN162" s="4"/>
      <c r="WAO162" s="4"/>
      <c r="WAP162" s="4"/>
      <c r="WAQ162" s="4"/>
      <c r="WAR162" s="4"/>
      <c r="WAS162" s="4"/>
      <c r="WAT162" s="4"/>
      <c r="WAU162" s="4"/>
      <c r="WAV162" s="4"/>
      <c r="WAW162" s="4"/>
      <c r="WAX162" s="4"/>
      <c r="WAY162" s="4"/>
      <c r="WAZ162" s="4"/>
      <c r="WBA162" s="4"/>
      <c r="WBB162" s="4"/>
      <c r="WBC162" s="4"/>
      <c r="WBD162" s="4"/>
      <c r="WBE162" s="4"/>
      <c r="WBF162" s="4"/>
      <c r="WBG162" s="4"/>
      <c r="WBH162" s="4"/>
      <c r="WBI162" s="4"/>
      <c r="WBJ162" s="4"/>
      <c r="WBK162" s="4"/>
      <c r="WBL162" s="4"/>
      <c r="WBM162" s="4"/>
      <c r="WBN162" s="4"/>
      <c r="WBO162" s="4"/>
      <c r="WBP162" s="4"/>
      <c r="WBQ162" s="4"/>
      <c r="WBR162" s="4"/>
      <c r="WBS162" s="4"/>
      <c r="WBT162" s="4"/>
      <c r="WBU162" s="4"/>
      <c r="WBV162" s="4"/>
      <c r="WBW162" s="4"/>
      <c r="WBX162" s="4"/>
      <c r="WBY162" s="4"/>
      <c r="WBZ162" s="4"/>
      <c r="WCA162" s="4"/>
      <c r="WCB162" s="4"/>
      <c r="WCC162" s="4"/>
      <c r="WCD162" s="4"/>
      <c r="WCE162" s="4"/>
      <c r="WCF162" s="4"/>
      <c r="WCG162" s="4"/>
      <c r="WCH162" s="4"/>
      <c r="WCI162" s="4"/>
      <c r="WCJ162" s="4"/>
      <c r="WCK162" s="4"/>
      <c r="WCL162" s="4"/>
      <c r="WCM162" s="4"/>
      <c r="WCN162" s="4"/>
      <c r="WCO162" s="4"/>
      <c r="WCP162" s="4"/>
      <c r="WCQ162" s="4"/>
      <c r="WCR162" s="4"/>
      <c r="WCS162" s="4"/>
      <c r="WCT162" s="4"/>
      <c r="WCU162" s="4"/>
      <c r="WCV162" s="4"/>
      <c r="WCW162" s="4"/>
      <c r="WCX162" s="4"/>
      <c r="WCY162" s="4"/>
      <c r="WCZ162" s="4"/>
      <c r="WDA162" s="4"/>
      <c r="WDB162" s="4"/>
      <c r="WDC162" s="4"/>
      <c r="WDD162" s="4"/>
      <c r="WDE162" s="4"/>
      <c r="WDF162" s="4"/>
      <c r="WDG162" s="4"/>
      <c r="WDH162" s="4"/>
      <c r="WDI162" s="4"/>
      <c r="WDJ162" s="4"/>
      <c r="WDK162" s="4"/>
      <c r="WDL162" s="4"/>
      <c r="WDM162" s="4"/>
      <c r="WDN162" s="4"/>
      <c r="WDO162" s="4"/>
      <c r="WDP162" s="4"/>
      <c r="WDQ162" s="4"/>
      <c r="WDR162" s="4"/>
      <c r="WDS162" s="4"/>
      <c r="WDT162" s="4"/>
      <c r="WDU162" s="4"/>
      <c r="WDV162" s="4"/>
      <c r="WDW162" s="4"/>
      <c r="WDX162" s="4"/>
      <c r="WDY162" s="4"/>
      <c r="WDZ162" s="4"/>
      <c r="WEA162" s="4"/>
      <c r="WEB162" s="4"/>
      <c r="WEC162" s="4"/>
      <c r="WED162" s="4"/>
      <c r="WEE162" s="4"/>
      <c r="WEF162" s="4"/>
      <c r="WEG162" s="4"/>
      <c r="WEH162" s="4"/>
      <c r="WEI162" s="4"/>
      <c r="WEJ162" s="4"/>
      <c r="WEK162" s="4"/>
      <c r="WEL162" s="4"/>
      <c r="WEM162" s="4"/>
      <c r="WEN162" s="4"/>
      <c r="WEO162" s="4"/>
      <c r="WEP162" s="4"/>
      <c r="WEQ162" s="4"/>
      <c r="WER162" s="4"/>
      <c r="WES162" s="4"/>
      <c r="WET162" s="4"/>
      <c r="WEU162" s="4"/>
      <c r="WEV162" s="4"/>
      <c r="WEW162" s="4"/>
      <c r="WEX162" s="4"/>
      <c r="WEY162" s="4"/>
      <c r="WEZ162" s="4"/>
      <c r="WFA162" s="4"/>
      <c r="WFB162" s="4"/>
      <c r="WFC162" s="4"/>
      <c r="WFD162" s="4"/>
      <c r="WFE162" s="4"/>
      <c r="WFF162" s="4"/>
      <c r="WFG162" s="4"/>
      <c r="WFH162" s="4"/>
      <c r="WFI162" s="4"/>
      <c r="WFJ162" s="4"/>
      <c r="WFK162" s="4"/>
      <c r="WFL162" s="4"/>
      <c r="WFM162" s="4"/>
      <c r="WFN162" s="4"/>
      <c r="WFO162" s="4"/>
      <c r="WFP162" s="4"/>
      <c r="WFQ162" s="4"/>
      <c r="WFR162" s="4"/>
      <c r="WFS162" s="4"/>
      <c r="WFT162" s="4"/>
      <c r="WFU162" s="4"/>
      <c r="WFV162" s="4"/>
      <c r="WFW162" s="4"/>
      <c r="WFX162" s="4"/>
      <c r="WFY162" s="4"/>
      <c r="WFZ162" s="4"/>
      <c r="WGA162" s="4"/>
      <c r="WGB162" s="4"/>
      <c r="WGC162" s="4"/>
      <c r="WGD162" s="4"/>
      <c r="WGE162" s="4"/>
      <c r="WGF162" s="4"/>
      <c r="WGG162" s="4"/>
      <c r="WGH162" s="4"/>
      <c r="WGI162" s="4"/>
      <c r="WGJ162" s="4"/>
      <c r="WGK162" s="4"/>
      <c r="WGL162" s="4"/>
      <c r="WGM162" s="4"/>
      <c r="WGN162" s="4"/>
      <c r="WGO162" s="4"/>
      <c r="WGP162" s="4"/>
      <c r="WGQ162" s="4"/>
      <c r="WGR162" s="4"/>
      <c r="WGS162" s="4"/>
      <c r="WGT162" s="4"/>
      <c r="WGU162" s="4"/>
      <c r="WGV162" s="4"/>
      <c r="WGW162" s="4"/>
      <c r="WGX162" s="4"/>
      <c r="WGY162" s="4"/>
      <c r="WGZ162" s="4"/>
      <c r="WHA162" s="4"/>
      <c r="WHB162" s="4"/>
      <c r="WHC162" s="4"/>
      <c r="WHD162" s="4"/>
      <c r="WHE162" s="4"/>
      <c r="WHF162" s="4"/>
      <c r="WHG162" s="4"/>
      <c r="WHH162" s="4"/>
      <c r="WHI162" s="4"/>
      <c r="WHJ162" s="4"/>
      <c r="WHK162" s="4"/>
      <c r="WHL162" s="4"/>
      <c r="WHM162" s="4"/>
      <c r="WHN162" s="4"/>
      <c r="WHO162" s="4"/>
      <c r="WHP162" s="4"/>
      <c r="WHQ162" s="4"/>
      <c r="WHR162" s="4"/>
      <c r="WHS162" s="4"/>
      <c r="WHT162" s="4"/>
      <c r="WHU162" s="4"/>
      <c r="WHV162" s="4"/>
      <c r="WHW162" s="4"/>
      <c r="WHX162" s="4"/>
      <c r="WHY162" s="4"/>
      <c r="WHZ162" s="4"/>
      <c r="WIA162" s="4"/>
      <c r="WIB162" s="4"/>
      <c r="WIC162" s="4"/>
      <c r="WID162" s="4"/>
      <c r="WIE162" s="4"/>
      <c r="WIF162" s="4"/>
      <c r="WIG162" s="4"/>
      <c r="WIH162" s="4"/>
      <c r="WII162" s="4"/>
      <c r="WIJ162" s="4"/>
      <c r="WIK162" s="4"/>
      <c r="WIL162" s="4"/>
      <c r="WIM162" s="4"/>
      <c r="WIN162" s="4"/>
      <c r="WIO162" s="4"/>
      <c r="WIP162" s="4"/>
      <c r="WIQ162" s="4"/>
      <c r="WIR162" s="4"/>
      <c r="WIS162" s="4"/>
      <c r="WIT162" s="4"/>
      <c r="WIU162" s="4"/>
      <c r="WIV162" s="4"/>
      <c r="WIW162" s="4"/>
      <c r="WIX162" s="4"/>
      <c r="WIY162" s="4"/>
      <c r="WIZ162" s="4"/>
      <c r="WJA162" s="4"/>
      <c r="WJB162" s="4"/>
      <c r="WJC162" s="4"/>
      <c r="WJD162" s="4"/>
      <c r="WJE162" s="4"/>
      <c r="WJF162" s="4"/>
      <c r="WJG162" s="4"/>
      <c r="WJH162" s="4"/>
      <c r="WJI162" s="4"/>
      <c r="WJJ162" s="4"/>
      <c r="WJK162" s="4"/>
      <c r="WJL162" s="4"/>
      <c r="WJM162" s="4"/>
      <c r="WJN162" s="4"/>
      <c r="WJO162" s="4"/>
      <c r="WJP162" s="4"/>
      <c r="WJQ162" s="4"/>
      <c r="WJR162" s="4"/>
      <c r="WJS162" s="4"/>
      <c r="WJT162" s="4"/>
      <c r="WJU162" s="4"/>
      <c r="WJV162" s="4"/>
      <c r="WJW162" s="4"/>
      <c r="WJX162" s="4"/>
      <c r="WJY162" s="4"/>
      <c r="WJZ162" s="4"/>
      <c r="WKA162" s="4"/>
      <c r="WKB162" s="4"/>
      <c r="WKC162" s="4"/>
      <c r="WKD162" s="4"/>
      <c r="WKE162" s="4"/>
      <c r="WKF162" s="4"/>
      <c r="WKG162" s="4"/>
      <c r="WKH162" s="4"/>
      <c r="WKI162" s="4"/>
      <c r="WKJ162" s="4"/>
      <c r="WKK162" s="4"/>
      <c r="WKL162" s="4"/>
      <c r="WKM162" s="4"/>
      <c r="WKN162" s="4"/>
      <c r="WKO162" s="4"/>
      <c r="WKP162" s="4"/>
      <c r="WKQ162" s="4"/>
      <c r="WKR162" s="4"/>
      <c r="WKS162" s="4"/>
      <c r="WKT162" s="4"/>
      <c r="WKU162" s="4"/>
      <c r="WKV162" s="4"/>
      <c r="WKW162" s="4"/>
      <c r="WKX162" s="4"/>
      <c r="WKY162" s="4"/>
      <c r="WKZ162" s="4"/>
      <c r="WLA162" s="4"/>
      <c r="WLB162" s="4"/>
      <c r="WLC162" s="4"/>
      <c r="WLD162" s="4"/>
      <c r="WLE162" s="4"/>
      <c r="WLF162" s="4"/>
      <c r="WLG162" s="4"/>
      <c r="WLH162" s="4"/>
      <c r="WLI162" s="4"/>
      <c r="WLJ162" s="4"/>
      <c r="WLK162" s="4"/>
      <c r="WLL162" s="4"/>
      <c r="WLM162" s="4"/>
      <c r="WLN162" s="4"/>
      <c r="WLO162" s="4"/>
      <c r="WLP162" s="4"/>
      <c r="WLQ162" s="4"/>
      <c r="WLR162" s="4"/>
      <c r="WLS162" s="4"/>
      <c r="WLT162" s="4"/>
      <c r="WLU162" s="4"/>
      <c r="WLV162" s="4"/>
      <c r="WLW162" s="4"/>
      <c r="WLX162" s="4"/>
      <c r="WLY162" s="4"/>
      <c r="WLZ162" s="4"/>
      <c r="WMA162" s="4"/>
      <c r="WMB162" s="4"/>
      <c r="WMC162" s="4"/>
      <c r="WMD162" s="4"/>
      <c r="WME162" s="4"/>
      <c r="WMF162" s="4"/>
      <c r="WMG162" s="4"/>
      <c r="WMH162" s="4"/>
      <c r="WMI162" s="4"/>
      <c r="WMJ162" s="4"/>
      <c r="WMK162" s="4"/>
      <c r="WML162" s="4"/>
      <c r="WMM162" s="4"/>
      <c r="WMN162" s="4"/>
      <c r="WMO162" s="4"/>
      <c r="WMP162" s="4"/>
      <c r="WMQ162" s="4"/>
      <c r="WMR162" s="4"/>
      <c r="WMS162" s="4"/>
      <c r="WMT162" s="4"/>
      <c r="WMU162" s="4"/>
      <c r="WMV162" s="4"/>
      <c r="WMW162" s="4"/>
      <c r="WMX162" s="4"/>
      <c r="WMY162" s="4"/>
      <c r="WMZ162" s="4"/>
      <c r="WNA162" s="4"/>
      <c r="WNB162" s="4"/>
      <c r="WNC162" s="4"/>
      <c r="WND162" s="4"/>
      <c r="WNE162" s="4"/>
      <c r="WNF162" s="4"/>
      <c r="WNG162" s="4"/>
      <c r="WNH162" s="4"/>
      <c r="WNI162" s="4"/>
      <c r="WNJ162" s="4"/>
      <c r="WNK162" s="4"/>
      <c r="WNL162" s="4"/>
      <c r="WNM162" s="4"/>
      <c r="WNN162" s="4"/>
      <c r="WNO162" s="4"/>
      <c r="WNP162" s="4"/>
      <c r="WNQ162" s="4"/>
      <c r="WNR162" s="4"/>
      <c r="WNS162" s="4"/>
      <c r="WNT162" s="4"/>
      <c r="WNU162" s="4"/>
      <c r="WNV162" s="4"/>
      <c r="WNW162" s="4"/>
      <c r="WNX162" s="4"/>
      <c r="WNY162" s="4"/>
      <c r="WNZ162" s="4"/>
      <c r="WOA162" s="4"/>
      <c r="WOB162" s="4"/>
      <c r="WOC162" s="4"/>
      <c r="WOD162" s="4"/>
      <c r="WOE162" s="4"/>
      <c r="WOF162" s="4"/>
      <c r="WOG162" s="4"/>
      <c r="WOH162" s="4"/>
      <c r="WOI162" s="4"/>
      <c r="WOJ162" s="4"/>
      <c r="WOK162" s="4"/>
      <c r="WOL162" s="4"/>
      <c r="WOM162" s="4"/>
      <c r="WON162" s="4"/>
      <c r="WOO162" s="4"/>
      <c r="WOP162" s="4"/>
      <c r="WOQ162" s="4"/>
      <c r="WOR162" s="4"/>
      <c r="WOS162" s="4"/>
      <c r="WOT162" s="4"/>
      <c r="WOU162" s="4"/>
      <c r="WOV162" s="4"/>
      <c r="WOW162" s="4"/>
      <c r="WOX162" s="4"/>
      <c r="WOY162" s="4"/>
      <c r="WOZ162" s="4"/>
      <c r="WPA162" s="4"/>
      <c r="WPB162" s="4"/>
      <c r="WPC162" s="4"/>
      <c r="WPD162" s="4"/>
      <c r="WPE162" s="4"/>
      <c r="WPF162" s="4"/>
      <c r="WPG162" s="4"/>
      <c r="WPH162" s="4"/>
      <c r="WPI162" s="4"/>
      <c r="WPJ162" s="4"/>
      <c r="WPK162" s="4"/>
      <c r="WPL162" s="4"/>
      <c r="WPM162" s="4"/>
      <c r="WPN162" s="4"/>
      <c r="WPO162" s="4"/>
      <c r="WPP162" s="4"/>
      <c r="WPQ162" s="4"/>
      <c r="WPR162" s="4"/>
      <c r="WPS162" s="4"/>
      <c r="WPT162" s="4"/>
      <c r="WPU162" s="4"/>
      <c r="WPV162" s="4"/>
      <c r="WPW162" s="4"/>
      <c r="WPX162" s="4"/>
      <c r="WPY162" s="4"/>
      <c r="WPZ162" s="4"/>
      <c r="WQA162" s="4"/>
      <c r="WQB162" s="4"/>
      <c r="WQC162" s="4"/>
      <c r="WQD162" s="4"/>
      <c r="WQE162" s="4"/>
      <c r="WQF162" s="4"/>
      <c r="WQG162" s="4"/>
      <c r="WQH162" s="4"/>
      <c r="WQI162" s="4"/>
      <c r="WQJ162" s="4"/>
      <c r="WQK162" s="4"/>
      <c r="WQL162" s="4"/>
      <c r="WQM162" s="4"/>
      <c r="WQN162" s="4"/>
      <c r="WQO162" s="4"/>
      <c r="WQP162" s="4"/>
      <c r="WQQ162" s="4"/>
      <c r="WQR162" s="4"/>
      <c r="WQS162" s="4"/>
      <c r="WQT162" s="4"/>
      <c r="WQU162" s="4"/>
      <c r="WQV162" s="4"/>
      <c r="WQW162" s="4"/>
      <c r="WQX162" s="4"/>
      <c r="WQY162" s="4"/>
      <c r="WQZ162" s="4"/>
      <c r="WRA162" s="4"/>
      <c r="WRB162" s="4"/>
      <c r="WRC162" s="4"/>
      <c r="WRD162" s="4"/>
      <c r="WRE162" s="4"/>
      <c r="WRF162" s="4"/>
      <c r="WRG162" s="4"/>
      <c r="WRH162" s="4"/>
      <c r="WRI162" s="4"/>
      <c r="WRJ162" s="4"/>
      <c r="WRK162" s="4"/>
      <c r="WRL162" s="4"/>
      <c r="WRM162" s="4"/>
      <c r="WRN162" s="4"/>
      <c r="WRO162" s="4"/>
      <c r="WRP162" s="4"/>
      <c r="WRQ162" s="4"/>
      <c r="WRR162" s="4"/>
      <c r="WRS162" s="4"/>
      <c r="WRT162" s="4"/>
      <c r="WRU162" s="4"/>
      <c r="WRV162" s="4"/>
      <c r="WRW162" s="4"/>
      <c r="WRX162" s="4"/>
      <c r="WRY162" s="4"/>
      <c r="WRZ162" s="4"/>
      <c r="WSA162" s="4"/>
      <c r="WSB162" s="4"/>
      <c r="WSC162" s="4"/>
      <c r="WSD162" s="4"/>
      <c r="WSE162" s="4"/>
      <c r="WSF162" s="4"/>
      <c r="WSG162" s="4"/>
      <c r="WSH162" s="4"/>
      <c r="WSI162" s="4"/>
      <c r="WSJ162" s="4"/>
      <c r="WSK162" s="4"/>
      <c r="WSL162" s="4"/>
      <c r="WSM162" s="4"/>
      <c r="WSN162" s="4"/>
      <c r="WSO162" s="4"/>
      <c r="WSP162" s="4"/>
      <c r="WSQ162" s="4"/>
      <c r="WSR162" s="4"/>
      <c r="WSS162" s="4"/>
      <c r="WST162" s="4"/>
      <c r="WSU162" s="4"/>
      <c r="WSV162" s="4"/>
      <c r="WSW162" s="4"/>
      <c r="WSX162" s="4"/>
      <c r="WSY162" s="4"/>
      <c r="WSZ162" s="4"/>
      <c r="WTA162" s="4"/>
      <c r="WTB162" s="4"/>
      <c r="WTC162" s="4"/>
      <c r="WTD162" s="4"/>
      <c r="WTE162" s="4"/>
      <c r="WTF162" s="4"/>
      <c r="WTG162" s="4"/>
      <c r="WTH162" s="4"/>
      <c r="WTI162" s="4"/>
      <c r="WTJ162" s="4"/>
      <c r="WTK162" s="4"/>
      <c r="WTL162" s="4"/>
      <c r="WTM162" s="4"/>
      <c r="WTN162" s="4"/>
      <c r="WTO162" s="4"/>
      <c r="WTP162" s="4"/>
      <c r="WTQ162" s="4"/>
      <c r="WTR162" s="4"/>
      <c r="WTS162" s="4"/>
      <c r="WTT162" s="4"/>
      <c r="WTU162" s="4"/>
      <c r="WTV162" s="4"/>
      <c r="WTW162" s="4"/>
      <c r="WTX162" s="4"/>
      <c r="WTY162" s="4"/>
      <c r="WTZ162" s="4"/>
      <c r="WUA162" s="4"/>
      <c r="WUB162" s="4"/>
      <c r="WUC162" s="4"/>
      <c r="WUD162" s="4"/>
      <c r="WUE162" s="4"/>
      <c r="WUF162" s="4"/>
      <c r="WUG162" s="4"/>
      <c r="WUH162" s="4"/>
      <c r="WUI162" s="4"/>
      <c r="WUJ162" s="4"/>
      <c r="WUK162" s="4"/>
      <c r="WUL162" s="4"/>
      <c r="WUM162" s="4"/>
      <c r="WUN162" s="4"/>
      <c r="WUO162" s="4"/>
      <c r="WUP162" s="4"/>
      <c r="WUQ162" s="4"/>
      <c r="WUR162" s="4"/>
      <c r="WUS162" s="4"/>
      <c r="WUT162" s="4"/>
      <c r="WUU162" s="4"/>
      <c r="WUV162" s="4"/>
      <c r="WUW162" s="4"/>
      <c r="WUX162" s="4"/>
      <c r="WUY162" s="4"/>
      <c r="WUZ162" s="4"/>
      <c r="WVA162" s="4"/>
      <c r="WVB162" s="4"/>
      <c r="WVC162" s="4"/>
      <c r="WVD162" s="4"/>
      <c r="WVE162" s="4"/>
      <c r="WVF162" s="4"/>
      <c r="WVG162" s="4"/>
      <c r="WVH162" s="4"/>
      <c r="WVI162" s="4"/>
      <c r="WVJ162" s="4"/>
      <c r="WVK162" s="4"/>
      <c r="WVL162" s="4"/>
      <c r="WVM162" s="4"/>
      <c r="WVN162" s="4"/>
      <c r="WVO162" s="4"/>
      <c r="WVP162" s="4"/>
      <c r="WVQ162" s="4"/>
      <c r="WVR162" s="4"/>
      <c r="WVS162" s="4"/>
      <c r="WVT162" s="4"/>
      <c r="WVU162" s="4"/>
      <c r="WVV162" s="4"/>
      <c r="WVW162" s="4"/>
      <c r="WVX162" s="4"/>
      <c r="WVY162" s="4"/>
      <c r="WVZ162" s="4"/>
      <c r="WWA162" s="4"/>
      <c r="WWB162" s="4"/>
      <c r="WWC162" s="4"/>
      <c r="WWD162" s="4"/>
      <c r="WWE162" s="4"/>
      <c r="WWF162" s="4"/>
      <c r="WWG162" s="4"/>
      <c r="WWH162" s="4"/>
      <c r="WWI162" s="4"/>
      <c r="WWJ162" s="4"/>
      <c r="WWK162" s="4"/>
      <c r="WWL162" s="4"/>
      <c r="WWM162" s="4"/>
      <c r="WWN162" s="4"/>
      <c r="WWO162" s="4"/>
      <c r="WWP162" s="4"/>
      <c r="WWQ162" s="4"/>
      <c r="WWR162" s="4"/>
      <c r="WWS162" s="4"/>
      <c r="WWT162" s="4"/>
      <c r="WWU162" s="4"/>
      <c r="WWV162" s="4"/>
      <c r="WWW162" s="4"/>
      <c r="WWX162" s="4"/>
      <c r="WWY162" s="4"/>
      <c r="WWZ162" s="4"/>
      <c r="WXA162" s="4"/>
      <c r="WXB162" s="4"/>
      <c r="WXC162" s="4"/>
      <c r="WXD162" s="4"/>
      <c r="WXE162" s="4"/>
      <c r="WXF162" s="4"/>
      <c r="WXG162" s="4"/>
      <c r="WXH162" s="4"/>
      <c r="WXI162" s="4"/>
      <c r="WXJ162" s="4"/>
      <c r="WXK162" s="4"/>
      <c r="WXL162" s="4"/>
      <c r="WXM162" s="4"/>
      <c r="WXN162" s="4"/>
      <c r="WXO162" s="4"/>
      <c r="WXP162" s="4"/>
      <c r="WXQ162" s="4"/>
      <c r="WXR162" s="4"/>
      <c r="WXS162" s="4"/>
      <c r="WXT162" s="4"/>
      <c r="WXU162" s="4"/>
      <c r="WXV162" s="4"/>
      <c r="WXW162" s="4"/>
      <c r="WXX162" s="4"/>
      <c r="WXY162" s="4"/>
      <c r="WXZ162" s="4"/>
      <c r="WYA162" s="4"/>
      <c r="WYB162" s="4"/>
      <c r="WYC162" s="4"/>
      <c r="WYD162" s="4"/>
      <c r="WYE162" s="4"/>
      <c r="WYF162" s="4"/>
      <c r="WYG162" s="4"/>
      <c r="WYH162" s="4"/>
      <c r="WYI162" s="4"/>
      <c r="WYJ162" s="4"/>
      <c r="WYK162" s="4"/>
      <c r="WYL162" s="4"/>
      <c r="WYM162" s="4"/>
      <c r="WYN162" s="4"/>
      <c r="WYO162" s="4"/>
      <c r="WYP162" s="4"/>
      <c r="WYQ162" s="4"/>
      <c r="WYR162" s="4"/>
      <c r="WYS162" s="4"/>
      <c r="WYT162" s="4"/>
      <c r="WYU162" s="4"/>
      <c r="WYV162" s="4"/>
      <c r="WYW162" s="4"/>
      <c r="WYX162" s="4"/>
      <c r="WYY162" s="4"/>
      <c r="WYZ162" s="4"/>
      <c r="WZA162" s="4"/>
      <c r="WZB162" s="4"/>
      <c r="WZC162" s="4"/>
      <c r="WZD162" s="4"/>
      <c r="WZE162" s="4"/>
      <c r="WZF162" s="4"/>
      <c r="WZG162" s="4"/>
      <c r="WZH162" s="4"/>
      <c r="WZI162" s="4"/>
      <c r="WZJ162" s="4"/>
      <c r="WZK162" s="4"/>
      <c r="WZL162" s="4"/>
      <c r="WZM162" s="4"/>
      <c r="WZN162" s="4"/>
      <c r="WZO162" s="4"/>
      <c r="WZP162" s="4"/>
      <c r="WZQ162" s="4"/>
      <c r="WZR162" s="4"/>
      <c r="WZS162" s="4"/>
      <c r="WZT162" s="4"/>
      <c r="WZU162" s="4"/>
      <c r="WZV162" s="4"/>
      <c r="WZW162" s="4"/>
      <c r="WZX162" s="4"/>
      <c r="WZY162" s="4"/>
      <c r="WZZ162" s="4"/>
      <c r="XAA162" s="4"/>
      <c r="XAB162" s="4"/>
      <c r="XAC162" s="4"/>
      <c r="XAD162" s="4"/>
      <c r="XAE162" s="4"/>
      <c r="XAF162" s="4"/>
      <c r="XAG162" s="4"/>
      <c r="XAH162" s="4"/>
      <c r="XAI162" s="4"/>
      <c r="XAJ162" s="4"/>
      <c r="XAK162" s="4"/>
      <c r="XAL162" s="4"/>
      <c r="XAM162" s="4"/>
      <c r="XAN162" s="4"/>
      <c r="XAO162" s="4"/>
      <c r="XAP162" s="4"/>
      <c r="XAQ162" s="4"/>
      <c r="XAR162" s="4"/>
      <c r="XAS162" s="4"/>
      <c r="XAT162" s="4"/>
      <c r="XAU162" s="4"/>
      <c r="XAV162" s="4"/>
      <c r="XAW162" s="4"/>
      <c r="XAX162" s="4"/>
      <c r="XAY162" s="4"/>
      <c r="XAZ162" s="4"/>
      <c r="XBA162" s="4"/>
      <c r="XBB162" s="4"/>
      <c r="XBC162" s="4"/>
      <c r="XBD162" s="4"/>
      <c r="XBE162" s="4"/>
      <c r="XBF162" s="4"/>
      <c r="XBG162" s="4"/>
      <c r="XBH162" s="4"/>
      <c r="XBI162" s="4"/>
      <c r="XBJ162" s="4"/>
      <c r="XBK162" s="4"/>
      <c r="XBL162" s="4"/>
      <c r="XBM162" s="4"/>
      <c r="XBN162" s="4"/>
      <c r="XBO162" s="4"/>
      <c r="XBP162" s="4"/>
      <c r="XBQ162" s="4"/>
      <c r="XBR162" s="4"/>
      <c r="XBS162" s="4"/>
      <c r="XBT162" s="4"/>
      <c r="XBU162" s="4"/>
      <c r="XBV162" s="4"/>
      <c r="XBW162" s="4"/>
      <c r="XBX162" s="4"/>
      <c r="XBY162" s="4"/>
      <c r="XBZ162" s="4"/>
      <c r="XCA162" s="4"/>
      <c r="XCB162" s="4"/>
      <c r="XCC162" s="4"/>
      <c r="XCD162" s="4"/>
      <c r="XCE162" s="4"/>
      <c r="XCF162" s="4"/>
      <c r="XCG162" s="4"/>
      <c r="XCH162" s="4"/>
      <c r="XCI162" s="4"/>
      <c r="XCJ162" s="4"/>
      <c r="XCK162" s="4"/>
      <c r="XCL162" s="4"/>
      <c r="XCM162" s="4"/>
      <c r="XCN162" s="4"/>
      <c r="XCO162" s="4"/>
      <c r="XCP162" s="4"/>
      <c r="XCQ162" s="4"/>
      <c r="XCR162" s="4"/>
      <c r="XCS162" s="4"/>
      <c r="XCT162" s="4"/>
      <c r="XCU162" s="4"/>
      <c r="XCV162" s="4"/>
      <c r="XCW162" s="4"/>
      <c r="XCX162" s="4"/>
      <c r="XCY162" s="4"/>
      <c r="XCZ162" s="4"/>
      <c r="XDA162" s="4"/>
      <c r="XDB162" s="4"/>
      <c r="XDC162" s="4"/>
      <c r="XDD162" s="4"/>
      <c r="XDE162" s="4"/>
      <c r="XDF162" s="4"/>
      <c r="XDG162" s="4"/>
      <c r="XDH162" s="4"/>
      <c r="XDI162" s="4"/>
      <c r="XDJ162" s="4"/>
      <c r="XDK162" s="4"/>
      <c r="XDL162" s="4"/>
      <c r="XDM162" s="4"/>
      <c r="XDN162" s="4"/>
      <c r="XDO162" s="4"/>
      <c r="XDP162" s="4"/>
      <c r="XDQ162" s="4"/>
      <c r="XDR162" s="4"/>
      <c r="XDS162" s="4"/>
      <c r="XDT162" s="4"/>
      <c r="XDU162" s="4"/>
      <c r="XDV162" s="4"/>
      <c r="XDW162" s="4"/>
      <c r="XDX162" s="4"/>
      <c r="XDY162" s="4"/>
      <c r="XDZ162" s="4"/>
      <c r="XEA162" s="4"/>
      <c r="XEB162" s="4"/>
      <c r="XEC162" s="4"/>
      <c r="XED162" s="4"/>
      <c r="XEE162" s="4"/>
      <c r="XEF162" s="4"/>
      <c r="XEG162" s="4"/>
      <c r="XEH162" s="4"/>
      <c r="XEI162" s="4"/>
      <c r="XEJ162" s="4"/>
      <c r="XEK162" s="4"/>
      <c r="XEL162" s="4"/>
      <c r="XEM162" s="4"/>
      <c r="XEN162" s="4"/>
      <c r="XEO162" s="4"/>
      <c r="XEP162" s="4"/>
      <c r="XEQ162" s="4"/>
      <c r="XER162" s="4"/>
      <c r="XES162" s="4"/>
      <c r="XET162" s="4"/>
      <c r="XEU162" s="4"/>
      <c r="XEV162" s="4"/>
      <c r="XEW162" s="4"/>
      <c r="XEX162" s="4"/>
      <c r="XEY162" s="4"/>
      <c r="XEZ162" s="4"/>
      <c r="XFA162" s="4"/>
      <c r="XFB162" s="4"/>
      <c r="XFC162" s="4"/>
      <c r="XFD162" s="4"/>
    </row>
    <row r="163" spans="1:16384" s="41" customFormat="1" x14ac:dyDescent="0.35">
      <c r="A163" s="8" t="s">
        <v>251</v>
      </c>
      <c r="B163" s="1" t="s">
        <v>2</v>
      </c>
      <c r="C163" s="1"/>
      <c r="D163" s="8"/>
      <c r="E163" s="8"/>
      <c r="F163" s="1" t="s">
        <v>75</v>
      </c>
      <c r="G163" s="1" t="s">
        <v>48</v>
      </c>
      <c r="H163" s="1" t="s">
        <v>46</v>
      </c>
      <c r="I163" s="1" t="s">
        <v>10</v>
      </c>
      <c r="J163" s="1" t="s">
        <v>51</v>
      </c>
      <c r="K163" s="6"/>
      <c r="L163" s="6"/>
      <c r="M163" s="4"/>
      <c r="N163" s="3">
        <v>0.1</v>
      </c>
      <c r="O163" s="9">
        <v>250000</v>
      </c>
      <c r="P163" s="13"/>
      <c r="Q163" s="10"/>
      <c r="R163" s="10">
        <f>+O163*N163</f>
        <v>25000</v>
      </c>
      <c r="S163" s="10"/>
      <c r="T163" s="10">
        <f>+P163+Q163+R163+S163</f>
        <v>25000</v>
      </c>
      <c r="U163" s="10"/>
      <c r="V163" s="4"/>
      <c r="W163" s="4" t="s">
        <v>164</v>
      </c>
      <c r="X163" s="4"/>
      <c r="Y163" s="60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16384" x14ac:dyDescent="0.35">
      <c r="A164" s="8" t="s">
        <v>179</v>
      </c>
      <c r="B164" s="1" t="s">
        <v>2</v>
      </c>
      <c r="F164" s="1" t="s">
        <v>88</v>
      </c>
      <c r="G164" s="1" t="s">
        <v>48</v>
      </c>
      <c r="H164" s="1" t="s">
        <v>46</v>
      </c>
      <c r="I164" s="1" t="s">
        <v>10</v>
      </c>
      <c r="J164" s="1" t="s">
        <v>51</v>
      </c>
      <c r="K164" s="6"/>
      <c r="L164" s="6"/>
      <c r="N164" s="3">
        <v>0.1</v>
      </c>
      <c r="O164" s="9">
        <v>100000</v>
      </c>
      <c r="P164" s="13"/>
      <c r="Q164" s="10"/>
      <c r="R164" s="10">
        <f>+O164*N164</f>
        <v>10000</v>
      </c>
      <c r="S164" s="10"/>
      <c r="T164" s="10">
        <f>+P164+Q164+R164+S164</f>
        <v>10000</v>
      </c>
      <c r="U164" s="10"/>
      <c r="Y164" s="72"/>
      <c r="Z164" s="72"/>
    </row>
    <row r="165" spans="1:16384" x14ac:dyDescent="0.35">
      <c r="A165" s="63" t="s">
        <v>317</v>
      </c>
      <c r="B165" s="1" t="s">
        <v>2</v>
      </c>
      <c r="F165" s="1" t="s">
        <v>75</v>
      </c>
      <c r="G165" s="1" t="s">
        <v>48</v>
      </c>
      <c r="H165" s="1" t="s">
        <v>46</v>
      </c>
      <c r="I165" s="1" t="s">
        <v>10</v>
      </c>
      <c r="J165" s="6" t="s">
        <v>51</v>
      </c>
      <c r="K165" s="6"/>
      <c r="L165" s="6"/>
      <c r="N165" s="3">
        <v>0.1</v>
      </c>
      <c r="O165" s="9">
        <v>30000</v>
      </c>
      <c r="P165" s="10"/>
      <c r="Q165" s="10"/>
      <c r="R165" s="10">
        <f>+O165*N165</f>
        <v>3000</v>
      </c>
      <c r="S165" s="10"/>
      <c r="T165" s="10">
        <f>+P165+Q165+R165+S165</f>
        <v>3000</v>
      </c>
      <c r="W165" s="4" t="s">
        <v>318</v>
      </c>
      <c r="Y165" s="72"/>
      <c r="Z165" s="72"/>
      <c r="AA165" s="41"/>
    </row>
    <row r="166" spans="1:16384" x14ac:dyDescent="0.35">
      <c r="A166" s="8" t="s">
        <v>248</v>
      </c>
      <c r="B166" s="1" t="s">
        <v>2</v>
      </c>
      <c r="F166" s="1" t="s">
        <v>76</v>
      </c>
      <c r="G166" s="1" t="s">
        <v>48</v>
      </c>
      <c r="H166" s="1" t="s">
        <v>46</v>
      </c>
      <c r="I166" s="1" t="s">
        <v>10</v>
      </c>
      <c r="J166" s="1" t="s">
        <v>51</v>
      </c>
      <c r="K166" s="6"/>
      <c r="L166" s="6"/>
      <c r="N166" s="3">
        <v>0.1</v>
      </c>
      <c r="O166" s="9">
        <v>20000</v>
      </c>
      <c r="P166" s="13"/>
      <c r="Q166" s="10"/>
      <c r="R166" s="10">
        <f>+O166*N166</f>
        <v>2000</v>
      </c>
      <c r="S166" s="10"/>
      <c r="T166" s="10">
        <f>+P166+Q166+R166+S166</f>
        <v>2000</v>
      </c>
      <c r="U166" s="10"/>
      <c r="Y166" s="72"/>
      <c r="Z166" s="72"/>
      <c r="AB166" s="41"/>
      <c r="AC166" s="41"/>
      <c r="AD166" s="41"/>
      <c r="AE166" s="41"/>
      <c r="AF166" s="41"/>
      <c r="AG166" s="41"/>
    </row>
    <row r="167" spans="1:16384" x14ac:dyDescent="0.35">
      <c r="A167" s="8" t="s">
        <v>222</v>
      </c>
      <c r="B167" s="1" t="s">
        <v>2</v>
      </c>
      <c r="F167" s="1" t="s">
        <v>79</v>
      </c>
      <c r="G167" s="1" t="s">
        <v>48</v>
      </c>
      <c r="H167" s="1" t="s">
        <v>70</v>
      </c>
      <c r="I167" s="1" t="s">
        <v>70</v>
      </c>
      <c r="J167" s="6" t="s">
        <v>51</v>
      </c>
      <c r="K167" s="6"/>
      <c r="L167" s="6"/>
      <c r="N167" s="3">
        <v>0.1</v>
      </c>
      <c r="O167" s="9">
        <v>14000</v>
      </c>
      <c r="P167" s="13"/>
      <c r="Q167" s="10"/>
      <c r="R167" s="10">
        <f>+O167*N167</f>
        <v>1400</v>
      </c>
      <c r="S167" s="10"/>
      <c r="T167" s="10">
        <f>+P167+Q167+R167+S167</f>
        <v>1400</v>
      </c>
      <c r="W167" s="4" t="s">
        <v>551</v>
      </c>
      <c r="Y167" s="72"/>
      <c r="Z167" s="72"/>
      <c r="AA167" s="72"/>
    </row>
    <row r="168" spans="1:16384" x14ac:dyDescent="0.35">
      <c r="A168" s="8" t="s">
        <v>29</v>
      </c>
      <c r="B168" s="1" t="s">
        <v>3</v>
      </c>
      <c r="F168" s="1" t="s">
        <v>88</v>
      </c>
      <c r="G168" s="1" t="s">
        <v>48</v>
      </c>
      <c r="H168" s="1" t="s">
        <v>46</v>
      </c>
      <c r="I168" s="1" t="s">
        <v>22</v>
      </c>
      <c r="J168" s="6" t="s">
        <v>50</v>
      </c>
      <c r="K168" s="46" t="s">
        <v>26</v>
      </c>
      <c r="L168" s="46" t="s">
        <v>30</v>
      </c>
      <c r="N168" s="3">
        <v>0.1</v>
      </c>
      <c r="O168" s="9">
        <v>100000</v>
      </c>
      <c r="P168" s="10"/>
      <c r="Q168" s="10"/>
      <c r="R168" s="10"/>
      <c r="S168" s="10">
        <f>+O168*N168</f>
        <v>10000</v>
      </c>
      <c r="T168" s="10">
        <f>+P168+Q168+R168+S168</f>
        <v>10000</v>
      </c>
      <c r="U168" s="10"/>
      <c r="Y168" s="72"/>
      <c r="Z168" s="72"/>
      <c r="AA168" s="72"/>
      <c r="AH168" s="41"/>
      <c r="AI168" s="41"/>
    </row>
    <row r="169" spans="1:16384" x14ac:dyDescent="0.35">
      <c r="A169" s="8" t="s">
        <v>31</v>
      </c>
      <c r="B169" s="1" t="s">
        <v>3</v>
      </c>
      <c r="F169" s="1" t="s">
        <v>79</v>
      </c>
      <c r="G169" s="1" t="s">
        <v>48</v>
      </c>
      <c r="H169" s="1" t="s">
        <v>18</v>
      </c>
      <c r="I169" s="1" t="s">
        <v>9</v>
      </c>
      <c r="J169" s="6" t="s">
        <v>50</v>
      </c>
      <c r="K169" s="46" t="s">
        <v>26</v>
      </c>
      <c r="L169" s="46" t="s">
        <v>30</v>
      </c>
      <c r="N169" s="3">
        <v>0.1</v>
      </c>
      <c r="O169" s="9">
        <v>50000</v>
      </c>
      <c r="P169" s="10"/>
      <c r="Q169" s="10"/>
      <c r="R169" s="10"/>
      <c r="S169" s="10">
        <f>+O169*N169</f>
        <v>5000</v>
      </c>
      <c r="T169" s="10">
        <f>+P169+Q169+R169+S169</f>
        <v>5000</v>
      </c>
      <c r="U169" s="10"/>
      <c r="W169" s="4" t="s">
        <v>221</v>
      </c>
      <c r="Z169" s="41"/>
      <c r="AA169" s="72"/>
      <c r="AH169" s="41"/>
      <c r="AI169" s="41"/>
    </row>
    <row r="170" spans="1:16384" s="41" customFormat="1" x14ac:dyDescent="0.35">
      <c r="A170" s="8" t="s">
        <v>510</v>
      </c>
      <c r="B170" s="1" t="s">
        <v>3</v>
      </c>
      <c r="C170" s="1"/>
      <c r="D170" s="8"/>
      <c r="E170" s="8"/>
      <c r="F170" s="1" t="s">
        <v>76</v>
      </c>
      <c r="G170" s="1" t="s">
        <v>48</v>
      </c>
      <c r="H170" s="1" t="s">
        <v>46</v>
      </c>
      <c r="I170" s="1" t="s">
        <v>9</v>
      </c>
      <c r="J170" s="6" t="s">
        <v>50</v>
      </c>
      <c r="K170" s="6"/>
      <c r="L170" s="6"/>
      <c r="M170" s="4"/>
      <c r="N170" s="3">
        <v>0.05</v>
      </c>
      <c r="O170" s="9">
        <v>200000</v>
      </c>
      <c r="P170" s="10"/>
      <c r="Q170" s="10">
        <f>+O170*N170</f>
        <v>10000</v>
      </c>
      <c r="R170" s="10"/>
      <c r="S170" s="10"/>
      <c r="T170" s="10">
        <f>+P170+Q170+R170+S170</f>
        <v>10000</v>
      </c>
      <c r="U170" s="4"/>
      <c r="V170" s="4"/>
      <c r="W170" s="4"/>
      <c r="X170" s="4"/>
      <c r="Y170" s="73"/>
      <c r="Z170" s="72"/>
      <c r="AA170" s="72"/>
      <c r="AB170" s="72"/>
      <c r="AC170" s="72"/>
      <c r="AD170" s="72"/>
      <c r="AE170" s="72"/>
      <c r="AF170" s="72"/>
      <c r="AG170" s="72"/>
      <c r="AH170" s="4"/>
      <c r="AI170" s="4"/>
    </row>
    <row r="171" spans="1:16384" x14ac:dyDescent="0.35">
      <c r="A171" s="8" t="s">
        <v>396</v>
      </c>
      <c r="B171" s="1" t="s">
        <v>3</v>
      </c>
      <c r="D171" s="4"/>
      <c r="E171" s="4"/>
      <c r="F171" s="1" t="s">
        <v>88</v>
      </c>
      <c r="G171" s="1" t="s">
        <v>48</v>
      </c>
      <c r="H171" s="1" t="s">
        <v>46</v>
      </c>
      <c r="I171" s="1" t="s">
        <v>10</v>
      </c>
      <c r="J171" s="6" t="s">
        <v>51</v>
      </c>
      <c r="N171" s="3">
        <v>0.1</v>
      </c>
      <c r="O171" s="9">
        <v>17000</v>
      </c>
      <c r="P171" s="13"/>
      <c r="Q171" s="10"/>
      <c r="R171" s="10"/>
      <c r="S171" s="10">
        <f>+O171*N171</f>
        <v>1700</v>
      </c>
      <c r="T171" s="10">
        <f>+P171+Q171+R171+S171</f>
        <v>1700</v>
      </c>
      <c r="V171" s="41"/>
      <c r="Y171" s="72"/>
      <c r="Z171" s="73"/>
      <c r="AA171" s="72"/>
      <c r="AB171" s="72"/>
      <c r="AC171" s="72"/>
      <c r="AD171" s="72"/>
      <c r="AE171" s="72"/>
      <c r="AF171" s="72"/>
      <c r="AG171" s="72"/>
    </row>
    <row r="172" spans="1:16384" x14ac:dyDescent="0.35">
      <c r="A172" s="8" t="s">
        <v>240</v>
      </c>
      <c r="B172" s="1" t="s">
        <v>3</v>
      </c>
      <c r="F172" s="1" t="s">
        <v>86</v>
      </c>
      <c r="G172" s="1" t="s">
        <v>48</v>
      </c>
      <c r="H172" s="1" t="s">
        <v>46</v>
      </c>
      <c r="I172" s="1" t="s">
        <v>10</v>
      </c>
      <c r="J172" s="1" t="s">
        <v>51</v>
      </c>
      <c r="K172" s="6"/>
      <c r="L172" s="6"/>
      <c r="N172" s="3">
        <v>0.1</v>
      </c>
      <c r="O172" s="9">
        <v>13000</v>
      </c>
      <c r="P172" s="13"/>
      <c r="Q172" s="10"/>
      <c r="R172" s="10"/>
      <c r="S172" s="10">
        <f>+O172*N172</f>
        <v>1300</v>
      </c>
      <c r="T172" s="10">
        <f>+P172+Q172+R172+S172</f>
        <v>1300</v>
      </c>
      <c r="U172" s="10"/>
      <c r="W172" s="4" t="s">
        <v>552</v>
      </c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</row>
    <row r="173" spans="1:16384" x14ac:dyDescent="0.35">
      <c r="A173" s="39" t="s">
        <v>192</v>
      </c>
      <c r="B173" s="14" t="s">
        <v>0</v>
      </c>
      <c r="C173" s="14"/>
      <c r="D173" s="39"/>
      <c r="E173" s="39"/>
      <c r="F173" s="14" t="s">
        <v>73</v>
      </c>
      <c r="G173" s="14" t="s">
        <v>99</v>
      </c>
      <c r="H173" s="14" t="s">
        <v>122</v>
      </c>
      <c r="I173" s="14" t="s">
        <v>10</v>
      </c>
      <c r="J173" s="40" t="s">
        <v>51</v>
      </c>
      <c r="K173" s="40"/>
      <c r="L173" s="40"/>
      <c r="M173" s="41"/>
      <c r="N173" s="42">
        <v>1</v>
      </c>
      <c r="O173" s="43">
        <v>600000</v>
      </c>
      <c r="P173" s="43">
        <v>600000</v>
      </c>
      <c r="Q173" s="43"/>
      <c r="R173" s="43"/>
      <c r="S173" s="43"/>
      <c r="T173" s="43">
        <f>+P173+Q173+R173+S173</f>
        <v>600000</v>
      </c>
      <c r="U173" s="76"/>
      <c r="V173" s="76"/>
      <c r="W173" s="76" t="s">
        <v>441</v>
      </c>
      <c r="X173" s="73"/>
      <c r="Y173" s="76"/>
      <c r="Z173" s="73"/>
      <c r="AA173" s="72"/>
      <c r="AB173" s="72"/>
      <c r="AC173" s="72"/>
      <c r="AD173" s="72"/>
      <c r="AE173" s="72"/>
      <c r="AF173" s="72"/>
      <c r="AG173" s="72"/>
      <c r="AH173" s="72"/>
      <c r="AI173" s="72"/>
    </row>
    <row r="174" spans="1:16384" x14ac:dyDescent="0.35">
      <c r="A174" s="89" t="s">
        <v>476</v>
      </c>
      <c r="B174" s="120" t="s">
        <v>0</v>
      </c>
      <c r="C174" s="120"/>
      <c r="D174" s="89"/>
      <c r="E174" s="89"/>
      <c r="F174" s="120" t="s">
        <v>80</v>
      </c>
      <c r="G174" s="120" t="s">
        <v>99</v>
      </c>
      <c r="H174" s="120" t="s">
        <v>122</v>
      </c>
      <c r="I174" s="120" t="s">
        <v>10</v>
      </c>
      <c r="J174" s="121" t="s">
        <v>51</v>
      </c>
      <c r="K174" s="121"/>
      <c r="L174" s="121"/>
      <c r="M174" s="90"/>
      <c r="N174" s="122">
        <v>1</v>
      </c>
      <c r="O174" s="123">
        <v>20000</v>
      </c>
      <c r="P174" s="124">
        <f>+O174*N174</f>
        <v>20000</v>
      </c>
      <c r="Q174" s="124"/>
      <c r="R174" s="124"/>
      <c r="S174" s="124"/>
      <c r="T174" s="124">
        <f>+P174+Q174+R174+S174</f>
        <v>20000</v>
      </c>
      <c r="U174" s="90"/>
      <c r="V174" s="90"/>
      <c r="W174" s="90" t="s">
        <v>475</v>
      </c>
      <c r="X174" s="90"/>
      <c r="Y174" s="73"/>
      <c r="Z174" s="73"/>
      <c r="AA174" s="72"/>
      <c r="AB174" s="72"/>
      <c r="AC174" s="72"/>
      <c r="AD174" s="72"/>
      <c r="AE174" s="72"/>
      <c r="AF174" s="72"/>
      <c r="AG174" s="72"/>
      <c r="AH174" s="72"/>
      <c r="AI174" s="72"/>
    </row>
    <row r="175" spans="1:16384" s="72" customFormat="1" x14ac:dyDescent="0.35">
      <c r="A175" s="54" t="s">
        <v>229</v>
      </c>
      <c r="B175" s="103" t="s">
        <v>0</v>
      </c>
      <c r="C175" s="103"/>
      <c r="D175" s="54"/>
      <c r="E175" s="54"/>
      <c r="F175" s="1" t="s">
        <v>77</v>
      </c>
      <c r="G175" s="5" t="s">
        <v>99</v>
      </c>
      <c r="H175" s="1" t="s">
        <v>122</v>
      </c>
      <c r="I175" s="1" t="s">
        <v>10</v>
      </c>
      <c r="J175" s="6" t="s">
        <v>51</v>
      </c>
      <c r="K175" s="46"/>
      <c r="L175" s="46"/>
      <c r="N175" s="3">
        <v>0.75</v>
      </c>
      <c r="O175" s="45">
        <v>400000</v>
      </c>
      <c r="P175" s="10">
        <f>+O175*N175</f>
        <v>300000</v>
      </c>
      <c r="Q175" s="10"/>
      <c r="R175" s="10"/>
      <c r="S175" s="10"/>
      <c r="T175" s="10">
        <f>+P175+Q175+R175+S175</f>
        <v>300000</v>
      </c>
      <c r="U175" s="20"/>
      <c r="V175" s="60"/>
      <c r="W175" s="72" t="s">
        <v>432</v>
      </c>
      <c r="Y175" s="73"/>
      <c r="Z175" s="73"/>
      <c r="AH175" s="4"/>
      <c r="AI175" s="4"/>
    </row>
    <row r="176" spans="1:16384" x14ac:dyDescent="0.35">
      <c r="A176" s="63" t="s">
        <v>266</v>
      </c>
      <c r="B176" s="103" t="s">
        <v>0</v>
      </c>
      <c r="C176" s="103"/>
      <c r="F176" s="1" t="s">
        <v>75</v>
      </c>
      <c r="G176" s="1" t="s">
        <v>99</v>
      </c>
      <c r="H176" s="1" t="s">
        <v>122</v>
      </c>
      <c r="I176" s="1" t="s">
        <v>10</v>
      </c>
      <c r="J176" s="6" t="s">
        <v>51</v>
      </c>
      <c r="K176" s="6"/>
      <c r="L176" s="6"/>
      <c r="N176" s="3">
        <v>0.75</v>
      </c>
      <c r="O176" s="9">
        <v>44000</v>
      </c>
      <c r="P176" s="10">
        <f>+O176*N176</f>
        <v>33000</v>
      </c>
      <c r="Q176" s="10"/>
      <c r="R176" s="10"/>
      <c r="S176" s="10"/>
      <c r="T176" s="10">
        <f>+P176+Q176+R176+S176</f>
        <v>33000</v>
      </c>
      <c r="W176" s="4" t="s">
        <v>486</v>
      </c>
      <c r="Y176" s="80"/>
      <c r="AA176" s="72"/>
      <c r="AB176" s="72"/>
      <c r="AC176" s="72"/>
      <c r="AD176" s="72"/>
      <c r="AE176" s="72"/>
      <c r="AF176" s="72"/>
      <c r="AG176" s="72"/>
      <c r="AH176" s="72"/>
      <c r="AI176" s="72"/>
    </row>
    <row r="177" spans="1:35" s="72" customFormat="1" x14ac:dyDescent="0.35">
      <c r="A177" s="63" t="s">
        <v>488</v>
      </c>
      <c r="B177" s="1" t="s">
        <v>0</v>
      </c>
      <c r="C177" s="1"/>
      <c r="D177" s="63"/>
      <c r="E177" s="63"/>
      <c r="F177" s="1" t="s">
        <v>73</v>
      </c>
      <c r="G177" s="1" t="s">
        <v>99</v>
      </c>
      <c r="H177" s="1" t="s">
        <v>122</v>
      </c>
      <c r="I177" s="1" t="s">
        <v>10</v>
      </c>
      <c r="J177" s="66" t="s">
        <v>51</v>
      </c>
      <c r="K177" s="66"/>
      <c r="L177" s="66"/>
      <c r="M177" s="67"/>
      <c r="N177" s="68">
        <v>0.75</v>
      </c>
      <c r="O177" s="26">
        <v>32000</v>
      </c>
      <c r="P177" s="10">
        <f>+O177*N177</f>
        <v>24000</v>
      </c>
      <c r="Q177" s="10"/>
      <c r="R177" s="69"/>
      <c r="S177" s="69"/>
      <c r="T177" s="10">
        <f>+P177+Q177+R177+S177</f>
        <v>24000</v>
      </c>
      <c r="U177" s="41"/>
      <c r="V177" s="65"/>
      <c r="W177" s="119" t="s">
        <v>489</v>
      </c>
      <c r="X177" s="4"/>
      <c r="Z177" s="73"/>
    </row>
    <row r="178" spans="1:35" s="72" customFormat="1" x14ac:dyDescent="0.35">
      <c r="A178" s="63" t="s">
        <v>494</v>
      </c>
      <c r="B178" s="1" t="s">
        <v>0</v>
      </c>
      <c r="C178" s="1"/>
      <c r="D178" s="63"/>
      <c r="E178" s="63"/>
      <c r="F178" s="1" t="s">
        <v>73</v>
      </c>
      <c r="G178" s="1" t="s">
        <v>99</v>
      </c>
      <c r="H178" s="1" t="s">
        <v>122</v>
      </c>
      <c r="I178" s="1" t="s">
        <v>10</v>
      </c>
      <c r="J178" s="66" t="s">
        <v>51</v>
      </c>
      <c r="K178" s="66"/>
      <c r="L178" s="66"/>
      <c r="M178" s="67"/>
      <c r="N178" s="68">
        <v>0.75</v>
      </c>
      <c r="O178" s="26">
        <v>7000</v>
      </c>
      <c r="P178" s="69"/>
      <c r="Q178" s="10">
        <f>+O178*N178</f>
        <v>5250</v>
      </c>
      <c r="R178" s="69"/>
      <c r="S178" s="69"/>
      <c r="T178" s="10">
        <f>+P178+Q178+R178+S178</f>
        <v>5250</v>
      </c>
      <c r="U178" s="41"/>
      <c r="V178" s="65"/>
      <c r="W178" s="119" t="s">
        <v>493</v>
      </c>
      <c r="X178" s="4"/>
      <c r="Z178" s="73"/>
    </row>
    <row r="179" spans="1:35" s="72" customFormat="1" x14ac:dyDescent="0.35">
      <c r="A179" s="63" t="s">
        <v>492</v>
      </c>
      <c r="B179" s="1" t="s">
        <v>0</v>
      </c>
      <c r="C179" s="1"/>
      <c r="D179" s="63"/>
      <c r="E179" s="63"/>
      <c r="F179" s="1" t="s">
        <v>73</v>
      </c>
      <c r="G179" s="1" t="s">
        <v>99</v>
      </c>
      <c r="H179" s="1" t="s">
        <v>122</v>
      </c>
      <c r="I179" s="1" t="s">
        <v>10</v>
      </c>
      <c r="J179" s="66" t="s">
        <v>51</v>
      </c>
      <c r="K179" s="66"/>
      <c r="L179" s="66"/>
      <c r="M179" s="67"/>
      <c r="N179" s="68">
        <v>0.25</v>
      </c>
      <c r="O179" s="26">
        <v>10000</v>
      </c>
      <c r="P179" s="69"/>
      <c r="Q179" s="10">
        <f>+O179*N179</f>
        <v>2500</v>
      </c>
      <c r="R179" s="69"/>
      <c r="S179" s="69"/>
      <c r="T179" s="10">
        <f>+P179+Q179+R179+S179</f>
        <v>2500</v>
      </c>
      <c r="U179" s="41"/>
      <c r="V179" s="65"/>
      <c r="W179" s="119" t="s">
        <v>493</v>
      </c>
      <c r="X179" s="4"/>
      <c r="Z179" s="73"/>
    </row>
    <row r="180" spans="1:35" s="72" customFormat="1" x14ac:dyDescent="0.35">
      <c r="A180" s="8" t="s">
        <v>326</v>
      </c>
      <c r="B180" s="104" t="s">
        <v>0</v>
      </c>
      <c r="C180" s="104"/>
      <c r="D180" s="8"/>
      <c r="E180" s="8"/>
      <c r="F180" s="1" t="s">
        <v>77</v>
      </c>
      <c r="G180" s="5" t="s">
        <v>99</v>
      </c>
      <c r="H180" s="1" t="s">
        <v>122</v>
      </c>
      <c r="I180" s="1" t="s">
        <v>10</v>
      </c>
      <c r="J180" s="6" t="s">
        <v>51</v>
      </c>
      <c r="K180" s="6"/>
      <c r="L180" s="6"/>
      <c r="M180" s="4"/>
      <c r="N180" s="68">
        <v>0.1</v>
      </c>
      <c r="O180" s="77">
        <v>100000</v>
      </c>
      <c r="P180" s="26">
        <f>+O180*N180</f>
        <v>10000</v>
      </c>
      <c r="Q180" s="26"/>
      <c r="R180" s="26"/>
      <c r="S180" s="26"/>
      <c r="T180" s="26">
        <f>+P180+Q180+R180+S180</f>
        <v>10000</v>
      </c>
      <c r="U180" s="10"/>
      <c r="V180" s="4"/>
      <c r="W180" s="4" t="s">
        <v>434</v>
      </c>
      <c r="X180" s="4"/>
      <c r="Y180" s="73"/>
      <c r="Z180" s="76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s="72" customFormat="1" x14ac:dyDescent="0.35">
      <c r="A181" s="74" t="s">
        <v>239</v>
      </c>
      <c r="B181" s="104" t="s">
        <v>0</v>
      </c>
      <c r="C181" s="104"/>
      <c r="D181" s="74"/>
      <c r="E181" s="74"/>
      <c r="F181" s="56" t="s">
        <v>77</v>
      </c>
      <c r="G181" s="1" t="s">
        <v>99</v>
      </c>
      <c r="H181" s="56" t="s">
        <v>122</v>
      </c>
      <c r="I181" s="56" t="s">
        <v>10</v>
      </c>
      <c r="J181" s="66" t="s">
        <v>51</v>
      </c>
      <c r="K181" s="75"/>
      <c r="L181" s="75"/>
      <c r="M181" s="76"/>
      <c r="N181" s="68">
        <v>0.1</v>
      </c>
      <c r="O181" s="77">
        <v>12000</v>
      </c>
      <c r="P181" s="26">
        <f>+O181*N181</f>
        <v>1200</v>
      </c>
      <c r="Q181" s="26"/>
      <c r="R181" s="26"/>
      <c r="S181" s="26"/>
      <c r="T181" s="26">
        <f>+P181+Q181+R181+S181</f>
        <v>1200</v>
      </c>
      <c r="U181" s="76"/>
      <c r="V181" s="73"/>
      <c r="W181" s="76" t="s">
        <v>236</v>
      </c>
      <c r="X181" s="76"/>
      <c r="Y181" s="90"/>
      <c r="Z181" s="90"/>
    </row>
    <row r="182" spans="1:35" s="72" customFormat="1" x14ac:dyDescent="0.35">
      <c r="A182" s="8" t="s">
        <v>319</v>
      </c>
      <c r="B182" s="104" t="s">
        <v>0</v>
      </c>
      <c r="C182" s="104"/>
      <c r="D182" s="8"/>
      <c r="E182" s="8"/>
      <c r="F182" s="1" t="s">
        <v>77</v>
      </c>
      <c r="G182" s="1" t="s">
        <v>99</v>
      </c>
      <c r="H182" s="56" t="s">
        <v>122</v>
      </c>
      <c r="I182" s="1" t="s">
        <v>100</v>
      </c>
      <c r="J182" s="6" t="s">
        <v>51</v>
      </c>
      <c r="K182" s="6"/>
      <c r="L182" s="6"/>
      <c r="M182" s="4"/>
      <c r="N182" s="3">
        <v>0.1</v>
      </c>
      <c r="O182" s="45">
        <v>5000</v>
      </c>
      <c r="P182" s="10">
        <v>1250</v>
      </c>
      <c r="Q182" s="10"/>
      <c r="R182" s="10"/>
      <c r="S182" s="10"/>
      <c r="T182" s="26">
        <f>+P182+Q182+R182+S182</f>
        <v>1250</v>
      </c>
      <c r="U182" s="4"/>
      <c r="V182" s="4"/>
      <c r="W182" s="4" t="s">
        <v>186</v>
      </c>
      <c r="X182" s="4"/>
      <c r="Y182" s="73"/>
      <c r="Z182" s="73"/>
    </row>
    <row r="183" spans="1:35" s="72" customFormat="1" x14ac:dyDescent="0.35">
      <c r="A183" s="39" t="s">
        <v>228</v>
      </c>
      <c r="B183" s="14" t="s">
        <v>0</v>
      </c>
      <c r="C183" s="14"/>
      <c r="D183" s="39"/>
      <c r="E183" s="39"/>
      <c r="F183" s="14" t="s">
        <v>77</v>
      </c>
      <c r="G183" s="14" t="s">
        <v>99</v>
      </c>
      <c r="H183" s="14" t="s">
        <v>122</v>
      </c>
      <c r="I183" s="14" t="s">
        <v>10</v>
      </c>
      <c r="J183" s="40" t="s">
        <v>11</v>
      </c>
      <c r="K183" s="40"/>
      <c r="L183" s="40"/>
      <c r="M183" s="41"/>
      <c r="N183" s="42">
        <v>1</v>
      </c>
      <c r="O183" s="43">
        <v>400000</v>
      </c>
      <c r="P183" s="44">
        <f>+O183*N183</f>
        <v>400000</v>
      </c>
      <c r="Q183" s="44"/>
      <c r="R183" s="44"/>
      <c r="S183" s="44"/>
      <c r="T183" s="43">
        <v>200000</v>
      </c>
      <c r="U183" s="43"/>
      <c r="V183" s="41"/>
      <c r="W183" s="41"/>
      <c r="X183" s="41"/>
      <c r="Y183" s="73"/>
    </row>
    <row r="184" spans="1:35" s="72" customFormat="1" x14ac:dyDescent="0.35">
      <c r="A184" s="39" t="s">
        <v>151</v>
      </c>
      <c r="B184" s="14" t="s">
        <v>0</v>
      </c>
      <c r="C184" s="14"/>
      <c r="D184" s="39"/>
      <c r="E184" s="39"/>
      <c r="F184" s="14" t="s">
        <v>76</v>
      </c>
      <c r="G184" s="14" t="s">
        <v>99</v>
      </c>
      <c r="H184" s="14" t="s">
        <v>122</v>
      </c>
      <c r="I184" s="14" t="s">
        <v>10</v>
      </c>
      <c r="J184" s="40" t="s">
        <v>11</v>
      </c>
      <c r="K184" s="40"/>
      <c r="L184" s="40"/>
      <c r="M184" s="41"/>
      <c r="N184" s="42">
        <v>1</v>
      </c>
      <c r="O184" s="43">
        <v>98000</v>
      </c>
      <c r="P184" s="44">
        <f>+O184*N184</f>
        <v>98000</v>
      </c>
      <c r="Q184" s="44"/>
      <c r="R184" s="44"/>
      <c r="S184" s="44"/>
      <c r="T184" s="43">
        <f>+P184+Q184+R184+S184</f>
        <v>98000</v>
      </c>
      <c r="U184" s="43"/>
      <c r="V184" s="41"/>
      <c r="W184" s="41"/>
      <c r="X184" s="41"/>
      <c r="Z184" s="73"/>
    </row>
    <row r="185" spans="1:35" s="72" customFormat="1" x14ac:dyDescent="0.35">
      <c r="A185" s="70" t="s">
        <v>198</v>
      </c>
      <c r="B185" s="78" t="s">
        <v>0</v>
      </c>
      <c r="C185" s="78"/>
      <c r="D185" s="70"/>
      <c r="E185" s="70"/>
      <c r="F185" s="78" t="s">
        <v>80</v>
      </c>
      <c r="G185" s="78" t="s">
        <v>99</v>
      </c>
      <c r="H185" s="78" t="s">
        <v>122</v>
      </c>
      <c r="I185" s="78" t="s">
        <v>10</v>
      </c>
      <c r="J185" s="79" t="s">
        <v>11</v>
      </c>
      <c r="K185" s="79"/>
      <c r="L185" s="79"/>
      <c r="M185" s="80"/>
      <c r="N185" s="81">
        <v>1</v>
      </c>
      <c r="O185" s="82">
        <v>97000</v>
      </c>
      <c r="P185" s="83">
        <f>+O185*N185</f>
        <v>97000</v>
      </c>
      <c r="Q185" s="83"/>
      <c r="R185" s="83"/>
      <c r="S185" s="83"/>
      <c r="T185" s="82">
        <f>+P185+Q185+R185+S185</f>
        <v>97000</v>
      </c>
      <c r="U185" s="82"/>
      <c r="V185" s="80"/>
      <c r="W185" s="80" t="s">
        <v>424</v>
      </c>
      <c r="X185" s="80"/>
      <c r="Y185" s="73"/>
      <c r="Z185" s="76"/>
    </row>
    <row r="186" spans="1:35" s="72" customFormat="1" x14ac:dyDescent="0.35">
      <c r="A186" s="88" t="s">
        <v>380</v>
      </c>
      <c r="B186" s="14" t="s">
        <v>0</v>
      </c>
      <c r="C186" s="14"/>
      <c r="D186" s="39"/>
      <c r="E186" s="39"/>
      <c r="F186" s="14" t="s">
        <v>77</v>
      </c>
      <c r="G186" s="14" t="s">
        <v>99</v>
      </c>
      <c r="H186" s="14" t="s">
        <v>122</v>
      </c>
      <c r="I186" s="14" t="s">
        <v>10</v>
      </c>
      <c r="J186" s="40" t="s">
        <v>11</v>
      </c>
      <c r="K186" s="40"/>
      <c r="L186" s="40"/>
      <c r="M186" s="41"/>
      <c r="N186" s="42">
        <v>1</v>
      </c>
      <c r="O186" s="43">
        <v>79860</v>
      </c>
      <c r="P186" s="44">
        <f>+O186*N186</f>
        <v>79860</v>
      </c>
      <c r="Q186" s="44"/>
      <c r="R186" s="44"/>
      <c r="S186" s="44"/>
      <c r="T186" s="43">
        <f>+P186+Q186+R186+S186</f>
        <v>79860</v>
      </c>
      <c r="U186" s="43"/>
      <c r="V186" s="41"/>
      <c r="W186" s="41" t="s">
        <v>214</v>
      </c>
      <c r="X186" s="41"/>
      <c r="Y186" s="73"/>
      <c r="Z186" s="73"/>
    </row>
    <row r="187" spans="1:35" s="72" customFormat="1" x14ac:dyDescent="0.35">
      <c r="A187" s="39" t="s">
        <v>215</v>
      </c>
      <c r="B187" s="102" t="s">
        <v>0</v>
      </c>
      <c r="C187" s="102"/>
      <c r="D187" s="39"/>
      <c r="E187" s="39"/>
      <c r="F187" s="14" t="s">
        <v>80</v>
      </c>
      <c r="G187" s="14" t="s">
        <v>99</v>
      </c>
      <c r="H187" s="14" t="s">
        <v>122</v>
      </c>
      <c r="I187" s="14" t="s">
        <v>10</v>
      </c>
      <c r="J187" s="40" t="s">
        <v>11</v>
      </c>
      <c r="K187" s="40"/>
      <c r="L187" s="40"/>
      <c r="M187" s="41"/>
      <c r="N187" s="42">
        <v>1</v>
      </c>
      <c r="O187" s="43">
        <v>60000</v>
      </c>
      <c r="P187" s="44">
        <f>+O187*N187</f>
        <v>60000</v>
      </c>
      <c r="Q187" s="44"/>
      <c r="R187" s="44"/>
      <c r="S187" s="44"/>
      <c r="T187" s="43">
        <f>+P187+Q187+R187+S187</f>
        <v>60000</v>
      </c>
      <c r="U187" s="43" t="s">
        <v>214</v>
      </c>
      <c r="V187" s="41"/>
      <c r="W187" s="41" t="s">
        <v>214</v>
      </c>
      <c r="X187" s="41"/>
      <c r="Z187" s="73"/>
    </row>
    <row r="188" spans="1:35" s="72" customFormat="1" x14ac:dyDescent="0.35">
      <c r="A188" s="88" t="s">
        <v>359</v>
      </c>
      <c r="B188" s="102" t="s">
        <v>0</v>
      </c>
      <c r="C188" s="102"/>
      <c r="D188" s="39"/>
      <c r="E188" s="39"/>
      <c r="F188" s="14" t="s">
        <v>80</v>
      </c>
      <c r="G188" s="14" t="s">
        <v>99</v>
      </c>
      <c r="H188" s="14" t="s">
        <v>122</v>
      </c>
      <c r="I188" s="14" t="s">
        <v>10</v>
      </c>
      <c r="J188" s="40" t="s">
        <v>11</v>
      </c>
      <c r="K188" s="40"/>
      <c r="L188" s="40"/>
      <c r="M188" s="41"/>
      <c r="N188" s="42">
        <v>1</v>
      </c>
      <c r="O188" s="43">
        <v>58500</v>
      </c>
      <c r="P188" s="44">
        <f>+O188*N188</f>
        <v>58500</v>
      </c>
      <c r="Q188" s="44"/>
      <c r="R188" s="44"/>
      <c r="S188" s="44"/>
      <c r="T188" s="43">
        <f>+P188+Q188+R188+S188</f>
        <v>58500</v>
      </c>
      <c r="U188" s="43"/>
      <c r="V188" s="41"/>
      <c r="W188" s="41"/>
      <c r="X188" s="41"/>
      <c r="Y188" s="73"/>
      <c r="Z188" s="76"/>
    </row>
    <row r="189" spans="1:35" s="72" customFormat="1" x14ac:dyDescent="0.35">
      <c r="A189" s="39" t="s">
        <v>307</v>
      </c>
      <c r="B189" s="14" t="s">
        <v>0</v>
      </c>
      <c r="C189" s="14"/>
      <c r="D189" s="39"/>
      <c r="E189" s="39"/>
      <c r="F189" s="14" t="s">
        <v>73</v>
      </c>
      <c r="G189" s="14" t="s">
        <v>99</v>
      </c>
      <c r="H189" s="14" t="s">
        <v>308</v>
      </c>
      <c r="I189" s="14" t="s">
        <v>308</v>
      </c>
      <c r="J189" s="40" t="s">
        <v>11</v>
      </c>
      <c r="K189" s="40"/>
      <c r="L189" s="40"/>
      <c r="M189" s="41"/>
      <c r="N189" s="42">
        <v>1</v>
      </c>
      <c r="O189" s="43">
        <v>48000</v>
      </c>
      <c r="P189" s="43"/>
      <c r="Q189" s="43">
        <f>+O189*N189</f>
        <v>48000</v>
      </c>
      <c r="R189" s="43"/>
      <c r="S189" s="43"/>
      <c r="T189" s="43">
        <f>+P189+Q189+R189+S189</f>
        <v>48000</v>
      </c>
      <c r="U189" s="76"/>
      <c r="V189" s="76"/>
      <c r="W189" s="76" t="s">
        <v>426</v>
      </c>
      <c r="X189" s="73"/>
      <c r="Z189" s="73"/>
    </row>
    <row r="190" spans="1:35" s="72" customFormat="1" x14ac:dyDescent="0.35">
      <c r="A190" s="89" t="s">
        <v>497</v>
      </c>
      <c r="B190" s="120" t="s">
        <v>0</v>
      </c>
      <c r="C190" s="120"/>
      <c r="D190" s="89"/>
      <c r="E190" s="89"/>
      <c r="F190" s="120" t="s">
        <v>76</v>
      </c>
      <c r="G190" s="120" t="s">
        <v>99</v>
      </c>
      <c r="H190" s="120" t="s">
        <v>122</v>
      </c>
      <c r="I190" s="120" t="s">
        <v>10</v>
      </c>
      <c r="J190" s="121" t="s">
        <v>11</v>
      </c>
      <c r="K190" s="121"/>
      <c r="L190" s="121"/>
      <c r="M190" s="90"/>
      <c r="N190" s="122">
        <v>1</v>
      </c>
      <c r="O190" s="123">
        <v>36000</v>
      </c>
      <c r="P190" s="130"/>
      <c r="Q190" s="124">
        <f>+O190*N190</f>
        <v>36000</v>
      </c>
      <c r="R190" s="124"/>
      <c r="S190" s="124"/>
      <c r="T190" s="124">
        <f>+P190+Q190+R190+S190</f>
        <v>36000</v>
      </c>
      <c r="U190" s="124"/>
      <c r="V190" s="90"/>
      <c r="W190" s="90"/>
      <c r="X190" s="90"/>
      <c r="Y190" s="76"/>
      <c r="Z190" s="76"/>
    </row>
    <row r="191" spans="1:35" s="72" customFormat="1" x14ac:dyDescent="0.35">
      <c r="A191" s="55" t="s">
        <v>405</v>
      </c>
      <c r="B191" s="101" t="s">
        <v>0</v>
      </c>
      <c r="C191" s="101"/>
      <c r="D191" s="39"/>
      <c r="E191" s="39"/>
      <c r="F191" s="14" t="s">
        <v>78</v>
      </c>
      <c r="G191" s="14" t="s">
        <v>99</v>
      </c>
      <c r="H191" s="14" t="s">
        <v>122</v>
      </c>
      <c r="I191" s="14" t="s">
        <v>10</v>
      </c>
      <c r="J191" s="40" t="s">
        <v>11</v>
      </c>
      <c r="K191" s="40"/>
      <c r="L191" s="40"/>
      <c r="M191" s="41"/>
      <c r="N191" s="42">
        <v>1</v>
      </c>
      <c r="O191" s="43">
        <v>30550</v>
      </c>
      <c r="P191" s="44">
        <f>+O191*N191</f>
        <v>30550</v>
      </c>
      <c r="Q191" s="44"/>
      <c r="R191" s="44"/>
      <c r="S191" s="44"/>
      <c r="T191" s="43">
        <f>+P191+Q191+R191+S191</f>
        <v>30550</v>
      </c>
      <c r="U191" s="43"/>
      <c r="V191" s="41"/>
      <c r="W191" s="41"/>
      <c r="X191" s="41"/>
      <c r="Z191" s="73"/>
      <c r="AA191" s="41"/>
      <c r="AB191" s="41"/>
      <c r="AC191" s="41"/>
      <c r="AD191" s="41"/>
      <c r="AE191" s="41"/>
      <c r="AF191" s="41"/>
      <c r="AG191" s="41"/>
      <c r="AH191" s="94"/>
      <c r="AI191" s="94"/>
    </row>
    <row r="192" spans="1:35" s="72" customFormat="1" x14ac:dyDescent="0.35">
      <c r="A192" s="39" t="s">
        <v>213</v>
      </c>
      <c r="B192" s="101" t="s">
        <v>0</v>
      </c>
      <c r="C192" s="101"/>
      <c r="D192" s="39"/>
      <c r="E192" s="39"/>
      <c r="F192" s="14" t="s">
        <v>80</v>
      </c>
      <c r="G192" s="14" t="s">
        <v>99</v>
      </c>
      <c r="H192" s="14" t="s">
        <v>122</v>
      </c>
      <c r="I192" s="14" t="s">
        <v>10</v>
      </c>
      <c r="J192" s="40" t="s">
        <v>11</v>
      </c>
      <c r="K192" s="40"/>
      <c r="L192" s="40"/>
      <c r="M192" s="41"/>
      <c r="N192" s="42">
        <v>1</v>
      </c>
      <c r="O192" s="43">
        <v>30000</v>
      </c>
      <c r="P192" s="44">
        <f>+O192*N192</f>
        <v>30000</v>
      </c>
      <c r="Q192" s="44"/>
      <c r="R192" s="44"/>
      <c r="S192" s="44"/>
      <c r="T192" s="43">
        <f>+P192+Q192+R192+S192</f>
        <v>30000</v>
      </c>
      <c r="U192" s="43"/>
      <c r="V192" s="41"/>
      <c r="W192" s="41" t="s">
        <v>214</v>
      </c>
      <c r="X192" s="41"/>
      <c r="Y192" s="76"/>
    </row>
    <row r="193" spans="1:33" s="72" customFormat="1" x14ac:dyDescent="0.35">
      <c r="A193" s="88" t="s">
        <v>352</v>
      </c>
      <c r="B193" s="102" t="s">
        <v>0</v>
      </c>
      <c r="C193" s="102"/>
      <c r="D193" s="39"/>
      <c r="E193" s="39"/>
      <c r="F193" s="14" t="s">
        <v>80</v>
      </c>
      <c r="G193" s="14" t="s">
        <v>99</v>
      </c>
      <c r="H193" s="14" t="s">
        <v>122</v>
      </c>
      <c r="I193" s="14" t="s">
        <v>10</v>
      </c>
      <c r="J193" s="40" t="s">
        <v>11</v>
      </c>
      <c r="K193" s="40"/>
      <c r="L193" s="40"/>
      <c r="M193" s="41"/>
      <c r="N193" s="42">
        <v>1</v>
      </c>
      <c r="O193" s="43">
        <v>28200</v>
      </c>
      <c r="P193" s="44">
        <f>+O193*N193</f>
        <v>28200</v>
      </c>
      <c r="Q193" s="44"/>
      <c r="R193" s="44"/>
      <c r="S193" s="44"/>
      <c r="T193" s="43">
        <f>+P193+Q193+R193+S193</f>
        <v>28200</v>
      </c>
      <c r="V193" s="41"/>
      <c r="W193" s="43" t="s">
        <v>214</v>
      </c>
      <c r="X193" s="41"/>
      <c r="Y193" s="41"/>
      <c r="Z193" s="41"/>
    </row>
    <row r="194" spans="1:33" s="72" customFormat="1" x14ac:dyDescent="0.35">
      <c r="A194" s="88" t="s">
        <v>356</v>
      </c>
      <c r="B194" s="14" t="s">
        <v>0</v>
      </c>
      <c r="C194" s="14"/>
      <c r="D194" s="39"/>
      <c r="E194" s="39"/>
      <c r="F194" s="14" t="s">
        <v>76</v>
      </c>
      <c r="G194" s="14" t="s">
        <v>99</v>
      </c>
      <c r="H194" s="14" t="s">
        <v>122</v>
      </c>
      <c r="I194" s="14" t="s">
        <v>10</v>
      </c>
      <c r="J194" s="40" t="s">
        <v>11</v>
      </c>
      <c r="K194" s="40"/>
      <c r="L194" s="40"/>
      <c r="M194" s="41"/>
      <c r="N194" s="42">
        <v>1</v>
      </c>
      <c r="O194" s="43">
        <f>31500000/1430</f>
        <v>22027.972027972028</v>
      </c>
      <c r="P194" s="44">
        <f>+O194*N194</f>
        <v>22027.972027972028</v>
      </c>
      <c r="Q194" s="44"/>
      <c r="R194" s="44"/>
      <c r="S194" s="44"/>
      <c r="T194" s="43">
        <f>+P194+Q194+R194+S194</f>
        <v>22027.972027972028</v>
      </c>
      <c r="V194" s="41"/>
      <c r="W194" s="43"/>
      <c r="X194" s="41"/>
      <c r="Y194" s="76"/>
    </row>
    <row r="195" spans="1:33" s="72" customFormat="1" x14ac:dyDescent="0.35">
      <c r="A195" s="39" t="s">
        <v>233</v>
      </c>
      <c r="B195" s="14" t="s">
        <v>0</v>
      </c>
      <c r="C195" s="14"/>
      <c r="D195" s="39"/>
      <c r="E195" s="39"/>
      <c r="F195" s="14" t="s">
        <v>77</v>
      </c>
      <c r="G195" s="14" t="s">
        <v>99</v>
      </c>
      <c r="H195" s="14" t="s">
        <v>122</v>
      </c>
      <c r="I195" s="14" t="s">
        <v>10</v>
      </c>
      <c r="J195" s="40" t="s">
        <v>11</v>
      </c>
      <c r="K195" s="40"/>
      <c r="L195" s="40"/>
      <c r="M195" s="41"/>
      <c r="N195" s="42">
        <v>1</v>
      </c>
      <c r="O195" s="43">
        <v>22000</v>
      </c>
      <c r="P195" s="44">
        <f>+O195*N195</f>
        <v>22000</v>
      </c>
      <c r="Q195" s="44"/>
      <c r="R195" s="44"/>
      <c r="S195" s="44"/>
      <c r="T195" s="43">
        <f>+P195+Q195+R195+S195</f>
        <v>22000</v>
      </c>
      <c r="V195" s="41"/>
      <c r="W195" s="43"/>
      <c r="X195" s="41"/>
      <c r="Y195" s="76"/>
      <c r="AA195" s="76"/>
      <c r="AB195" s="73"/>
      <c r="AC195" s="73"/>
      <c r="AD195" s="73"/>
      <c r="AE195" s="73"/>
      <c r="AF195" s="73"/>
      <c r="AG195" s="73"/>
    </row>
    <row r="196" spans="1:33" s="72" customFormat="1" x14ac:dyDescent="0.35">
      <c r="A196" s="88" t="s">
        <v>358</v>
      </c>
      <c r="B196" s="102" t="s">
        <v>0</v>
      </c>
      <c r="C196" s="102"/>
      <c r="D196" s="39"/>
      <c r="E196" s="39"/>
      <c r="F196" s="14" t="s">
        <v>80</v>
      </c>
      <c r="G196" s="14" t="s">
        <v>99</v>
      </c>
      <c r="H196" s="14" t="s">
        <v>122</v>
      </c>
      <c r="I196" s="14" t="s">
        <v>10</v>
      </c>
      <c r="J196" s="40" t="s">
        <v>11</v>
      </c>
      <c r="K196" s="40"/>
      <c r="L196" s="40"/>
      <c r="M196" s="41"/>
      <c r="N196" s="42">
        <v>1</v>
      </c>
      <c r="O196" s="43">
        <v>21450</v>
      </c>
      <c r="P196" s="44">
        <f>+O196*N196</f>
        <v>21450</v>
      </c>
      <c r="Q196" s="44"/>
      <c r="R196" s="44"/>
      <c r="S196" s="44"/>
      <c r="T196" s="43">
        <f>+P196+Q196+R196+S196</f>
        <v>21450</v>
      </c>
      <c r="V196" s="41"/>
      <c r="W196" s="43"/>
      <c r="X196" s="41"/>
      <c r="Y196" s="73"/>
      <c r="Z196" s="73"/>
      <c r="AA196" s="76"/>
      <c r="AB196" s="73"/>
      <c r="AC196" s="73"/>
      <c r="AD196" s="73"/>
      <c r="AE196" s="73"/>
      <c r="AF196" s="73"/>
      <c r="AG196" s="73"/>
    </row>
    <row r="197" spans="1:33" s="72" customFormat="1" x14ac:dyDescent="0.35">
      <c r="A197" s="55" t="s">
        <v>235</v>
      </c>
      <c r="B197" s="14" t="s">
        <v>0</v>
      </c>
      <c r="C197" s="14"/>
      <c r="D197" s="55"/>
      <c r="E197" s="55"/>
      <c r="F197" s="14" t="s">
        <v>77</v>
      </c>
      <c r="G197" s="14" t="s">
        <v>99</v>
      </c>
      <c r="H197" s="14" t="s">
        <v>122</v>
      </c>
      <c r="I197" s="14" t="s">
        <v>10</v>
      </c>
      <c r="J197" s="40" t="s">
        <v>11</v>
      </c>
      <c r="K197" s="84"/>
      <c r="L197" s="84"/>
      <c r="M197" s="73"/>
      <c r="N197" s="42">
        <v>1</v>
      </c>
      <c r="O197" s="71">
        <v>18000</v>
      </c>
      <c r="P197" s="43">
        <f>+O197*N197</f>
        <v>18000</v>
      </c>
      <c r="Q197" s="43"/>
      <c r="R197" s="43"/>
      <c r="S197" s="43"/>
      <c r="T197" s="43">
        <f>+P197+Q197+R197+S197</f>
        <v>18000</v>
      </c>
      <c r="U197" s="73"/>
      <c r="V197" s="73"/>
      <c r="W197" s="73"/>
      <c r="X197" s="73"/>
      <c r="Y197" s="76"/>
      <c r="Z197" s="76"/>
    </row>
    <row r="198" spans="1:33" s="72" customFormat="1" x14ac:dyDescent="0.35">
      <c r="A198" s="88" t="s">
        <v>364</v>
      </c>
      <c r="B198" s="102" t="s">
        <v>0</v>
      </c>
      <c r="C198" s="102"/>
      <c r="D198" s="39"/>
      <c r="E198" s="39"/>
      <c r="F198" s="14" t="s">
        <v>79</v>
      </c>
      <c r="G198" s="14" t="s">
        <v>99</v>
      </c>
      <c r="H198" s="14" t="s">
        <v>122</v>
      </c>
      <c r="I198" s="14" t="s">
        <v>10</v>
      </c>
      <c r="J198" s="40" t="s">
        <v>11</v>
      </c>
      <c r="K198" s="40"/>
      <c r="L198" s="40"/>
      <c r="M198" s="41"/>
      <c r="N198" s="42">
        <v>1</v>
      </c>
      <c r="O198" s="43">
        <v>17700</v>
      </c>
      <c r="P198" s="44">
        <f>+O198*N198</f>
        <v>17700</v>
      </c>
      <c r="Q198" s="44"/>
      <c r="R198" s="44"/>
      <c r="S198" s="44"/>
      <c r="T198" s="43">
        <f>+P198+Q198+R198+S198</f>
        <v>17700</v>
      </c>
      <c r="V198" s="41"/>
      <c r="W198" s="43" t="s">
        <v>214</v>
      </c>
      <c r="X198" s="41"/>
      <c r="Y198" s="76"/>
      <c r="Z198" s="76"/>
      <c r="AA198" s="4"/>
      <c r="AB198" s="4"/>
      <c r="AC198" s="4"/>
      <c r="AD198" s="4"/>
      <c r="AE198" s="4"/>
      <c r="AF198" s="4"/>
      <c r="AG198" s="4"/>
    </row>
    <row r="199" spans="1:33" s="72" customFormat="1" x14ac:dyDescent="0.35">
      <c r="A199" s="39" t="s">
        <v>261</v>
      </c>
      <c r="B199" s="101" t="s">
        <v>0</v>
      </c>
      <c r="C199" s="101"/>
      <c r="D199" s="39"/>
      <c r="E199" s="39"/>
      <c r="F199" s="14" t="s">
        <v>75</v>
      </c>
      <c r="G199" s="14" t="s">
        <v>99</v>
      </c>
      <c r="H199" s="14" t="s">
        <v>122</v>
      </c>
      <c r="I199" s="14" t="s">
        <v>10</v>
      </c>
      <c r="J199" s="40" t="s">
        <v>11</v>
      </c>
      <c r="K199" s="40"/>
      <c r="L199" s="40"/>
      <c r="M199" s="41"/>
      <c r="N199" s="42">
        <v>1</v>
      </c>
      <c r="O199" s="43">
        <v>13000</v>
      </c>
      <c r="P199" s="44">
        <f>+O199*N199</f>
        <v>13000</v>
      </c>
      <c r="Q199" s="44"/>
      <c r="R199" s="44"/>
      <c r="S199" s="44"/>
      <c r="T199" s="43">
        <f>+P199+Q199+R199+S199</f>
        <v>13000</v>
      </c>
      <c r="U199" s="43"/>
      <c r="V199" s="41"/>
      <c r="W199" s="41"/>
      <c r="X199" s="41"/>
      <c r="Z199" s="73"/>
    </row>
    <row r="200" spans="1:33" s="72" customFormat="1" x14ac:dyDescent="0.35">
      <c r="A200" s="39" t="s">
        <v>261</v>
      </c>
      <c r="B200" s="14" t="s">
        <v>0</v>
      </c>
      <c r="C200" s="14"/>
      <c r="D200" s="39"/>
      <c r="E200" s="39"/>
      <c r="F200" s="14" t="s">
        <v>75</v>
      </c>
      <c r="G200" s="14" t="s">
        <v>99</v>
      </c>
      <c r="H200" s="14" t="s">
        <v>122</v>
      </c>
      <c r="I200" s="14" t="s">
        <v>10</v>
      </c>
      <c r="J200" s="40" t="s">
        <v>11</v>
      </c>
      <c r="K200" s="40"/>
      <c r="L200" s="40"/>
      <c r="M200" s="41"/>
      <c r="N200" s="42">
        <v>1</v>
      </c>
      <c r="O200" s="43">
        <v>13000</v>
      </c>
      <c r="P200" s="44">
        <f>+O200*N200</f>
        <v>13000</v>
      </c>
      <c r="Q200" s="44"/>
      <c r="R200" s="44"/>
      <c r="S200" s="44"/>
      <c r="T200" s="43">
        <f>+P200+Q200+R200+S200</f>
        <v>13000</v>
      </c>
      <c r="U200" s="43"/>
      <c r="V200" s="41"/>
      <c r="W200" s="41" t="s">
        <v>403</v>
      </c>
      <c r="X200" s="41"/>
      <c r="Y200" s="4"/>
      <c r="Z200" s="4"/>
    </row>
    <row r="201" spans="1:33" s="72" customFormat="1" x14ac:dyDescent="0.35">
      <c r="A201" s="39" t="s">
        <v>290</v>
      </c>
      <c r="B201" s="101" t="s">
        <v>0</v>
      </c>
      <c r="C201" s="101"/>
      <c r="D201" s="39"/>
      <c r="E201" s="39"/>
      <c r="F201" s="14" t="s">
        <v>78</v>
      </c>
      <c r="G201" s="14" t="s">
        <v>99</v>
      </c>
      <c r="H201" s="14" t="s">
        <v>122</v>
      </c>
      <c r="I201" s="14" t="s">
        <v>10</v>
      </c>
      <c r="J201" s="40" t="s">
        <v>11</v>
      </c>
      <c r="K201" s="40"/>
      <c r="L201" s="40"/>
      <c r="M201" s="41"/>
      <c r="N201" s="42">
        <v>1</v>
      </c>
      <c r="O201" s="43">
        <v>10928.55</v>
      </c>
      <c r="P201" s="44">
        <f>+O201*N201</f>
        <v>10928.55</v>
      </c>
      <c r="Q201" s="44"/>
      <c r="R201" s="44"/>
      <c r="S201" s="44"/>
      <c r="T201" s="43">
        <f>+P201+Q201+R201+S201</f>
        <v>10928.55</v>
      </c>
      <c r="U201" s="43"/>
      <c r="V201" s="41"/>
      <c r="W201" s="41" t="s">
        <v>291</v>
      </c>
      <c r="X201" s="41"/>
      <c r="Z201" s="73"/>
    </row>
    <row r="202" spans="1:33" s="72" customFormat="1" x14ac:dyDescent="0.35">
      <c r="A202" s="88" t="s">
        <v>406</v>
      </c>
      <c r="B202" s="14" t="s">
        <v>0</v>
      </c>
      <c r="C202" s="14"/>
      <c r="D202" s="39"/>
      <c r="E202" s="39"/>
      <c r="F202" s="14" t="s">
        <v>76</v>
      </c>
      <c r="G202" s="14" t="s">
        <v>99</v>
      </c>
      <c r="H202" s="14" t="s">
        <v>47</v>
      </c>
      <c r="I202" s="14" t="s">
        <v>27</v>
      </c>
      <c r="J202" s="40" t="s">
        <v>11</v>
      </c>
      <c r="K202" s="40"/>
      <c r="L202" s="40"/>
      <c r="M202" s="41"/>
      <c r="N202" s="42">
        <v>1</v>
      </c>
      <c r="O202" s="43">
        <v>10087</v>
      </c>
      <c r="P202" s="44">
        <f>+O202*N202</f>
        <v>10087</v>
      </c>
      <c r="Q202" s="44"/>
      <c r="R202" s="44"/>
      <c r="S202" s="44"/>
      <c r="T202" s="43">
        <f>+P202+Q202+R202+S202</f>
        <v>10087</v>
      </c>
      <c r="U202" s="43"/>
      <c r="V202" s="41"/>
      <c r="W202" s="41"/>
      <c r="X202" s="41"/>
      <c r="Z202" s="73"/>
    </row>
    <row r="203" spans="1:33" s="72" customFormat="1" x14ac:dyDescent="0.35">
      <c r="A203" s="39" t="s">
        <v>234</v>
      </c>
      <c r="B203" s="14" t="s">
        <v>0</v>
      </c>
      <c r="C203" s="14"/>
      <c r="D203" s="39"/>
      <c r="E203" s="39"/>
      <c r="F203" s="14" t="s">
        <v>77</v>
      </c>
      <c r="G203" s="14" t="s">
        <v>99</v>
      </c>
      <c r="H203" s="14" t="s">
        <v>122</v>
      </c>
      <c r="I203" s="14" t="s">
        <v>10</v>
      </c>
      <c r="J203" s="40" t="s">
        <v>11</v>
      </c>
      <c r="K203" s="40"/>
      <c r="L203" s="40"/>
      <c r="M203" s="41"/>
      <c r="N203" s="42">
        <v>1</v>
      </c>
      <c r="O203" s="43">
        <v>9000</v>
      </c>
      <c r="P203" s="44">
        <f>+O203*N203</f>
        <v>9000</v>
      </c>
      <c r="Q203" s="44"/>
      <c r="R203" s="44"/>
      <c r="S203" s="44"/>
      <c r="T203" s="43">
        <f>+P203+Q203+R203+S203</f>
        <v>9000</v>
      </c>
      <c r="U203" s="43"/>
      <c r="V203" s="41"/>
      <c r="W203" s="41"/>
      <c r="X203" s="41"/>
      <c r="Z203" s="73"/>
    </row>
    <row r="204" spans="1:33" s="72" customFormat="1" x14ac:dyDescent="0.35">
      <c r="A204" s="39" t="s">
        <v>299</v>
      </c>
      <c r="B204" s="101" t="s">
        <v>0</v>
      </c>
      <c r="C204" s="101"/>
      <c r="D204" s="39"/>
      <c r="E204" s="39"/>
      <c r="F204" s="14" t="s">
        <v>73</v>
      </c>
      <c r="G204" s="14" t="s">
        <v>99</v>
      </c>
      <c r="H204" s="14" t="s">
        <v>122</v>
      </c>
      <c r="I204" s="14" t="s">
        <v>10</v>
      </c>
      <c r="J204" s="40" t="s">
        <v>11</v>
      </c>
      <c r="K204" s="40"/>
      <c r="L204" s="40"/>
      <c r="M204" s="41"/>
      <c r="N204" s="42">
        <v>1</v>
      </c>
      <c r="O204" s="43">
        <f>12000000/1500</f>
        <v>8000</v>
      </c>
      <c r="P204" s="44">
        <f>+O204*N204</f>
        <v>8000</v>
      </c>
      <c r="Q204" s="44"/>
      <c r="R204" s="44"/>
      <c r="S204" s="44"/>
      <c r="T204" s="43">
        <f>+P204+Q204+R204+S204</f>
        <v>8000</v>
      </c>
      <c r="U204" s="41"/>
      <c r="V204" s="41"/>
      <c r="W204" s="41" t="s">
        <v>298</v>
      </c>
      <c r="X204" s="4"/>
      <c r="Z204" s="73"/>
      <c r="AA204" s="76"/>
      <c r="AB204" s="76"/>
      <c r="AC204" s="76"/>
      <c r="AD204" s="76"/>
      <c r="AE204" s="76"/>
      <c r="AF204" s="76"/>
      <c r="AG204" s="76"/>
    </row>
    <row r="205" spans="1:33" s="72" customFormat="1" x14ac:dyDescent="0.35">
      <c r="A205" s="88" t="s">
        <v>372</v>
      </c>
      <c r="B205" s="102" t="s">
        <v>0</v>
      </c>
      <c r="C205" s="102"/>
      <c r="D205" s="39"/>
      <c r="E205" s="39"/>
      <c r="F205" s="14" t="s">
        <v>80</v>
      </c>
      <c r="G205" s="14" t="s">
        <v>99</v>
      </c>
      <c r="H205" s="14" t="s">
        <v>122</v>
      </c>
      <c r="I205" s="14" t="s">
        <v>10</v>
      </c>
      <c r="J205" s="40" t="s">
        <v>11</v>
      </c>
      <c r="K205" s="40"/>
      <c r="L205" s="40"/>
      <c r="M205" s="41"/>
      <c r="N205" s="42">
        <v>1</v>
      </c>
      <c r="O205" s="43">
        <v>6960</v>
      </c>
      <c r="P205" s="44">
        <f>+O205*N205</f>
        <v>6960</v>
      </c>
      <c r="Q205" s="44"/>
      <c r="R205" s="44"/>
      <c r="S205" s="44"/>
      <c r="T205" s="43">
        <f>+P205+Q205+R205+S205</f>
        <v>6960</v>
      </c>
      <c r="V205" s="41"/>
      <c r="W205" s="43" t="s">
        <v>214</v>
      </c>
      <c r="X205" s="41"/>
      <c r="Z205" s="73"/>
      <c r="AA205" s="4"/>
      <c r="AB205" s="4"/>
      <c r="AC205" s="4"/>
      <c r="AD205" s="4"/>
      <c r="AE205" s="4"/>
      <c r="AF205" s="4"/>
      <c r="AG205" s="4"/>
    </row>
    <row r="206" spans="1:33" s="72" customFormat="1" x14ac:dyDescent="0.35">
      <c r="A206" s="88" t="s">
        <v>353</v>
      </c>
      <c r="B206" s="102" t="s">
        <v>0</v>
      </c>
      <c r="C206" s="102"/>
      <c r="D206" s="39"/>
      <c r="E206" s="39"/>
      <c r="F206" s="14" t="s">
        <v>378</v>
      </c>
      <c r="G206" s="14" t="s">
        <v>99</v>
      </c>
      <c r="H206" s="14" t="s">
        <v>122</v>
      </c>
      <c r="I206" s="14" t="s">
        <v>10</v>
      </c>
      <c r="J206" s="40" t="s">
        <v>11</v>
      </c>
      <c r="K206" s="40"/>
      <c r="L206" s="40"/>
      <c r="M206" s="41"/>
      <c r="N206" s="42">
        <v>1</v>
      </c>
      <c r="O206" s="47">
        <v>6400</v>
      </c>
      <c r="P206" s="44">
        <f>+O206*N206</f>
        <v>6400</v>
      </c>
      <c r="Q206" s="47"/>
      <c r="R206" s="47"/>
      <c r="S206" s="47"/>
      <c r="T206" s="43">
        <f>+P206+Q206+R206+S206</f>
        <v>6400</v>
      </c>
      <c r="V206" s="41"/>
      <c r="W206" s="43"/>
      <c r="X206" s="41"/>
      <c r="Y206" s="76"/>
      <c r="Z206" s="76"/>
    </row>
    <row r="207" spans="1:33" s="72" customFormat="1" x14ac:dyDescent="0.35">
      <c r="A207" s="88" t="s">
        <v>349</v>
      </c>
      <c r="B207" s="102" t="s">
        <v>0</v>
      </c>
      <c r="C207" s="102"/>
      <c r="D207" s="39"/>
      <c r="E207" s="39"/>
      <c r="F207" s="14" t="s">
        <v>78</v>
      </c>
      <c r="G207" s="14" t="s">
        <v>99</v>
      </c>
      <c r="H207" s="14" t="s">
        <v>122</v>
      </c>
      <c r="I207" s="14" t="s">
        <v>10</v>
      </c>
      <c r="J207" s="40" t="s">
        <v>11</v>
      </c>
      <c r="K207" s="40"/>
      <c r="L207" s="40"/>
      <c r="M207" s="41"/>
      <c r="N207" s="42">
        <v>1</v>
      </c>
      <c r="O207" s="43">
        <v>5250</v>
      </c>
      <c r="P207" s="44">
        <f>+O207*N207</f>
        <v>5250</v>
      </c>
      <c r="Q207" s="44"/>
      <c r="R207" s="44"/>
      <c r="S207" s="44"/>
      <c r="T207" s="43">
        <f>+P207+Q207+R207+S207</f>
        <v>5250</v>
      </c>
      <c r="V207" s="41"/>
      <c r="W207" s="43" t="s">
        <v>214</v>
      </c>
      <c r="X207" s="41"/>
      <c r="Y207" s="4"/>
      <c r="Z207" s="4"/>
    </row>
    <row r="208" spans="1:33" s="72" customFormat="1" x14ac:dyDescent="0.35">
      <c r="A208" s="88" t="s">
        <v>350</v>
      </c>
      <c r="B208" s="14" t="s">
        <v>0</v>
      </c>
      <c r="C208" s="14"/>
      <c r="D208" s="39"/>
      <c r="E208" s="39"/>
      <c r="F208" s="14" t="s">
        <v>77</v>
      </c>
      <c r="G208" s="14" t="s">
        <v>99</v>
      </c>
      <c r="H208" s="14" t="s">
        <v>122</v>
      </c>
      <c r="I208" s="14" t="s">
        <v>10</v>
      </c>
      <c r="J208" s="40" t="s">
        <v>11</v>
      </c>
      <c r="K208" s="40"/>
      <c r="L208" s="40"/>
      <c r="M208" s="41"/>
      <c r="N208" s="42">
        <v>1</v>
      </c>
      <c r="O208" s="43">
        <v>4980</v>
      </c>
      <c r="P208" s="44">
        <f>+O208*N208</f>
        <v>4980</v>
      </c>
      <c r="Q208" s="44"/>
      <c r="R208" s="44"/>
      <c r="S208" s="44"/>
      <c r="T208" s="43">
        <f>+P208+Q208+R208+S208</f>
        <v>4980</v>
      </c>
      <c r="V208" s="41"/>
      <c r="W208" s="43" t="s">
        <v>214</v>
      </c>
      <c r="X208" s="41"/>
      <c r="Z208" s="73"/>
    </row>
    <row r="209" spans="1:16384" s="72" customFormat="1" x14ac:dyDescent="0.35">
      <c r="A209" s="88" t="s">
        <v>370</v>
      </c>
      <c r="B209" s="102" t="s">
        <v>0</v>
      </c>
      <c r="C209" s="102"/>
      <c r="D209" s="39"/>
      <c r="E209" s="39"/>
      <c r="F209" s="14" t="s">
        <v>78</v>
      </c>
      <c r="G209" s="14" t="s">
        <v>99</v>
      </c>
      <c r="H209" s="14" t="s">
        <v>122</v>
      </c>
      <c r="I209" s="14" t="s">
        <v>10</v>
      </c>
      <c r="J209" s="40" t="s">
        <v>11</v>
      </c>
      <c r="K209" s="40"/>
      <c r="L209" s="40"/>
      <c r="M209" s="41"/>
      <c r="N209" s="42">
        <v>1</v>
      </c>
      <c r="O209" s="43">
        <v>4430</v>
      </c>
      <c r="P209" s="44">
        <f>+O209*N209</f>
        <v>4430</v>
      </c>
      <c r="Q209" s="44"/>
      <c r="R209" s="44"/>
      <c r="S209" s="44"/>
      <c r="T209" s="43">
        <f>+P209+Q209+R209+S209</f>
        <v>4430</v>
      </c>
      <c r="V209" s="41"/>
      <c r="W209" s="43" t="s">
        <v>214</v>
      </c>
      <c r="X209" s="41"/>
      <c r="Y209" s="90"/>
      <c r="Z209" s="125"/>
    </row>
    <row r="210" spans="1:16384" s="72" customFormat="1" x14ac:dyDescent="0.35">
      <c r="A210" s="88" t="s">
        <v>371</v>
      </c>
      <c r="B210" s="102" t="s">
        <v>0</v>
      </c>
      <c r="C210" s="102"/>
      <c r="D210" s="39"/>
      <c r="E210" s="39"/>
      <c r="F210" s="14" t="s">
        <v>80</v>
      </c>
      <c r="G210" s="14" t="s">
        <v>99</v>
      </c>
      <c r="H210" s="14" t="s">
        <v>122</v>
      </c>
      <c r="I210" s="14" t="s">
        <v>10</v>
      </c>
      <c r="J210" s="40" t="s">
        <v>11</v>
      </c>
      <c r="K210" s="40"/>
      <c r="L210" s="40"/>
      <c r="M210" s="41"/>
      <c r="N210" s="42">
        <v>1</v>
      </c>
      <c r="O210" s="43">
        <v>3880</v>
      </c>
      <c r="P210" s="44">
        <f>+O210*N210</f>
        <v>3880</v>
      </c>
      <c r="Q210" s="44"/>
      <c r="R210" s="44"/>
      <c r="S210" s="44"/>
      <c r="T210" s="43">
        <f>+P210+Q210+R210+S210</f>
        <v>3880</v>
      </c>
      <c r="V210" s="41"/>
      <c r="W210" s="43" t="s">
        <v>214</v>
      </c>
      <c r="X210" s="41"/>
      <c r="Z210" s="73"/>
    </row>
    <row r="211" spans="1:16384" x14ac:dyDescent="0.35">
      <c r="A211" s="88" t="s">
        <v>373</v>
      </c>
      <c r="B211" s="14" t="s">
        <v>0</v>
      </c>
      <c r="C211" s="14"/>
      <c r="D211" s="39"/>
      <c r="E211" s="39"/>
      <c r="F211" s="14" t="s">
        <v>76</v>
      </c>
      <c r="G211" s="14" t="s">
        <v>99</v>
      </c>
      <c r="H211" s="14" t="s">
        <v>122</v>
      </c>
      <c r="I211" s="14" t="s">
        <v>10</v>
      </c>
      <c r="J211" s="40" t="s">
        <v>11</v>
      </c>
      <c r="K211" s="40"/>
      <c r="L211" s="40"/>
      <c r="M211" s="41"/>
      <c r="N211" s="42">
        <v>1</v>
      </c>
      <c r="O211" s="43">
        <v>3490</v>
      </c>
      <c r="P211" s="44">
        <f>+O211*N211</f>
        <v>3490</v>
      </c>
      <c r="Q211" s="44"/>
      <c r="R211" s="44"/>
      <c r="S211" s="44"/>
      <c r="T211" s="43">
        <f>+P211+Q211+R211+S211</f>
        <v>3490</v>
      </c>
      <c r="U211" s="72"/>
      <c r="V211" s="41"/>
      <c r="W211" s="43" t="s">
        <v>214</v>
      </c>
      <c r="X211" s="41"/>
      <c r="Y211" s="72"/>
      <c r="Z211" s="73"/>
      <c r="AA211" s="72"/>
      <c r="AB211" s="72"/>
      <c r="AC211" s="72"/>
      <c r="AD211" s="72"/>
      <c r="AE211" s="72"/>
      <c r="AF211" s="72"/>
      <c r="AG211" s="72"/>
      <c r="AH211" s="72"/>
      <c r="AI211" s="72"/>
    </row>
    <row r="212" spans="1:16384" x14ac:dyDescent="0.35">
      <c r="A212" s="88" t="s">
        <v>142</v>
      </c>
      <c r="B212" s="102" t="s">
        <v>0</v>
      </c>
      <c r="C212" s="102"/>
      <c r="D212" s="39"/>
      <c r="E212" s="39"/>
      <c r="F212" s="14" t="s">
        <v>80</v>
      </c>
      <c r="G212" s="14" t="s">
        <v>99</v>
      </c>
      <c r="H212" s="14" t="s">
        <v>122</v>
      </c>
      <c r="I212" s="14" t="s">
        <v>10</v>
      </c>
      <c r="J212" s="40" t="s">
        <v>11</v>
      </c>
      <c r="K212" s="40"/>
      <c r="L212" s="40"/>
      <c r="M212" s="41"/>
      <c r="N212" s="42">
        <v>1</v>
      </c>
      <c r="O212" s="43">
        <v>2683</v>
      </c>
      <c r="P212" s="44">
        <f>+O212*N212</f>
        <v>2683</v>
      </c>
      <c r="Q212" s="44"/>
      <c r="R212" s="44"/>
      <c r="S212" s="44"/>
      <c r="T212" s="43">
        <f>+P212+Q212+R212+S212</f>
        <v>2683</v>
      </c>
      <c r="U212" s="43"/>
      <c r="V212" s="41"/>
      <c r="W212" s="41" t="s">
        <v>191</v>
      </c>
      <c r="X212" s="41"/>
      <c r="Y212" s="72"/>
      <c r="Z212" s="73"/>
      <c r="AA212" s="72"/>
      <c r="AB212" s="72"/>
      <c r="AC212" s="72"/>
      <c r="AD212" s="72"/>
      <c r="AE212" s="72"/>
      <c r="AF212" s="72"/>
      <c r="AG212" s="72"/>
    </row>
    <row r="213" spans="1:16384" x14ac:dyDescent="0.35">
      <c r="A213" s="88" t="s">
        <v>353</v>
      </c>
      <c r="B213" s="102" t="s">
        <v>0</v>
      </c>
      <c r="C213" s="102"/>
      <c r="D213" s="39"/>
      <c r="E213" s="39"/>
      <c r="F213" s="14" t="s">
        <v>378</v>
      </c>
      <c r="G213" s="14" t="s">
        <v>99</v>
      </c>
      <c r="H213" s="14" t="s">
        <v>122</v>
      </c>
      <c r="I213" s="14" t="s">
        <v>10</v>
      </c>
      <c r="J213" s="40" t="s">
        <v>11</v>
      </c>
      <c r="K213" s="40"/>
      <c r="L213" s="40"/>
      <c r="M213" s="41"/>
      <c r="N213" s="42">
        <v>1</v>
      </c>
      <c r="O213" s="47">
        <v>2400</v>
      </c>
      <c r="P213" s="44">
        <f>+O213*N213</f>
        <v>2400</v>
      </c>
      <c r="Q213" s="47"/>
      <c r="R213" s="47"/>
      <c r="S213" s="47"/>
      <c r="T213" s="43">
        <f>+P213+Q213+R213+S213</f>
        <v>2400</v>
      </c>
      <c r="U213" s="43"/>
      <c r="V213" s="41"/>
      <c r="W213" s="41"/>
      <c r="X213" s="41"/>
      <c r="Y213" s="73"/>
      <c r="Z213" s="73"/>
      <c r="AA213" s="72"/>
      <c r="AB213" s="72"/>
      <c r="AC213" s="72"/>
      <c r="AD213" s="72"/>
      <c r="AE213" s="72"/>
      <c r="AF213" s="72"/>
      <c r="AG213" s="72"/>
    </row>
    <row r="214" spans="1:16384" s="72" customFormat="1" x14ac:dyDescent="0.35">
      <c r="A214" s="88" t="s">
        <v>355</v>
      </c>
      <c r="B214" s="14" t="s">
        <v>0</v>
      </c>
      <c r="C214" s="14"/>
      <c r="D214" s="39"/>
      <c r="E214" s="39"/>
      <c r="F214" s="14" t="s">
        <v>76</v>
      </c>
      <c r="G214" s="14" t="s">
        <v>99</v>
      </c>
      <c r="H214" s="14" t="s">
        <v>122</v>
      </c>
      <c r="I214" s="14" t="s">
        <v>10</v>
      </c>
      <c r="J214" s="40" t="s">
        <v>11</v>
      </c>
      <c r="K214" s="40"/>
      <c r="L214" s="40"/>
      <c r="M214" s="41"/>
      <c r="N214" s="42">
        <v>1</v>
      </c>
      <c r="O214" s="43">
        <v>2332</v>
      </c>
      <c r="P214" s="44">
        <f>+O214*N214</f>
        <v>2332</v>
      </c>
      <c r="Q214" s="44"/>
      <c r="R214" s="44"/>
      <c r="S214" s="44"/>
      <c r="T214" s="43">
        <f>+P214+Q214+R214+S214</f>
        <v>2332</v>
      </c>
      <c r="U214" s="43"/>
      <c r="V214" s="41"/>
      <c r="W214" s="41"/>
      <c r="X214" s="41"/>
      <c r="Y214" s="73"/>
      <c r="Z214" s="73"/>
      <c r="AH214" s="4"/>
      <c r="AI214" s="4"/>
    </row>
    <row r="215" spans="1:16384" s="72" customFormat="1" x14ac:dyDescent="0.35">
      <c r="A215" s="89" t="s">
        <v>490</v>
      </c>
      <c r="B215" s="128" t="s">
        <v>0</v>
      </c>
      <c r="C215" s="128"/>
      <c r="D215" s="89"/>
      <c r="E215" s="89"/>
      <c r="F215" s="120" t="s">
        <v>73</v>
      </c>
      <c r="G215" s="120" t="s">
        <v>99</v>
      </c>
      <c r="H215" s="120" t="s">
        <v>122</v>
      </c>
      <c r="I215" s="120" t="s">
        <v>10</v>
      </c>
      <c r="J215" s="121" t="s">
        <v>11</v>
      </c>
      <c r="K215" s="121"/>
      <c r="L215" s="121"/>
      <c r="M215" s="90"/>
      <c r="N215" s="122">
        <v>1</v>
      </c>
      <c r="O215" s="123">
        <v>2000</v>
      </c>
      <c r="P215" s="124">
        <f>+O215*N215</f>
        <v>2000</v>
      </c>
      <c r="Q215" s="124"/>
      <c r="R215" s="124"/>
      <c r="S215" s="124"/>
      <c r="T215" s="124">
        <f>+P215+Q215+R215+S215</f>
        <v>2000</v>
      </c>
      <c r="U215" s="90"/>
      <c r="V215" s="90"/>
      <c r="W215" s="90"/>
      <c r="X215" s="90"/>
      <c r="Z215" s="73"/>
    </row>
    <row r="216" spans="1:16384" s="72" customFormat="1" x14ac:dyDescent="0.35">
      <c r="A216" s="88" t="s">
        <v>357</v>
      </c>
      <c r="B216" s="102" t="s">
        <v>0</v>
      </c>
      <c r="C216" s="102"/>
      <c r="D216" s="39"/>
      <c r="E216" s="39"/>
      <c r="F216" s="14" t="s">
        <v>80</v>
      </c>
      <c r="G216" s="14" t="s">
        <v>99</v>
      </c>
      <c r="H216" s="14" t="s">
        <v>122</v>
      </c>
      <c r="I216" s="14" t="s">
        <v>10</v>
      </c>
      <c r="J216" s="40" t="s">
        <v>11</v>
      </c>
      <c r="K216" s="40"/>
      <c r="L216" s="40"/>
      <c r="M216" s="41"/>
      <c r="N216" s="42">
        <v>1</v>
      </c>
      <c r="O216" s="43">
        <v>1799</v>
      </c>
      <c r="P216" s="44">
        <f>+O216*N216</f>
        <v>1799</v>
      </c>
      <c r="Q216" s="44"/>
      <c r="R216" s="44"/>
      <c r="S216" s="44"/>
      <c r="T216" s="43">
        <f>+P216+Q216+R216+S216</f>
        <v>1799</v>
      </c>
      <c r="U216" s="43"/>
      <c r="V216" s="41"/>
      <c r="W216" s="41"/>
      <c r="X216" s="41"/>
      <c r="Z216" s="73"/>
    </row>
    <row r="217" spans="1:16384" s="72" customFormat="1" x14ac:dyDescent="0.35">
      <c r="A217" s="88" t="s">
        <v>363</v>
      </c>
      <c r="B217" s="102" t="s">
        <v>0</v>
      </c>
      <c r="C217" s="102"/>
      <c r="D217" s="39"/>
      <c r="E217" s="39"/>
      <c r="F217" s="14" t="s">
        <v>86</v>
      </c>
      <c r="G217" s="14" t="s">
        <v>99</v>
      </c>
      <c r="H217" s="14" t="s">
        <v>122</v>
      </c>
      <c r="I217" s="14" t="s">
        <v>10</v>
      </c>
      <c r="J217" s="40" t="s">
        <v>11</v>
      </c>
      <c r="K217" s="40"/>
      <c r="L217" s="40"/>
      <c r="M217" s="41"/>
      <c r="N217" s="42">
        <v>1</v>
      </c>
      <c r="O217" s="43">
        <v>1785</v>
      </c>
      <c r="P217" s="44">
        <f>+O217*N217</f>
        <v>1785</v>
      </c>
      <c r="Q217" s="44"/>
      <c r="R217" s="44"/>
      <c r="S217" s="44"/>
      <c r="T217" s="43">
        <f>+P217+Q217+R217+S217</f>
        <v>1785</v>
      </c>
      <c r="U217" s="43"/>
      <c r="V217" s="41"/>
      <c r="W217" s="41" t="s">
        <v>453</v>
      </c>
      <c r="X217" s="41"/>
      <c r="Z217" s="73"/>
      <c r="AA217" s="4"/>
      <c r="AB217" s="4"/>
      <c r="AC217" s="4"/>
      <c r="AD217" s="4"/>
      <c r="AE217" s="4"/>
      <c r="AF217" s="4"/>
      <c r="AG217" s="4"/>
    </row>
    <row r="218" spans="1:16384" s="73" customFormat="1" x14ac:dyDescent="0.35">
      <c r="A218" s="88" t="s">
        <v>366</v>
      </c>
      <c r="B218" s="102" t="s">
        <v>0</v>
      </c>
      <c r="C218" s="102"/>
      <c r="D218" s="39"/>
      <c r="E218" s="39"/>
      <c r="F218" s="14" t="s">
        <v>75</v>
      </c>
      <c r="G218" s="14" t="s">
        <v>99</v>
      </c>
      <c r="H218" s="14" t="s">
        <v>122</v>
      </c>
      <c r="I218" s="14" t="s">
        <v>10</v>
      </c>
      <c r="J218" s="40" t="s">
        <v>11</v>
      </c>
      <c r="K218" s="40"/>
      <c r="L218" s="40"/>
      <c r="M218" s="41"/>
      <c r="N218" s="42">
        <v>1</v>
      </c>
      <c r="O218" s="43">
        <f>2430000/1430</f>
        <v>1699.3006993006993</v>
      </c>
      <c r="P218" s="44">
        <f>+O218*N218</f>
        <v>1699.3006993006993</v>
      </c>
      <c r="Q218" s="44"/>
      <c r="R218" s="44"/>
      <c r="S218" s="44"/>
      <c r="T218" s="43">
        <f>+P218+Q218+R218+S218</f>
        <v>1699.3006993006993</v>
      </c>
      <c r="U218" s="43"/>
      <c r="V218" s="41"/>
      <c r="W218" s="41"/>
      <c r="X218" s="41"/>
      <c r="Y218" s="72"/>
      <c r="AA218" s="72"/>
      <c r="AB218" s="72"/>
      <c r="AC218" s="72"/>
      <c r="AD218" s="72"/>
      <c r="AE218" s="72"/>
      <c r="AF218" s="72"/>
      <c r="AG218" s="72"/>
      <c r="AH218" s="72"/>
      <c r="AI218" s="72"/>
    </row>
    <row r="219" spans="1:16384" s="73" customFormat="1" x14ac:dyDescent="0.35">
      <c r="A219" s="88" t="s">
        <v>379</v>
      </c>
      <c r="B219" s="14" t="s">
        <v>0</v>
      </c>
      <c r="C219" s="14"/>
      <c r="D219" s="39"/>
      <c r="E219" s="39"/>
      <c r="F219" s="14" t="s">
        <v>76</v>
      </c>
      <c r="G219" s="14" t="s">
        <v>99</v>
      </c>
      <c r="H219" s="14" t="s">
        <v>122</v>
      </c>
      <c r="I219" s="14" t="s">
        <v>10</v>
      </c>
      <c r="J219" s="40" t="s">
        <v>11</v>
      </c>
      <c r="K219" s="40"/>
      <c r="L219" s="40"/>
      <c r="M219" s="41"/>
      <c r="N219" s="42">
        <v>1</v>
      </c>
      <c r="O219" s="43">
        <v>1620</v>
      </c>
      <c r="P219" s="44">
        <f>+O219*N219</f>
        <v>1620</v>
      </c>
      <c r="Q219" s="44"/>
      <c r="R219" s="44"/>
      <c r="S219" s="44"/>
      <c r="T219" s="43">
        <f>+P219+Q219+R219+S219</f>
        <v>1620</v>
      </c>
      <c r="U219" s="43"/>
      <c r="V219" s="41"/>
      <c r="W219" s="41"/>
      <c r="X219" s="41"/>
      <c r="AA219" s="72"/>
      <c r="AB219" s="72"/>
      <c r="AC219" s="72"/>
      <c r="AD219" s="72"/>
      <c r="AE219" s="72"/>
      <c r="AF219" s="72"/>
      <c r="AG219" s="72"/>
    </row>
    <row r="220" spans="1:16384" s="72" customFormat="1" x14ac:dyDescent="0.35">
      <c r="A220" s="88" t="s">
        <v>374</v>
      </c>
      <c r="B220" s="14" t="s">
        <v>0</v>
      </c>
      <c r="C220" s="14"/>
      <c r="D220" s="39"/>
      <c r="E220" s="39"/>
      <c r="F220" s="14" t="s">
        <v>76</v>
      </c>
      <c r="G220" s="14" t="s">
        <v>99</v>
      </c>
      <c r="H220" s="14" t="s">
        <v>122</v>
      </c>
      <c r="I220" s="14" t="s">
        <v>10</v>
      </c>
      <c r="J220" s="40" t="s">
        <v>11</v>
      </c>
      <c r="K220" s="40"/>
      <c r="L220" s="40"/>
      <c r="M220" s="41"/>
      <c r="N220" s="42">
        <v>1</v>
      </c>
      <c r="O220" s="43">
        <f>2035000/1430</f>
        <v>1423.0769230769231</v>
      </c>
      <c r="P220" s="44">
        <f>+O220*N220</f>
        <v>1423.0769230769231</v>
      </c>
      <c r="Q220" s="44"/>
      <c r="R220" s="44"/>
      <c r="S220" s="44"/>
      <c r="T220" s="43">
        <f>+P220+Q220+R220+S220</f>
        <v>1423.0769230769231</v>
      </c>
      <c r="U220" s="43"/>
      <c r="V220" s="41"/>
      <c r="W220" s="41"/>
      <c r="X220" s="41"/>
      <c r="Y220" s="4"/>
      <c r="Z220" s="4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3"/>
      <c r="DY220" s="73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73"/>
      <c r="ES220" s="73"/>
      <c r="ET220" s="73"/>
      <c r="EU220" s="73"/>
      <c r="EV220" s="73"/>
      <c r="EW220" s="73"/>
      <c r="EX220" s="73"/>
      <c r="EY220" s="73"/>
      <c r="EZ220" s="73"/>
      <c r="FA220" s="73"/>
      <c r="FB220" s="73"/>
      <c r="FC220" s="73"/>
      <c r="FD220" s="73"/>
      <c r="FE220" s="73"/>
      <c r="FF220" s="73"/>
      <c r="FG220" s="73"/>
      <c r="FH220" s="73"/>
      <c r="FI220" s="73"/>
      <c r="FJ220" s="73"/>
      <c r="FK220" s="73"/>
      <c r="FL220" s="73"/>
      <c r="FM220" s="73"/>
      <c r="FN220" s="73"/>
      <c r="FO220" s="73"/>
      <c r="FP220" s="73"/>
      <c r="FQ220" s="73"/>
      <c r="FR220" s="73"/>
      <c r="FS220" s="73"/>
      <c r="FT220" s="73"/>
      <c r="FU220" s="73"/>
      <c r="FV220" s="73"/>
      <c r="FW220" s="73"/>
      <c r="FX220" s="73"/>
      <c r="FY220" s="73"/>
      <c r="FZ220" s="73"/>
      <c r="GA220" s="73"/>
      <c r="GB220" s="73"/>
      <c r="GC220" s="73"/>
      <c r="GD220" s="73"/>
      <c r="GE220" s="73"/>
      <c r="GF220" s="73"/>
      <c r="GG220" s="73"/>
      <c r="GH220" s="73"/>
      <c r="GI220" s="73"/>
      <c r="GJ220" s="73"/>
      <c r="GK220" s="73"/>
      <c r="GL220" s="73"/>
      <c r="GM220" s="73"/>
      <c r="GN220" s="73"/>
      <c r="GO220" s="73"/>
      <c r="GP220" s="73"/>
      <c r="GQ220" s="73"/>
      <c r="GR220" s="73"/>
      <c r="GS220" s="73"/>
      <c r="GT220" s="73"/>
      <c r="GU220" s="73"/>
      <c r="GV220" s="73"/>
      <c r="GW220" s="73"/>
      <c r="GX220" s="73"/>
      <c r="GY220" s="73"/>
      <c r="GZ220" s="73"/>
      <c r="HA220" s="73"/>
      <c r="HB220" s="73"/>
      <c r="HC220" s="73"/>
      <c r="HD220" s="73"/>
      <c r="HE220" s="73"/>
      <c r="HF220" s="73"/>
      <c r="HG220" s="73"/>
      <c r="HH220" s="73"/>
      <c r="HI220" s="73"/>
      <c r="HJ220" s="73"/>
      <c r="HK220" s="73"/>
      <c r="HL220" s="73"/>
      <c r="HM220" s="73"/>
      <c r="HN220" s="73"/>
      <c r="HO220" s="73"/>
      <c r="HP220" s="73"/>
      <c r="HQ220" s="73"/>
      <c r="HR220" s="73"/>
      <c r="HS220" s="73"/>
      <c r="HT220" s="73"/>
      <c r="HU220" s="73"/>
      <c r="HV220" s="73"/>
      <c r="HW220" s="73"/>
      <c r="HX220" s="73"/>
      <c r="HY220" s="73"/>
      <c r="HZ220" s="73"/>
      <c r="IA220" s="73"/>
      <c r="IB220" s="73"/>
      <c r="IC220" s="73"/>
      <c r="ID220" s="73"/>
      <c r="IE220" s="73"/>
      <c r="IF220" s="73"/>
      <c r="IG220" s="73"/>
      <c r="IH220" s="73"/>
      <c r="II220" s="73"/>
      <c r="IJ220" s="73"/>
      <c r="IK220" s="73"/>
      <c r="IL220" s="73"/>
      <c r="IM220" s="73"/>
      <c r="IN220" s="73"/>
      <c r="IO220" s="73"/>
      <c r="IP220" s="73"/>
      <c r="IQ220" s="73"/>
      <c r="IR220" s="73"/>
      <c r="IS220" s="73"/>
      <c r="IT220" s="73"/>
      <c r="IU220" s="73"/>
      <c r="IV220" s="73"/>
      <c r="IW220" s="73"/>
      <c r="IX220" s="73"/>
      <c r="IY220" s="73"/>
      <c r="IZ220" s="73"/>
      <c r="JA220" s="73"/>
      <c r="JB220" s="73"/>
      <c r="JC220" s="73"/>
      <c r="JD220" s="73"/>
      <c r="JE220" s="73"/>
      <c r="JF220" s="73"/>
      <c r="JG220" s="73"/>
      <c r="JH220" s="73"/>
      <c r="JI220" s="73"/>
      <c r="JJ220" s="73"/>
      <c r="JK220" s="73"/>
      <c r="JL220" s="73"/>
      <c r="JM220" s="73"/>
      <c r="JN220" s="73"/>
      <c r="JO220" s="73"/>
      <c r="JP220" s="73"/>
      <c r="JQ220" s="73"/>
      <c r="JR220" s="73"/>
      <c r="JS220" s="73"/>
      <c r="JT220" s="73"/>
      <c r="JU220" s="73"/>
      <c r="JV220" s="73"/>
      <c r="JW220" s="73"/>
      <c r="JX220" s="73"/>
      <c r="JY220" s="73"/>
      <c r="JZ220" s="73"/>
      <c r="KA220" s="73"/>
      <c r="KB220" s="73"/>
      <c r="KC220" s="73"/>
      <c r="KD220" s="73"/>
      <c r="KE220" s="73"/>
      <c r="KF220" s="73"/>
      <c r="KG220" s="73"/>
      <c r="KH220" s="73"/>
      <c r="KI220" s="73"/>
      <c r="KJ220" s="73"/>
      <c r="KK220" s="73"/>
      <c r="KL220" s="73"/>
      <c r="KM220" s="73"/>
      <c r="KN220" s="73"/>
      <c r="KO220" s="73"/>
      <c r="KP220" s="73"/>
      <c r="KQ220" s="73"/>
      <c r="KR220" s="73"/>
      <c r="KS220" s="73"/>
      <c r="KT220" s="73"/>
      <c r="KU220" s="73"/>
      <c r="KV220" s="73"/>
      <c r="KW220" s="73"/>
      <c r="KX220" s="73"/>
      <c r="KY220" s="73"/>
      <c r="KZ220" s="73"/>
      <c r="LA220" s="73"/>
      <c r="LB220" s="73"/>
      <c r="LC220" s="73"/>
      <c r="LD220" s="73"/>
      <c r="LE220" s="73"/>
      <c r="LF220" s="73"/>
      <c r="LG220" s="73"/>
      <c r="LH220" s="73"/>
      <c r="LI220" s="73"/>
      <c r="LJ220" s="73"/>
      <c r="LK220" s="73"/>
      <c r="LL220" s="73"/>
      <c r="LM220" s="73"/>
      <c r="LN220" s="73"/>
      <c r="LO220" s="73"/>
      <c r="LP220" s="73"/>
      <c r="LQ220" s="73"/>
      <c r="LR220" s="73"/>
      <c r="LS220" s="73"/>
      <c r="LT220" s="73"/>
      <c r="LU220" s="73"/>
      <c r="LV220" s="73"/>
      <c r="LW220" s="73"/>
      <c r="LX220" s="73"/>
      <c r="LY220" s="73"/>
      <c r="LZ220" s="73"/>
      <c r="MA220" s="73"/>
      <c r="MB220" s="73"/>
      <c r="MC220" s="73"/>
      <c r="MD220" s="73"/>
      <c r="ME220" s="73"/>
      <c r="MF220" s="73"/>
      <c r="MG220" s="73"/>
      <c r="MH220" s="73"/>
      <c r="MI220" s="73"/>
      <c r="MJ220" s="73"/>
      <c r="MK220" s="73"/>
      <c r="ML220" s="73"/>
      <c r="MM220" s="73"/>
      <c r="MN220" s="73"/>
      <c r="MO220" s="73"/>
      <c r="MP220" s="73"/>
      <c r="MQ220" s="73"/>
      <c r="MR220" s="73"/>
      <c r="MS220" s="73"/>
      <c r="MT220" s="73"/>
      <c r="MU220" s="73"/>
      <c r="MV220" s="73"/>
      <c r="MW220" s="73"/>
      <c r="MX220" s="73"/>
      <c r="MY220" s="73"/>
      <c r="MZ220" s="73"/>
      <c r="NA220" s="73"/>
      <c r="NB220" s="73"/>
      <c r="NC220" s="73"/>
      <c r="ND220" s="73"/>
      <c r="NE220" s="73"/>
      <c r="NF220" s="73"/>
      <c r="NG220" s="73"/>
      <c r="NH220" s="73"/>
      <c r="NI220" s="73"/>
      <c r="NJ220" s="73"/>
      <c r="NK220" s="73"/>
      <c r="NL220" s="73"/>
      <c r="NM220" s="73"/>
      <c r="NN220" s="73"/>
      <c r="NO220" s="73"/>
      <c r="NP220" s="73"/>
      <c r="NQ220" s="73"/>
      <c r="NR220" s="73"/>
      <c r="NS220" s="73"/>
      <c r="NT220" s="73"/>
      <c r="NU220" s="73"/>
      <c r="NV220" s="73"/>
      <c r="NW220" s="73"/>
      <c r="NX220" s="73"/>
      <c r="NY220" s="73"/>
      <c r="NZ220" s="73"/>
      <c r="OA220" s="73"/>
      <c r="OB220" s="73"/>
      <c r="OC220" s="73"/>
      <c r="OD220" s="73"/>
      <c r="OE220" s="73"/>
      <c r="OF220" s="73"/>
      <c r="OG220" s="73"/>
      <c r="OH220" s="73"/>
      <c r="OI220" s="73"/>
      <c r="OJ220" s="73"/>
      <c r="OK220" s="73"/>
      <c r="OL220" s="73"/>
      <c r="OM220" s="73"/>
      <c r="ON220" s="73"/>
      <c r="OO220" s="73"/>
      <c r="OP220" s="73"/>
      <c r="OQ220" s="73"/>
      <c r="OR220" s="73"/>
      <c r="OS220" s="73"/>
      <c r="OT220" s="73"/>
      <c r="OU220" s="73"/>
      <c r="OV220" s="73"/>
      <c r="OW220" s="73"/>
      <c r="OX220" s="73"/>
      <c r="OY220" s="73"/>
      <c r="OZ220" s="73"/>
      <c r="PA220" s="73"/>
      <c r="PB220" s="73"/>
      <c r="PC220" s="73"/>
      <c r="PD220" s="73"/>
      <c r="PE220" s="73"/>
      <c r="PF220" s="73"/>
      <c r="PG220" s="73"/>
      <c r="PH220" s="73"/>
      <c r="PI220" s="73"/>
      <c r="PJ220" s="73"/>
      <c r="PK220" s="73"/>
      <c r="PL220" s="73"/>
      <c r="PM220" s="73"/>
      <c r="PN220" s="73"/>
      <c r="PO220" s="73"/>
      <c r="PP220" s="73"/>
      <c r="PQ220" s="73"/>
      <c r="PR220" s="73"/>
      <c r="PS220" s="73"/>
      <c r="PT220" s="73"/>
      <c r="PU220" s="73"/>
      <c r="PV220" s="73"/>
      <c r="PW220" s="73"/>
      <c r="PX220" s="73"/>
      <c r="PY220" s="73"/>
      <c r="PZ220" s="73"/>
      <c r="QA220" s="73"/>
      <c r="QB220" s="73"/>
      <c r="QC220" s="73"/>
      <c r="QD220" s="73"/>
      <c r="QE220" s="73"/>
      <c r="QF220" s="73"/>
      <c r="QG220" s="73"/>
      <c r="QH220" s="73"/>
      <c r="QI220" s="73"/>
      <c r="QJ220" s="73"/>
      <c r="QK220" s="73"/>
      <c r="QL220" s="73"/>
      <c r="QM220" s="73"/>
      <c r="QN220" s="73"/>
      <c r="QO220" s="73"/>
      <c r="QP220" s="73"/>
      <c r="QQ220" s="73"/>
      <c r="QR220" s="73"/>
      <c r="QS220" s="73"/>
      <c r="QT220" s="73"/>
      <c r="QU220" s="73"/>
      <c r="QV220" s="73"/>
      <c r="QW220" s="73"/>
      <c r="QX220" s="73"/>
      <c r="QY220" s="73"/>
      <c r="QZ220" s="73"/>
      <c r="RA220" s="73"/>
      <c r="RB220" s="73"/>
      <c r="RC220" s="73"/>
      <c r="RD220" s="73"/>
      <c r="RE220" s="73"/>
      <c r="RF220" s="73"/>
      <c r="RG220" s="73"/>
      <c r="RH220" s="73"/>
      <c r="RI220" s="73"/>
      <c r="RJ220" s="73"/>
      <c r="RK220" s="73"/>
      <c r="RL220" s="73"/>
      <c r="RM220" s="73"/>
      <c r="RN220" s="73"/>
      <c r="RO220" s="73"/>
      <c r="RP220" s="73"/>
      <c r="RQ220" s="73"/>
      <c r="RR220" s="73"/>
      <c r="RS220" s="73"/>
      <c r="RT220" s="73"/>
      <c r="RU220" s="73"/>
      <c r="RV220" s="73"/>
      <c r="RW220" s="73"/>
      <c r="RX220" s="73"/>
      <c r="RY220" s="73"/>
      <c r="RZ220" s="73"/>
      <c r="SA220" s="73"/>
      <c r="SB220" s="73"/>
      <c r="SC220" s="73"/>
      <c r="SD220" s="73"/>
      <c r="SE220" s="73"/>
      <c r="SF220" s="73"/>
      <c r="SG220" s="73"/>
      <c r="SH220" s="73"/>
      <c r="SI220" s="73"/>
      <c r="SJ220" s="73"/>
      <c r="SK220" s="73"/>
      <c r="SL220" s="73"/>
      <c r="SM220" s="73"/>
      <c r="SN220" s="73"/>
      <c r="SO220" s="73"/>
      <c r="SP220" s="73"/>
      <c r="SQ220" s="73"/>
      <c r="SR220" s="73"/>
      <c r="SS220" s="73"/>
      <c r="ST220" s="73"/>
      <c r="SU220" s="73"/>
      <c r="SV220" s="73"/>
      <c r="SW220" s="73"/>
      <c r="SX220" s="73"/>
      <c r="SY220" s="73"/>
      <c r="SZ220" s="73"/>
      <c r="TA220" s="73"/>
      <c r="TB220" s="73"/>
      <c r="TC220" s="73"/>
      <c r="TD220" s="73"/>
      <c r="TE220" s="73"/>
      <c r="TF220" s="73"/>
      <c r="TG220" s="73"/>
      <c r="TH220" s="73"/>
      <c r="TI220" s="73"/>
      <c r="TJ220" s="73"/>
      <c r="TK220" s="73"/>
      <c r="TL220" s="73"/>
      <c r="TM220" s="73"/>
      <c r="TN220" s="73"/>
      <c r="TO220" s="73"/>
      <c r="TP220" s="73"/>
      <c r="TQ220" s="73"/>
      <c r="TR220" s="73"/>
      <c r="TS220" s="73"/>
      <c r="TT220" s="73"/>
      <c r="TU220" s="73"/>
      <c r="TV220" s="73"/>
      <c r="TW220" s="73"/>
      <c r="TX220" s="73"/>
      <c r="TY220" s="73"/>
      <c r="TZ220" s="73"/>
      <c r="UA220" s="73"/>
      <c r="UB220" s="73"/>
      <c r="UC220" s="73"/>
      <c r="UD220" s="73"/>
      <c r="UE220" s="73"/>
      <c r="UF220" s="73"/>
      <c r="UG220" s="73"/>
      <c r="UH220" s="73"/>
      <c r="UI220" s="73"/>
      <c r="UJ220" s="73"/>
      <c r="UK220" s="73"/>
      <c r="UL220" s="73"/>
      <c r="UM220" s="73"/>
      <c r="UN220" s="73"/>
      <c r="UO220" s="73"/>
      <c r="UP220" s="73"/>
      <c r="UQ220" s="73"/>
      <c r="UR220" s="73"/>
      <c r="US220" s="73"/>
      <c r="UT220" s="73"/>
      <c r="UU220" s="73"/>
      <c r="UV220" s="73"/>
      <c r="UW220" s="73"/>
      <c r="UX220" s="73"/>
      <c r="UY220" s="73"/>
      <c r="UZ220" s="73"/>
      <c r="VA220" s="73"/>
      <c r="VB220" s="73"/>
      <c r="VC220" s="73"/>
      <c r="VD220" s="73"/>
      <c r="VE220" s="73"/>
      <c r="VF220" s="73"/>
      <c r="VG220" s="73"/>
      <c r="VH220" s="73"/>
      <c r="VI220" s="73"/>
      <c r="VJ220" s="73"/>
      <c r="VK220" s="73"/>
      <c r="VL220" s="73"/>
      <c r="VM220" s="73"/>
      <c r="VN220" s="73"/>
      <c r="VO220" s="73"/>
      <c r="VP220" s="73"/>
      <c r="VQ220" s="73"/>
      <c r="VR220" s="73"/>
      <c r="VS220" s="73"/>
      <c r="VT220" s="73"/>
      <c r="VU220" s="73"/>
      <c r="VV220" s="73"/>
      <c r="VW220" s="73"/>
      <c r="VX220" s="73"/>
      <c r="VY220" s="73"/>
      <c r="VZ220" s="73"/>
      <c r="WA220" s="73"/>
      <c r="WB220" s="73"/>
      <c r="WC220" s="73"/>
      <c r="WD220" s="73"/>
      <c r="WE220" s="73"/>
      <c r="WF220" s="73"/>
      <c r="WG220" s="73"/>
      <c r="WH220" s="73"/>
      <c r="WI220" s="73"/>
      <c r="WJ220" s="73"/>
      <c r="WK220" s="73"/>
      <c r="WL220" s="73"/>
      <c r="WM220" s="73"/>
      <c r="WN220" s="73"/>
      <c r="WO220" s="73"/>
      <c r="WP220" s="73"/>
      <c r="WQ220" s="73"/>
      <c r="WR220" s="73"/>
      <c r="WS220" s="73"/>
      <c r="WT220" s="73"/>
      <c r="WU220" s="73"/>
      <c r="WV220" s="73"/>
      <c r="WW220" s="73"/>
      <c r="WX220" s="73"/>
      <c r="WY220" s="73"/>
      <c r="WZ220" s="73"/>
      <c r="XA220" s="73"/>
      <c r="XB220" s="73"/>
      <c r="XC220" s="73"/>
      <c r="XD220" s="73"/>
      <c r="XE220" s="73"/>
      <c r="XF220" s="73"/>
      <c r="XG220" s="73"/>
      <c r="XH220" s="73"/>
      <c r="XI220" s="73"/>
      <c r="XJ220" s="73"/>
      <c r="XK220" s="73"/>
      <c r="XL220" s="73"/>
      <c r="XM220" s="73"/>
      <c r="XN220" s="73"/>
      <c r="XO220" s="73"/>
      <c r="XP220" s="73"/>
      <c r="XQ220" s="73"/>
      <c r="XR220" s="73"/>
      <c r="XS220" s="73"/>
      <c r="XT220" s="73"/>
      <c r="XU220" s="73"/>
      <c r="XV220" s="73"/>
      <c r="XW220" s="73"/>
      <c r="XX220" s="73"/>
      <c r="XY220" s="73"/>
      <c r="XZ220" s="73"/>
      <c r="YA220" s="73"/>
      <c r="YB220" s="73"/>
      <c r="YC220" s="73"/>
      <c r="YD220" s="73"/>
      <c r="YE220" s="73"/>
      <c r="YF220" s="73"/>
      <c r="YG220" s="73"/>
      <c r="YH220" s="73"/>
      <c r="YI220" s="73"/>
      <c r="YJ220" s="73"/>
      <c r="YK220" s="73"/>
      <c r="YL220" s="73"/>
      <c r="YM220" s="73"/>
      <c r="YN220" s="73"/>
      <c r="YO220" s="73"/>
      <c r="YP220" s="73"/>
      <c r="YQ220" s="73"/>
      <c r="YR220" s="73"/>
      <c r="YS220" s="73"/>
      <c r="YT220" s="73"/>
      <c r="YU220" s="73"/>
      <c r="YV220" s="73"/>
      <c r="YW220" s="73"/>
      <c r="YX220" s="73"/>
      <c r="YY220" s="73"/>
      <c r="YZ220" s="73"/>
      <c r="ZA220" s="73"/>
      <c r="ZB220" s="73"/>
      <c r="ZC220" s="73"/>
      <c r="ZD220" s="73"/>
      <c r="ZE220" s="73"/>
      <c r="ZF220" s="73"/>
      <c r="ZG220" s="73"/>
      <c r="ZH220" s="73"/>
      <c r="ZI220" s="73"/>
      <c r="ZJ220" s="73"/>
      <c r="ZK220" s="73"/>
      <c r="ZL220" s="73"/>
      <c r="ZM220" s="73"/>
      <c r="ZN220" s="73"/>
      <c r="ZO220" s="73"/>
      <c r="ZP220" s="73"/>
      <c r="ZQ220" s="73"/>
      <c r="ZR220" s="73"/>
      <c r="ZS220" s="73"/>
      <c r="ZT220" s="73"/>
      <c r="ZU220" s="73"/>
      <c r="ZV220" s="73"/>
      <c r="ZW220" s="73"/>
      <c r="ZX220" s="73"/>
      <c r="ZY220" s="73"/>
      <c r="ZZ220" s="73"/>
      <c r="AAA220" s="73"/>
      <c r="AAB220" s="73"/>
      <c r="AAC220" s="73"/>
      <c r="AAD220" s="73"/>
      <c r="AAE220" s="73"/>
      <c r="AAF220" s="73"/>
      <c r="AAG220" s="73"/>
      <c r="AAH220" s="73"/>
      <c r="AAI220" s="73"/>
      <c r="AAJ220" s="73"/>
      <c r="AAK220" s="73"/>
      <c r="AAL220" s="73"/>
      <c r="AAM220" s="73"/>
      <c r="AAN220" s="73"/>
      <c r="AAO220" s="73"/>
      <c r="AAP220" s="73"/>
      <c r="AAQ220" s="73"/>
      <c r="AAR220" s="73"/>
      <c r="AAS220" s="73"/>
      <c r="AAT220" s="73"/>
      <c r="AAU220" s="73"/>
      <c r="AAV220" s="73"/>
      <c r="AAW220" s="73"/>
      <c r="AAX220" s="73"/>
      <c r="AAY220" s="73"/>
      <c r="AAZ220" s="73"/>
      <c r="ABA220" s="73"/>
      <c r="ABB220" s="73"/>
      <c r="ABC220" s="73"/>
      <c r="ABD220" s="73"/>
      <c r="ABE220" s="73"/>
      <c r="ABF220" s="73"/>
      <c r="ABG220" s="73"/>
      <c r="ABH220" s="73"/>
      <c r="ABI220" s="73"/>
      <c r="ABJ220" s="73"/>
      <c r="ABK220" s="73"/>
      <c r="ABL220" s="73"/>
      <c r="ABM220" s="73"/>
      <c r="ABN220" s="73"/>
      <c r="ABO220" s="73"/>
      <c r="ABP220" s="73"/>
      <c r="ABQ220" s="73"/>
      <c r="ABR220" s="73"/>
      <c r="ABS220" s="73"/>
      <c r="ABT220" s="73"/>
      <c r="ABU220" s="73"/>
      <c r="ABV220" s="73"/>
      <c r="ABW220" s="73"/>
      <c r="ABX220" s="73"/>
      <c r="ABY220" s="73"/>
      <c r="ABZ220" s="73"/>
      <c r="ACA220" s="73"/>
      <c r="ACB220" s="73"/>
      <c r="ACC220" s="73"/>
      <c r="ACD220" s="73"/>
      <c r="ACE220" s="73"/>
      <c r="ACF220" s="73"/>
      <c r="ACG220" s="73"/>
      <c r="ACH220" s="73"/>
      <c r="ACI220" s="73"/>
      <c r="ACJ220" s="73"/>
      <c r="ACK220" s="73"/>
      <c r="ACL220" s="73"/>
      <c r="ACM220" s="73"/>
      <c r="ACN220" s="73"/>
      <c r="ACO220" s="73"/>
      <c r="ACP220" s="73"/>
      <c r="ACQ220" s="73"/>
      <c r="ACR220" s="73"/>
      <c r="ACS220" s="73"/>
      <c r="ACT220" s="73"/>
      <c r="ACU220" s="73"/>
      <c r="ACV220" s="73"/>
      <c r="ACW220" s="73"/>
      <c r="ACX220" s="73"/>
      <c r="ACY220" s="73"/>
      <c r="ACZ220" s="73"/>
      <c r="ADA220" s="73"/>
      <c r="ADB220" s="73"/>
      <c r="ADC220" s="73"/>
      <c r="ADD220" s="73"/>
      <c r="ADE220" s="73"/>
      <c r="ADF220" s="73"/>
      <c r="ADG220" s="73"/>
      <c r="ADH220" s="73"/>
      <c r="ADI220" s="73"/>
      <c r="ADJ220" s="73"/>
      <c r="ADK220" s="73"/>
      <c r="ADL220" s="73"/>
      <c r="ADM220" s="73"/>
      <c r="ADN220" s="73"/>
      <c r="ADO220" s="73"/>
      <c r="ADP220" s="73"/>
      <c r="ADQ220" s="73"/>
      <c r="ADR220" s="73"/>
      <c r="ADS220" s="73"/>
      <c r="ADT220" s="73"/>
      <c r="ADU220" s="73"/>
      <c r="ADV220" s="73"/>
      <c r="ADW220" s="73"/>
      <c r="ADX220" s="73"/>
      <c r="ADY220" s="73"/>
      <c r="ADZ220" s="73"/>
      <c r="AEA220" s="73"/>
      <c r="AEB220" s="73"/>
      <c r="AEC220" s="73"/>
      <c r="AED220" s="73"/>
      <c r="AEE220" s="73"/>
      <c r="AEF220" s="73"/>
      <c r="AEG220" s="73"/>
      <c r="AEH220" s="73"/>
      <c r="AEI220" s="73"/>
      <c r="AEJ220" s="73"/>
      <c r="AEK220" s="73"/>
      <c r="AEL220" s="73"/>
      <c r="AEM220" s="73"/>
      <c r="AEN220" s="73"/>
      <c r="AEO220" s="73"/>
      <c r="AEP220" s="73"/>
      <c r="AEQ220" s="73"/>
      <c r="AER220" s="73"/>
      <c r="AES220" s="73"/>
      <c r="AET220" s="73"/>
      <c r="AEU220" s="73"/>
      <c r="AEV220" s="73"/>
      <c r="AEW220" s="73"/>
      <c r="AEX220" s="73"/>
      <c r="AEY220" s="73"/>
      <c r="AEZ220" s="73"/>
      <c r="AFA220" s="73"/>
      <c r="AFB220" s="73"/>
      <c r="AFC220" s="73"/>
      <c r="AFD220" s="73"/>
      <c r="AFE220" s="73"/>
      <c r="AFF220" s="73"/>
      <c r="AFG220" s="73"/>
      <c r="AFH220" s="73"/>
      <c r="AFI220" s="73"/>
      <c r="AFJ220" s="73"/>
      <c r="AFK220" s="73"/>
      <c r="AFL220" s="73"/>
      <c r="AFM220" s="73"/>
      <c r="AFN220" s="73"/>
      <c r="AFO220" s="73"/>
      <c r="AFP220" s="73"/>
      <c r="AFQ220" s="73"/>
      <c r="AFR220" s="73"/>
      <c r="AFS220" s="73"/>
      <c r="AFT220" s="73"/>
      <c r="AFU220" s="73"/>
      <c r="AFV220" s="73"/>
      <c r="AFW220" s="73"/>
      <c r="AFX220" s="73"/>
      <c r="AFY220" s="73"/>
      <c r="AFZ220" s="73"/>
      <c r="AGA220" s="73"/>
      <c r="AGB220" s="73"/>
      <c r="AGC220" s="73"/>
      <c r="AGD220" s="73"/>
      <c r="AGE220" s="73"/>
      <c r="AGF220" s="73"/>
      <c r="AGG220" s="73"/>
      <c r="AGH220" s="73"/>
      <c r="AGI220" s="73"/>
      <c r="AGJ220" s="73"/>
      <c r="AGK220" s="73"/>
      <c r="AGL220" s="73"/>
      <c r="AGM220" s="73"/>
      <c r="AGN220" s="73"/>
      <c r="AGO220" s="73"/>
      <c r="AGP220" s="73"/>
      <c r="AGQ220" s="73"/>
      <c r="AGR220" s="73"/>
      <c r="AGS220" s="73"/>
      <c r="AGT220" s="73"/>
      <c r="AGU220" s="73"/>
      <c r="AGV220" s="73"/>
      <c r="AGW220" s="73"/>
      <c r="AGX220" s="73"/>
      <c r="AGY220" s="73"/>
      <c r="AGZ220" s="73"/>
      <c r="AHA220" s="73"/>
      <c r="AHB220" s="73"/>
      <c r="AHC220" s="73"/>
      <c r="AHD220" s="73"/>
      <c r="AHE220" s="73"/>
      <c r="AHF220" s="73"/>
      <c r="AHG220" s="73"/>
      <c r="AHH220" s="73"/>
      <c r="AHI220" s="73"/>
      <c r="AHJ220" s="73"/>
      <c r="AHK220" s="73"/>
      <c r="AHL220" s="73"/>
      <c r="AHM220" s="73"/>
      <c r="AHN220" s="73"/>
      <c r="AHO220" s="73"/>
      <c r="AHP220" s="73"/>
      <c r="AHQ220" s="73"/>
      <c r="AHR220" s="73"/>
      <c r="AHS220" s="73"/>
      <c r="AHT220" s="73"/>
      <c r="AHU220" s="73"/>
      <c r="AHV220" s="73"/>
      <c r="AHW220" s="73"/>
      <c r="AHX220" s="73"/>
      <c r="AHY220" s="73"/>
      <c r="AHZ220" s="73"/>
      <c r="AIA220" s="73"/>
      <c r="AIB220" s="73"/>
      <c r="AIC220" s="73"/>
      <c r="AID220" s="73"/>
      <c r="AIE220" s="73"/>
      <c r="AIF220" s="73"/>
      <c r="AIG220" s="73"/>
      <c r="AIH220" s="73"/>
      <c r="AII220" s="73"/>
      <c r="AIJ220" s="73"/>
      <c r="AIK220" s="73"/>
      <c r="AIL220" s="73"/>
      <c r="AIM220" s="73"/>
      <c r="AIN220" s="73"/>
      <c r="AIO220" s="73"/>
      <c r="AIP220" s="73"/>
      <c r="AIQ220" s="73"/>
      <c r="AIR220" s="73"/>
      <c r="AIS220" s="73"/>
      <c r="AIT220" s="73"/>
      <c r="AIU220" s="73"/>
      <c r="AIV220" s="73"/>
      <c r="AIW220" s="73"/>
      <c r="AIX220" s="73"/>
      <c r="AIY220" s="73"/>
      <c r="AIZ220" s="73"/>
      <c r="AJA220" s="73"/>
      <c r="AJB220" s="73"/>
      <c r="AJC220" s="73"/>
      <c r="AJD220" s="73"/>
      <c r="AJE220" s="73"/>
      <c r="AJF220" s="73"/>
      <c r="AJG220" s="73"/>
      <c r="AJH220" s="73"/>
      <c r="AJI220" s="73"/>
      <c r="AJJ220" s="73"/>
      <c r="AJK220" s="73"/>
      <c r="AJL220" s="73"/>
      <c r="AJM220" s="73"/>
      <c r="AJN220" s="73"/>
      <c r="AJO220" s="73"/>
      <c r="AJP220" s="73"/>
      <c r="AJQ220" s="73"/>
      <c r="AJR220" s="73"/>
      <c r="AJS220" s="73"/>
      <c r="AJT220" s="73"/>
      <c r="AJU220" s="73"/>
      <c r="AJV220" s="73"/>
      <c r="AJW220" s="73"/>
      <c r="AJX220" s="73"/>
      <c r="AJY220" s="73"/>
      <c r="AJZ220" s="73"/>
      <c r="AKA220" s="73"/>
      <c r="AKB220" s="73"/>
      <c r="AKC220" s="73"/>
      <c r="AKD220" s="73"/>
      <c r="AKE220" s="73"/>
      <c r="AKF220" s="73"/>
      <c r="AKG220" s="73"/>
      <c r="AKH220" s="73"/>
      <c r="AKI220" s="73"/>
      <c r="AKJ220" s="73"/>
      <c r="AKK220" s="73"/>
      <c r="AKL220" s="73"/>
      <c r="AKM220" s="73"/>
      <c r="AKN220" s="73"/>
      <c r="AKO220" s="73"/>
      <c r="AKP220" s="73"/>
      <c r="AKQ220" s="73"/>
      <c r="AKR220" s="73"/>
      <c r="AKS220" s="73"/>
      <c r="AKT220" s="73"/>
      <c r="AKU220" s="73"/>
      <c r="AKV220" s="73"/>
      <c r="AKW220" s="73"/>
      <c r="AKX220" s="73"/>
      <c r="AKY220" s="73"/>
      <c r="AKZ220" s="73"/>
      <c r="ALA220" s="73"/>
      <c r="ALB220" s="73"/>
      <c r="ALC220" s="73"/>
      <c r="ALD220" s="73"/>
      <c r="ALE220" s="73"/>
      <c r="ALF220" s="73"/>
      <c r="ALG220" s="73"/>
      <c r="ALH220" s="73"/>
      <c r="ALI220" s="73"/>
      <c r="ALJ220" s="73"/>
      <c r="ALK220" s="73"/>
      <c r="ALL220" s="73"/>
      <c r="ALM220" s="73"/>
      <c r="ALN220" s="73"/>
      <c r="ALO220" s="73"/>
      <c r="ALP220" s="73"/>
      <c r="ALQ220" s="73"/>
      <c r="ALR220" s="73"/>
      <c r="ALS220" s="73"/>
      <c r="ALT220" s="73"/>
      <c r="ALU220" s="73"/>
      <c r="ALV220" s="73"/>
      <c r="ALW220" s="73"/>
      <c r="ALX220" s="73"/>
      <c r="ALY220" s="73"/>
      <c r="ALZ220" s="73"/>
      <c r="AMA220" s="73"/>
      <c r="AMB220" s="73"/>
      <c r="AMC220" s="73"/>
      <c r="AMD220" s="73"/>
      <c r="AME220" s="73"/>
      <c r="AMF220" s="73"/>
      <c r="AMG220" s="73"/>
      <c r="AMH220" s="73"/>
      <c r="AMI220" s="73"/>
      <c r="AMJ220" s="73"/>
      <c r="AMK220" s="73"/>
      <c r="AML220" s="73"/>
      <c r="AMM220" s="73"/>
      <c r="AMN220" s="73"/>
      <c r="AMO220" s="73"/>
      <c r="AMP220" s="73"/>
      <c r="AMQ220" s="73"/>
      <c r="AMR220" s="73"/>
      <c r="AMS220" s="73"/>
      <c r="AMT220" s="73"/>
      <c r="AMU220" s="73"/>
      <c r="AMV220" s="73"/>
      <c r="AMW220" s="73"/>
      <c r="AMX220" s="73"/>
      <c r="AMY220" s="73"/>
      <c r="AMZ220" s="73"/>
      <c r="ANA220" s="73"/>
      <c r="ANB220" s="73"/>
      <c r="ANC220" s="73"/>
      <c r="AND220" s="73"/>
      <c r="ANE220" s="73"/>
      <c r="ANF220" s="73"/>
      <c r="ANG220" s="73"/>
      <c r="ANH220" s="73"/>
      <c r="ANI220" s="73"/>
      <c r="ANJ220" s="73"/>
      <c r="ANK220" s="73"/>
      <c r="ANL220" s="73"/>
      <c r="ANM220" s="73"/>
      <c r="ANN220" s="73"/>
      <c r="ANO220" s="73"/>
      <c r="ANP220" s="73"/>
      <c r="ANQ220" s="73"/>
      <c r="ANR220" s="73"/>
      <c r="ANS220" s="73"/>
      <c r="ANT220" s="73"/>
      <c r="ANU220" s="73"/>
      <c r="ANV220" s="73"/>
      <c r="ANW220" s="73"/>
      <c r="ANX220" s="73"/>
      <c r="ANY220" s="73"/>
      <c r="ANZ220" s="73"/>
      <c r="AOA220" s="73"/>
      <c r="AOB220" s="73"/>
      <c r="AOC220" s="73"/>
      <c r="AOD220" s="73"/>
      <c r="AOE220" s="73"/>
      <c r="AOF220" s="73"/>
      <c r="AOG220" s="73"/>
      <c r="AOH220" s="73"/>
      <c r="AOI220" s="73"/>
      <c r="AOJ220" s="73"/>
      <c r="AOK220" s="73"/>
      <c r="AOL220" s="73"/>
      <c r="AOM220" s="73"/>
      <c r="AON220" s="73"/>
      <c r="AOO220" s="73"/>
      <c r="AOP220" s="73"/>
      <c r="AOQ220" s="73"/>
      <c r="AOR220" s="73"/>
      <c r="AOS220" s="73"/>
      <c r="AOT220" s="73"/>
      <c r="AOU220" s="73"/>
      <c r="AOV220" s="73"/>
      <c r="AOW220" s="73"/>
      <c r="AOX220" s="73"/>
      <c r="AOY220" s="73"/>
      <c r="AOZ220" s="73"/>
      <c r="APA220" s="73"/>
      <c r="APB220" s="73"/>
      <c r="APC220" s="73"/>
      <c r="APD220" s="73"/>
      <c r="APE220" s="73"/>
      <c r="APF220" s="73"/>
      <c r="APG220" s="73"/>
      <c r="APH220" s="73"/>
      <c r="API220" s="73"/>
      <c r="APJ220" s="73"/>
      <c r="APK220" s="73"/>
      <c r="APL220" s="73"/>
      <c r="APM220" s="73"/>
      <c r="APN220" s="73"/>
      <c r="APO220" s="73"/>
      <c r="APP220" s="73"/>
      <c r="APQ220" s="73"/>
      <c r="APR220" s="73"/>
      <c r="APS220" s="73"/>
      <c r="APT220" s="73"/>
      <c r="APU220" s="73"/>
      <c r="APV220" s="73"/>
      <c r="APW220" s="73"/>
      <c r="APX220" s="73"/>
      <c r="APY220" s="73"/>
      <c r="APZ220" s="73"/>
      <c r="AQA220" s="73"/>
      <c r="AQB220" s="73"/>
      <c r="AQC220" s="73"/>
      <c r="AQD220" s="73"/>
      <c r="AQE220" s="73"/>
      <c r="AQF220" s="73"/>
      <c r="AQG220" s="73"/>
      <c r="AQH220" s="73"/>
      <c r="AQI220" s="73"/>
      <c r="AQJ220" s="73"/>
      <c r="AQK220" s="73"/>
      <c r="AQL220" s="73"/>
      <c r="AQM220" s="73"/>
      <c r="AQN220" s="73"/>
      <c r="AQO220" s="73"/>
      <c r="AQP220" s="73"/>
      <c r="AQQ220" s="73"/>
      <c r="AQR220" s="73"/>
      <c r="AQS220" s="73"/>
      <c r="AQT220" s="73"/>
      <c r="AQU220" s="73"/>
      <c r="AQV220" s="73"/>
      <c r="AQW220" s="73"/>
      <c r="AQX220" s="73"/>
      <c r="AQY220" s="73"/>
      <c r="AQZ220" s="73"/>
      <c r="ARA220" s="73"/>
      <c r="ARB220" s="73"/>
      <c r="ARC220" s="73"/>
      <c r="ARD220" s="73"/>
      <c r="ARE220" s="73"/>
      <c r="ARF220" s="73"/>
      <c r="ARG220" s="73"/>
      <c r="ARH220" s="73"/>
      <c r="ARI220" s="73"/>
      <c r="ARJ220" s="73"/>
      <c r="ARK220" s="73"/>
      <c r="ARL220" s="73"/>
      <c r="ARM220" s="73"/>
      <c r="ARN220" s="73"/>
      <c r="ARO220" s="73"/>
      <c r="ARP220" s="73"/>
      <c r="ARQ220" s="73"/>
      <c r="ARR220" s="73"/>
      <c r="ARS220" s="73"/>
      <c r="ART220" s="73"/>
      <c r="ARU220" s="73"/>
      <c r="ARV220" s="73"/>
      <c r="ARW220" s="73"/>
      <c r="ARX220" s="73"/>
      <c r="ARY220" s="73"/>
      <c r="ARZ220" s="73"/>
      <c r="ASA220" s="73"/>
      <c r="ASB220" s="73"/>
      <c r="ASC220" s="73"/>
      <c r="ASD220" s="73"/>
      <c r="ASE220" s="73"/>
      <c r="ASF220" s="73"/>
      <c r="ASG220" s="73"/>
      <c r="ASH220" s="73"/>
      <c r="ASI220" s="73"/>
      <c r="ASJ220" s="73"/>
      <c r="ASK220" s="73"/>
      <c r="ASL220" s="73"/>
      <c r="ASM220" s="73"/>
      <c r="ASN220" s="73"/>
      <c r="ASO220" s="73"/>
      <c r="ASP220" s="73"/>
      <c r="ASQ220" s="73"/>
      <c r="ASR220" s="73"/>
      <c r="ASS220" s="73"/>
      <c r="AST220" s="73"/>
      <c r="ASU220" s="73"/>
      <c r="ASV220" s="73"/>
      <c r="ASW220" s="73"/>
      <c r="ASX220" s="73"/>
      <c r="ASY220" s="73"/>
      <c r="ASZ220" s="73"/>
      <c r="ATA220" s="73"/>
      <c r="ATB220" s="73"/>
      <c r="ATC220" s="73"/>
      <c r="ATD220" s="73"/>
      <c r="ATE220" s="73"/>
      <c r="ATF220" s="73"/>
      <c r="ATG220" s="73"/>
      <c r="ATH220" s="73"/>
      <c r="ATI220" s="73"/>
      <c r="ATJ220" s="73"/>
      <c r="ATK220" s="73"/>
      <c r="ATL220" s="73"/>
      <c r="ATM220" s="73"/>
      <c r="ATN220" s="73"/>
      <c r="ATO220" s="73"/>
      <c r="ATP220" s="73"/>
      <c r="ATQ220" s="73"/>
      <c r="ATR220" s="73"/>
      <c r="ATS220" s="73"/>
      <c r="ATT220" s="73"/>
      <c r="ATU220" s="73"/>
      <c r="ATV220" s="73"/>
      <c r="ATW220" s="73"/>
      <c r="ATX220" s="73"/>
      <c r="ATY220" s="73"/>
      <c r="ATZ220" s="73"/>
      <c r="AUA220" s="73"/>
      <c r="AUB220" s="73"/>
      <c r="AUC220" s="73"/>
      <c r="AUD220" s="73"/>
      <c r="AUE220" s="73"/>
      <c r="AUF220" s="73"/>
      <c r="AUG220" s="73"/>
      <c r="AUH220" s="73"/>
      <c r="AUI220" s="73"/>
      <c r="AUJ220" s="73"/>
      <c r="AUK220" s="73"/>
      <c r="AUL220" s="73"/>
      <c r="AUM220" s="73"/>
      <c r="AUN220" s="73"/>
      <c r="AUO220" s="73"/>
      <c r="AUP220" s="73"/>
      <c r="AUQ220" s="73"/>
      <c r="AUR220" s="73"/>
      <c r="AUS220" s="73"/>
      <c r="AUT220" s="73"/>
      <c r="AUU220" s="73"/>
      <c r="AUV220" s="73"/>
      <c r="AUW220" s="73"/>
      <c r="AUX220" s="73"/>
      <c r="AUY220" s="73"/>
      <c r="AUZ220" s="73"/>
      <c r="AVA220" s="73"/>
      <c r="AVB220" s="73"/>
      <c r="AVC220" s="73"/>
      <c r="AVD220" s="73"/>
      <c r="AVE220" s="73"/>
      <c r="AVF220" s="73"/>
      <c r="AVG220" s="73"/>
      <c r="AVH220" s="73"/>
      <c r="AVI220" s="73"/>
      <c r="AVJ220" s="73"/>
      <c r="AVK220" s="73"/>
      <c r="AVL220" s="73"/>
      <c r="AVM220" s="73"/>
      <c r="AVN220" s="73"/>
      <c r="AVO220" s="73"/>
      <c r="AVP220" s="73"/>
      <c r="AVQ220" s="73"/>
      <c r="AVR220" s="73"/>
      <c r="AVS220" s="73"/>
      <c r="AVT220" s="73"/>
      <c r="AVU220" s="73"/>
      <c r="AVV220" s="73"/>
      <c r="AVW220" s="73"/>
      <c r="AVX220" s="73"/>
      <c r="AVY220" s="73"/>
      <c r="AVZ220" s="73"/>
      <c r="AWA220" s="73"/>
      <c r="AWB220" s="73"/>
      <c r="AWC220" s="73"/>
      <c r="AWD220" s="73"/>
      <c r="AWE220" s="73"/>
      <c r="AWF220" s="73"/>
      <c r="AWG220" s="73"/>
      <c r="AWH220" s="73"/>
      <c r="AWI220" s="73"/>
      <c r="AWJ220" s="73"/>
      <c r="AWK220" s="73"/>
      <c r="AWL220" s="73"/>
      <c r="AWM220" s="73"/>
      <c r="AWN220" s="73"/>
      <c r="AWO220" s="73"/>
      <c r="AWP220" s="73"/>
      <c r="AWQ220" s="73"/>
      <c r="AWR220" s="73"/>
      <c r="AWS220" s="73"/>
      <c r="AWT220" s="73"/>
      <c r="AWU220" s="73"/>
      <c r="AWV220" s="73"/>
      <c r="AWW220" s="73"/>
      <c r="AWX220" s="73"/>
      <c r="AWY220" s="73"/>
      <c r="AWZ220" s="73"/>
      <c r="AXA220" s="73"/>
      <c r="AXB220" s="73"/>
      <c r="AXC220" s="73"/>
      <c r="AXD220" s="73"/>
      <c r="AXE220" s="73"/>
      <c r="AXF220" s="73"/>
      <c r="AXG220" s="73"/>
      <c r="AXH220" s="73"/>
      <c r="AXI220" s="73"/>
      <c r="AXJ220" s="73"/>
      <c r="AXK220" s="73"/>
      <c r="AXL220" s="73"/>
      <c r="AXM220" s="73"/>
      <c r="AXN220" s="73"/>
      <c r="AXO220" s="73"/>
      <c r="AXP220" s="73"/>
      <c r="AXQ220" s="73"/>
      <c r="AXR220" s="73"/>
      <c r="AXS220" s="73"/>
      <c r="AXT220" s="73"/>
      <c r="AXU220" s="73"/>
      <c r="AXV220" s="73"/>
      <c r="AXW220" s="73"/>
      <c r="AXX220" s="73"/>
      <c r="AXY220" s="73"/>
      <c r="AXZ220" s="73"/>
      <c r="AYA220" s="73"/>
      <c r="AYB220" s="73"/>
      <c r="AYC220" s="73"/>
      <c r="AYD220" s="73"/>
      <c r="AYE220" s="73"/>
      <c r="AYF220" s="73"/>
      <c r="AYG220" s="73"/>
      <c r="AYH220" s="73"/>
      <c r="AYI220" s="73"/>
      <c r="AYJ220" s="73"/>
      <c r="AYK220" s="73"/>
      <c r="AYL220" s="73"/>
      <c r="AYM220" s="73"/>
      <c r="AYN220" s="73"/>
      <c r="AYO220" s="73"/>
      <c r="AYP220" s="73"/>
      <c r="AYQ220" s="73"/>
      <c r="AYR220" s="73"/>
      <c r="AYS220" s="73"/>
      <c r="AYT220" s="73"/>
      <c r="AYU220" s="73"/>
      <c r="AYV220" s="73"/>
      <c r="AYW220" s="73"/>
      <c r="AYX220" s="73"/>
      <c r="AYY220" s="73"/>
      <c r="AYZ220" s="73"/>
      <c r="AZA220" s="73"/>
      <c r="AZB220" s="73"/>
      <c r="AZC220" s="73"/>
      <c r="AZD220" s="73"/>
      <c r="AZE220" s="73"/>
      <c r="AZF220" s="73"/>
      <c r="AZG220" s="73"/>
      <c r="AZH220" s="73"/>
      <c r="AZI220" s="73"/>
      <c r="AZJ220" s="73"/>
      <c r="AZK220" s="73"/>
      <c r="AZL220" s="73"/>
      <c r="AZM220" s="73"/>
      <c r="AZN220" s="73"/>
      <c r="AZO220" s="73"/>
      <c r="AZP220" s="73"/>
      <c r="AZQ220" s="73"/>
      <c r="AZR220" s="73"/>
      <c r="AZS220" s="73"/>
      <c r="AZT220" s="73"/>
      <c r="AZU220" s="73"/>
      <c r="AZV220" s="73"/>
      <c r="AZW220" s="73"/>
      <c r="AZX220" s="73"/>
      <c r="AZY220" s="73"/>
      <c r="AZZ220" s="73"/>
      <c r="BAA220" s="73"/>
      <c r="BAB220" s="73"/>
      <c r="BAC220" s="73"/>
      <c r="BAD220" s="73"/>
      <c r="BAE220" s="73"/>
      <c r="BAF220" s="73"/>
      <c r="BAG220" s="73"/>
      <c r="BAH220" s="73"/>
      <c r="BAI220" s="73"/>
      <c r="BAJ220" s="73"/>
      <c r="BAK220" s="73"/>
      <c r="BAL220" s="73"/>
      <c r="BAM220" s="73"/>
      <c r="BAN220" s="73"/>
      <c r="BAO220" s="73"/>
      <c r="BAP220" s="73"/>
      <c r="BAQ220" s="73"/>
      <c r="BAR220" s="73"/>
      <c r="BAS220" s="73"/>
      <c r="BAT220" s="73"/>
      <c r="BAU220" s="73"/>
      <c r="BAV220" s="73"/>
      <c r="BAW220" s="73"/>
      <c r="BAX220" s="73"/>
      <c r="BAY220" s="73"/>
      <c r="BAZ220" s="73"/>
      <c r="BBA220" s="73"/>
      <c r="BBB220" s="73"/>
      <c r="BBC220" s="73"/>
      <c r="BBD220" s="73"/>
      <c r="BBE220" s="73"/>
      <c r="BBF220" s="73"/>
      <c r="BBG220" s="73"/>
      <c r="BBH220" s="73"/>
      <c r="BBI220" s="73"/>
      <c r="BBJ220" s="73"/>
      <c r="BBK220" s="73"/>
      <c r="BBL220" s="73"/>
      <c r="BBM220" s="73"/>
      <c r="BBN220" s="73"/>
      <c r="BBO220" s="73"/>
      <c r="BBP220" s="73"/>
      <c r="BBQ220" s="73"/>
      <c r="BBR220" s="73"/>
      <c r="BBS220" s="73"/>
      <c r="BBT220" s="73"/>
      <c r="BBU220" s="73"/>
      <c r="BBV220" s="73"/>
      <c r="BBW220" s="73"/>
      <c r="BBX220" s="73"/>
      <c r="BBY220" s="73"/>
      <c r="BBZ220" s="73"/>
      <c r="BCA220" s="73"/>
      <c r="BCB220" s="73"/>
      <c r="BCC220" s="73"/>
      <c r="BCD220" s="73"/>
      <c r="BCE220" s="73"/>
      <c r="BCF220" s="73"/>
      <c r="BCG220" s="73"/>
      <c r="BCH220" s="73"/>
      <c r="BCI220" s="73"/>
      <c r="BCJ220" s="73"/>
      <c r="BCK220" s="73"/>
      <c r="BCL220" s="73"/>
      <c r="BCM220" s="73"/>
      <c r="BCN220" s="73"/>
      <c r="BCO220" s="73"/>
      <c r="BCP220" s="73"/>
      <c r="BCQ220" s="73"/>
      <c r="BCR220" s="73"/>
      <c r="BCS220" s="73"/>
      <c r="BCT220" s="73"/>
      <c r="BCU220" s="73"/>
      <c r="BCV220" s="73"/>
      <c r="BCW220" s="73"/>
      <c r="BCX220" s="73"/>
      <c r="BCY220" s="73"/>
      <c r="BCZ220" s="73"/>
      <c r="BDA220" s="73"/>
      <c r="BDB220" s="73"/>
      <c r="BDC220" s="73"/>
      <c r="BDD220" s="73"/>
      <c r="BDE220" s="73"/>
      <c r="BDF220" s="73"/>
      <c r="BDG220" s="73"/>
      <c r="BDH220" s="73"/>
      <c r="BDI220" s="73"/>
      <c r="BDJ220" s="73"/>
      <c r="BDK220" s="73"/>
      <c r="BDL220" s="73"/>
      <c r="BDM220" s="73"/>
      <c r="BDN220" s="73"/>
      <c r="BDO220" s="73"/>
      <c r="BDP220" s="73"/>
      <c r="BDQ220" s="73"/>
      <c r="BDR220" s="73"/>
      <c r="BDS220" s="73"/>
      <c r="BDT220" s="73"/>
      <c r="BDU220" s="73"/>
      <c r="BDV220" s="73"/>
      <c r="BDW220" s="73"/>
      <c r="BDX220" s="73"/>
      <c r="BDY220" s="73"/>
      <c r="BDZ220" s="73"/>
      <c r="BEA220" s="73"/>
      <c r="BEB220" s="73"/>
      <c r="BEC220" s="73"/>
      <c r="BED220" s="73"/>
      <c r="BEE220" s="73"/>
      <c r="BEF220" s="73"/>
      <c r="BEG220" s="73"/>
      <c r="BEH220" s="73"/>
      <c r="BEI220" s="73"/>
      <c r="BEJ220" s="73"/>
      <c r="BEK220" s="73"/>
      <c r="BEL220" s="73"/>
      <c r="BEM220" s="73"/>
      <c r="BEN220" s="73"/>
      <c r="BEO220" s="73"/>
      <c r="BEP220" s="73"/>
      <c r="BEQ220" s="73"/>
      <c r="BER220" s="73"/>
      <c r="BES220" s="73"/>
      <c r="BET220" s="73"/>
      <c r="BEU220" s="73"/>
      <c r="BEV220" s="73"/>
      <c r="BEW220" s="73"/>
      <c r="BEX220" s="73"/>
      <c r="BEY220" s="73"/>
      <c r="BEZ220" s="73"/>
      <c r="BFA220" s="73"/>
      <c r="BFB220" s="73"/>
      <c r="BFC220" s="73"/>
      <c r="BFD220" s="73"/>
      <c r="BFE220" s="73"/>
      <c r="BFF220" s="73"/>
      <c r="BFG220" s="73"/>
      <c r="BFH220" s="73"/>
      <c r="BFI220" s="73"/>
      <c r="BFJ220" s="73"/>
      <c r="BFK220" s="73"/>
      <c r="BFL220" s="73"/>
      <c r="BFM220" s="73"/>
      <c r="BFN220" s="73"/>
      <c r="BFO220" s="73"/>
      <c r="BFP220" s="73"/>
      <c r="BFQ220" s="73"/>
      <c r="BFR220" s="73"/>
      <c r="BFS220" s="73"/>
      <c r="BFT220" s="73"/>
      <c r="BFU220" s="73"/>
      <c r="BFV220" s="73"/>
      <c r="BFW220" s="73"/>
      <c r="BFX220" s="73"/>
      <c r="BFY220" s="73"/>
      <c r="BFZ220" s="73"/>
      <c r="BGA220" s="73"/>
      <c r="BGB220" s="73"/>
      <c r="BGC220" s="73"/>
      <c r="BGD220" s="73"/>
      <c r="BGE220" s="73"/>
      <c r="BGF220" s="73"/>
      <c r="BGG220" s="73"/>
      <c r="BGH220" s="73"/>
      <c r="BGI220" s="73"/>
      <c r="BGJ220" s="73"/>
      <c r="BGK220" s="73"/>
      <c r="BGL220" s="73"/>
      <c r="BGM220" s="73"/>
      <c r="BGN220" s="73"/>
      <c r="BGO220" s="73"/>
      <c r="BGP220" s="73"/>
      <c r="BGQ220" s="73"/>
      <c r="BGR220" s="73"/>
      <c r="BGS220" s="73"/>
      <c r="BGT220" s="73"/>
      <c r="BGU220" s="73"/>
      <c r="BGV220" s="73"/>
      <c r="BGW220" s="73"/>
      <c r="BGX220" s="73"/>
      <c r="BGY220" s="73"/>
      <c r="BGZ220" s="73"/>
      <c r="BHA220" s="73"/>
      <c r="BHB220" s="73"/>
      <c r="BHC220" s="73"/>
      <c r="BHD220" s="73"/>
      <c r="BHE220" s="73"/>
      <c r="BHF220" s="73"/>
      <c r="BHG220" s="73"/>
      <c r="BHH220" s="73"/>
      <c r="BHI220" s="73"/>
      <c r="BHJ220" s="73"/>
      <c r="BHK220" s="73"/>
      <c r="BHL220" s="73"/>
      <c r="BHM220" s="73"/>
      <c r="BHN220" s="73"/>
      <c r="BHO220" s="73"/>
      <c r="BHP220" s="73"/>
      <c r="BHQ220" s="73"/>
      <c r="BHR220" s="73"/>
      <c r="BHS220" s="73"/>
      <c r="BHT220" s="73"/>
      <c r="BHU220" s="73"/>
      <c r="BHV220" s="73"/>
      <c r="BHW220" s="73"/>
      <c r="BHX220" s="73"/>
      <c r="BHY220" s="73"/>
      <c r="BHZ220" s="73"/>
      <c r="BIA220" s="73"/>
      <c r="BIB220" s="73"/>
      <c r="BIC220" s="73"/>
      <c r="BID220" s="73"/>
      <c r="BIE220" s="73"/>
      <c r="BIF220" s="73"/>
      <c r="BIG220" s="73"/>
      <c r="BIH220" s="73"/>
      <c r="BII220" s="73"/>
      <c r="BIJ220" s="73"/>
      <c r="BIK220" s="73"/>
      <c r="BIL220" s="73"/>
      <c r="BIM220" s="73"/>
      <c r="BIN220" s="73"/>
      <c r="BIO220" s="73"/>
      <c r="BIP220" s="73"/>
      <c r="BIQ220" s="73"/>
      <c r="BIR220" s="73"/>
      <c r="BIS220" s="73"/>
      <c r="BIT220" s="73"/>
      <c r="BIU220" s="73"/>
      <c r="BIV220" s="73"/>
      <c r="BIW220" s="73"/>
      <c r="BIX220" s="73"/>
      <c r="BIY220" s="73"/>
      <c r="BIZ220" s="73"/>
      <c r="BJA220" s="73"/>
      <c r="BJB220" s="73"/>
      <c r="BJC220" s="73"/>
      <c r="BJD220" s="73"/>
      <c r="BJE220" s="73"/>
      <c r="BJF220" s="73"/>
      <c r="BJG220" s="73"/>
      <c r="BJH220" s="73"/>
      <c r="BJI220" s="73"/>
      <c r="BJJ220" s="73"/>
      <c r="BJK220" s="73"/>
      <c r="BJL220" s="73"/>
      <c r="BJM220" s="73"/>
      <c r="BJN220" s="73"/>
      <c r="BJO220" s="73"/>
      <c r="BJP220" s="73"/>
      <c r="BJQ220" s="73"/>
      <c r="BJR220" s="73"/>
      <c r="BJS220" s="73"/>
      <c r="BJT220" s="73"/>
      <c r="BJU220" s="73"/>
      <c r="BJV220" s="73"/>
      <c r="BJW220" s="73"/>
      <c r="BJX220" s="73"/>
      <c r="BJY220" s="73"/>
      <c r="BJZ220" s="73"/>
      <c r="BKA220" s="73"/>
      <c r="BKB220" s="73"/>
      <c r="BKC220" s="73"/>
      <c r="BKD220" s="73"/>
      <c r="BKE220" s="73"/>
      <c r="BKF220" s="73"/>
      <c r="BKG220" s="73"/>
      <c r="BKH220" s="73"/>
      <c r="BKI220" s="73"/>
      <c r="BKJ220" s="73"/>
      <c r="BKK220" s="73"/>
      <c r="BKL220" s="73"/>
      <c r="BKM220" s="73"/>
      <c r="BKN220" s="73"/>
      <c r="BKO220" s="73"/>
      <c r="BKP220" s="73"/>
      <c r="BKQ220" s="73"/>
      <c r="BKR220" s="73"/>
      <c r="BKS220" s="73"/>
      <c r="BKT220" s="73"/>
      <c r="BKU220" s="73"/>
      <c r="BKV220" s="73"/>
      <c r="BKW220" s="73"/>
      <c r="BKX220" s="73"/>
      <c r="BKY220" s="73"/>
      <c r="BKZ220" s="73"/>
      <c r="BLA220" s="73"/>
      <c r="BLB220" s="73"/>
      <c r="BLC220" s="73"/>
      <c r="BLD220" s="73"/>
      <c r="BLE220" s="73"/>
      <c r="BLF220" s="73"/>
      <c r="BLG220" s="73"/>
      <c r="BLH220" s="73"/>
      <c r="BLI220" s="73"/>
      <c r="BLJ220" s="73"/>
      <c r="BLK220" s="73"/>
      <c r="BLL220" s="73"/>
      <c r="BLM220" s="73"/>
      <c r="BLN220" s="73"/>
      <c r="BLO220" s="73"/>
      <c r="BLP220" s="73"/>
      <c r="BLQ220" s="73"/>
      <c r="BLR220" s="73"/>
      <c r="BLS220" s="73"/>
      <c r="BLT220" s="73"/>
      <c r="BLU220" s="73"/>
      <c r="BLV220" s="73"/>
      <c r="BLW220" s="73"/>
      <c r="BLX220" s="73"/>
      <c r="BLY220" s="73"/>
      <c r="BLZ220" s="73"/>
      <c r="BMA220" s="73"/>
      <c r="BMB220" s="73"/>
      <c r="BMC220" s="73"/>
      <c r="BMD220" s="73"/>
      <c r="BME220" s="73"/>
      <c r="BMF220" s="73"/>
      <c r="BMG220" s="73"/>
      <c r="BMH220" s="73"/>
      <c r="BMI220" s="73"/>
      <c r="BMJ220" s="73"/>
      <c r="BMK220" s="73"/>
      <c r="BML220" s="73"/>
      <c r="BMM220" s="73"/>
      <c r="BMN220" s="73"/>
      <c r="BMO220" s="73"/>
      <c r="BMP220" s="73"/>
      <c r="BMQ220" s="73"/>
      <c r="BMR220" s="73"/>
      <c r="BMS220" s="73"/>
      <c r="BMT220" s="73"/>
      <c r="BMU220" s="73"/>
      <c r="BMV220" s="73"/>
      <c r="BMW220" s="73"/>
      <c r="BMX220" s="73"/>
      <c r="BMY220" s="73"/>
      <c r="BMZ220" s="73"/>
      <c r="BNA220" s="73"/>
      <c r="BNB220" s="73"/>
      <c r="BNC220" s="73"/>
      <c r="BND220" s="73"/>
      <c r="BNE220" s="73"/>
      <c r="BNF220" s="73"/>
      <c r="BNG220" s="73"/>
      <c r="BNH220" s="73"/>
      <c r="BNI220" s="73"/>
      <c r="BNJ220" s="73"/>
      <c r="BNK220" s="73"/>
      <c r="BNL220" s="73"/>
      <c r="BNM220" s="73"/>
      <c r="BNN220" s="73"/>
      <c r="BNO220" s="73"/>
      <c r="BNP220" s="73"/>
      <c r="BNQ220" s="73"/>
      <c r="BNR220" s="73"/>
      <c r="BNS220" s="73"/>
      <c r="BNT220" s="73"/>
      <c r="BNU220" s="73"/>
      <c r="BNV220" s="73"/>
      <c r="BNW220" s="73"/>
      <c r="BNX220" s="73"/>
      <c r="BNY220" s="73"/>
      <c r="BNZ220" s="73"/>
      <c r="BOA220" s="73"/>
      <c r="BOB220" s="73"/>
      <c r="BOC220" s="73"/>
      <c r="BOD220" s="73"/>
      <c r="BOE220" s="73"/>
      <c r="BOF220" s="73"/>
      <c r="BOG220" s="73"/>
      <c r="BOH220" s="73"/>
      <c r="BOI220" s="73"/>
      <c r="BOJ220" s="73"/>
      <c r="BOK220" s="73"/>
      <c r="BOL220" s="73"/>
      <c r="BOM220" s="73"/>
      <c r="BON220" s="73"/>
      <c r="BOO220" s="73"/>
      <c r="BOP220" s="73"/>
      <c r="BOQ220" s="73"/>
      <c r="BOR220" s="73"/>
      <c r="BOS220" s="73"/>
      <c r="BOT220" s="73"/>
      <c r="BOU220" s="73"/>
      <c r="BOV220" s="73"/>
      <c r="BOW220" s="73"/>
      <c r="BOX220" s="73"/>
      <c r="BOY220" s="73"/>
      <c r="BOZ220" s="73"/>
      <c r="BPA220" s="73"/>
      <c r="BPB220" s="73"/>
      <c r="BPC220" s="73"/>
      <c r="BPD220" s="73"/>
      <c r="BPE220" s="73"/>
      <c r="BPF220" s="73"/>
      <c r="BPG220" s="73"/>
      <c r="BPH220" s="73"/>
      <c r="BPI220" s="73"/>
      <c r="BPJ220" s="73"/>
      <c r="BPK220" s="73"/>
      <c r="BPL220" s="73"/>
      <c r="BPM220" s="73"/>
      <c r="BPN220" s="73"/>
      <c r="BPO220" s="73"/>
      <c r="BPP220" s="73"/>
      <c r="BPQ220" s="73"/>
      <c r="BPR220" s="73"/>
      <c r="BPS220" s="73"/>
      <c r="BPT220" s="73"/>
      <c r="BPU220" s="73"/>
      <c r="BPV220" s="73"/>
      <c r="BPW220" s="73"/>
      <c r="BPX220" s="73"/>
      <c r="BPY220" s="73"/>
      <c r="BPZ220" s="73"/>
      <c r="BQA220" s="73"/>
      <c r="BQB220" s="73"/>
      <c r="BQC220" s="73"/>
      <c r="BQD220" s="73"/>
      <c r="BQE220" s="73"/>
      <c r="BQF220" s="73"/>
      <c r="BQG220" s="73"/>
      <c r="BQH220" s="73"/>
      <c r="BQI220" s="73"/>
      <c r="BQJ220" s="73"/>
      <c r="BQK220" s="73"/>
      <c r="BQL220" s="73"/>
      <c r="BQM220" s="73"/>
      <c r="BQN220" s="73"/>
      <c r="BQO220" s="73"/>
      <c r="BQP220" s="73"/>
      <c r="BQQ220" s="73"/>
      <c r="BQR220" s="73"/>
      <c r="BQS220" s="73"/>
      <c r="BQT220" s="73"/>
      <c r="BQU220" s="73"/>
      <c r="BQV220" s="73"/>
      <c r="BQW220" s="73"/>
      <c r="BQX220" s="73"/>
      <c r="BQY220" s="73"/>
      <c r="BQZ220" s="73"/>
      <c r="BRA220" s="73"/>
      <c r="BRB220" s="73"/>
      <c r="BRC220" s="73"/>
      <c r="BRD220" s="73"/>
      <c r="BRE220" s="73"/>
      <c r="BRF220" s="73"/>
      <c r="BRG220" s="73"/>
      <c r="BRH220" s="73"/>
      <c r="BRI220" s="73"/>
      <c r="BRJ220" s="73"/>
      <c r="BRK220" s="73"/>
      <c r="BRL220" s="73"/>
      <c r="BRM220" s="73"/>
      <c r="BRN220" s="73"/>
      <c r="BRO220" s="73"/>
      <c r="BRP220" s="73"/>
      <c r="BRQ220" s="73"/>
      <c r="BRR220" s="73"/>
      <c r="BRS220" s="73"/>
      <c r="BRT220" s="73"/>
      <c r="BRU220" s="73"/>
      <c r="BRV220" s="73"/>
      <c r="BRW220" s="73"/>
      <c r="BRX220" s="73"/>
      <c r="BRY220" s="73"/>
      <c r="BRZ220" s="73"/>
      <c r="BSA220" s="73"/>
      <c r="BSB220" s="73"/>
      <c r="BSC220" s="73"/>
      <c r="BSD220" s="73"/>
      <c r="BSE220" s="73"/>
      <c r="BSF220" s="73"/>
      <c r="BSG220" s="73"/>
      <c r="BSH220" s="73"/>
      <c r="BSI220" s="73"/>
      <c r="BSJ220" s="73"/>
      <c r="BSK220" s="73"/>
      <c r="BSL220" s="73"/>
      <c r="BSM220" s="73"/>
      <c r="BSN220" s="73"/>
      <c r="BSO220" s="73"/>
      <c r="BSP220" s="73"/>
      <c r="BSQ220" s="73"/>
      <c r="BSR220" s="73"/>
      <c r="BSS220" s="73"/>
      <c r="BST220" s="73"/>
      <c r="BSU220" s="73"/>
      <c r="BSV220" s="73"/>
      <c r="BSW220" s="73"/>
      <c r="BSX220" s="73"/>
      <c r="BSY220" s="73"/>
      <c r="BSZ220" s="73"/>
      <c r="BTA220" s="73"/>
      <c r="BTB220" s="73"/>
      <c r="BTC220" s="73"/>
      <c r="BTD220" s="73"/>
      <c r="BTE220" s="73"/>
      <c r="BTF220" s="73"/>
      <c r="BTG220" s="73"/>
      <c r="BTH220" s="73"/>
      <c r="BTI220" s="73"/>
      <c r="BTJ220" s="73"/>
      <c r="BTK220" s="73"/>
      <c r="BTL220" s="73"/>
      <c r="BTM220" s="73"/>
      <c r="BTN220" s="73"/>
      <c r="BTO220" s="73"/>
      <c r="BTP220" s="73"/>
      <c r="BTQ220" s="73"/>
      <c r="BTR220" s="73"/>
      <c r="BTS220" s="73"/>
      <c r="BTT220" s="73"/>
      <c r="BTU220" s="73"/>
      <c r="BTV220" s="73"/>
      <c r="BTW220" s="73"/>
      <c r="BTX220" s="73"/>
      <c r="BTY220" s="73"/>
      <c r="BTZ220" s="73"/>
      <c r="BUA220" s="73"/>
      <c r="BUB220" s="73"/>
      <c r="BUC220" s="73"/>
      <c r="BUD220" s="73"/>
      <c r="BUE220" s="73"/>
      <c r="BUF220" s="73"/>
      <c r="BUG220" s="73"/>
      <c r="BUH220" s="73"/>
      <c r="BUI220" s="73"/>
      <c r="BUJ220" s="73"/>
      <c r="BUK220" s="73"/>
      <c r="BUL220" s="73"/>
      <c r="BUM220" s="73"/>
      <c r="BUN220" s="73"/>
      <c r="BUO220" s="73"/>
      <c r="BUP220" s="73"/>
      <c r="BUQ220" s="73"/>
      <c r="BUR220" s="73"/>
      <c r="BUS220" s="73"/>
      <c r="BUT220" s="73"/>
      <c r="BUU220" s="73"/>
      <c r="BUV220" s="73"/>
      <c r="BUW220" s="73"/>
      <c r="BUX220" s="73"/>
      <c r="BUY220" s="73"/>
      <c r="BUZ220" s="73"/>
      <c r="BVA220" s="73"/>
      <c r="BVB220" s="73"/>
      <c r="BVC220" s="73"/>
      <c r="BVD220" s="73"/>
      <c r="BVE220" s="73"/>
      <c r="BVF220" s="73"/>
      <c r="BVG220" s="73"/>
      <c r="BVH220" s="73"/>
      <c r="BVI220" s="73"/>
      <c r="BVJ220" s="73"/>
      <c r="BVK220" s="73"/>
      <c r="BVL220" s="73"/>
      <c r="BVM220" s="73"/>
      <c r="BVN220" s="73"/>
      <c r="BVO220" s="73"/>
      <c r="BVP220" s="73"/>
      <c r="BVQ220" s="73"/>
      <c r="BVR220" s="73"/>
      <c r="BVS220" s="73"/>
      <c r="BVT220" s="73"/>
      <c r="BVU220" s="73"/>
      <c r="BVV220" s="73"/>
      <c r="BVW220" s="73"/>
      <c r="BVX220" s="73"/>
      <c r="BVY220" s="73"/>
      <c r="BVZ220" s="73"/>
      <c r="BWA220" s="73"/>
      <c r="BWB220" s="73"/>
      <c r="BWC220" s="73"/>
      <c r="BWD220" s="73"/>
      <c r="BWE220" s="73"/>
      <c r="BWF220" s="73"/>
      <c r="BWG220" s="73"/>
      <c r="BWH220" s="73"/>
      <c r="BWI220" s="73"/>
      <c r="BWJ220" s="73"/>
      <c r="BWK220" s="73"/>
      <c r="BWL220" s="73"/>
      <c r="BWM220" s="73"/>
      <c r="BWN220" s="73"/>
      <c r="BWO220" s="73"/>
      <c r="BWP220" s="73"/>
      <c r="BWQ220" s="73"/>
      <c r="BWR220" s="73"/>
      <c r="BWS220" s="73"/>
      <c r="BWT220" s="73"/>
      <c r="BWU220" s="73"/>
      <c r="BWV220" s="73"/>
      <c r="BWW220" s="73"/>
      <c r="BWX220" s="73"/>
      <c r="BWY220" s="73"/>
      <c r="BWZ220" s="73"/>
      <c r="BXA220" s="73"/>
      <c r="BXB220" s="73"/>
      <c r="BXC220" s="73"/>
      <c r="BXD220" s="73"/>
      <c r="BXE220" s="73"/>
      <c r="BXF220" s="73"/>
      <c r="BXG220" s="73"/>
      <c r="BXH220" s="73"/>
      <c r="BXI220" s="73"/>
      <c r="BXJ220" s="73"/>
      <c r="BXK220" s="73"/>
      <c r="BXL220" s="73"/>
      <c r="BXM220" s="73"/>
      <c r="BXN220" s="73"/>
      <c r="BXO220" s="73"/>
      <c r="BXP220" s="73"/>
      <c r="BXQ220" s="73"/>
      <c r="BXR220" s="73"/>
      <c r="BXS220" s="73"/>
      <c r="BXT220" s="73"/>
      <c r="BXU220" s="73"/>
      <c r="BXV220" s="73"/>
      <c r="BXW220" s="73"/>
      <c r="BXX220" s="73"/>
      <c r="BXY220" s="73"/>
      <c r="BXZ220" s="73"/>
      <c r="BYA220" s="73"/>
      <c r="BYB220" s="73"/>
      <c r="BYC220" s="73"/>
      <c r="BYD220" s="73"/>
      <c r="BYE220" s="73"/>
      <c r="BYF220" s="73"/>
      <c r="BYG220" s="73"/>
      <c r="BYH220" s="73"/>
      <c r="BYI220" s="73"/>
      <c r="BYJ220" s="73"/>
      <c r="BYK220" s="73"/>
      <c r="BYL220" s="73"/>
      <c r="BYM220" s="73"/>
      <c r="BYN220" s="73"/>
      <c r="BYO220" s="73"/>
      <c r="BYP220" s="73"/>
      <c r="BYQ220" s="73"/>
      <c r="BYR220" s="73"/>
      <c r="BYS220" s="73"/>
      <c r="BYT220" s="73"/>
      <c r="BYU220" s="73"/>
      <c r="BYV220" s="73"/>
      <c r="BYW220" s="73"/>
      <c r="BYX220" s="73"/>
      <c r="BYY220" s="73"/>
      <c r="BYZ220" s="73"/>
      <c r="BZA220" s="73"/>
      <c r="BZB220" s="73"/>
      <c r="BZC220" s="73"/>
      <c r="BZD220" s="73"/>
      <c r="BZE220" s="73"/>
      <c r="BZF220" s="73"/>
      <c r="BZG220" s="73"/>
      <c r="BZH220" s="73"/>
      <c r="BZI220" s="73"/>
      <c r="BZJ220" s="73"/>
      <c r="BZK220" s="73"/>
      <c r="BZL220" s="73"/>
      <c r="BZM220" s="73"/>
      <c r="BZN220" s="73"/>
      <c r="BZO220" s="73"/>
      <c r="BZP220" s="73"/>
      <c r="BZQ220" s="73"/>
      <c r="BZR220" s="73"/>
      <c r="BZS220" s="73"/>
      <c r="BZT220" s="73"/>
      <c r="BZU220" s="73"/>
      <c r="BZV220" s="73"/>
      <c r="BZW220" s="73"/>
      <c r="BZX220" s="73"/>
      <c r="BZY220" s="73"/>
      <c r="BZZ220" s="73"/>
      <c r="CAA220" s="73"/>
      <c r="CAB220" s="73"/>
      <c r="CAC220" s="73"/>
      <c r="CAD220" s="73"/>
      <c r="CAE220" s="73"/>
      <c r="CAF220" s="73"/>
      <c r="CAG220" s="73"/>
      <c r="CAH220" s="73"/>
      <c r="CAI220" s="73"/>
      <c r="CAJ220" s="73"/>
      <c r="CAK220" s="73"/>
      <c r="CAL220" s="73"/>
      <c r="CAM220" s="73"/>
      <c r="CAN220" s="73"/>
      <c r="CAO220" s="73"/>
      <c r="CAP220" s="73"/>
      <c r="CAQ220" s="73"/>
      <c r="CAR220" s="73"/>
      <c r="CAS220" s="73"/>
      <c r="CAT220" s="73"/>
      <c r="CAU220" s="73"/>
      <c r="CAV220" s="73"/>
      <c r="CAW220" s="73"/>
      <c r="CAX220" s="73"/>
      <c r="CAY220" s="73"/>
      <c r="CAZ220" s="73"/>
      <c r="CBA220" s="73"/>
      <c r="CBB220" s="73"/>
      <c r="CBC220" s="73"/>
      <c r="CBD220" s="73"/>
      <c r="CBE220" s="73"/>
      <c r="CBF220" s="73"/>
      <c r="CBG220" s="73"/>
      <c r="CBH220" s="73"/>
      <c r="CBI220" s="73"/>
      <c r="CBJ220" s="73"/>
      <c r="CBK220" s="73"/>
      <c r="CBL220" s="73"/>
      <c r="CBM220" s="73"/>
      <c r="CBN220" s="73"/>
      <c r="CBO220" s="73"/>
      <c r="CBP220" s="73"/>
      <c r="CBQ220" s="73"/>
      <c r="CBR220" s="73"/>
      <c r="CBS220" s="73"/>
      <c r="CBT220" s="73"/>
      <c r="CBU220" s="73"/>
      <c r="CBV220" s="73"/>
      <c r="CBW220" s="73"/>
      <c r="CBX220" s="73"/>
      <c r="CBY220" s="73"/>
      <c r="CBZ220" s="73"/>
      <c r="CCA220" s="73"/>
      <c r="CCB220" s="73"/>
      <c r="CCC220" s="73"/>
      <c r="CCD220" s="73"/>
      <c r="CCE220" s="73"/>
      <c r="CCF220" s="73"/>
      <c r="CCG220" s="73"/>
      <c r="CCH220" s="73"/>
      <c r="CCI220" s="73"/>
      <c r="CCJ220" s="73"/>
      <c r="CCK220" s="73"/>
      <c r="CCL220" s="73"/>
      <c r="CCM220" s="73"/>
      <c r="CCN220" s="73"/>
      <c r="CCO220" s="73"/>
      <c r="CCP220" s="73"/>
      <c r="CCQ220" s="73"/>
      <c r="CCR220" s="73"/>
      <c r="CCS220" s="73"/>
      <c r="CCT220" s="73"/>
      <c r="CCU220" s="73"/>
      <c r="CCV220" s="73"/>
      <c r="CCW220" s="73"/>
      <c r="CCX220" s="73"/>
      <c r="CCY220" s="73"/>
      <c r="CCZ220" s="73"/>
      <c r="CDA220" s="73"/>
      <c r="CDB220" s="73"/>
      <c r="CDC220" s="73"/>
      <c r="CDD220" s="73"/>
      <c r="CDE220" s="73"/>
      <c r="CDF220" s="73"/>
      <c r="CDG220" s="73"/>
      <c r="CDH220" s="73"/>
      <c r="CDI220" s="73"/>
      <c r="CDJ220" s="73"/>
      <c r="CDK220" s="73"/>
      <c r="CDL220" s="73"/>
      <c r="CDM220" s="73"/>
      <c r="CDN220" s="73"/>
      <c r="CDO220" s="73"/>
      <c r="CDP220" s="73"/>
      <c r="CDQ220" s="73"/>
      <c r="CDR220" s="73"/>
      <c r="CDS220" s="73"/>
      <c r="CDT220" s="73"/>
      <c r="CDU220" s="73"/>
      <c r="CDV220" s="73"/>
      <c r="CDW220" s="73"/>
      <c r="CDX220" s="73"/>
      <c r="CDY220" s="73"/>
      <c r="CDZ220" s="73"/>
      <c r="CEA220" s="73"/>
      <c r="CEB220" s="73"/>
      <c r="CEC220" s="73"/>
      <c r="CED220" s="73"/>
      <c r="CEE220" s="73"/>
      <c r="CEF220" s="73"/>
      <c r="CEG220" s="73"/>
      <c r="CEH220" s="73"/>
      <c r="CEI220" s="73"/>
      <c r="CEJ220" s="73"/>
      <c r="CEK220" s="73"/>
      <c r="CEL220" s="73"/>
      <c r="CEM220" s="73"/>
      <c r="CEN220" s="73"/>
      <c r="CEO220" s="73"/>
      <c r="CEP220" s="73"/>
      <c r="CEQ220" s="73"/>
      <c r="CER220" s="73"/>
      <c r="CES220" s="73"/>
      <c r="CET220" s="73"/>
      <c r="CEU220" s="73"/>
      <c r="CEV220" s="73"/>
      <c r="CEW220" s="73"/>
      <c r="CEX220" s="73"/>
      <c r="CEY220" s="73"/>
      <c r="CEZ220" s="73"/>
      <c r="CFA220" s="73"/>
      <c r="CFB220" s="73"/>
      <c r="CFC220" s="73"/>
      <c r="CFD220" s="73"/>
      <c r="CFE220" s="73"/>
      <c r="CFF220" s="73"/>
      <c r="CFG220" s="73"/>
      <c r="CFH220" s="73"/>
      <c r="CFI220" s="73"/>
      <c r="CFJ220" s="73"/>
      <c r="CFK220" s="73"/>
      <c r="CFL220" s="73"/>
      <c r="CFM220" s="73"/>
      <c r="CFN220" s="73"/>
      <c r="CFO220" s="73"/>
      <c r="CFP220" s="73"/>
      <c r="CFQ220" s="73"/>
      <c r="CFR220" s="73"/>
      <c r="CFS220" s="73"/>
      <c r="CFT220" s="73"/>
      <c r="CFU220" s="73"/>
      <c r="CFV220" s="73"/>
      <c r="CFW220" s="73"/>
      <c r="CFX220" s="73"/>
      <c r="CFY220" s="73"/>
      <c r="CFZ220" s="73"/>
      <c r="CGA220" s="73"/>
      <c r="CGB220" s="73"/>
      <c r="CGC220" s="73"/>
      <c r="CGD220" s="73"/>
      <c r="CGE220" s="73"/>
      <c r="CGF220" s="73"/>
      <c r="CGG220" s="73"/>
      <c r="CGH220" s="73"/>
      <c r="CGI220" s="73"/>
      <c r="CGJ220" s="73"/>
      <c r="CGK220" s="73"/>
      <c r="CGL220" s="73"/>
      <c r="CGM220" s="73"/>
      <c r="CGN220" s="73"/>
      <c r="CGO220" s="73"/>
      <c r="CGP220" s="73"/>
      <c r="CGQ220" s="73"/>
      <c r="CGR220" s="73"/>
      <c r="CGS220" s="73"/>
      <c r="CGT220" s="73"/>
      <c r="CGU220" s="73"/>
      <c r="CGV220" s="73"/>
      <c r="CGW220" s="73"/>
      <c r="CGX220" s="73"/>
      <c r="CGY220" s="73"/>
      <c r="CGZ220" s="73"/>
      <c r="CHA220" s="73"/>
      <c r="CHB220" s="73"/>
      <c r="CHC220" s="73"/>
      <c r="CHD220" s="73"/>
      <c r="CHE220" s="73"/>
      <c r="CHF220" s="73"/>
      <c r="CHG220" s="73"/>
      <c r="CHH220" s="73"/>
      <c r="CHI220" s="73"/>
      <c r="CHJ220" s="73"/>
      <c r="CHK220" s="73"/>
      <c r="CHL220" s="73"/>
      <c r="CHM220" s="73"/>
      <c r="CHN220" s="73"/>
      <c r="CHO220" s="73"/>
      <c r="CHP220" s="73"/>
      <c r="CHQ220" s="73"/>
      <c r="CHR220" s="73"/>
      <c r="CHS220" s="73"/>
      <c r="CHT220" s="73"/>
      <c r="CHU220" s="73"/>
      <c r="CHV220" s="73"/>
      <c r="CHW220" s="73"/>
      <c r="CHX220" s="73"/>
      <c r="CHY220" s="73"/>
      <c r="CHZ220" s="73"/>
      <c r="CIA220" s="73"/>
      <c r="CIB220" s="73"/>
      <c r="CIC220" s="73"/>
      <c r="CID220" s="73"/>
      <c r="CIE220" s="73"/>
      <c r="CIF220" s="73"/>
      <c r="CIG220" s="73"/>
      <c r="CIH220" s="73"/>
      <c r="CII220" s="73"/>
      <c r="CIJ220" s="73"/>
      <c r="CIK220" s="73"/>
      <c r="CIL220" s="73"/>
      <c r="CIM220" s="73"/>
      <c r="CIN220" s="73"/>
      <c r="CIO220" s="73"/>
      <c r="CIP220" s="73"/>
      <c r="CIQ220" s="73"/>
      <c r="CIR220" s="73"/>
      <c r="CIS220" s="73"/>
      <c r="CIT220" s="73"/>
      <c r="CIU220" s="73"/>
      <c r="CIV220" s="73"/>
      <c r="CIW220" s="73"/>
      <c r="CIX220" s="73"/>
      <c r="CIY220" s="73"/>
      <c r="CIZ220" s="73"/>
      <c r="CJA220" s="73"/>
      <c r="CJB220" s="73"/>
      <c r="CJC220" s="73"/>
      <c r="CJD220" s="73"/>
      <c r="CJE220" s="73"/>
      <c r="CJF220" s="73"/>
      <c r="CJG220" s="73"/>
      <c r="CJH220" s="73"/>
      <c r="CJI220" s="73"/>
      <c r="CJJ220" s="73"/>
      <c r="CJK220" s="73"/>
      <c r="CJL220" s="73"/>
      <c r="CJM220" s="73"/>
      <c r="CJN220" s="73"/>
      <c r="CJO220" s="73"/>
      <c r="CJP220" s="73"/>
      <c r="CJQ220" s="73"/>
      <c r="CJR220" s="73"/>
      <c r="CJS220" s="73"/>
      <c r="CJT220" s="73"/>
      <c r="CJU220" s="73"/>
      <c r="CJV220" s="73"/>
      <c r="CJW220" s="73"/>
      <c r="CJX220" s="73"/>
      <c r="CJY220" s="73"/>
      <c r="CJZ220" s="73"/>
      <c r="CKA220" s="73"/>
      <c r="CKB220" s="73"/>
      <c r="CKC220" s="73"/>
      <c r="CKD220" s="73"/>
      <c r="CKE220" s="73"/>
      <c r="CKF220" s="73"/>
      <c r="CKG220" s="73"/>
      <c r="CKH220" s="73"/>
      <c r="CKI220" s="73"/>
      <c r="CKJ220" s="73"/>
      <c r="CKK220" s="73"/>
      <c r="CKL220" s="73"/>
      <c r="CKM220" s="73"/>
      <c r="CKN220" s="73"/>
      <c r="CKO220" s="73"/>
      <c r="CKP220" s="73"/>
      <c r="CKQ220" s="73"/>
      <c r="CKR220" s="73"/>
      <c r="CKS220" s="73"/>
      <c r="CKT220" s="73"/>
      <c r="CKU220" s="73"/>
      <c r="CKV220" s="73"/>
      <c r="CKW220" s="73"/>
      <c r="CKX220" s="73"/>
      <c r="CKY220" s="73"/>
      <c r="CKZ220" s="73"/>
      <c r="CLA220" s="73"/>
      <c r="CLB220" s="73"/>
      <c r="CLC220" s="73"/>
      <c r="CLD220" s="73"/>
      <c r="CLE220" s="73"/>
      <c r="CLF220" s="73"/>
      <c r="CLG220" s="73"/>
      <c r="CLH220" s="73"/>
      <c r="CLI220" s="73"/>
      <c r="CLJ220" s="73"/>
      <c r="CLK220" s="73"/>
      <c r="CLL220" s="73"/>
      <c r="CLM220" s="73"/>
      <c r="CLN220" s="73"/>
      <c r="CLO220" s="73"/>
      <c r="CLP220" s="73"/>
      <c r="CLQ220" s="73"/>
      <c r="CLR220" s="73"/>
      <c r="CLS220" s="73"/>
      <c r="CLT220" s="73"/>
      <c r="CLU220" s="73"/>
      <c r="CLV220" s="73"/>
      <c r="CLW220" s="73"/>
      <c r="CLX220" s="73"/>
      <c r="CLY220" s="73"/>
      <c r="CLZ220" s="73"/>
      <c r="CMA220" s="73"/>
      <c r="CMB220" s="73"/>
      <c r="CMC220" s="73"/>
      <c r="CMD220" s="73"/>
      <c r="CME220" s="73"/>
      <c r="CMF220" s="73"/>
      <c r="CMG220" s="73"/>
      <c r="CMH220" s="73"/>
      <c r="CMI220" s="73"/>
      <c r="CMJ220" s="73"/>
      <c r="CMK220" s="73"/>
      <c r="CML220" s="73"/>
      <c r="CMM220" s="73"/>
      <c r="CMN220" s="73"/>
      <c r="CMO220" s="73"/>
      <c r="CMP220" s="73"/>
      <c r="CMQ220" s="73"/>
      <c r="CMR220" s="73"/>
      <c r="CMS220" s="73"/>
      <c r="CMT220" s="73"/>
      <c r="CMU220" s="73"/>
      <c r="CMV220" s="73"/>
      <c r="CMW220" s="73"/>
      <c r="CMX220" s="73"/>
      <c r="CMY220" s="73"/>
      <c r="CMZ220" s="73"/>
      <c r="CNA220" s="73"/>
      <c r="CNB220" s="73"/>
      <c r="CNC220" s="73"/>
      <c r="CND220" s="73"/>
      <c r="CNE220" s="73"/>
      <c r="CNF220" s="73"/>
      <c r="CNG220" s="73"/>
      <c r="CNH220" s="73"/>
      <c r="CNI220" s="73"/>
      <c r="CNJ220" s="73"/>
      <c r="CNK220" s="73"/>
      <c r="CNL220" s="73"/>
      <c r="CNM220" s="73"/>
      <c r="CNN220" s="73"/>
      <c r="CNO220" s="73"/>
      <c r="CNP220" s="73"/>
      <c r="CNQ220" s="73"/>
      <c r="CNR220" s="73"/>
      <c r="CNS220" s="73"/>
      <c r="CNT220" s="73"/>
      <c r="CNU220" s="73"/>
      <c r="CNV220" s="73"/>
      <c r="CNW220" s="73"/>
      <c r="CNX220" s="73"/>
      <c r="CNY220" s="73"/>
      <c r="CNZ220" s="73"/>
      <c r="COA220" s="73"/>
      <c r="COB220" s="73"/>
      <c r="COC220" s="73"/>
      <c r="COD220" s="73"/>
      <c r="COE220" s="73"/>
      <c r="COF220" s="73"/>
      <c r="COG220" s="73"/>
      <c r="COH220" s="73"/>
      <c r="COI220" s="73"/>
      <c r="COJ220" s="73"/>
      <c r="COK220" s="73"/>
      <c r="COL220" s="73"/>
      <c r="COM220" s="73"/>
      <c r="CON220" s="73"/>
      <c r="COO220" s="73"/>
      <c r="COP220" s="73"/>
      <c r="COQ220" s="73"/>
      <c r="COR220" s="73"/>
      <c r="COS220" s="73"/>
      <c r="COT220" s="73"/>
      <c r="COU220" s="73"/>
      <c r="COV220" s="73"/>
      <c r="COW220" s="73"/>
      <c r="COX220" s="73"/>
      <c r="COY220" s="73"/>
      <c r="COZ220" s="73"/>
      <c r="CPA220" s="73"/>
      <c r="CPB220" s="73"/>
      <c r="CPC220" s="73"/>
      <c r="CPD220" s="73"/>
      <c r="CPE220" s="73"/>
      <c r="CPF220" s="73"/>
      <c r="CPG220" s="73"/>
      <c r="CPH220" s="73"/>
      <c r="CPI220" s="73"/>
      <c r="CPJ220" s="73"/>
      <c r="CPK220" s="73"/>
      <c r="CPL220" s="73"/>
      <c r="CPM220" s="73"/>
      <c r="CPN220" s="73"/>
      <c r="CPO220" s="73"/>
      <c r="CPP220" s="73"/>
      <c r="CPQ220" s="73"/>
      <c r="CPR220" s="73"/>
      <c r="CPS220" s="73"/>
      <c r="CPT220" s="73"/>
      <c r="CPU220" s="73"/>
      <c r="CPV220" s="73"/>
      <c r="CPW220" s="73"/>
      <c r="CPX220" s="73"/>
      <c r="CPY220" s="73"/>
      <c r="CPZ220" s="73"/>
      <c r="CQA220" s="73"/>
      <c r="CQB220" s="73"/>
      <c r="CQC220" s="73"/>
      <c r="CQD220" s="73"/>
      <c r="CQE220" s="73"/>
      <c r="CQF220" s="73"/>
      <c r="CQG220" s="73"/>
      <c r="CQH220" s="73"/>
      <c r="CQI220" s="73"/>
      <c r="CQJ220" s="73"/>
      <c r="CQK220" s="73"/>
      <c r="CQL220" s="73"/>
      <c r="CQM220" s="73"/>
      <c r="CQN220" s="73"/>
      <c r="CQO220" s="73"/>
      <c r="CQP220" s="73"/>
      <c r="CQQ220" s="73"/>
      <c r="CQR220" s="73"/>
      <c r="CQS220" s="73"/>
      <c r="CQT220" s="73"/>
      <c r="CQU220" s="73"/>
      <c r="CQV220" s="73"/>
      <c r="CQW220" s="73"/>
      <c r="CQX220" s="73"/>
      <c r="CQY220" s="73"/>
      <c r="CQZ220" s="73"/>
      <c r="CRA220" s="73"/>
      <c r="CRB220" s="73"/>
      <c r="CRC220" s="73"/>
      <c r="CRD220" s="73"/>
      <c r="CRE220" s="73"/>
      <c r="CRF220" s="73"/>
      <c r="CRG220" s="73"/>
      <c r="CRH220" s="73"/>
      <c r="CRI220" s="73"/>
      <c r="CRJ220" s="73"/>
      <c r="CRK220" s="73"/>
      <c r="CRL220" s="73"/>
      <c r="CRM220" s="73"/>
      <c r="CRN220" s="73"/>
      <c r="CRO220" s="73"/>
      <c r="CRP220" s="73"/>
      <c r="CRQ220" s="73"/>
      <c r="CRR220" s="73"/>
      <c r="CRS220" s="73"/>
      <c r="CRT220" s="73"/>
      <c r="CRU220" s="73"/>
      <c r="CRV220" s="73"/>
      <c r="CRW220" s="73"/>
      <c r="CRX220" s="73"/>
      <c r="CRY220" s="73"/>
      <c r="CRZ220" s="73"/>
      <c r="CSA220" s="73"/>
      <c r="CSB220" s="73"/>
      <c r="CSC220" s="73"/>
      <c r="CSD220" s="73"/>
      <c r="CSE220" s="73"/>
      <c r="CSF220" s="73"/>
      <c r="CSG220" s="73"/>
      <c r="CSH220" s="73"/>
      <c r="CSI220" s="73"/>
      <c r="CSJ220" s="73"/>
      <c r="CSK220" s="73"/>
      <c r="CSL220" s="73"/>
      <c r="CSM220" s="73"/>
      <c r="CSN220" s="73"/>
      <c r="CSO220" s="73"/>
      <c r="CSP220" s="73"/>
      <c r="CSQ220" s="73"/>
      <c r="CSR220" s="73"/>
      <c r="CSS220" s="73"/>
      <c r="CST220" s="73"/>
      <c r="CSU220" s="73"/>
      <c r="CSV220" s="73"/>
      <c r="CSW220" s="73"/>
      <c r="CSX220" s="73"/>
      <c r="CSY220" s="73"/>
      <c r="CSZ220" s="73"/>
      <c r="CTA220" s="73"/>
      <c r="CTB220" s="73"/>
      <c r="CTC220" s="73"/>
      <c r="CTD220" s="73"/>
      <c r="CTE220" s="73"/>
      <c r="CTF220" s="73"/>
      <c r="CTG220" s="73"/>
      <c r="CTH220" s="73"/>
      <c r="CTI220" s="73"/>
      <c r="CTJ220" s="73"/>
      <c r="CTK220" s="73"/>
      <c r="CTL220" s="73"/>
      <c r="CTM220" s="73"/>
      <c r="CTN220" s="73"/>
      <c r="CTO220" s="73"/>
      <c r="CTP220" s="73"/>
      <c r="CTQ220" s="73"/>
      <c r="CTR220" s="73"/>
      <c r="CTS220" s="73"/>
      <c r="CTT220" s="73"/>
      <c r="CTU220" s="73"/>
      <c r="CTV220" s="73"/>
      <c r="CTW220" s="73"/>
      <c r="CTX220" s="73"/>
      <c r="CTY220" s="73"/>
      <c r="CTZ220" s="73"/>
      <c r="CUA220" s="73"/>
      <c r="CUB220" s="73"/>
      <c r="CUC220" s="73"/>
      <c r="CUD220" s="73"/>
      <c r="CUE220" s="73"/>
      <c r="CUF220" s="73"/>
      <c r="CUG220" s="73"/>
      <c r="CUH220" s="73"/>
      <c r="CUI220" s="73"/>
      <c r="CUJ220" s="73"/>
      <c r="CUK220" s="73"/>
      <c r="CUL220" s="73"/>
      <c r="CUM220" s="73"/>
      <c r="CUN220" s="73"/>
      <c r="CUO220" s="73"/>
      <c r="CUP220" s="73"/>
      <c r="CUQ220" s="73"/>
      <c r="CUR220" s="73"/>
      <c r="CUS220" s="73"/>
      <c r="CUT220" s="73"/>
      <c r="CUU220" s="73"/>
      <c r="CUV220" s="73"/>
      <c r="CUW220" s="73"/>
      <c r="CUX220" s="73"/>
      <c r="CUY220" s="73"/>
      <c r="CUZ220" s="73"/>
      <c r="CVA220" s="73"/>
      <c r="CVB220" s="73"/>
      <c r="CVC220" s="73"/>
      <c r="CVD220" s="73"/>
      <c r="CVE220" s="73"/>
      <c r="CVF220" s="73"/>
      <c r="CVG220" s="73"/>
      <c r="CVH220" s="73"/>
      <c r="CVI220" s="73"/>
      <c r="CVJ220" s="73"/>
      <c r="CVK220" s="73"/>
      <c r="CVL220" s="73"/>
      <c r="CVM220" s="73"/>
      <c r="CVN220" s="73"/>
      <c r="CVO220" s="73"/>
      <c r="CVP220" s="73"/>
      <c r="CVQ220" s="73"/>
      <c r="CVR220" s="73"/>
      <c r="CVS220" s="73"/>
      <c r="CVT220" s="73"/>
      <c r="CVU220" s="73"/>
      <c r="CVV220" s="73"/>
      <c r="CVW220" s="73"/>
      <c r="CVX220" s="73"/>
      <c r="CVY220" s="73"/>
      <c r="CVZ220" s="73"/>
      <c r="CWA220" s="73"/>
      <c r="CWB220" s="73"/>
      <c r="CWC220" s="73"/>
      <c r="CWD220" s="73"/>
      <c r="CWE220" s="73"/>
      <c r="CWF220" s="73"/>
      <c r="CWG220" s="73"/>
      <c r="CWH220" s="73"/>
      <c r="CWI220" s="73"/>
      <c r="CWJ220" s="73"/>
      <c r="CWK220" s="73"/>
      <c r="CWL220" s="73"/>
      <c r="CWM220" s="73"/>
      <c r="CWN220" s="73"/>
      <c r="CWO220" s="73"/>
      <c r="CWP220" s="73"/>
      <c r="CWQ220" s="73"/>
      <c r="CWR220" s="73"/>
      <c r="CWS220" s="73"/>
      <c r="CWT220" s="73"/>
      <c r="CWU220" s="73"/>
      <c r="CWV220" s="73"/>
      <c r="CWW220" s="73"/>
      <c r="CWX220" s="73"/>
      <c r="CWY220" s="73"/>
      <c r="CWZ220" s="73"/>
      <c r="CXA220" s="73"/>
      <c r="CXB220" s="73"/>
      <c r="CXC220" s="73"/>
      <c r="CXD220" s="73"/>
      <c r="CXE220" s="73"/>
      <c r="CXF220" s="73"/>
      <c r="CXG220" s="73"/>
      <c r="CXH220" s="73"/>
      <c r="CXI220" s="73"/>
      <c r="CXJ220" s="73"/>
      <c r="CXK220" s="73"/>
      <c r="CXL220" s="73"/>
      <c r="CXM220" s="73"/>
      <c r="CXN220" s="73"/>
      <c r="CXO220" s="73"/>
      <c r="CXP220" s="73"/>
      <c r="CXQ220" s="73"/>
      <c r="CXR220" s="73"/>
      <c r="CXS220" s="73"/>
      <c r="CXT220" s="73"/>
      <c r="CXU220" s="73"/>
      <c r="CXV220" s="73"/>
      <c r="CXW220" s="73"/>
      <c r="CXX220" s="73"/>
      <c r="CXY220" s="73"/>
      <c r="CXZ220" s="73"/>
      <c r="CYA220" s="73"/>
      <c r="CYB220" s="73"/>
      <c r="CYC220" s="73"/>
      <c r="CYD220" s="73"/>
      <c r="CYE220" s="73"/>
      <c r="CYF220" s="73"/>
      <c r="CYG220" s="73"/>
      <c r="CYH220" s="73"/>
      <c r="CYI220" s="73"/>
      <c r="CYJ220" s="73"/>
      <c r="CYK220" s="73"/>
      <c r="CYL220" s="73"/>
      <c r="CYM220" s="73"/>
      <c r="CYN220" s="73"/>
      <c r="CYO220" s="73"/>
      <c r="CYP220" s="73"/>
      <c r="CYQ220" s="73"/>
      <c r="CYR220" s="73"/>
      <c r="CYS220" s="73"/>
      <c r="CYT220" s="73"/>
      <c r="CYU220" s="73"/>
      <c r="CYV220" s="73"/>
      <c r="CYW220" s="73"/>
      <c r="CYX220" s="73"/>
      <c r="CYY220" s="73"/>
      <c r="CYZ220" s="73"/>
      <c r="CZA220" s="73"/>
      <c r="CZB220" s="73"/>
      <c r="CZC220" s="73"/>
      <c r="CZD220" s="73"/>
      <c r="CZE220" s="73"/>
      <c r="CZF220" s="73"/>
      <c r="CZG220" s="73"/>
      <c r="CZH220" s="73"/>
      <c r="CZI220" s="73"/>
      <c r="CZJ220" s="73"/>
      <c r="CZK220" s="73"/>
      <c r="CZL220" s="73"/>
      <c r="CZM220" s="73"/>
      <c r="CZN220" s="73"/>
      <c r="CZO220" s="73"/>
      <c r="CZP220" s="73"/>
      <c r="CZQ220" s="73"/>
      <c r="CZR220" s="73"/>
      <c r="CZS220" s="73"/>
      <c r="CZT220" s="73"/>
      <c r="CZU220" s="73"/>
      <c r="CZV220" s="73"/>
      <c r="CZW220" s="73"/>
      <c r="CZX220" s="73"/>
      <c r="CZY220" s="73"/>
      <c r="CZZ220" s="73"/>
      <c r="DAA220" s="73"/>
      <c r="DAB220" s="73"/>
      <c r="DAC220" s="73"/>
      <c r="DAD220" s="73"/>
      <c r="DAE220" s="73"/>
      <c r="DAF220" s="73"/>
      <c r="DAG220" s="73"/>
      <c r="DAH220" s="73"/>
      <c r="DAI220" s="73"/>
      <c r="DAJ220" s="73"/>
      <c r="DAK220" s="73"/>
      <c r="DAL220" s="73"/>
      <c r="DAM220" s="73"/>
      <c r="DAN220" s="73"/>
      <c r="DAO220" s="73"/>
      <c r="DAP220" s="73"/>
      <c r="DAQ220" s="73"/>
      <c r="DAR220" s="73"/>
      <c r="DAS220" s="73"/>
      <c r="DAT220" s="73"/>
      <c r="DAU220" s="73"/>
      <c r="DAV220" s="73"/>
      <c r="DAW220" s="73"/>
      <c r="DAX220" s="73"/>
      <c r="DAY220" s="73"/>
      <c r="DAZ220" s="73"/>
      <c r="DBA220" s="73"/>
      <c r="DBB220" s="73"/>
      <c r="DBC220" s="73"/>
      <c r="DBD220" s="73"/>
      <c r="DBE220" s="73"/>
      <c r="DBF220" s="73"/>
      <c r="DBG220" s="73"/>
      <c r="DBH220" s="73"/>
      <c r="DBI220" s="73"/>
      <c r="DBJ220" s="73"/>
      <c r="DBK220" s="73"/>
      <c r="DBL220" s="73"/>
      <c r="DBM220" s="73"/>
      <c r="DBN220" s="73"/>
      <c r="DBO220" s="73"/>
      <c r="DBP220" s="73"/>
      <c r="DBQ220" s="73"/>
      <c r="DBR220" s="73"/>
      <c r="DBS220" s="73"/>
      <c r="DBT220" s="73"/>
      <c r="DBU220" s="73"/>
      <c r="DBV220" s="73"/>
      <c r="DBW220" s="73"/>
      <c r="DBX220" s="73"/>
      <c r="DBY220" s="73"/>
      <c r="DBZ220" s="73"/>
      <c r="DCA220" s="73"/>
      <c r="DCB220" s="73"/>
      <c r="DCC220" s="73"/>
      <c r="DCD220" s="73"/>
      <c r="DCE220" s="73"/>
      <c r="DCF220" s="73"/>
      <c r="DCG220" s="73"/>
      <c r="DCH220" s="73"/>
      <c r="DCI220" s="73"/>
      <c r="DCJ220" s="73"/>
      <c r="DCK220" s="73"/>
      <c r="DCL220" s="73"/>
      <c r="DCM220" s="73"/>
      <c r="DCN220" s="73"/>
      <c r="DCO220" s="73"/>
      <c r="DCP220" s="73"/>
      <c r="DCQ220" s="73"/>
      <c r="DCR220" s="73"/>
      <c r="DCS220" s="73"/>
      <c r="DCT220" s="73"/>
      <c r="DCU220" s="73"/>
      <c r="DCV220" s="73"/>
      <c r="DCW220" s="73"/>
      <c r="DCX220" s="73"/>
      <c r="DCY220" s="73"/>
      <c r="DCZ220" s="73"/>
      <c r="DDA220" s="73"/>
      <c r="DDB220" s="73"/>
      <c r="DDC220" s="73"/>
      <c r="DDD220" s="73"/>
      <c r="DDE220" s="73"/>
      <c r="DDF220" s="73"/>
      <c r="DDG220" s="73"/>
      <c r="DDH220" s="73"/>
      <c r="DDI220" s="73"/>
      <c r="DDJ220" s="73"/>
      <c r="DDK220" s="73"/>
      <c r="DDL220" s="73"/>
      <c r="DDM220" s="73"/>
      <c r="DDN220" s="73"/>
      <c r="DDO220" s="73"/>
      <c r="DDP220" s="73"/>
      <c r="DDQ220" s="73"/>
      <c r="DDR220" s="73"/>
      <c r="DDS220" s="73"/>
      <c r="DDT220" s="73"/>
      <c r="DDU220" s="73"/>
      <c r="DDV220" s="73"/>
      <c r="DDW220" s="73"/>
      <c r="DDX220" s="73"/>
      <c r="DDY220" s="73"/>
      <c r="DDZ220" s="73"/>
      <c r="DEA220" s="73"/>
      <c r="DEB220" s="73"/>
      <c r="DEC220" s="73"/>
      <c r="DED220" s="73"/>
      <c r="DEE220" s="73"/>
      <c r="DEF220" s="73"/>
      <c r="DEG220" s="73"/>
      <c r="DEH220" s="73"/>
      <c r="DEI220" s="73"/>
      <c r="DEJ220" s="73"/>
      <c r="DEK220" s="73"/>
      <c r="DEL220" s="73"/>
      <c r="DEM220" s="73"/>
      <c r="DEN220" s="73"/>
      <c r="DEO220" s="73"/>
      <c r="DEP220" s="73"/>
      <c r="DEQ220" s="73"/>
      <c r="DER220" s="73"/>
      <c r="DES220" s="73"/>
      <c r="DET220" s="73"/>
      <c r="DEU220" s="73"/>
      <c r="DEV220" s="73"/>
      <c r="DEW220" s="73"/>
      <c r="DEX220" s="73"/>
      <c r="DEY220" s="73"/>
      <c r="DEZ220" s="73"/>
      <c r="DFA220" s="73"/>
      <c r="DFB220" s="73"/>
      <c r="DFC220" s="73"/>
      <c r="DFD220" s="73"/>
      <c r="DFE220" s="73"/>
      <c r="DFF220" s="73"/>
      <c r="DFG220" s="73"/>
      <c r="DFH220" s="73"/>
      <c r="DFI220" s="73"/>
      <c r="DFJ220" s="73"/>
      <c r="DFK220" s="73"/>
      <c r="DFL220" s="73"/>
      <c r="DFM220" s="73"/>
      <c r="DFN220" s="73"/>
      <c r="DFO220" s="73"/>
      <c r="DFP220" s="73"/>
      <c r="DFQ220" s="73"/>
      <c r="DFR220" s="73"/>
      <c r="DFS220" s="73"/>
      <c r="DFT220" s="73"/>
      <c r="DFU220" s="73"/>
      <c r="DFV220" s="73"/>
      <c r="DFW220" s="73"/>
      <c r="DFX220" s="73"/>
      <c r="DFY220" s="73"/>
      <c r="DFZ220" s="73"/>
      <c r="DGA220" s="73"/>
      <c r="DGB220" s="73"/>
      <c r="DGC220" s="73"/>
      <c r="DGD220" s="73"/>
      <c r="DGE220" s="73"/>
      <c r="DGF220" s="73"/>
      <c r="DGG220" s="73"/>
      <c r="DGH220" s="73"/>
      <c r="DGI220" s="73"/>
      <c r="DGJ220" s="73"/>
      <c r="DGK220" s="73"/>
      <c r="DGL220" s="73"/>
      <c r="DGM220" s="73"/>
      <c r="DGN220" s="73"/>
      <c r="DGO220" s="73"/>
      <c r="DGP220" s="73"/>
      <c r="DGQ220" s="73"/>
      <c r="DGR220" s="73"/>
      <c r="DGS220" s="73"/>
      <c r="DGT220" s="73"/>
      <c r="DGU220" s="73"/>
      <c r="DGV220" s="73"/>
      <c r="DGW220" s="73"/>
      <c r="DGX220" s="73"/>
      <c r="DGY220" s="73"/>
      <c r="DGZ220" s="73"/>
      <c r="DHA220" s="73"/>
      <c r="DHB220" s="73"/>
      <c r="DHC220" s="73"/>
      <c r="DHD220" s="73"/>
      <c r="DHE220" s="73"/>
      <c r="DHF220" s="73"/>
      <c r="DHG220" s="73"/>
      <c r="DHH220" s="73"/>
      <c r="DHI220" s="73"/>
      <c r="DHJ220" s="73"/>
      <c r="DHK220" s="73"/>
      <c r="DHL220" s="73"/>
      <c r="DHM220" s="73"/>
      <c r="DHN220" s="73"/>
      <c r="DHO220" s="73"/>
      <c r="DHP220" s="73"/>
      <c r="DHQ220" s="73"/>
      <c r="DHR220" s="73"/>
      <c r="DHS220" s="73"/>
      <c r="DHT220" s="73"/>
      <c r="DHU220" s="73"/>
      <c r="DHV220" s="73"/>
      <c r="DHW220" s="73"/>
      <c r="DHX220" s="73"/>
      <c r="DHY220" s="73"/>
      <c r="DHZ220" s="73"/>
      <c r="DIA220" s="73"/>
      <c r="DIB220" s="73"/>
      <c r="DIC220" s="73"/>
      <c r="DID220" s="73"/>
      <c r="DIE220" s="73"/>
      <c r="DIF220" s="73"/>
      <c r="DIG220" s="73"/>
      <c r="DIH220" s="73"/>
      <c r="DII220" s="73"/>
      <c r="DIJ220" s="73"/>
      <c r="DIK220" s="73"/>
      <c r="DIL220" s="73"/>
      <c r="DIM220" s="73"/>
      <c r="DIN220" s="73"/>
      <c r="DIO220" s="73"/>
      <c r="DIP220" s="73"/>
      <c r="DIQ220" s="73"/>
      <c r="DIR220" s="73"/>
      <c r="DIS220" s="73"/>
      <c r="DIT220" s="73"/>
      <c r="DIU220" s="73"/>
      <c r="DIV220" s="73"/>
      <c r="DIW220" s="73"/>
      <c r="DIX220" s="73"/>
      <c r="DIY220" s="73"/>
      <c r="DIZ220" s="73"/>
      <c r="DJA220" s="73"/>
      <c r="DJB220" s="73"/>
      <c r="DJC220" s="73"/>
      <c r="DJD220" s="73"/>
      <c r="DJE220" s="73"/>
      <c r="DJF220" s="73"/>
      <c r="DJG220" s="73"/>
      <c r="DJH220" s="73"/>
      <c r="DJI220" s="73"/>
      <c r="DJJ220" s="73"/>
      <c r="DJK220" s="73"/>
      <c r="DJL220" s="73"/>
      <c r="DJM220" s="73"/>
      <c r="DJN220" s="73"/>
      <c r="DJO220" s="73"/>
      <c r="DJP220" s="73"/>
      <c r="DJQ220" s="73"/>
      <c r="DJR220" s="73"/>
      <c r="DJS220" s="73"/>
      <c r="DJT220" s="73"/>
      <c r="DJU220" s="73"/>
      <c r="DJV220" s="73"/>
      <c r="DJW220" s="73"/>
      <c r="DJX220" s="73"/>
      <c r="DJY220" s="73"/>
      <c r="DJZ220" s="73"/>
      <c r="DKA220" s="73"/>
      <c r="DKB220" s="73"/>
      <c r="DKC220" s="73"/>
      <c r="DKD220" s="73"/>
      <c r="DKE220" s="73"/>
      <c r="DKF220" s="73"/>
      <c r="DKG220" s="73"/>
      <c r="DKH220" s="73"/>
      <c r="DKI220" s="73"/>
      <c r="DKJ220" s="73"/>
      <c r="DKK220" s="73"/>
      <c r="DKL220" s="73"/>
      <c r="DKM220" s="73"/>
      <c r="DKN220" s="73"/>
      <c r="DKO220" s="73"/>
      <c r="DKP220" s="73"/>
      <c r="DKQ220" s="73"/>
      <c r="DKR220" s="73"/>
      <c r="DKS220" s="73"/>
      <c r="DKT220" s="73"/>
      <c r="DKU220" s="73"/>
      <c r="DKV220" s="73"/>
      <c r="DKW220" s="73"/>
      <c r="DKX220" s="73"/>
      <c r="DKY220" s="73"/>
      <c r="DKZ220" s="73"/>
      <c r="DLA220" s="73"/>
      <c r="DLB220" s="73"/>
      <c r="DLC220" s="73"/>
      <c r="DLD220" s="73"/>
      <c r="DLE220" s="73"/>
      <c r="DLF220" s="73"/>
      <c r="DLG220" s="73"/>
      <c r="DLH220" s="73"/>
      <c r="DLI220" s="73"/>
      <c r="DLJ220" s="73"/>
      <c r="DLK220" s="73"/>
      <c r="DLL220" s="73"/>
      <c r="DLM220" s="73"/>
      <c r="DLN220" s="73"/>
      <c r="DLO220" s="73"/>
      <c r="DLP220" s="73"/>
      <c r="DLQ220" s="73"/>
      <c r="DLR220" s="73"/>
      <c r="DLS220" s="73"/>
      <c r="DLT220" s="73"/>
      <c r="DLU220" s="73"/>
      <c r="DLV220" s="73"/>
      <c r="DLW220" s="73"/>
      <c r="DLX220" s="73"/>
      <c r="DLY220" s="73"/>
      <c r="DLZ220" s="73"/>
      <c r="DMA220" s="73"/>
      <c r="DMB220" s="73"/>
      <c r="DMC220" s="73"/>
      <c r="DMD220" s="73"/>
      <c r="DME220" s="73"/>
      <c r="DMF220" s="73"/>
      <c r="DMG220" s="73"/>
      <c r="DMH220" s="73"/>
      <c r="DMI220" s="73"/>
      <c r="DMJ220" s="73"/>
      <c r="DMK220" s="73"/>
      <c r="DML220" s="73"/>
      <c r="DMM220" s="73"/>
      <c r="DMN220" s="73"/>
      <c r="DMO220" s="73"/>
      <c r="DMP220" s="73"/>
      <c r="DMQ220" s="73"/>
      <c r="DMR220" s="73"/>
      <c r="DMS220" s="73"/>
      <c r="DMT220" s="73"/>
      <c r="DMU220" s="73"/>
      <c r="DMV220" s="73"/>
      <c r="DMW220" s="73"/>
      <c r="DMX220" s="73"/>
      <c r="DMY220" s="73"/>
      <c r="DMZ220" s="73"/>
      <c r="DNA220" s="73"/>
      <c r="DNB220" s="73"/>
      <c r="DNC220" s="73"/>
      <c r="DND220" s="73"/>
      <c r="DNE220" s="73"/>
      <c r="DNF220" s="73"/>
      <c r="DNG220" s="73"/>
      <c r="DNH220" s="73"/>
      <c r="DNI220" s="73"/>
      <c r="DNJ220" s="73"/>
      <c r="DNK220" s="73"/>
      <c r="DNL220" s="73"/>
      <c r="DNM220" s="73"/>
      <c r="DNN220" s="73"/>
      <c r="DNO220" s="73"/>
      <c r="DNP220" s="73"/>
      <c r="DNQ220" s="73"/>
      <c r="DNR220" s="73"/>
      <c r="DNS220" s="73"/>
      <c r="DNT220" s="73"/>
      <c r="DNU220" s="73"/>
      <c r="DNV220" s="73"/>
      <c r="DNW220" s="73"/>
      <c r="DNX220" s="73"/>
      <c r="DNY220" s="73"/>
      <c r="DNZ220" s="73"/>
      <c r="DOA220" s="73"/>
      <c r="DOB220" s="73"/>
      <c r="DOC220" s="73"/>
      <c r="DOD220" s="73"/>
      <c r="DOE220" s="73"/>
      <c r="DOF220" s="73"/>
      <c r="DOG220" s="73"/>
      <c r="DOH220" s="73"/>
      <c r="DOI220" s="73"/>
      <c r="DOJ220" s="73"/>
      <c r="DOK220" s="73"/>
      <c r="DOL220" s="73"/>
      <c r="DOM220" s="73"/>
      <c r="DON220" s="73"/>
      <c r="DOO220" s="73"/>
      <c r="DOP220" s="73"/>
      <c r="DOQ220" s="73"/>
      <c r="DOR220" s="73"/>
      <c r="DOS220" s="73"/>
      <c r="DOT220" s="73"/>
      <c r="DOU220" s="73"/>
      <c r="DOV220" s="73"/>
      <c r="DOW220" s="73"/>
      <c r="DOX220" s="73"/>
      <c r="DOY220" s="73"/>
      <c r="DOZ220" s="73"/>
      <c r="DPA220" s="73"/>
      <c r="DPB220" s="73"/>
      <c r="DPC220" s="73"/>
      <c r="DPD220" s="73"/>
      <c r="DPE220" s="73"/>
      <c r="DPF220" s="73"/>
      <c r="DPG220" s="73"/>
      <c r="DPH220" s="73"/>
      <c r="DPI220" s="73"/>
      <c r="DPJ220" s="73"/>
      <c r="DPK220" s="73"/>
      <c r="DPL220" s="73"/>
      <c r="DPM220" s="73"/>
      <c r="DPN220" s="73"/>
      <c r="DPO220" s="73"/>
      <c r="DPP220" s="73"/>
      <c r="DPQ220" s="73"/>
      <c r="DPR220" s="73"/>
      <c r="DPS220" s="73"/>
      <c r="DPT220" s="73"/>
      <c r="DPU220" s="73"/>
      <c r="DPV220" s="73"/>
      <c r="DPW220" s="73"/>
      <c r="DPX220" s="73"/>
      <c r="DPY220" s="73"/>
      <c r="DPZ220" s="73"/>
      <c r="DQA220" s="73"/>
      <c r="DQB220" s="73"/>
      <c r="DQC220" s="73"/>
      <c r="DQD220" s="73"/>
      <c r="DQE220" s="73"/>
      <c r="DQF220" s="73"/>
      <c r="DQG220" s="73"/>
      <c r="DQH220" s="73"/>
      <c r="DQI220" s="73"/>
      <c r="DQJ220" s="73"/>
      <c r="DQK220" s="73"/>
      <c r="DQL220" s="73"/>
      <c r="DQM220" s="73"/>
      <c r="DQN220" s="73"/>
      <c r="DQO220" s="73"/>
      <c r="DQP220" s="73"/>
      <c r="DQQ220" s="73"/>
      <c r="DQR220" s="73"/>
      <c r="DQS220" s="73"/>
      <c r="DQT220" s="73"/>
      <c r="DQU220" s="73"/>
      <c r="DQV220" s="73"/>
      <c r="DQW220" s="73"/>
      <c r="DQX220" s="73"/>
      <c r="DQY220" s="73"/>
      <c r="DQZ220" s="73"/>
      <c r="DRA220" s="73"/>
      <c r="DRB220" s="73"/>
      <c r="DRC220" s="73"/>
      <c r="DRD220" s="73"/>
      <c r="DRE220" s="73"/>
      <c r="DRF220" s="73"/>
      <c r="DRG220" s="73"/>
      <c r="DRH220" s="73"/>
      <c r="DRI220" s="73"/>
      <c r="DRJ220" s="73"/>
      <c r="DRK220" s="73"/>
      <c r="DRL220" s="73"/>
      <c r="DRM220" s="73"/>
      <c r="DRN220" s="73"/>
      <c r="DRO220" s="73"/>
      <c r="DRP220" s="73"/>
      <c r="DRQ220" s="73"/>
      <c r="DRR220" s="73"/>
      <c r="DRS220" s="73"/>
      <c r="DRT220" s="73"/>
      <c r="DRU220" s="73"/>
      <c r="DRV220" s="73"/>
      <c r="DRW220" s="73"/>
      <c r="DRX220" s="73"/>
      <c r="DRY220" s="73"/>
      <c r="DRZ220" s="73"/>
      <c r="DSA220" s="73"/>
      <c r="DSB220" s="73"/>
      <c r="DSC220" s="73"/>
      <c r="DSD220" s="73"/>
      <c r="DSE220" s="73"/>
      <c r="DSF220" s="73"/>
      <c r="DSG220" s="73"/>
      <c r="DSH220" s="73"/>
      <c r="DSI220" s="73"/>
      <c r="DSJ220" s="73"/>
      <c r="DSK220" s="73"/>
      <c r="DSL220" s="73"/>
      <c r="DSM220" s="73"/>
      <c r="DSN220" s="73"/>
      <c r="DSO220" s="73"/>
      <c r="DSP220" s="73"/>
      <c r="DSQ220" s="73"/>
      <c r="DSR220" s="73"/>
      <c r="DSS220" s="73"/>
      <c r="DST220" s="73"/>
      <c r="DSU220" s="73"/>
      <c r="DSV220" s="73"/>
      <c r="DSW220" s="73"/>
      <c r="DSX220" s="73"/>
      <c r="DSY220" s="73"/>
      <c r="DSZ220" s="73"/>
      <c r="DTA220" s="73"/>
      <c r="DTB220" s="73"/>
      <c r="DTC220" s="73"/>
      <c r="DTD220" s="73"/>
      <c r="DTE220" s="73"/>
      <c r="DTF220" s="73"/>
      <c r="DTG220" s="73"/>
      <c r="DTH220" s="73"/>
      <c r="DTI220" s="73"/>
      <c r="DTJ220" s="73"/>
      <c r="DTK220" s="73"/>
      <c r="DTL220" s="73"/>
      <c r="DTM220" s="73"/>
      <c r="DTN220" s="73"/>
      <c r="DTO220" s="73"/>
      <c r="DTP220" s="73"/>
      <c r="DTQ220" s="73"/>
      <c r="DTR220" s="73"/>
      <c r="DTS220" s="73"/>
      <c r="DTT220" s="73"/>
      <c r="DTU220" s="73"/>
      <c r="DTV220" s="73"/>
      <c r="DTW220" s="73"/>
      <c r="DTX220" s="73"/>
      <c r="DTY220" s="73"/>
      <c r="DTZ220" s="73"/>
      <c r="DUA220" s="73"/>
      <c r="DUB220" s="73"/>
      <c r="DUC220" s="73"/>
      <c r="DUD220" s="73"/>
      <c r="DUE220" s="73"/>
      <c r="DUF220" s="73"/>
      <c r="DUG220" s="73"/>
      <c r="DUH220" s="73"/>
      <c r="DUI220" s="73"/>
      <c r="DUJ220" s="73"/>
      <c r="DUK220" s="73"/>
      <c r="DUL220" s="73"/>
      <c r="DUM220" s="73"/>
      <c r="DUN220" s="73"/>
      <c r="DUO220" s="73"/>
      <c r="DUP220" s="73"/>
      <c r="DUQ220" s="73"/>
      <c r="DUR220" s="73"/>
      <c r="DUS220" s="73"/>
      <c r="DUT220" s="73"/>
      <c r="DUU220" s="73"/>
      <c r="DUV220" s="73"/>
      <c r="DUW220" s="73"/>
      <c r="DUX220" s="73"/>
      <c r="DUY220" s="73"/>
      <c r="DUZ220" s="73"/>
      <c r="DVA220" s="73"/>
      <c r="DVB220" s="73"/>
      <c r="DVC220" s="73"/>
      <c r="DVD220" s="73"/>
      <c r="DVE220" s="73"/>
      <c r="DVF220" s="73"/>
      <c r="DVG220" s="73"/>
      <c r="DVH220" s="73"/>
      <c r="DVI220" s="73"/>
      <c r="DVJ220" s="73"/>
      <c r="DVK220" s="73"/>
      <c r="DVL220" s="73"/>
      <c r="DVM220" s="73"/>
      <c r="DVN220" s="73"/>
      <c r="DVO220" s="73"/>
      <c r="DVP220" s="73"/>
      <c r="DVQ220" s="73"/>
      <c r="DVR220" s="73"/>
      <c r="DVS220" s="73"/>
      <c r="DVT220" s="73"/>
      <c r="DVU220" s="73"/>
      <c r="DVV220" s="73"/>
      <c r="DVW220" s="73"/>
      <c r="DVX220" s="73"/>
      <c r="DVY220" s="73"/>
      <c r="DVZ220" s="73"/>
      <c r="DWA220" s="73"/>
      <c r="DWB220" s="73"/>
      <c r="DWC220" s="73"/>
      <c r="DWD220" s="73"/>
      <c r="DWE220" s="73"/>
      <c r="DWF220" s="73"/>
      <c r="DWG220" s="73"/>
      <c r="DWH220" s="73"/>
      <c r="DWI220" s="73"/>
      <c r="DWJ220" s="73"/>
      <c r="DWK220" s="73"/>
      <c r="DWL220" s="73"/>
      <c r="DWM220" s="73"/>
      <c r="DWN220" s="73"/>
      <c r="DWO220" s="73"/>
      <c r="DWP220" s="73"/>
      <c r="DWQ220" s="73"/>
      <c r="DWR220" s="73"/>
      <c r="DWS220" s="73"/>
      <c r="DWT220" s="73"/>
      <c r="DWU220" s="73"/>
      <c r="DWV220" s="73"/>
      <c r="DWW220" s="73"/>
      <c r="DWX220" s="73"/>
      <c r="DWY220" s="73"/>
      <c r="DWZ220" s="73"/>
      <c r="DXA220" s="73"/>
      <c r="DXB220" s="73"/>
      <c r="DXC220" s="73"/>
      <c r="DXD220" s="73"/>
      <c r="DXE220" s="73"/>
      <c r="DXF220" s="73"/>
      <c r="DXG220" s="73"/>
      <c r="DXH220" s="73"/>
      <c r="DXI220" s="73"/>
      <c r="DXJ220" s="73"/>
      <c r="DXK220" s="73"/>
      <c r="DXL220" s="73"/>
      <c r="DXM220" s="73"/>
      <c r="DXN220" s="73"/>
      <c r="DXO220" s="73"/>
      <c r="DXP220" s="73"/>
      <c r="DXQ220" s="73"/>
      <c r="DXR220" s="73"/>
      <c r="DXS220" s="73"/>
      <c r="DXT220" s="73"/>
      <c r="DXU220" s="73"/>
      <c r="DXV220" s="73"/>
      <c r="DXW220" s="73"/>
      <c r="DXX220" s="73"/>
      <c r="DXY220" s="73"/>
      <c r="DXZ220" s="73"/>
      <c r="DYA220" s="73"/>
      <c r="DYB220" s="73"/>
      <c r="DYC220" s="73"/>
      <c r="DYD220" s="73"/>
      <c r="DYE220" s="73"/>
      <c r="DYF220" s="73"/>
      <c r="DYG220" s="73"/>
      <c r="DYH220" s="73"/>
      <c r="DYI220" s="73"/>
      <c r="DYJ220" s="73"/>
      <c r="DYK220" s="73"/>
      <c r="DYL220" s="73"/>
      <c r="DYM220" s="73"/>
      <c r="DYN220" s="73"/>
      <c r="DYO220" s="73"/>
      <c r="DYP220" s="73"/>
      <c r="DYQ220" s="73"/>
      <c r="DYR220" s="73"/>
      <c r="DYS220" s="73"/>
      <c r="DYT220" s="73"/>
      <c r="DYU220" s="73"/>
      <c r="DYV220" s="73"/>
      <c r="DYW220" s="73"/>
      <c r="DYX220" s="73"/>
      <c r="DYY220" s="73"/>
      <c r="DYZ220" s="73"/>
      <c r="DZA220" s="73"/>
      <c r="DZB220" s="73"/>
      <c r="DZC220" s="73"/>
      <c r="DZD220" s="73"/>
      <c r="DZE220" s="73"/>
      <c r="DZF220" s="73"/>
      <c r="DZG220" s="73"/>
      <c r="DZH220" s="73"/>
      <c r="DZI220" s="73"/>
      <c r="DZJ220" s="73"/>
      <c r="DZK220" s="73"/>
      <c r="DZL220" s="73"/>
      <c r="DZM220" s="73"/>
      <c r="DZN220" s="73"/>
      <c r="DZO220" s="73"/>
      <c r="DZP220" s="73"/>
      <c r="DZQ220" s="73"/>
      <c r="DZR220" s="73"/>
      <c r="DZS220" s="73"/>
      <c r="DZT220" s="73"/>
      <c r="DZU220" s="73"/>
      <c r="DZV220" s="73"/>
      <c r="DZW220" s="73"/>
      <c r="DZX220" s="73"/>
      <c r="DZY220" s="73"/>
      <c r="DZZ220" s="73"/>
      <c r="EAA220" s="73"/>
      <c r="EAB220" s="73"/>
      <c r="EAC220" s="73"/>
      <c r="EAD220" s="73"/>
      <c r="EAE220" s="73"/>
      <c r="EAF220" s="73"/>
      <c r="EAG220" s="73"/>
      <c r="EAH220" s="73"/>
      <c r="EAI220" s="73"/>
      <c r="EAJ220" s="73"/>
      <c r="EAK220" s="73"/>
      <c r="EAL220" s="73"/>
      <c r="EAM220" s="73"/>
      <c r="EAN220" s="73"/>
      <c r="EAO220" s="73"/>
      <c r="EAP220" s="73"/>
      <c r="EAQ220" s="73"/>
      <c r="EAR220" s="73"/>
      <c r="EAS220" s="73"/>
      <c r="EAT220" s="73"/>
      <c r="EAU220" s="73"/>
      <c r="EAV220" s="73"/>
      <c r="EAW220" s="73"/>
      <c r="EAX220" s="73"/>
      <c r="EAY220" s="73"/>
      <c r="EAZ220" s="73"/>
      <c r="EBA220" s="73"/>
      <c r="EBB220" s="73"/>
      <c r="EBC220" s="73"/>
      <c r="EBD220" s="73"/>
      <c r="EBE220" s="73"/>
      <c r="EBF220" s="73"/>
      <c r="EBG220" s="73"/>
      <c r="EBH220" s="73"/>
      <c r="EBI220" s="73"/>
      <c r="EBJ220" s="73"/>
      <c r="EBK220" s="73"/>
      <c r="EBL220" s="73"/>
      <c r="EBM220" s="73"/>
      <c r="EBN220" s="73"/>
      <c r="EBO220" s="73"/>
      <c r="EBP220" s="73"/>
      <c r="EBQ220" s="73"/>
      <c r="EBR220" s="73"/>
      <c r="EBS220" s="73"/>
      <c r="EBT220" s="73"/>
      <c r="EBU220" s="73"/>
      <c r="EBV220" s="73"/>
      <c r="EBW220" s="73"/>
      <c r="EBX220" s="73"/>
      <c r="EBY220" s="73"/>
      <c r="EBZ220" s="73"/>
      <c r="ECA220" s="73"/>
      <c r="ECB220" s="73"/>
      <c r="ECC220" s="73"/>
      <c r="ECD220" s="73"/>
      <c r="ECE220" s="73"/>
      <c r="ECF220" s="73"/>
      <c r="ECG220" s="73"/>
      <c r="ECH220" s="73"/>
      <c r="ECI220" s="73"/>
      <c r="ECJ220" s="73"/>
      <c r="ECK220" s="73"/>
      <c r="ECL220" s="73"/>
      <c r="ECM220" s="73"/>
      <c r="ECN220" s="73"/>
      <c r="ECO220" s="73"/>
      <c r="ECP220" s="73"/>
      <c r="ECQ220" s="73"/>
      <c r="ECR220" s="73"/>
      <c r="ECS220" s="73"/>
      <c r="ECT220" s="73"/>
      <c r="ECU220" s="73"/>
      <c r="ECV220" s="73"/>
      <c r="ECW220" s="73"/>
      <c r="ECX220" s="73"/>
      <c r="ECY220" s="73"/>
      <c r="ECZ220" s="73"/>
      <c r="EDA220" s="73"/>
      <c r="EDB220" s="73"/>
      <c r="EDC220" s="73"/>
      <c r="EDD220" s="73"/>
      <c r="EDE220" s="73"/>
      <c r="EDF220" s="73"/>
      <c r="EDG220" s="73"/>
      <c r="EDH220" s="73"/>
      <c r="EDI220" s="73"/>
      <c r="EDJ220" s="73"/>
      <c r="EDK220" s="73"/>
      <c r="EDL220" s="73"/>
      <c r="EDM220" s="73"/>
      <c r="EDN220" s="73"/>
      <c r="EDO220" s="73"/>
      <c r="EDP220" s="73"/>
      <c r="EDQ220" s="73"/>
      <c r="EDR220" s="73"/>
      <c r="EDS220" s="73"/>
      <c r="EDT220" s="73"/>
      <c r="EDU220" s="73"/>
      <c r="EDV220" s="73"/>
      <c r="EDW220" s="73"/>
      <c r="EDX220" s="73"/>
      <c r="EDY220" s="73"/>
      <c r="EDZ220" s="73"/>
      <c r="EEA220" s="73"/>
      <c r="EEB220" s="73"/>
      <c r="EEC220" s="73"/>
      <c r="EED220" s="73"/>
      <c r="EEE220" s="73"/>
      <c r="EEF220" s="73"/>
      <c r="EEG220" s="73"/>
      <c r="EEH220" s="73"/>
      <c r="EEI220" s="73"/>
      <c r="EEJ220" s="73"/>
      <c r="EEK220" s="73"/>
      <c r="EEL220" s="73"/>
      <c r="EEM220" s="73"/>
      <c r="EEN220" s="73"/>
      <c r="EEO220" s="73"/>
      <c r="EEP220" s="73"/>
      <c r="EEQ220" s="73"/>
      <c r="EER220" s="73"/>
      <c r="EES220" s="73"/>
      <c r="EET220" s="73"/>
      <c r="EEU220" s="73"/>
      <c r="EEV220" s="73"/>
      <c r="EEW220" s="73"/>
      <c r="EEX220" s="73"/>
      <c r="EEY220" s="73"/>
      <c r="EEZ220" s="73"/>
      <c r="EFA220" s="73"/>
      <c r="EFB220" s="73"/>
      <c r="EFC220" s="73"/>
      <c r="EFD220" s="73"/>
      <c r="EFE220" s="73"/>
      <c r="EFF220" s="73"/>
      <c r="EFG220" s="73"/>
      <c r="EFH220" s="73"/>
      <c r="EFI220" s="73"/>
      <c r="EFJ220" s="73"/>
      <c r="EFK220" s="73"/>
      <c r="EFL220" s="73"/>
      <c r="EFM220" s="73"/>
      <c r="EFN220" s="73"/>
      <c r="EFO220" s="73"/>
      <c r="EFP220" s="73"/>
      <c r="EFQ220" s="73"/>
      <c r="EFR220" s="73"/>
      <c r="EFS220" s="73"/>
      <c r="EFT220" s="73"/>
      <c r="EFU220" s="73"/>
      <c r="EFV220" s="73"/>
      <c r="EFW220" s="73"/>
      <c r="EFX220" s="73"/>
      <c r="EFY220" s="73"/>
      <c r="EFZ220" s="73"/>
      <c r="EGA220" s="73"/>
      <c r="EGB220" s="73"/>
      <c r="EGC220" s="73"/>
      <c r="EGD220" s="73"/>
      <c r="EGE220" s="73"/>
      <c r="EGF220" s="73"/>
      <c r="EGG220" s="73"/>
      <c r="EGH220" s="73"/>
      <c r="EGI220" s="73"/>
      <c r="EGJ220" s="73"/>
      <c r="EGK220" s="73"/>
      <c r="EGL220" s="73"/>
      <c r="EGM220" s="73"/>
      <c r="EGN220" s="73"/>
      <c r="EGO220" s="73"/>
      <c r="EGP220" s="73"/>
      <c r="EGQ220" s="73"/>
      <c r="EGR220" s="73"/>
      <c r="EGS220" s="73"/>
      <c r="EGT220" s="73"/>
      <c r="EGU220" s="73"/>
      <c r="EGV220" s="73"/>
      <c r="EGW220" s="73"/>
      <c r="EGX220" s="73"/>
      <c r="EGY220" s="73"/>
      <c r="EGZ220" s="73"/>
      <c r="EHA220" s="73"/>
      <c r="EHB220" s="73"/>
      <c r="EHC220" s="73"/>
      <c r="EHD220" s="73"/>
      <c r="EHE220" s="73"/>
      <c r="EHF220" s="73"/>
      <c r="EHG220" s="73"/>
      <c r="EHH220" s="73"/>
      <c r="EHI220" s="73"/>
      <c r="EHJ220" s="73"/>
      <c r="EHK220" s="73"/>
      <c r="EHL220" s="73"/>
      <c r="EHM220" s="73"/>
      <c r="EHN220" s="73"/>
      <c r="EHO220" s="73"/>
      <c r="EHP220" s="73"/>
      <c r="EHQ220" s="73"/>
      <c r="EHR220" s="73"/>
      <c r="EHS220" s="73"/>
      <c r="EHT220" s="73"/>
      <c r="EHU220" s="73"/>
      <c r="EHV220" s="73"/>
      <c r="EHW220" s="73"/>
      <c r="EHX220" s="73"/>
      <c r="EHY220" s="73"/>
      <c r="EHZ220" s="73"/>
      <c r="EIA220" s="73"/>
      <c r="EIB220" s="73"/>
      <c r="EIC220" s="73"/>
      <c r="EID220" s="73"/>
      <c r="EIE220" s="73"/>
      <c r="EIF220" s="73"/>
      <c r="EIG220" s="73"/>
      <c r="EIH220" s="73"/>
      <c r="EII220" s="73"/>
      <c r="EIJ220" s="73"/>
      <c r="EIK220" s="73"/>
      <c r="EIL220" s="73"/>
      <c r="EIM220" s="73"/>
      <c r="EIN220" s="73"/>
      <c r="EIO220" s="73"/>
      <c r="EIP220" s="73"/>
      <c r="EIQ220" s="73"/>
      <c r="EIR220" s="73"/>
      <c r="EIS220" s="73"/>
      <c r="EIT220" s="73"/>
      <c r="EIU220" s="73"/>
      <c r="EIV220" s="73"/>
      <c r="EIW220" s="73"/>
      <c r="EIX220" s="73"/>
      <c r="EIY220" s="73"/>
      <c r="EIZ220" s="73"/>
      <c r="EJA220" s="73"/>
      <c r="EJB220" s="73"/>
      <c r="EJC220" s="73"/>
      <c r="EJD220" s="73"/>
      <c r="EJE220" s="73"/>
      <c r="EJF220" s="73"/>
      <c r="EJG220" s="73"/>
      <c r="EJH220" s="73"/>
      <c r="EJI220" s="73"/>
      <c r="EJJ220" s="73"/>
      <c r="EJK220" s="73"/>
      <c r="EJL220" s="73"/>
      <c r="EJM220" s="73"/>
      <c r="EJN220" s="73"/>
      <c r="EJO220" s="73"/>
      <c r="EJP220" s="73"/>
      <c r="EJQ220" s="73"/>
      <c r="EJR220" s="73"/>
      <c r="EJS220" s="73"/>
      <c r="EJT220" s="73"/>
      <c r="EJU220" s="73"/>
      <c r="EJV220" s="73"/>
      <c r="EJW220" s="73"/>
      <c r="EJX220" s="73"/>
      <c r="EJY220" s="73"/>
      <c r="EJZ220" s="73"/>
      <c r="EKA220" s="73"/>
      <c r="EKB220" s="73"/>
      <c r="EKC220" s="73"/>
      <c r="EKD220" s="73"/>
      <c r="EKE220" s="73"/>
      <c r="EKF220" s="73"/>
      <c r="EKG220" s="73"/>
      <c r="EKH220" s="73"/>
      <c r="EKI220" s="73"/>
      <c r="EKJ220" s="73"/>
      <c r="EKK220" s="73"/>
      <c r="EKL220" s="73"/>
      <c r="EKM220" s="73"/>
      <c r="EKN220" s="73"/>
      <c r="EKO220" s="73"/>
      <c r="EKP220" s="73"/>
      <c r="EKQ220" s="73"/>
      <c r="EKR220" s="73"/>
      <c r="EKS220" s="73"/>
      <c r="EKT220" s="73"/>
      <c r="EKU220" s="73"/>
      <c r="EKV220" s="73"/>
      <c r="EKW220" s="73"/>
      <c r="EKX220" s="73"/>
      <c r="EKY220" s="73"/>
      <c r="EKZ220" s="73"/>
      <c r="ELA220" s="73"/>
      <c r="ELB220" s="73"/>
      <c r="ELC220" s="73"/>
      <c r="ELD220" s="73"/>
      <c r="ELE220" s="73"/>
      <c r="ELF220" s="73"/>
      <c r="ELG220" s="73"/>
      <c r="ELH220" s="73"/>
      <c r="ELI220" s="73"/>
      <c r="ELJ220" s="73"/>
      <c r="ELK220" s="73"/>
      <c r="ELL220" s="73"/>
      <c r="ELM220" s="73"/>
      <c r="ELN220" s="73"/>
      <c r="ELO220" s="73"/>
      <c r="ELP220" s="73"/>
      <c r="ELQ220" s="73"/>
      <c r="ELR220" s="73"/>
      <c r="ELS220" s="73"/>
      <c r="ELT220" s="73"/>
      <c r="ELU220" s="73"/>
      <c r="ELV220" s="73"/>
      <c r="ELW220" s="73"/>
      <c r="ELX220" s="73"/>
      <c r="ELY220" s="73"/>
      <c r="ELZ220" s="73"/>
      <c r="EMA220" s="73"/>
      <c r="EMB220" s="73"/>
      <c r="EMC220" s="73"/>
      <c r="EMD220" s="73"/>
      <c r="EME220" s="73"/>
      <c r="EMF220" s="73"/>
      <c r="EMG220" s="73"/>
      <c r="EMH220" s="73"/>
      <c r="EMI220" s="73"/>
      <c r="EMJ220" s="73"/>
      <c r="EMK220" s="73"/>
      <c r="EML220" s="73"/>
      <c r="EMM220" s="73"/>
      <c r="EMN220" s="73"/>
      <c r="EMO220" s="73"/>
      <c r="EMP220" s="73"/>
      <c r="EMQ220" s="73"/>
      <c r="EMR220" s="73"/>
      <c r="EMS220" s="73"/>
      <c r="EMT220" s="73"/>
      <c r="EMU220" s="73"/>
      <c r="EMV220" s="73"/>
      <c r="EMW220" s="73"/>
      <c r="EMX220" s="73"/>
      <c r="EMY220" s="73"/>
      <c r="EMZ220" s="73"/>
      <c r="ENA220" s="73"/>
      <c r="ENB220" s="73"/>
      <c r="ENC220" s="73"/>
      <c r="END220" s="73"/>
      <c r="ENE220" s="73"/>
      <c r="ENF220" s="73"/>
      <c r="ENG220" s="73"/>
      <c r="ENH220" s="73"/>
      <c r="ENI220" s="73"/>
      <c r="ENJ220" s="73"/>
      <c r="ENK220" s="73"/>
      <c r="ENL220" s="73"/>
      <c r="ENM220" s="73"/>
      <c r="ENN220" s="73"/>
      <c r="ENO220" s="73"/>
      <c r="ENP220" s="73"/>
      <c r="ENQ220" s="73"/>
      <c r="ENR220" s="73"/>
      <c r="ENS220" s="73"/>
      <c r="ENT220" s="73"/>
      <c r="ENU220" s="73"/>
      <c r="ENV220" s="73"/>
      <c r="ENW220" s="73"/>
      <c r="ENX220" s="73"/>
      <c r="ENY220" s="73"/>
      <c r="ENZ220" s="73"/>
      <c r="EOA220" s="73"/>
      <c r="EOB220" s="73"/>
      <c r="EOC220" s="73"/>
      <c r="EOD220" s="73"/>
      <c r="EOE220" s="73"/>
      <c r="EOF220" s="73"/>
      <c r="EOG220" s="73"/>
      <c r="EOH220" s="73"/>
      <c r="EOI220" s="73"/>
      <c r="EOJ220" s="73"/>
      <c r="EOK220" s="73"/>
      <c r="EOL220" s="73"/>
      <c r="EOM220" s="73"/>
      <c r="EON220" s="73"/>
      <c r="EOO220" s="73"/>
      <c r="EOP220" s="73"/>
      <c r="EOQ220" s="73"/>
      <c r="EOR220" s="73"/>
      <c r="EOS220" s="73"/>
      <c r="EOT220" s="73"/>
      <c r="EOU220" s="73"/>
      <c r="EOV220" s="73"/>
      <c r="EOW220" s="73"/>
      <c r="EOX220" s="73"/>
      <c r="EOY220" s="73"/>
      <c r="EOZ220" s="73"/>
      <c r="EPA220" s="73"/>
      <c r="EPB220" s="73"/>
      <c r="EPC220" s="73"/>
      <c r="EPD220" s="73"/>
      <c r="EPE220" s="73"/>
      <c r="EPF220" s="73"/>
      <c r="EPG220" s="73"/>
      <c r="EPH220" s="73"/>
      <c r="EPI220" s="73"/>
      <c r="EPJ220" s="73"/>
      <c r="EPK220" s="73"/>
      <c r="EPL220" s="73"/>
      <c r="EPM220" s="73"/>
      <c r="EPN220" s="73"/>
      <c r="EPO220" s="73"/>
      <c r="EPP220" s="73"/>
      <c r="EPQ220" s="73"/>
      <c r="EPR220" s="73"/>
      <c r="EPS220" s="73"/>
      <c r="EPT220" s="73"/>
      <c r="EPU220" s="73"/>
      <c r="EPV220" s="73"/>
      <c r="EPW220" s="73"/>
      <c r="EPX220" s="73"/>
      <c r="EPY220" s="73"/>
      <c r="EPZ220" s="73"/>
      <c r="EQA220" s="73"/>
      <c r="EQB220" s="73"/>
      <c r="EQC220" s="73"/>
      <c r="EQD220" s="73"/>
      <c r="EQE220" s="73"/>
      <c r="EQF220" s="73"/>
      <c r="EQG220" s="73"/>
      <c r="EQH220" s="73"/>
      <c r="EQI220" s="73"/>
      <c r="EQJ220" s="73"/>
      <c r="EQK220" s="73"/>
      <c r="EQL220" s="73"/>
      <c r="EQM220" s="73"/>
      <c r="EQN220" s="73"/>
      <c r="EQO220" s="73"/>
      <c r="EQP220" s="73"/>
      <c r="EQQ220" s="73"/>
      <c r="EQR220" s="73"/>
      <c r="EQS220" s="73"/>
      <c r="EQT220" s="73"/>
      <c r="EQU220" s="73"/>
      <c r="EQV220" s="73"/>
      <c r="EQW220" s="73"/>
      <c r="EQX220" s="73"/>
      <c r="EQY220" s="73"/>
      <c r="EQZ220" s="73"/>
      <c r="ERA220" s="73"/>
      <c r="ERB220" s="73"/>
      <c r="ERC220" s="73"/>
      <c r="ERD220" s="73"/>
      <c r="ERE220" s="73"/>
      <c r="ERF220" s="73"/>
      <c r="ERG220" s="73"/>
      <c r="ERH220" s="73"/>
      <c r="ERI220" s="73"/>
      <c r="ERJ220" s="73"/>
      <c r="ERK220" s="73"/>
      <c r="ERL220" s="73"/>
      <c r="ERM220" s="73"/>
      <c r="ERN220" s="73"/>
      <c r="ERO220" s="73"/>
      <c r="ERP220" s="73"/>
      <c r="ERQ220" s="73"/>
      <c r="ERR220" s="73"/>
      <c r="ERS220" s="73"/>
      <c r="ERT220" s="73"/>
      <c r="ERU220" s="73"/>
      <c r="ERV220" s="73"/>
      <c r="ERW220" s="73"/>
      <c r="ERX220" s="73"/>
      <c r="ERY220" s="73"/>
      <c r="ERZ220" s="73"/>
      <c r="ESA220" s="73"/>
      <c r="ESB220" s="73"/>
      <c r="ESC220" s="73"/>
      <c r="ESD220" s="73"/>
      <c r="ESE220" s="73"/>
      <c r="ESF220" s="73"/>
      <c r="ESG220" s="73"/>
      <c r="ESH220" s="73"/>
      <c r="ESI220" s="73"/>
      <c r="ESJ220" s="73"/>
      <c r="ESK220" s="73"/>
      <c r="ESL220" s="73"/>
      <c r="ESM220" s="73"/>
      <c r="ESN220" s="73"/>
      <c r="ESO220" s="73"/>
      <c r="ESP220" s="73"/>
      <c r="ESQ220" s="73"/>
      <c r="ESR220" s="73"/>
      <c r="ESS220" s="73"/>
      <c r="EST220" s="73"/>
      <c r="ESU220" s="73"/>
      <c r="ESV220" s="73"/>
      <c r="ESW220" s="73"/>
      <c r="ESX220" s="73"/>
      <c r="ESY220" s="73"/>
      <c r="ESZ220" s="73"/>
      <c r="ETA220" s="73"/>
      <c r="ETB220" s="73"/>
      <c r="ETC220" s="73"/>
      <c r="ETD220" s="73"/>
      <c r="ETE220" s="73"/>
      <c r="ETF220" s="73"/>
      <c r="ETG220" s="73"/>
      <c r="ETH220" s="73"/>
      <c r="ETI220" s="73"/>
      <c r="ETJ220" s="73"/>
      <c r="ETK220" s="73"/>
      <c r="ETL220" s="73"/>
      <c r="ETM220" s="73"/>
      <c r="ETN220" s="73"/>
      <c r="ETO220" s="73"/>
      <c r="ETP220" s="73"/>
      <c r="ETQ220" s="73"/>
      <c r="ETR220" s="73"/>
      <c r="ETS220" s="73"/>
      <c r="ETT220" s="73"/>
      <c r="ETU220" s="73"/>
      <c r="ETV220" s="73"/>
      <c r="ETW220" s="73"/>
      <c r="ETX220" s="73"/>
      <c r="ETY220" s="73"/>
      <c r="ETZ220" s="73"/>
      <c r="EUA220" s="73"/>
      <c r="EUB220" s="73"/>
      <c r="EUC220" s="73"/>
      <c r="EUD220" s="73"/>
      <c r="EUE220" s="73"/>
      <c r="EUF220" s="73"/>
      <c r="EUG220" s="73"/>
      <c r="EUH220" s="73"/>
      <c r="EUI220" s="73"/>
      <c r="EUJ220" s="73"/>
      <c r="EUK220" s="73"/>
      <c r="EUL220" s="73"/>
      <c r="EUM220" s="73"/>
      <c r="EUN220" s="73"/>
      <c r="EUO220" s="73"/>
      <c r="EUP220" s="73"/>
      <c r="EUQ220" s="73"/>
      <c r="EUR220" s="73"/>
      <c r="EUS220" s="73"/>
      <c r="EUT220" s="73"/>
      <c r="EUU220" s="73"/>
      <c r="EUV220" s="73"/>
      <c r="EUW220" s="73"/>
      <c r="EUX220" s="73"/>
      <c r="EUY220" s="73"/>
      <c r="EUZ220" s="73"/>
      <c r="EVA220" s="73"/>
      <c r="EVB220" s="73"/>
      <c r="EVC220" s="73"/>
      <c r="EVD220" s="73"/>
      <c r="EVE220" s="73"/>
      <c r="EVF220" s="73"/>
      <c r="EVG220" s="73"/>
      <c r="EVH220" s="73"/>
      <c r="EVI220" s="73"/>
      <c r="EVJ220" s="73"/>
      <c r="EVK220" s="73"/>
      <c r="EVL220" s="73"/>
      <c r="EVM220" s="73"/>
      <c r="EVN220" s="73"/>
      <c r="EVO220" s="73"/>
      <c r="EVP220" s="73"/>
      <c r="EVQ220" s="73"/>
      <c r="EVR220" s="73"/>
      <c r="EVS220" s="73"/>
      <c r="EVT220" s="73"/>
      <c r="EVU220" s="73"/>
      <c r="EVV220" s="73"/>
      <c r="EVW220" s="73"/>
      <c r="EVX220" s="73"/>
      <c r="EVY220" s="73"/>
      <c r="EVZ220" s="73"/>
      <c r="EWA220" s="73"/>
      <c r="EWB220" s="73"/>
      <c r="EWC220" s="73"/>
      <c r="EWD220" s="73"/>
      <c r="EWE220" s="73"/>
      <c r="EWF220" s="73"/>
      <c r="EWG220" s="73"/>
      <c r="EWH220" s="73"/>
      <c r="EWI220" s="73"/>
      <c r="EWJ220" s="73"/>
      <c r="EWK220" s="73"/>
      <c r="EWL220" s="73"/>
      <c r="EWM220" s="73"/>
      <c r="EWN220" s="73"/>
      <c r="EWO220" s="73"/>
      <c r="EWP220" s="73"/>
      <c r="EWQ220" s="73"/>
      <c r="EWR220" s="73"/>
      <c r="EWS220" s="73"/>
      <c r="EWT220" s="73"/>
      <c r="EWU220" s="73"/>
      <c r="EWV220" s="73"/>
      <c r="EWW220" s="73"/>
      <c r="EWX220" s="73"/>
      <c r="EWY220" s="73"/>
      <c r="EWZ220" s="73"/>
      <c r="EXA220" s="73"/>
      <c r="EXB220" s="73"/>
      <c r="EXC220" s="73"/>
      <c r="EXD220" s="73"/>
      <c r="EXE220" s="73"/>
      <c r="EXF220" s="73"/>
      <c r="EXG220" s="73"/>
      <c r="EXH220" s="73"/>
      <c r="EXI220" s="73"/>
      <c r="EXJ220" s="73"/>
      <c r="EXK220" s="73"/>
      <c r="EXL220" s="73"/>
      <c r="EXM220" s="73"/>
      <c r="EXN220" s="73"/>
      <c r="EXO220" s="73"/>
      <c r="EXP220" s="73"/>
      <c r="EXQ220" s="73"/>
      <c r="EXR220" s="73"/>
      <c r="EXS220" s="73"/>
      <c r="EXT220" s="73"/>
      <c r="EXU220" s="73"/>
      <c r="EXV220" s="73"/>
      <c r="EXW220" s="73"/>
      <c r="EXX220" s="73"/>
      <c r="EXY220" s="73"/>
      <c r="EXZ220" s="73"/>
      <c r="EYA220" s="73"/>
      <c r="EYB220" s="73"/>
      <c r="EYC220" s="73"/>
      <c r="EYD220" s="73"/>
      <c r="EYE220" s="73"/>
      <c r="EYF220" s="73"/>
      <c r="EYG220" s="73"/>
      <c r="EYH220" s="73"/>
      <c r="EYI220" s="73"/>
      <c r="EYJ220" s="73"/>
      <c r="EYK220" s="73"/>
      <c r="EYL220" s="73"/>
      <c r="EYM220" s="73"/>
      <c r="EYN220" s="73"/>
      <c r="EYO220" s="73"/>
      <c r="EYP220" s="73"/>
      <c r="EYQ220" s="73"/>
      <c r="EYR220" s="73"/>
      <c r="EYS220" s="73"/>
      <c r="EYT220" s="73"/>
      <c r="EYU220" s="73"/>
      <c r="EYV220" s="73"/>
      <c r="EYW220" s="73"/>
      <c r="EYX220" s="73"/>
      <c r="EYY220" s="73"/>
      <c r="EYZ220" s="73"/>
      <c r="EZA220" s="73"/>
      <c r="EZB220" s="73"/>
      <c r="EZC220" s="73"/>
      <c r="EZD220" s="73"/>
      <c r="EZE220" s="73"/>
      <c r="EZF220" s="73"/>
      <c r="EZG220" s="73"/>
      <c r="EZH220" s="73"/>
      <c r="EZI220" s="73"/>
      <c r="EZJ220" s="73"/>
      <c r="EZK220" s="73"/>
      <c r="EZL220" s="73"/>
      <c r="EZM220" s="73"/>
      <c r="EZN220" s="73"/>
      <c r="EZO220" s="73"/>
      <c r="EZP220" s="73"/>
      <c r="EZQ220" s="73"/>
      <c r="EZR220" s="73"/>
      <c r="EZS220" s="73"/>
      <c r="EZT220" s="73"/>
      <c r="EZU220" s="73"/>
      <c r="EZV220" s="73"/>
      <c r="EZW220" s="73"/>
      <c r="EZX220" s="73"/>
      <c r="EZY220" s="73"/>
      <c r="EZZ220" s="73"/>
      <c r="FAA220" s="73"/>
      <c r="FAB220" s="73"/>
      <c r="FAC220" s="73"/>
      <c r="FAD220" s="73"/>
      <c r="FAE220" s="73"/>
      <c r="FAF220" s="73"/>
      <c r="FAG220" s="73"/>
      <c r="FAH220" s="73"/>
      <c r="FAI220" s="73"/>
      <c r="FAJ220" s="73"/>
      <c r="FAK220" s="73"/>
      <c r="FAL220" s="73"/>
      <c r="FAM220" s="73"/>
      <c r="FAN220" s="73"/>
      <c r="FAO220" s="73"/>
      <c r="FAP220" s="73"/>
      <c r="FAQ220" s="73"/>
      <c r="FAR220" s="73"/>
      <c r="FAS220" s="73"/>
      <c r="FAT220" s="73"/>
      <c r="FAU220" s="73"/>
      <c r="FAV220" s="73"/>
      <c r="FAW220" s="73"/>
      <c r="FAX220" s="73"/>
      <c r="FAY220" s="73"/>
      <c r="FAZ220" s="73"/>
      <c r="FBA220" s="73"/>
      <c r="FBB220" s="73"/>
      <c r="FBC220" s="73"/>
      <c r="FBD220" s="73"/>
      <c r="FBE220" s="73"/>
      <c r="FBF220" s="73"/>
      <c r="FBG220" s="73"/>
      <c r="FBH220" s="73"/>
      <c r="FBI220" s="73"/>
      <c r="FBJ220" s="73"/>
      <c r="FBK220" s="73"/>
      <c r="FBL220" s="73"/>
      <c r="FBM220" s="73"/>
      <c r="FBN220" s="73"/>
      <c r="FBO220" s="73"/>
      <c r="FBP220" s="73"/>
      <c r="FBQ220" s="73"/>
      <c r="FBR220" s="73"/>
      <c r="FBS220" s="73"/>
      <c r="FBT220" s="73"/>
      <c r="FBU220" s="73"/>
      <c r="FBV220" s="73"/>
      <c r="FBW220" s="73"/>
      <c r="FBX220" s="73"/>
      <c r="FBY220" s="73"/>
      <c r="FBZ220" s="73"/>
      <c r="FCA220" s="73"/>
      <c r="FCB220" s="73"/>
      <c r="FCC220" s="73"/>
      <c r="FCD220" s="73"/>
      <c r="FCE220" s="73"/>
      <c r="FCF220" s="73"/>
      <c r="FCG220" s="73"/>
      <c r="FCH220" s="73"/>
      <c r="FCI220" s="73"/>
      <c r="FCJ220" s="73"/>
      <c r="FCK220" s="73"/>
      <c r="FCL220" s="73"/>
      <c r="FCM220" s="73"/>
      <c r="FCN220" s="73"/>
      <c r="FCO220" s="73"/>
      <c r="FCP220" s="73"/>
      <c r="FCQ220" s="73"/>
      <c r="FCR220" s="73"/>
      <c r="FCS220" s="73"/>
      <c r="FCT220" s="73"/>
      <c r="FCU220" s="73"/>
      <c r="FCV220" s="73"/>
      <c r="FCW220" s="73"/>
      <c r="FCX220" s="73"/>
      <c r="FCY220" s="73"/>
      <c r="FCZ220" s="73"/>
      <c r="FDA220" s="73"/>
      <c r="FDB220" s="73"/>
      <c r="FDC220" s="73"/>
      <c r="FDD220" s="73"/>
      <c r="FDE220" s="73"/>
      <c r="FDF220" s="73"/>
      <c r="FDG220" s="73"/>
      <c r="FDH220" s="73"/>
      <c r="FDI220" s="73"/>
      <c r="FDJ220" s="73"/>
      <c r="FDK220" s="73"/>
      <c r="FDL220" s="73"/>
      <c r="FDM220" s="73"/>
      <c r="FDN220" s="73"/>
      <c r="FDO220" s="73"/>
      <c r="FDP220" s="73"/>
      <c r="FDQ220" s="73"/>
      <c r="FDR220" s="73"/>
      <c r="FDS220" s="73"/>
      <c r="FDT220" s="73"/>
      <c r="FDU220" s="73"/>
      <c r="FDV220" s="73"/>
      <c r="FDW220" s="73"/>
      <c r="FDX220" s="73"/>
      <c r="FDY220" s="73"/>
      <c r="FDZ220" s="73"/>
      <c r="FEA220" s="73"/>
      <c r="FEB220" s="73"/>
      <c r="FEC220" s="73"/>
      <c r="FED220" s="73"/>
      <c r="FEE220" s="73"/>
      <c r="FEF220" s="73"/>
      <c r="FEG220" s="73"/>
      <c r="FEH220" s="73"/>
      <c r="FEI220" s="73"/>
      <c r="FEJ220" s="73"/>
      <c r="FEK220" s="73"/>
      <c r="FEL220" s="73"/>
      <c r="FEM220" s="73"/>
      <c r="FEN220" s="73"/>
      <c r="FEO220" s="73"/>
      <c r="FEP220" s="73"/>
      <c r="FEQ220" s="73"/>
      <c r="FER220" s="73"/>
      <c r="FES220" s="73"/>
      <c r="FET220" s="73"/>
      <c r="FEU220" s="73"/>
      <c r="FEV220" s="73"/>
      <c r="FEW220" s="73"/>
      <c r="FEX220" s="73"/>
      <c r="FEY220" s="73"/>
      <c r="FEZ220" s="73"/>
      <c r="FFA220" s="73"/>
      <c r="FFB220" s="73"/>
      <c r="FFC220" s="73"/>
      <c r="FFD220" s="73"/>
      <c r="FFE220" s="73"/>
      <c r="FFF220" s="73"/>
      <c r="FFG220" s="73"/>
      <c r="FFH220" s="73"/>
      <c r="FFI220" s="73"/>
      <c r="FFJ220" s="73"/>
      <c r="FFK220" s="73"/>
      <c r="FFL220" s="73"/>
      <c r="FFM220" s="73"/>
      <c r="FFN220" s="73"/>
      <c r="FFO220" s="73"/>
      <c r="FFP220" s="73"/>
      <c r="FFQ220" s="73"/>
      <c r="FFR220" s="73"/>
      <c r="FFS220" s="73"/>
      <c r="FFT220" s="73"/>
      <c r="FFU220" s="73"/>
      <c r="FFV220" s="73"/>
      <c r="FFW220" s="73"/>
      <c r="FFX220" s="73"/>
      <c r="FFY220" s="73"/>
      <c r="FFZ220" s="73"/>
      <c r="FGA220" s="73"/>
      <c r="FGB220" s="73"/>
      <c r="FGC220" s="73"/>
      <c r="FGD220" s="73"/>
      <c r="FGE220" s="73"/>
      <c r="FGF220" s="73"/>
      <c r="FGG220" s="73"/>
      <c r="FGH220" s="73"/>
      <c r="FGI220" s="73"/>
      <c r="FGJ220" s="73"/>
      <c r="FGK220" s="73"/>
      <c r="FGL220" s="73"/>
      <c r="FGM220" s="73"/>
      <c r="FGN220" s="73"/>
      <c r="FGO220" s="73"/>
      <c r="FGP220" s="73"/>
      <c r="FGQ220" s="73"/>
      <c r="FGR220" s="73"/>
      <c r="FGS220" s="73"/>
      <c r="FGT220" s="73"/>
      <c r="FGU220" s="73"/>
      <c r="FGV220" s="73"/>
      <c r="FGW220" s="73"/>
      <c r="FGX220" s="73"/>
      <c r="FGY220" s="73"/>
      <c r="FGZ220" s="73"/>
      <c r="FHA220" s="73"/>
      <c r="FHB220" s="73"/>
      <c r="FHC220" s="73"/>
      <c r="FHD220" s="73"/>
      <c r="FHE220" s="73"/>
      <c r="FHF220" s="73"/>
      <c r="FHG220" s="73"/>
      <c r="FHH220" s="73"/>
      <c r="FHI220" s="73"/>
      <c r="FHJ220" s="73"/>
      <c r="FHK220" s="73"/>
      <c r="FHL220" s="73"/>
      <c r="FHM220" s="73"/>
      <c r="FHN220" s="73"/>
      <c r="FHO220" s="73"/>
      <c r="FHP220" s="73"/>
      <c r="FHQ220" s="73"/>
      <c r="FHR220" s="73"/>
      <c r="FHS220" s="73"/>
      <c r="FHT220" s="73"/>
      <c r="FHU220" s="73"/>
      <c r="FHV220" s="73"/>
      <c r="FHW220" s="73"/>
      <c r="FHX220" s="73"/>
      <c r="FHY220" s="73"/>
      <c r="FHZ220" s="73"/>
      <c r="FIA220" s="73"/>
      <c r="FIB220" s="73"/>
      <c r="FIC220" s="73"/>
      <c r="FID220" s="73"/>
      <c r="FIE220" s="73"/>
      <c r="FIF220" s="73"/>
      <c r="FIG220" s="73"/>
      <c r="FIH220" s="73"/>
      <c r="FII220" s="73"/>
      <c r="FIJ220" s="73"/>
      <c r="FIK220" s="73"/>
      <c r="FIL220" s="73"/>
      <c r="FIM220" s="73"/>
      <c r="FIN220" s="73"/>
      <c r="FIO220" s="73"/>
      <c r="FIP220" s="73"/>
      <c r="FIQ220" s="73"/>
      <c r="FIR220" s="73"/>
      <c r="FIS220" s="73"/>
      <c r="FIT220" s="73"/>
      <c r="FIU220" s="73"/>
      <c r="FIV220" s="73"/>
      <c r="FIW220" s="73"/>
      <c r="FIX220" s="73"/>
      <c r="FIY220" s="73"/>
      <c r="FIZ220" s="73"/>
      <c r="FJA220" s="73"/>
      <c r="FJB220" s="73"/>
      <c r="FJC220" s="73"/>
      <c r="FJD220" s="73"/>
      <c r="FJE220" s="73"/>
      <c r="FJF220" s="73"/>
      <c r="FJG220" s="73"/>
      <c r="FJH220" s="73"/>
      <c r="FJI220" s="73"/>
      <c r="FJJ220" s="73"/>
      <c r="FJK220" s="73"/>
      <c r="FJL220" s="73"/>
      <c r="FJM220" s="73"/>
      <c r="FJN220" s="73"/>
      <c r="FJO220" s="73"/>
      <c r="FJP220" s="73"/>
      <c r="FJQ220" s="73"/>
      <c r="FJR220" s="73"/>
      <c r="FJS220" s="73"/>
      <c r="FJT220" s="73"/>
      <c r="FJU220" s="73"/>
      <c r="FJV220" s="73"/>
      <c r="FJW220" s="73"/>
      <c r="FJX220" s="73"/>
      <c r="FJY220" s="73"/>
      <c r="FJZ220" s="73"/>
      <c r="FKA220" s="73"/>
      <c r="FKB220" s="73"/>
      <c r="FKC220" s="73"/>
      <c r="FKD220" s="73"/>
      <c r="FKE220" s="73"/>
      <c r="FKF220" s="73"/>
      <c r="FKG220" s="73"/>
      <c r="FKH220" s="73"/>
      <c r="FKI220" s="73"/>
      <c r="FKJ220" s="73"/>
      <c r="FKK220" s="73"/>
      <c r="FKL220" s="73"/>
      <c r="FKM220" s="73"/>
      <c r="FKN220" s="73"/>
      <c r="FKO220" s="73"/>
      <c r="FKP220" s="73"/>
      <c r="FKQ220" s="73"/>
      <c r="FKR220" s="73"/>
      <c r="FKS220" s="73"/>
      <c r="FKT220" s="73"/>
      <c r="FKU220" s="73"/>
      <c r="FKV220" s="73"/>
      <c r="FKW220" s="73"/>
      <c r="FKX220" s="73"/>
      <c r="FKY220" s="73"/>
      <c r="FKZ220" s="73"/>
      <c r="FLA220" s="73"/>
      <c r="FLB220" s="73"/>
      <c r="FLC220" s="73"/>
      <c r="FLD220" s="73"/>
      <c r="FLE220" s="73"/>
      <c r="FLF220" s="73"/>
      <c r="FLG220" s="73"/>
      <c r="FLH220" s="73"/>
      <c r="FLI220" s="73"/>
      <c r="FLJ220" s="73"/>
      <c r="FLK220" s="73"/>
      <c r="FLL220" s="73"/>
      <c r="FLM220" s="73"/>
      <c r="FLN220" s="73"/>
      <c r="FLO220" s="73"/>
      <c r="FLP220" s="73"/>
      <c r="FLQ220" s="73"/>
      <c r="FLR220" s="73"/>
      <c r="FLS220" s="73"/>
      <c r="FLT220" s="73"/>
      <c r="FLU220" s="73"/>
      <c r="FLV220" s="73"/>
      <c r="FLW220" s="73"/>
      <c r="FLX220" s="73"/>
      <c r="FLY220" s="73"/>
      <c r="FLZ220" s="73"/>
      <c r="FMA220" s="73"/>
      <c r="FMB220" s="73"/>
      <c r="FMC220" s="73"/>
      <c r="FMD220" s="73"/>
      <c r="FME220" s="73"/>
      <c r="FMF220" s="73"/>
      <c r="FMG220" s="73"/>
      <c r="FMH220" s="73"/>
      <c r="FMI220" s="73"/>
      <c r="FMJ220" s="73"/>
      <c r="FMK220" s="73"/>
      <c r="FML220" s="73"/>
      <c r="FMM220" s="73"/>
      <c r="FMN220" s="73"/>
      <c r="FMO220" s="73"/>
      <c r="FMP220" s="73"/>
      <c r="FMQ220" s="73"/>
      <c r="FMR220" s="73"/>
      <c r="FMS220" s="73"/>
      <c r="FMT220" s="73"/>
      <c r="FMU220" s="73"/>
      <c r="FMV220" s="73"/>
      <c r="FMW220" s="73"/>
      <c r="FMX220" s="73"/>
      <c r="FMY220" s="73"/>
      <c r="FMZ220" s="73"/>
      <c r="FNA220" s="73"/>
      <c r="FNB220" s="73"/>
      <c r="FNC220" s="73"/>
      <c r="FND220" s="73"/>
      <c r="FNE220" s="73"/>
      <c r="FNF220" s="73"/>
      <c r="FNG220" s="73"/>
      <c r="FNH220" s="73"/>
      <c r="FNI220" s="73"/>
      <c r="FNJ220" s="73"/>
      <c r="FNK220" s="73"/>
      <c r="FNL220" s="73"/>
      <c r="FNM220" s="73"/>
      <c r="FNN220" s="73"/>
      <c r="FNO220" s="73"/>
      <c r="FNP220" s="73"/>
      <c r="FNQ220" s="73"/>
      <c r="FNR220" s="73"/>
      <c r="FNS220" s="73"/>
      <c r="FNT220" s="73"/>
      <c r="FNU220" s="73"/>
      <c r="FNV220" s="73"/>
      <c r="FNW220" s="73"/>
      <c r="FNX220" s="73"/>
      <c r="FNY220" s="73"/>
      <c r="FNZ220" s="73"/>
      <c r="FOA220" s="73"/>
      <c r="FOB220" s="73"/>
      <c r="FOC220" s="73"/>
      <c r="FOD220" s="73"/>
      <c r="FOE220" s="73"/>
      <c r="FOF220" s="73"/>
      <c r="FOG220" s="73"/>
      <c r="FOH220" s="73"/>
      <c r="FOI220" s="73"/>
      <c r="FOJ220" s="73"/>
      <c r="FOK220" s="73"/>
      <c r="FOL220" s="73"/>
      <c r="FOM220" s="73"/>
      <c r="FON220" s="73"/>
      <c r="FOO220" s="73"/>
      <c r="FOP220" s="73"/>
      <c r="FOQ220" s="73"/>
      <c r="FOR220" s="73"/>
      <c r="FOS220" s="73"/>
      <c r="FOT220" s="73"/>
      <c r="FOU220" s="73"/>
      <c r="FOV220" s="73"/>
      <c r="FOW220" s="73"/>
      <c r="FOX220" s="73"/>
      <c r="FOY220" s="73"/>
      <c r="FOZ220" s="73"/>
      <c r="FPA220" s="73"/>
      <c r="FPB220" s="73"/>
      <c r="FPC220" s="73"/>
      <c r="FPD220" s="73"/>
      <c r="FPE220" s="73"/>
      <c r="FPF220" s="73"/>
      <c r="FPG220" s="73"/>
      <c r="FPH220" s="73"/>
      <c r="FPI220" s="73"/>
      <c r="FPJ220" s="73"/>
      <c r="FPK220" s="73"/>
      <c r="FPL220" s="73"/>
      <c r="FPM220" s="73"/>
      <c r="FPN220" s="73"/>
      <c r="FPO220" s="73"/>
      <c r="FPP220" s="73"/>
      <c r="FPQ220" s="73"/>
      <c r="FPR220" s="73"/>
      <c r="FPS220" s="73"/>
      <c r="FPT220" s="73"/>
      <c r="FPU220" s="73"/>
      <c r="FPV220" s="73"/>
      <c r="FPW220" s="73"/>
      <c r="FPX220" s="73"/>
      <c r="FPY220" s="73"/>
      <c r="FPZ220" s="73"/>
      <c r="FQA220" s="73"/>
      <c r="FQB220" s="73"/>
      <c r="FQC220" s="73"/>
      <c r="FQD220" s="73"/>
      <c r="FQE220" s="73"/>
      <c r="FQF220" s="73"/>
      <c r="FQG220" s="73"/>
      <c r="FQH220" s="73"/>
      <c r="FQI220" s="73"/>
      <c r="FQJ220" s="73"/>
      <c r="FQK220" s="73"/>
      <c r="FQL220" s="73"/>
      <c r="FQM220" s="73"/>
      <c r="FQN220" s="73"/>
      <c r="FQO220" s="73"/>
      <c r="FQP220" s="73"/>
      <c r="FQQ220" s="73"/>
      <c r="FQR220" s="73"/>
      <c r="FQS220" s="73"/>
      <c r="FQT220" s="73"/>
      <c r="FQU220" s="73"/>
      <c r="FQV220" s="73"/>
      <c r="FQW220" s="73"/>
      <c r="FQX220" s="73"/>
      <c r="FQY220" s="73"/>
      <c r="FQZ220" s="73"/>
      <c r="FRA220" s="73"/>
      <c r="FRB220" s="73"/>
      <c r="FRC220" s="73"/>
      <c r="FRD220" s="73"/>
      <c r="FRE220" s="73"/>
      <c r="FRF220" s="73"/>
      <c r="FRG220" s="73"/>
      <c r="FRH220" s="73"/>
      <c r="FRI220" s="73"/>
      <c r="FRJ220" s="73"/>
      <c r="FRK220" s="73"/>
      <c r="FRL220" s="73"/>
      <c r="FRM220" s="73"/>
      <c r="FRN220" s="73"/>
      <c r="FRO220" s="73"/>
      <c r="FRP220" s="73"/>
      <c r="FRQ220" s="73"/>
      <c r="FRR220" s="73"/>
      <c r="FRS220" s="73"/>
      <c r="FRT220" s="73"/>
      <c r="FRU220" s="73"/>
      <c r="FRV220" s="73"/>
      <c r="FRW220" s="73"/>
      <c r="FRX220" s="73"/>
      <c r="FRY220" s="73"/>
      <c r="FRZ220" s="73"/>
      <c r="FSA220" s="73"/>
      <c r="FSB220" s="73"/>
      <c r="FSC220" s="73"/>
      <c r="FSD220" s="73"/>
      <c r="FSE220" s="73"/>
      <c r="FSF220" s="73"/>
      <c r="FSG220" s="73"/>
      <c r="FSH220" s="73"/>
      <c r="FSI220" s="73"/>
      <c r="FSJ220" s="73"/>
      <c r="FSK220" s="73"/>
      <c r="FSL220" s="73"/>
      <c r="FSM220" s="73"/>
      <c r="FSN220" s="73"/>
      <c r="FSO220" s="73"/>
      <c r="FSP220" s="73"/>
      <c r="FSQ220" s="73"/>
      <c r="FSR220" s="73"/>
      <c r="FSS220" s="73"/>
      <c r="FST220" s="73"/>
      <c r="FSU220" s="73"/>
      <c r="FSV220" s="73"/>
      <c r="FSW220" s="73"/>
      <c r="FSX220" s="73"/>
      <c r="FSY220" s="73"/>
      <c r="FSZ220" s="73"/>
      <c r="FTA220" s="73"/>
      <c r="FTB220" s="73"/>
      <c r="FTC220" s="73"/>
      <c r="FTD220" s="73"/>
      <c r="FTE220" s="73"/>
      <c r="FTF220" s="73"/>
      <c r="FTG220" s="73"/>
      <c r="FTH220" s="73"/>
      <c r="FTI220" s="73"/>
      <c r="FTJ220" s="73"/>
      <c r="FTK220" s="73"/>
      <c r="FTL220" s="73"/>
      <c r="FTM220" s="73"/>
      <c r="FTN220" s="73"/>
      <c r="FTO220" s="73"/>
      <c r="FTP220" s="73"/>
      <c r="FTQ220" s="73"/>
      <c r="FTR220" s="73"/>
      <c r="FTS220" s="73"/>
      <c r="FTT220" s="73"/>
      <c r="FTU220" s="73"/>
      <c r="FTV220" s="73"/>
      <c r="FTW220" s="73"/>
      <c r="FTX220" s="73"/>
      <c r="FTY220" s="73"/>
      <c r="FTZ220" s="73"/>
      <c r="FUA220" s="73"/>
      <c r="FUB220" s="73"/>
      <c r="FUC220" s="73"/>
      <c r="FUD220" s="73"/>
      <c r="FUE220" s="73"/>
      <c r="FUF220" s="73"/>
      <c r="FUG220" s="73"/>
      <c r="FUH220" s="73"/>
      <c r="FUI220" s="73"/>
      <c r="FUJ220" s="73"/>
      <c r="FUK220" s="73"/>
      <c r="FUL220" s="73"/>
      <c r="FUM220" s="73"/>
      <c r="FUN220" s="73"/>
      <c r="FUO220" s="73"/>
      <c r="FUP220" s="73"/>
      <c r="FUQ220" s="73"/>
      <c r="FUR220" s="73"/>
      <c r="FUS220" s="73"/>
      <c r="FUT220" s="73"/>
      <c r="FUU220" s="73"/>
      <c r="FUV220" s="73"/>
      <c r="FUW220" s="73"/>
      <c r="FUX220" s="73"/>
      <c r="FUY220" s="73"/>
      <c r="FUZ220" s="73"/>
      <c r="FVA220" s="73"/>
      <c r="FVB220" s="73"/>
      <c r="FVC220" s="73"/>
      <c r="FVD220" s="73"/>
      <c r="FVE220" s="73"/>
      <c r="FVF220" s="73"/>
      <c r="FVG220" s="73"/>
      <c r="FVH220" s="73"/>
      <c r="FVI220" s="73"/>
      <c r="FVJ220" s="73"/>
      <c r="FVK220" s="73"/>
      <c r="FVL220" s="73"/>
      <c r="FVM220" s="73"/>
      <c r="FVN220" s="73"/>
      <c r="FVO220" s="73"/>
      <c r="FVP220" s="73"/>
      <c r="FVQ220" s="73"/>
      <c r="FVR220" s="73"/>
      <c r="FVS220" s="73"/>
      <c r="FVT220" s="73"/>
      <c r="FVU220" s="73"/>
      <c r="FVV220" s="73"/>
      <c r="FVW220" s="73"/>
      <c r="FVX220" s="73"/>
      <c r="FVY220" s="73"/>
      <c r="FVZ220" s="73"/>
      <c r="FWA220" s="73"/>
      <c r="FWB220" s="73"/>
      <c r="FWC220" s="73"/>
      <c r="FWD220" s="73"/>
      <c r="FWE220" s="73"/>
      <c r="FWF220" s="73"/>
      <c r="FWG220" s="73"/>
      <c r="FWH220" s="73"/>
      <c r="FWI220" s="73"/>
      <c r="FWJ220" s="73"/>
      <c r="FWK220" s="73"/>
      <c r="FWL220" s="73"/>
      <c r="FWM220" s="73"/>
      <c r="FWN220" s="73"/>
      <c r="FWO220" s="73"/>
      <c r="FWP220" s="73"/>
      <c r="FWQ220" s="73"/>
      <c r="FWR220" s="73"/>
      <c r="FWS220" s="73"/>
      <c r="FWT220" s="73"/>
      <c r="FWU220" s="73"/>
      <c r="FWV220" s="73"/>
      <c r="FWW220" s="73"/>
      <c r="FWX220" s="73"/>
      <c r="FWY220" s="73"/>
      <c r="FWZ220" s="73"/>
      <c r="FXA220" s="73"/>
      <c r="FXB220" s="73"/>
      <c r="FXC220" s="73"/>
      <c r="FXD220" s="73"/>
      <c r="FXE220" s="73"/>
      <c r="FXF220" s="73"/>
      <c r="FXG220" s="73"/>
      <c r="FXH220" s="73"/>
      <c r="FXI220" s="73"/>
      <c r="FXJ220" s="73"/>
      <c r="FXK220" s="73"/>
      <c r="FXL220" s="73"/>
      <c r="FXM220" s="73"/>
      <c r="FXN220" s="73"/>
      <c r="FXO220" s="73"/>
      <c r="FXP220" s="73"/>
      <c r="FXQ220" s="73"/>
      <c r="FXR220" s="73"/>
      <c r="FXS220" s="73"/>
      <c r="FXT220" s="73"/>
      <c r="FXU220" s="73"/>
      <c r="FXV220" s="73"/>
      <c r="FXW220" s="73"/>
      <c r="FXX220" s="73"/>
      <c r="FXY220" s="73"/>
      <c r="FXZ220" s="73"/>
      <c r="FYA220" s="73"/>
      <c r="FYB220" s="73"/>
      <c r="FYC220" s="73"/>
      <c r="FYD220" s="73"/>
      <c r="FYE220" s="73"/>
      <c r="FYF220" s="73"/>
      <c r="FYG220" s="73"/>
      <c r="FYH220" s="73"/>
      <c r="FYI220" s="73"/>
      <c r="FYJ220" s="73"/>
      <c r="FYK220" s="73"/>
      <c r="FYL220" s="73"/>
      <c r="FYM220" s="73"/>
      <c r="FYN220" s="73"/>
      <c r="FYO220" s="73"/>
      <c r="FYP220" s="73"/>
      <c r="FYQ220" s="73"/>
      <c r="FYR220" s="73"/>
      <c r="FYS220" s="73"/>
      <c r="FYT220" s="73"/>
      <c r="FYU220" s="73"/>
      <c r="FYV220" s="73"/>
      <c r="FYW220" s="73"/>
      <c r="FYX220" s="73"/>
      <c r="FYY220" s="73"/>
      <c r="FYZ220" s="73"/>
      <c r="FZA220" s="73"/>
      <c r="FZB220" s="73"/>
      <c r="FZC220" s="73"/>
      <c r="FZD220" s="73"/>
      <c r="FZE220" s="73"/>
      <c r="FZF220" s="73"/>
      <c r="FZG220" s="73"/>
      <c r="FZH220" s="73"/>
      <c r="FZI220" s="73"/>
      <c r="FZJ220" s="73"/>
      <c r="FZK220" s="73"/>
      <c r="FZL220" s="73"/>
      <c r="FZM220" s="73"/>
      <c r="FZN220" s="73"/>
      <c r="FZO220" s="73"/>
      <c r="FZP220" s="73"/>
      <c r="FZQ220" s="73"/>
      <c r="FZR220" s="73"/>
      <c r="FZS220" s="73"/>
      <c r="FZT220" s="73"/>
      <c r="FZU220" s="73"/>
      <c r="FZV220" s="73"/>
      <c r="FZW220" s="73"/>
      <c r="FZX220" s="73"/>
      <c r="FZY220" s="73"/>
      <c r="FZZ220" s="73"/>
      <c r="GAA220" s="73"/>
      <c r="GAB220" s="73"/>
      <c r="GAC220" s="73"/>
      <c r="GAD220" s="73"/>
      <c r="GAE220" s="73"/>
      <c r="GAF220" s="73"/>
      <c r="GAG220" s="73"/>
      <c r="GAH220" s="73"/>
      <c r="GAI220" s="73"/>
      <c r="GAJ220" s="73"/>
      <c r="GAK220" s="73"/>
      <c r="GAL220" s="73"/>
      <c r="GAM220" s="73"/>
      <c r="GAN220" s="73"/>
      <c r="GAO220" s="73"/>
      <c r="GAP220" s="73"/>
      <c r="GAQ220" s="73"/>
      <c r="GAR220" s="73"/>
      <c r="GAS220" s="73"/>
      <c r="GAT220" s="73"/>
      <c r="GAU220" s="73"/>
      <c r="GAV220" s="73"/>
      <c r="GAW220" s="73"/>
      <c r="GAX220" s="73"/>
      <c r="GAY220" s="73"/>
      <c r="GAZ220" s="73"/>
      <c r="GBA220" s="73"/>
      <c r="GBB220" s="73"/>
      <c r="GBC220" s="73"/>
      <c r="GBD220" s="73"/>
      <c r="GBE220" s="73"/>
      <c r="GBF220" s="73"/>
      <c r="GBG220" s="73"/>
      <c r="GBH220" s="73"/>
      <c r="GBI220" s="73"/>
      <c r="GBJ220" s="73"/>
      <c r="GBK220" s="73"/>
      <c r="GBL220" s="73"/>
      <c r="GBM220" s="73"/>
      <c r="GBN220" s="73"/>
      <c r="GBO220" s="73"/>
      <c r="GBP220" s="73"/>
      <c r="GBQ220" s="73"/>
      <c r="GBR220" s="73"/>
      <c r="GBS220" s="73"/>
      <c r="GBT220" s="73"/>
      <c r="GBU220" s="73"/>
      <c r="GBV220" s="73"/>
      <c r="GBW220" s="73"/>
      <c r="GBX220" s="73"/>
      <c r="GBY220" s="73"/>
      <c r="GBZ220" s="73"/>
      <c r="GCA220" s="73"/>
      <c r="GCB220" s="73"/>
      <c r="GCC220" s="73"/>
      <c r="GCD220" s="73"/>
      <c r="GCE220" s="73"/>
      <c r="GCF220" s="73"/>
      <c r="GCG220" s="73"/>
      <c r="GCH220" s="73"/>
      <c r="GCI220" s="73"/>
      <c r="GCJ220" s="73"/>
      <c r="GCK220" s="73"/>
      <c r="GCL220" s="73"/>
      <c r="GCM220" s="73"/>
      <c r="GCN220" s="73"/>
      <c r="GCO220" s="73"/>
      <c r="GCP220" s="73"/>
      <c r="GCQ220" s="73"/>
      <c r="GCR220" s="73"/>
      <c r="GCS220" s="73"/>
      <c r="GCT220" s="73"/>
      <c r="GCU220" s="73"/>
      <c r="GCV220" s="73"/>
      <c r="GCW220" s="73"/>
      <c r="GCX220" s="73"/>
      <c r="GCY220" s="73"/>
      <c r="GCZ220" s="73"/>
      <c r="GDA220" s="73"/>
      <c r="GDB220" s="73"/>
      <c r="GDC220" s="73"/>
      <c r="GDD220" s="73"/>
      <c r="GDE220" s="73"/>
      <c r="GDF220" s="73"/>
      <c r="GDG220" s="73"/>
      <c r="GDH220" s="73"/>
      <c r="GDI220" s="73"/>
      <c r="GDJ220" s="73"/>
      <c r="GDK220" s="73"/>
      <c r="GDL220" s="73"/>
      <c r="GDM220" s="73"/>
      <c r="GDN220" s="73"/>
      <c r="GDO220" s="73"/>
      <c r="GDP220" s="73"/>
      <c r="GDQ220" s="73"/>
      <c r="GDR220" s="73"/>
      <c r="GDS220" s="73"/>
      <c r="GDT220" s="73"/>
      <c r="GDU220" s="73"/>
      <c r="GDV220" s="73"/>
      <c r="GDW220" s="73"/>
      <c r="GDX220" s="73"/>
      <c r="GDY220" s="73"/>
      <c r="GDZ220" s="73"/>
      <c r="GEA220" s="73"/>
      <c r="GEB220" s="73"/>
      <c r="GEC220" s="73"/>
      <c r="GED220" s="73"/>
      <c r="GEE220" s="73"/>
      <c r="GEF220" s="73"/>
      <c r="GEG220" s="73"/>
      <c r="GEH220" s="73"/>
      <c r="GEI220" s="73"/>
      <c r="GEJ220" s="73"/>
      <c r="GEK220" s="73"/>
      <c r="GEL220" s="73"/>
      <c r="GEM220" s="73"/>
      <c r="GEN220" s="73"/>
      <c r="GEO220" s="73"/>
      <c r="GEP220" s="73"/>
      <c r="GEQ220" s="73"/>
      <c r="GER220" s="73"/>
      <c r="GES220" s="73"/>
      <c r="GET220" s="73"/>
      <c r="GEU220" s="73"/>
      <c r="GEV220" s="73"/>
      <c r="GEW220" s="73"/>
      <c r="GEX220" s="73"/>
      <c r="GEY220" s="73"/>
      <c r="GEZ220" s="73"/>
      <c r="GFA220" s="73"/>
      <c r="GFB220" s="73"/>
      <c r="GFC220" s="73"/>
      <c r="GFD220" s="73"/>
      <c r="GFE220" s="73"/>
      <c r="GFF220" s="73"/>
      <c r="GFG220" s="73"/>
      <c r="GFH220" s="73"/>
      <c r="GFI220" s="73"/>
      <c r="GFJ220" s="73"/>
      <c r="GFK220" s="73"/>
      <c r="GFL220" s="73"/>
      <c r="GFM220" s="73"/>
      <c r="GFN220" s="73"/>
      <c r="GFO220" s="73"/>
      <c r="GFP220" s="73"/>
      <c r="GFQ220" s="73"/>
      <c r="GFR220" s="73"/>
      <c r="GFS220" s="73"/>
      <c r="GFT220" s="73"/>
      <c r="GFU220" s="73"/>
      <c r="GFV220" s="73"/>
      <c r="GFW220" s="73"/>
      <c r="GFX220" s="73"/>
      <c r="GFY220" s="73"/>
      <c r="GFZ220" s="73"/>
      <c r="GGA220" s="73"/>
      <c r="GGB220" s="73"/>
      <c r="GGC220" s="73"/>
      <c r="GGD220" s="73"/>
      <c r="GGE220" s="73"/>
      <c r="GGF220" s="73"/>
      <c r="GGG220" s="73"/>
      <c r="GGH220" s="73"/>
      <c r="GGI220" s="73"/>
      <c r="GGJ220" s="73"/>
      <c r="GGK220" s="73"/>
      <c r="GGL220" s="73"/>
      <c r="GGM220" s="73"/>
      <c r="GGN220" s="73"/>
      <c r="GGO220" s="73"/>
      <c r="GGP220" s="73"/>
      <c r="GGQ220" s="73"/>
      <c r="GGR220" s="73"/>
      <c r="GGS220" s="73"/>
      <c r="GGT220" s="73"/>
      <c r="GGU220" s="73"/>
      <c r="GGV220" s="73"/>
      <c r="GGW220" s="73"/>
      <c r="GGX220" s="73"/>
      <c r="GGY220" s="73"/>
      <c r="GGZ220" s="73"/>
      <c r="GHA220" s="73"/>
      <c r="GHB220" s="73"/>
      <c r="GHC220" s="73"/>
      <c r="GHD220" s="73"/>
      <c r="GHE220" s="73"/>
      <c r="GHF220" s="73"/>
      <c r="GHG220" s="73"/>
      <c r="GHH220" s="73"/>
      <c r="GHI220" s="73"/>
      <c r="GHJ220" s="73"/>
      <c r="GHK220" s="73"/>
      <c r="GHL220" s="73"/>
      <c r="GHM220" s="73"/>
      <c r="GHN220" s="73"/>
      <c r="GHO220" s="73"/>
      <c r="GHP220" s="73"/>
      <c r="GHQ220" s="73"/>
      <c r="GHR220" s="73"/>
      <c r="GHS220" s="73"/>
      <c r="GHT220" s="73"/>
      <c r="GHU220" s="73"/>
      <c r="GHV220" s="73"/>
      <c r="GHW220" s="73"/>
      <c r="GHX220" s="73"/>
      <c r="GHY220" s="73"/>
      <c r="GHZ220" s="73"/>
      <c r="GIA220" s="73"/>
      <c r="GIB220" s="73"/>
      <c r="GIC220" s="73"/>
      <c r="GID220" s="73"/>
      <c r="GIE220" s="73"/>
      <c r="GIF220" s="73"/>
      <c r="GIG220" s="73"/>
      <c r="GIH220" s="73"/>
      <c r="GII220" s="73"/>
      <c r="GIJ220" s="73"/>
      <c r="GIK220" s="73"/>
      <c r="GIL220" s="73"/>
      <c r="GIM220" s="73"/>
      <c r="GIN220" s="73"/>
      <c r="GIO220" s="73"/>
      <c r="GIP220" s="73"/>
      <c r="GIQ220" s="73"/>
      <c r="GIR220" s="73"/>
      <c r="GIS220" s="73"/>
      <c r="GIT220" s="73"/>
      <c r="GIU220" s="73"/>
      <c r="GIV220" s="73"/>
      <c r="GIW220" s="73"/>
      <c r="GIX220" s="73"/>
      <c r="GIY220" s="73"/>
      <c r="GIZ220" s="73"/>
      <c r="GJA220" s="73"/>
      <c r="GJB220" s="73"/>
      <c r="GJC220" s="73"/>
      <c r="GJD220" s="73"/>
      <c r="GJE220" s="73"/>
      <c r="GJF220" s="73"/>
      <c r="GJG220" s="73"/>
      <c r="GJH220" s="73"/>
      <c r="GJI220" s="73"/>
      <c r="GJJ220" s="73"/>
      <c r="GJK220" s="73"/>
      <c r="GJL220" s="73"/>
      <c r="GJM220" s="73"/>
      <c r="GJN220" s="73"/>
      <c r="GJO220" s="73"/>
      <c r="GJP220" s="73"/>
      <c r="GJQ220" s="73"/>
      <c r="GJR220" s="73"/>
      <c r="GJS220" s="73"/>
      <c r="GJT220" s="73"/>
      <c r="GJU220" s="73"/>
      <c r="GJV220" s="73"/>
      <c r="GJW220" s="73"/>
      <c r="GJX220" s="73"/>
      <c r="GJY220" s="73"/>
      <c r="GJZ220" s="73"/>
      <c r="GKA220" s="73"/>
      <c r="GKB220" s="73"/>
      <c r="GKC220" s="73"/>
      <c r="GKD220" s="73"/>
      <c r="GKE220" s="73"/>
      <c r="GKF220" s="73"/>
      <c r="GKG220" s="73"/>
      <c r="GKH220" s="73"/>
      <c r="GKI220" s="73"/>
      <c r="GKJ220" s="73"/>
      <c r="GKK220" s="73"/>
      <c r="GKL220" s="73"/>
      <c r="GKM220" s="73"/>
      <c r="GKN220" s="73"/>
      <c r="GKO220" s="73"/>
      <c r="GKP220" s="73"/>
      <c r="GKQ220" s="73"/>
      <c r="GKR220" s="73"/>
      <c r="GKS220" s="73"/>
      <c r="GKT220" s="73"/>
      <c r="GKU220" s="73"/>
      <c r="GKV220" s="73"/>
      <c r="GKW220" s="73"/>
      <c r="GKX220" s="73"/>
      <c r="GKY220" s="73"/>
      <c r="GKZ220" s="73"/>
      <c r="GLA220" s="73"/>
      <c r="GLB220" s="73"/>
      <c r="GLC220" s="73"/>
      <c r="GLD220" s="73"/>
      <c r="GLE220" s="73"/>
      <c r="GLF220" s="73"/>
      <c r="GLG220" s="73"/>
      <c r="GLH220" s="73"/>
      <c r="GLI220" s="73"/>
      <c r="GLJ220" s="73"/>
      <c r="GLK220" s="73"/>
      <c r="GLL220" s="73"/>
      <c r="GLM220" s="73"/>
      <c r="GLN220" s="73"/>
      <c r="GLO220" s="73"/>
      <c r="GLP220" s="73"/>
      <c r="GLQ220" s="73"/>
      <c r="GLR220" s="73"/>
      <c r="GLS220" s="73"/>
      <c r="GLT220" s="73"/>
      <c r="GLU220" s="73"/>
      <c r="GLV220" s="73"/>
      <c r="GLW220" s="73"/>
      <c r="GLX220" s="73"/>
      <c r="GLY220" s="73"/>
      <c r="GLZ220" s="73"/>
      <c r="GMA220" s="73"/>
      <c r="GMB220" s="73"/>
      <c r="GMC220" s="73"/>
      <c r="GMD220" s="73"/>
      <c r="GME220" s="73"/>
      <c r="GMF220" s="73"/>
      <c r="GMG220" s="73"/>
      <c r="GMH220" s="73"/>
      <c r="GMI220" s="73"/>
      <c r="GMJ220" s="73"/>
      <c r="GMK220" s="73"/>
      <c r="GML220" s="73"/>
      <c r="GMM220" s="73"/>
      <c r="GMN220" s="73"/>
      <c r="GMO220" s="73"/>
      <c r="GMP220" s="73"/>
      <c r="GMQ220" s="73"/>
      <c r="GMR220" s="73"/>
      <c r="GMS220" s="73"/>
      <c r="GMT220" s="73"/>
      <c r="GMU220" s="73"/>
      <c r="GMV220" s="73"/>
      <c r="GMW220" s="73"/>
      <c r="GMX220" s="73"/>
      <c r="GMY220" s="73"/>
      <c r="GMZ220" s="73"/>
      <c r="GNA220" s="73"/>
      <c r="GNB220" s="73"/>
      <c r="GNC220" s="73"/>
      <c r="GND220" s="73"/>
      <c r="GNE220" s="73"/>
      <c r="GNF220" s="73"/>
      <c r="GNG220" s="73"/>
      <c r="GNH220" s="73"/>
      <c r="GNI220" s="73"/>
      <c r="GNJ220" s="73"/>
      <c r="GNK220" s="73"/>
      <c r="GNL220" s="73"/>
      <c r="GNM220" s="73"/>
      <c r="GNN220" s="73"/>
      <c r="GNO220" s="73"/>
      <c r="GNP220" s="73"/>
      <c r="GNQ220" s="73"/>
      <c r="GNR220" s="73"/>
      <c r="GNS220" s="73"/>
      <c r="GNT220" s="73"/>
      <c r="GNU220" s="73"/>
      <c r="GNV220" s="73"/>
      <c r="GNW220" s="73"/>
      <c r="GNX220" s="73"/>
      <c r="GNY220" s="73"/>
      <c r="GNZ220" s="73"/>
      <c r="GOA220" s="73"/>
      <c r="GOB220" s="73"/>
      <c r="GOC220" s="73"/>
      <c r="GOD220" s="73"/>
      <c r="GOE220" s="73"/>
      <c r="GOF220" s="73"/>
      <c r="GOG220" s="73"/>
      <c r="GOH220" s="73"/>
      <c r="GOI220" s="73"/>
      <c r="GOJ220" s="73"/>
      <c r="GOK220" s="73"/>
      <c r="GOL220" s="73"/>
      <c r="GOM220" s="73"/>
      <c r="GON220" s="73"/>
      <c r="GOO220" s="73"/>
      <c r="GOP220" s="73"/>
      <c r="GOQ220" s="73"/>
      <c r="GOR220" s="73"/>
      <c r="GOS220" s="73"/>
      <c r="GOT220" s="73"/>
      <c r="GOU220" s="73"/>
      <c r="GOV220" s="73"/>
      <c r="GOW220" s="73"/>
      <c r="GOX220" s="73"/>
      <c r="GOY220" s="73"/>
      <c r="GOZ220" s="73"/>
      <c r="GPA220" s="73"/>
      <c r="GPB220" s="73"/>
      <c r="GPC220" s="73"/>
      <c r="GPD220" s="73"/>
      <c r="GPE220" s="73"/>
      <c r="GPF220" s="73"/>
      <c r="GPG220" s="73"/>
      <c r="GPH220" s="73"/>
      <c r="GPI220" s="73"/>
      <c r="GPJ220" s="73"/>
      <c r="GPK220" s="73"/>
      <c r="GPL220" s="73"/>
      <c r="GPM220" s="73"/>
      <c r="GPN220" s="73"/>
      <c r="GPO220" s="73"/>
      <c r="GPP220" s="73"/>
      <c r="GPQ220" s="73"/>
      <c r="GPR220" s="73"/>
      <c r="GPS220" s="73"/>
      <c r="GPT220" s="73"/>
      <c r="GPU220" s="73"/>
      <c r="GPV220" s="73"/>
      <c r="GPW220" s="73"/>
      <c r="GPX220" s="73"/>
      <c r="GPY220" s="73"/>
      <c r="GPZ220" s="73"/>
      <c r="GQA220" s="73"/>
      <c r="GQB220" s="73"/>
      <c r="GQC220" s="73"/>
      <c r="GQD220" s="73"/>
      <c r="GQE220" s="73"/>
      <c r="GQF220" s="73"/>
      <c r="GQG220" s="73"/>
      <c r="GQH220" s="73"/>
      <c r="GQI220" s="73"/>
      <c r="GQJ220" s="73"/>
      <c r="GQK220" s="73"/>
      <c r="GQL220" s="73"/>
      <c r="GQM220" s="73"/>
      <c r="GQN220" s="73"/>
      <c r="GQO220" s="73"/>
      <c r="GQP220" s="73"/>
      <c r="GQQ220" s="73"/>
      <c r="GQR220" s="73"/>
      <c r="GQS220" s="73"/>
      <c r="GQT220" s="73"/>
      <c r="GQU220" s="73"/>
      <c r="GQV220" s="73"/>
      <c r="GQW220" s="73"/>
      <c r="GQX220" s="73"/>
      <c r="GQY220" s="73"/>
      <c r="GQZ220" s="73"/>
      <c r="GRA220" s="73"/>
      <c r="GRB220" s="73"/>
      <c r="GRC220" s="73"/>
      <c r="GRD220" s="73"/>
      <c r="GRE220" s="73"/>
      <c r="GRF220" s="73"/>
      <c r="GRG220" s="73"/>
      <c r="GRH220" s="73"/>
      <c r="GRI220" s="73"/>
      <c r="GRJ220" s="73"/>
      <c r="GRK220" s="73"/>
      <c r="GRL220" s="73"/>
      <c r="GRM220" s="73"/>
      <c r="GRN220" s="73"/>
      <c r="GRO220" s="73"/>
      <c r="GRP220" s="73"/>
      <c r="GRQ220" s="73"/>
      <c r="GRR220" s="73"/>
      <c r="GRS220" s="73"/>
      <c r="GRT220" s="73"/>
      <c r="GRU220" s="73"/>
      <c r="GRV220" s="73"/>
      <c r="GRW220" s="73"/>
      <c r="GRX220" s="73"/>
      <c r="GRY220" s="73"/>
      <c r="GRZ220" s="73"/>
      <c r="GSA220" s="73"/>
      <c r="GSB220" s="73"/>
      <c r="GSC220" s="73"/>
      <c r="GSD220" s="73"/>
      <c r="GSE220" s="73"/>
      <c r="GSF220" s="73"/>
      <c r="GSG220" s="73"/>
      <c r="GSH220" s="73"/>
      <c r="GSI220" s="73"/>
      <c r="GSJ220" s="73"/>
      <c r="GSK220" s="73"/>
      <c r="GSL220" s="73"/>
      <c r="GSM220" s="73"/>
      <c r="GSN220" s="73"/>
      <c r="GSO220" s="73"/>
      <c r="GSP220" s="73"/>
      <c r="GSQ220" s="73"/>
      <c r="GSR220" s="73"/>
      <c r="GSS220" s="73"/>
      <c r="GST220" s="73"/>
      <c r="GSU220" s="73"/>
      <c r="GSV220" s="73"/>
      <c r="GSW220" s="73"/>
      <c r="GSX220" s="73"/>
      <c r="GSY220" s="73"/>
      <c r="GSZ220" s="73"/>
      <c r="GTA220" s="73"/>
      <c r="GTB220" s="73"/>
      <c r="GTC220" s="73"/>
      <c r="GTD220" s="73"/>
      <c r="GTE220" s="73"/>
      <c r="GTF220" s="73"/>
      <c r="GTG220" s="73"/>
      <c r="GTH220" s="73"/>
      <c r="GTI220" s="73"/>
      <c r="GTJ220" s="73"/>
      <c r="GTK220" s="73"/>
      <c r="GTL220" s="73"/>
      <c r="GTM220" s="73"/>
      <c r="GTN220" s="73"/>
      <c r="GTO220" s="73"/>
      <c r="GTP220" s="73"/>
      <c r="GTQ220" s="73"/>
      <c r="GTR220" s="73"/>
      <c r="GTS220" s="73"/>
      <c r="GTT220" s="73"/>
      <c r="GTU220" s="73"/>
      <c r="GTV220" s="73"/>
      <c r="GTW220" s="73"/>
      <c r="GTX220" s="73"/>
      <c r="GTY220" s="73"/>
      <c r="GTZ220" s="73"/>
      <c r="GUA220" s="73"/>
      <c r="GUB220" s="73"/>
      <c r="GUC220" s="73"/>
      <c r="GUD220" s="73"/>
      <c r="GUE220" s="73"/>
      <c r="GUF220" s="73"/>
      <c r="GUG220" s="73"/>
      <c r="GUH220" s="73"/>
      <c r="GUI220" s="73"/>
      <c r="GUJ220" s="73"/>
      <c r="GUK220" s="73"/>
      <c r="GUL220" s="73"/>
      <c r="GUM220" s="73"/>
      <c r="GUN220" s="73"/>
      <c r="GUO220" s="73"/>
      <c r="GUP220" s="73"/>
      <c r="GUQ220" s="73"/>
      <c r="GUR220" s="73"/>
      <c r="GUS220" s="73"/>
      <c r="GUT220" s="73"/>
      <c r="GUU220" s="73"/>
      <c r="GUV220" s="73"/>
      <c r="GUW220" s="73"/>
      <c r="GUX220" s="73"/>
      <c r="GUY220" s="73"/>
      <c r="GUZ220" s="73"/>
      <c r="GVA220" s="73"/>
      <c r="GVB220" s="73"/>
      <c r="GVC220" s="73"/>
      <c r="GVD220" s="73"/>
      <c r="GVE220" s="73"/>
      <c r="GVF220" s="73"/>
      <c r="GVG220" s="73"/>
      <c r="GVH220" s="73"/>
      <c r="GVI220" s="73"/>
      <c r="GVJ220" s="73"/>
      <c r="GVK220" s="73"/>
      <c r="GVL220" s="73"/>
      <c r="GVM220" s="73"/>
      <c r="GVN220" s="73"/>
      <c r="GVO220" s="73"/>
      <c r="GVP220" s="73"/>
      <c r="GVQ220" s="73"/>
      <c r="GVR220" s="73"/>
      <c r="GVS220" s="73"/>
      <c r="GVT220" s="73"/>
      <c r="GVU220" s="73"/>
      <c r="GVV220" s="73"/>
      <c r="GVW220" s="73"/>
      <c r="GVX220" s="73"/>
      <c r="GVY220" s="73"/>
      <c r="GVZ220" s="73"/>
      <c r="GWA220" s="73"/>
      <c r="GWB220" s="73"/>
      <c r="GWC220" s="73"/>
      <c r="GWD220" s="73"/>
      <c r="GWE220" s="73"/>
      <c r="GWF220" s="73"/>
      <c r="GWG220" s="73"/>
      <c r="GWH220" s="73"/>
      <c r="GWI220" s="73"/>
      <c r="GWJ220" s="73"/>
      <c r="GWK220" s="73"/>
      <c r="GWL220" s="73"/>
      <c r="GWM220" s="73"/>
      <c r="GWN220" s="73"/>
      <c r="GWO220" s="73"/>
      <c r="GWP220" s="73"/>
      <c r="GWQ220" s="73"/>
      <c r="GWR220" s="73"/>
      <c r="GWS220" s="73"/>
      <c r="GWT220" s="73"/>
      <c r="GWU220" s="73"/>
      <c r="GWV220" s="73"/>
      <c r="GWW220" s="73"/>
      <c r="GWX220" s="73"/>
      <c r="GWY220" s="73"/>
      <c r="GWZ220" s="73"/>
      <c r="GXA220" s="73"/>
      <c r="GXB220" s="73"/>
      <c r="GXC220" s="73"/>
      <c r="GXD220" s="73"/>
      <c r="GXE220" s="73"/>
      <c r="GXF220" s="73"/>
      <c r="GXG220" s="73"/>
      <c r="GXH220" s="73"/>
      <c r="GXI220" s="73"/>
      <c r="GXJ220" s="73"/>
      <c r="GXK220" s="73"/>
      <c r="GXL220" s="73"/>
      <c r="GXM220" s="73"/>
      <c r="GXN220" s="73"/>
      <c r="GXO220" s="73"/>
      <c r="GXP220" s="73"/>
      <c r="GXQ220" s="73"/>
      <c r="GXR220" s="73"/>
      <c r="GXS220" s="73"/>
      <c r="GXT220" s="73"/>
      <c r="GXU220" s="73"/>
      <c r="GXV220" s="73"/>
      <c r="GXW220" s="73"/>
      <c r="GXX220" s="73"/>
      <c r="GXY220" s="73"/>
      <c r="GXZ220" s="73"/>
      <c r="GYA220" s="73"/>
      <c r="GYB220" s="73"/>
      <c r="GYC220" s="73"/>
      <c r="GYD220" s="73"/>
      <c r="GYE220" s="73"/>
      <c r="GYF220" s="73"/>
      <c r="GYG220" s="73"/>
      <c r="GYH220" s="73"/>
      <c r="GYI220" s="73"/>
      <c r="GYJ220" s="73"/>
      <c r="GYK220" s="73"/>
      <c r="GYL220" s="73"/>
      <c r="GYM220" s="73"/>
      <c r="GYN220" s="73"/>
      <c r="GYO220" s="73"/>
      <c r="GYP220" s="73"/>
      <c r="GYQ220" s="73"/>
      <c r="GYR220" s="73"/>
      <c r="GYS220" s="73"/>
      <c r="GYT220" s="73"/>
      <c r="GYU220" s="73"/>
      <c r="GYV220" s="73"/>
      <c r="GYW220" s="73"/>
      <c r="GYX220" s="73"/>
      <c r="GYY220" s="73"/>
      <c r="GYZ220" s="73"/>
      <c r="GZA220" s="73"/>
      <c r="GZB220" s="73"/>
      <c r="GZC220" s="73"/>
      <c r="GZD220" s="73"/>
      <c r="GZE220" s="73"/>
      <c r="GZF220" s="73"/>
      <c r="GZG220" s="73"/>
      <c r="GZH220" s="73"/>
      <c r="GZI220" s="73"/>
      <c r="GZJ220" s="73"/>
      <c r="GZK220" s="73"/>
      <c r="GZL220" s="73"/>
      <c r="GZM220" s="73"/>
      <c r="GZN220" s="73"/>
      <c r="GZO220" s="73"/>
      <c r="GZP220" s="73"/>
      <c r="GZQ220" s="73"/>
      <c r="GZR220" s="73"/>
      <c r="GZS220" s="73"/>
      <c r="GZT220" s="73"/>
      <c r="GZU220" s="73"/>
      <c r="GZV220" s="73"/>
      <c r="GZW220" s="73"/>
      <c r="GZX220" s="73"/>
      <c r="GZY220" s="73"/>
      <c r="GZZ220" s="73"/>
      <c r="HAA220" s="73"/>
      <c r="HAB220" s="73"/>
      <c r="HAC220" s="73"/>
      <c r="HAD220" s="73"/>
      <c r="HAE220" s="73"/>
      <c r="HAF220" s="73"/>
      <c r="HAG220" s="73"/>
      <c r="HAH220" s="73"/>
      <c r="HAI220" s="73"/>
      <c r="HAJ220" s="73"/>
      <c r="HAK220" s="73"/>
      <c r="HAL220" s="73"/>
      <c r="HAM220" s="73"/>
      <c r="HAN220" s="73"/>
      <c r="HAO220" s="73"/>
      <c r="HAP220" s="73"/>
      <c r="HAQ220" s="73"/>
      <c r="HAR220" s="73"/>
      <c r="HAS220" s="73"/>
      <c r="HAT220" s="73"/>
      <c r="HAU220" s="73"/>
      <c r="HAV220" s="73"/>
      <c r="HAW220" s="73"/>
      <c r="HAX220" s="73"/>
      <c r="HAY220" s="73"/>
      <c r="HAZ220" s="73"/>
      <c r="HBA220" s="73"/>
      <c r="HBB220" s="73"/>
      <c r="HBC220" s="73"/>
      <c r="HBD220" s="73"/>
      <c r="HBE220" s="73"/>
      <c r="HBF220" s="73"/>
      <c r="HBG220" s="73"/>
      <c r="HBH220" s="73"/>
      <c r="HBI220" s="73"/>
      <c r="HBJ220" s="73"/>
      <c r="HBK220" s="73"/>
      <c r="HBL220" s="73"/>
      <c r="HBM220" s="73"/>
      <c r="HBN220" s="73"/>
      <c r="HBO220" s="73"/>
      <c r="HBP220" s="73"/>
      <c r="HBQ220" s="73"/>
      <c r="HBR220" s="73"/>
      <c r="HBS220" s="73"/>
      <c r="HBT220" s="73"/>
      <c r="HBU220" s="73"/>
      <c r="HBV220" s="73"/>
      <c r="HBW220" s="73"/>
      <c r="HBX220" s="73"/>
      <c r="HBY220" s="73"/>
      <c r="HBZ220" s="73"/>
      <c r="HCA220" s="73"/>
      <c r="HCB220" s="73"/>
      <c r="HCC220" s="73"/>
      <c r="HCD220" s="73"/>
      <c r="HCE220" s="73"/>
      <c r="HCF220" s="73"/>
      <c r="HCG220" s="73"/>
      <c r="HCH220" s="73"/>
      <c r="HCI220" s="73"/>
      <c r="HCJ220" s="73"/>
      <c r="HCK220" s="73"/>
      <c r="HCL220" s="73"/>
      <c r="HCM220" s="73"/>
      <c r="HCN220" s="73"/>
      <c r="HCO220" s="73"/>
      <c r="HCP220" s="73"/>
      <c r="HCQ220" s="73"/>
      <c r="HCR220" s="73"/>
      <c r="HCS220" s="73"/>
      <c r="HCT220" s="73"/>
      <c r="HCU220" s="73"/>
      <c r="HCV220" s="73"/>
      <c r="HCW220" s="73"/>
      <c r="HCX220" s="73"/>
      <c r="HCY220" s="73"/>
      <c r="HCZ220" s="73"/>
      <c r="HDA220" s="73"/>
      <c r="HDB220" s="73"/>
      <c r="HDC220" s="73"/>
      <c r="HDD220" s="73"/>
      <c r="HDE220" s="73"/>
      <c r="HDF220" s="73"/>
      <c r="HDG220" s="73"/>
      <c r="HDH220" s="73"/>
      <c r="HDI220" s="73"/>
      <c r="HDJ220" s="73"/>
      <c r="HDK220" s="73"/>
      <c r="HDL220" s="73"/>
      <c r="HDM220" s="73"/>
      <c r="HDN220" s="73"/>
      <c r="HDO220" s="73"/>
      <c r="HDP220" s="73"/>
      <c r="HDQ220" s="73"/>
      <c r="HDR220" s="73"/>
      <c r="HDS220" s="73"/>
      <c r="HDT220" s="73"/>
      <c r="HDU220" s="73"/>
      <c r="HDV220" s="73"/>
      <c r="HDW220" s="73"/>
      <c r="HDX220" s="73"/>
      <c r="HDY220" s="73"/>
      <c r="HDZ220" s="73"/>
      <c r="HEA220" s="73"/>
      <c r="HEB220" s="73"/>
      <c r="HEC220" s="73"/>
      <c r="HED220" s="73"/>
      <c r="HEE220" s="73"/>
      <c r="HEF220" s="73"/>
      <c r="HEG220" s="73"/>
      <c r="HEH220" s="73"/>
      <c r="HEI220" s="73"/>
      <c r="HEJ220" s="73"/>
      <c r="HEK220" s="73"/>
      <c r="HEL220" s="73"/>
      <c r="HEM220" s="73"/>
      <c r="HEN220" s="73"/>
      <c r="HEO220" s="73"/>
      <c r="HEP220" s="73"/>
      <c r="HEQ220" s="73"/>
      <c r="HER220" s="73"/>
      <c r="HES220" s="73"/>
      <c r="HET220" s="73"/>
      <c r="HEU220" s="73"/>
      <c r="HEV220" s="73"/>
      <c r="HEW220" s="73"/>
      <c r="HEX220" s="73"/>
      <c r="HEY220" s="73"/>
      <c r="HEZ220" s="73"/>
      <c r="HFA220" s="73"/>
      <c r="HFB220" s="73"/>
      <c r="HFC220" s="73"/>
      <c r="HFD220" s="73"/>
      <c r="HFE220" s="73"/>
      <c r="HFF220" s="73"/>
      <c r="HFG220" s="73"/>
      <c r="HFH220" s="73"/>
      <c r="HFI220" s="73"/>
      <c r="HFJ220" s="73"/>
      <c r="HFK220" s="73"/>
      <c r="HFL220" s="73"/>
      <c r="HFM220" s="73"/>
      <c r="HFN220" s="73"/>
      <c r="HFO220" s="73"/>
      <c r="HFP220" s="73"/>
      <c r="HFQ220" s="73"/>
      <c r="HFR220" s="73"/>
      <c r="HFS220" s="73"/>
      <c r="HFT220" s="73"/>
      <c r="HFU220" s="73"/>
      <c r="HFV220" s="73"/>
      <c r="HFW220" s="73"/>
      <c r="HFX220" s="73"/>
      <c r="HFY220" s="73"/>
      <c r="HFZ220" s="73"/>
      <c r="HGA220" s="73"/>
      <c r="HGB220" s="73"/>
      <c r="HGC220" s="73"/>
      <c r="HGD220" s="73"/>
      <c r="HGE220" s="73"/>
      <c r="HGF220" s="73"/>
      <c r="HGG220" s="73"/>
      <c r="HGH220" s="73"/>
      <c r="HGI220" s="73"/>
      <c r="HGJ220" s="73"/>
      <c r="HGK220" s="73"/>
      <c r="HGL220" s="73"/>
      <c r="HGM220" s="73"/>
      <c r="HGN220" s="73"/>
      <c r="HGO220" s="73"/>
      <c r="HGP220" s="73"/>
      <c r="HGQ220" s="73"/>
      <c r="HGR220" s="73"/>
      <c r="HGS220" s="73"/>
      <c r="HGT220" s="73"/>
      <c r="HGU220" s="73"/>
      <c r="HGV220" s="73"/>
      <c r="HGW220" s="73"/>
      <c r="HGX220" s="73"/>
      <c r="HGY220" s="73"/>
      <c r="HGZ220" s="73"/>
      <c r="HHA220" s="73"/>
      <c r="HHB220" s="73"/>
      <c r="HHC220" s="73"/>
      <c r="HHD220" s="73"/>
      <c r="HHE220" s="73"/>
      <c r="HHF220" s="73"/>
      <c r="HHG220" s="73"/>
      <c r="HHH220" s="73"/>
      <c r="HHI220" s="73"/>
      <c r="HHJ220" s="73"/>
      <c r="HHK220" s="73"/>
      <c r="HHL220" s="73"/>
      <c r="HHM220" s="73"/>
      <c r="HHN220" s="73"/>
      <c r="HHO220" s="73"/>
      <c r="HHP220" s="73"/>
      <c r="HHQ220" s="73"/>
      <c r="HHR220" s="73"/>
      <c r="HHS220" s="73"/>
      <c r="HHT220" s="73"/>
      <c r="HHU220" s="73"/>
      <c r="HHV220" s="73"/>
      <c r="HHW220" s="73"/>
      <c r="HHX220" s="73"/>
      <c r="HHY220" s="73"/>
      <c r="HHZ220" s="73"/>
      <c r="HIA220" s="73"/>
      <c r="HIB220" s="73"/>
      <c r="HIC220" s="73"/>
      <c r="HID220" s="73"/>
      <c r="HIE220" s="73"/>
      <c r="HIF220" s="73"/>
      <c r="HIG220" s="73"/>
      <c r="HIH220" s="73"/>
      <c r="HII220" s="73"/>
      <c r="HIJ220" s="73"/>
      <c r="HIK220" s="73"/>
      <c r="HIL220" s="73"/>
      <c r="HIM220" s="73"/>
      <c r="HIN220" s="73"/>
      <c r="HIO220" s="73"/>
      <c r="HIP220" s="73"/>
      <c r="HIQ220" s="73"/>
      <c r="HIR220" s="73"/>
      <c r="HIS220" s="73"/>
      <c r="HIT220" s="73"/>
      <c r="HIU220" s="73"/>
      <c r="HIV220" s="73"/>
      <c r="HIW220" s="73"/>
      <c r="HIX220" s="73"/>
      <c r="HIY220" s="73"/>
      <c r="HIZ220" s="73"/>
      <c r="HJA220" s="73"/>
      <c r="HJB220" s="73"/>
      <c r="HJC220" s="73"/>
      <c r="HJD220" s="73"/>
      <c r="HJE220" s="73"/>
      <c r="HJF220" s="73"/>
      <c r="HJG220" s="73"/>
      <c r="HJH220" s="73"/>
      <c r="HJI220" s="73"/>
      <c r="HJJ220" s="73"/>
      <c r="HJK220" s="73"/>
      <c r="HJL220" s="73"/>
      <c r="HJM220" s="73"/>
      <c r="HJN220" s="73"/>
      <c r="HJO220" s="73"/>
      <c r="HJP220" s="73"/>
      <c r="HJQ220" s="73"/>
      <c r="HJR220" s="73"/>
      <c r="HJS220" s="73"/>
      <c r="HJT220" s="73"/>
      <c r="HJU220" s="73"/>
      <c r="HJV220" s="73"/>
      <c r="HJW220" s="73"/>
      <c r="HJX220" s="73"/>
      <c r="HJY220" s="73"/>
      <c r="HJZ220" s="73"/>
      <c r="HKA220" s="73"/>
      <c r="HKB220" s="73"/>
      <c r="HKC220" s="73"/>
      <c r="HKD220" s="73"/>
      <c r="HKE220" s="73"/>
      <c r="HKF220" s="73"/>
      <c r="HKG220" s="73"/>
      <c r="HKH220" s="73"/>
      <c r="HKI220" s="73"/>
      <c r="HKJ220" s="73"/>
      <c r="HKK220" s="73"/>
      <c r="HKL220" s="73"/>
      <c r="HKM220" s="73"/>
      <c r="HKN220" s="73"/>
      <c r="HKO220" s="73"/>
      <c r="HKP220" s="73"/>
      <c r="HKQ220" s="73"/>
      <c r="HKR220" s="73"/>
      <c r="HKS220" s="73"/>
      <c r="HKT220" s="73"/>
      <c r="HKU220" s="73"/>
      <c r="HKV220" s="73"/>
      <c r="HKW220" s="73"/>
      <c r="HKX220" s="73"/>
      <c r="HKY220" s="73"/>
      <c r="HKZ220" s="73"/>
      <c r="HLA220" s="73"/>
      <c r="HLB220" s="73"/>
      <c r="HLC220" s="73"/>
      <c r="HLD220" s="73"/>
      <c r="HLE220" s="73"/>
      <c r="HLF220" s="73"/>
      <c r="HLG220" s="73"/>
      <c r="HLH220" s="73"/>
      <c r="HLI220" s="73"/>
      <c r="HLJ220" s="73"/>
      <c r="HLK220" s="73"/>
      <c r="HLL220" s="73"/>
      <c r="HLM220" s="73"/>
      <c r="HLN220" s="73"/>
      <c r="HLO220" s="73"/>
      <c r="HLP220" s="73"/>
      <c r="HLQ220" s="73"/>
      <c r="HLR220" s="73"/>
      <c r="HLS220" s="73"/>
      <c r="HLT220" s="73"/>
      <c r="HLU220" s="73"/>
      <c r="HLV220" s="73"/>
      <c r="HLW220" s="73"/>
      <c r="HLX220" s="73"/>
      <c r="HLY220" s="73"/>
      <c r="HLZ220" s="73"/>
      <c r="HMA220" s="73"/>
      <c r="HMB220" s="73"/>
      <c r="HMC220" s="73"/>
      <c r="HMD220" s="73"/>
      <c r="HME220" s="73"/>
      <c r="HMF220" s="73"/>
      <c r="HMG220" s="73"/>
      <c r="HMH220" s="73"/>
      <c r="HMI220" s="73"/>
      <c r="HMJ220" s="73"/>
      <c r="HMK220" s="73"/>
      <c r="HML220" s="73"/>
      <c r="HMM220" s="73"/>
      <c r="HMN220" s="73"/>
      <c r="HMO220" s="73"/>
      <c r="HMP220" s="73"/>
      <c r="HMQ220" s="73"/>
      <c r="HMR220" s="73"/>
      <c r="HMS220" s="73"/>
      <c r="HMT220" s="73"/>
      <c r="HMU220" s="73"/>
      <c r="HMV220" s="73"/>
      <c r="HMW220" s="73"/>
      <c r="HMX220" s="73"/>
      <c r="HMY220" s="73"/>
      <c r="HMZ220" s="73"/>
      <c r="HNA220" s="73"/>
      <c r="HNB220" s="73"/>
      <c r="HNC220" s="73"/>
      <c r="HND220" s="73"/>
      <c r="HNE220" s="73"/>
      <c r="HNF220" s="73"/>
      <c r="HNG220" s="73"/>
      <c r="HNH220" s="73"/>
      <c r="HNI220" s="73"/>
      <c r="HNJ220" s="73"/>
      <c r="HNK220" s="73"/>
      <c r="HNL220" s="73"/>
      <c r="HNM220" s="73"/>
      <c r="HNN220" s="73"/>
      <c r="HNO220" s="73"/>
      <c r="HNP220" s="73"/>
      <c r="HNQ220" s="73"/>
      <c r="HNR220" s="73"/>
      <c r="HNS220" s="73"/>
      <c r="HNT220" s="73"/>
      <c r="HNU220" s="73"/>
      <c r="HNV220" s="73"/>
      <c r="HNW220" s="73"/>
      <c r="HNX220" s="73"/>
      <c r="HNY220" s="73"/>
      <c r="HNZ220" s="73"/>
      <c r="HOA220" s="73"/>
      <c r="HOB220" s="73"/>
      <c r="HOC220" s="73"/>
      <c r="HOD220" s="73"/>
      <c r="HOE220" s="73"/>
      <c r="HOF220" s="73"/>
      <c r="HOG220" s="73"/>
      <c r="HOH220" s="73"/>
      <c r="HOI220" s="73"/>
      <c r="HOJ220" s="73"/>
      <c r="HOK220" s="73"/>
      <c r="HOL220" s="73"/>
      <c r="HOM220" s="73"/>
      <c r="HON220" s="73"/>
      <c r="HOO220" s="73"/>
      <c r="HOP220" s="73"/>
      <c r="HOQ220" s="73"/>
      <c r="HOR220" s="73"/>
      <c r="HOS220" s="73"/>
      <c r="HOT220" s="73"/>
      <c r="HOU220" s="73"/>
      <c r="HOV220" s="73"/>
      <c r="HOW220" s="73"/>
      <c r="HOX220" s="73"/>
      <c r="HOY220" s="73"/>
      <c r="HOZ220" s="73"/>
      <c r="HPA220" s="73"/>
      <c r="HPB220" s="73"/>
      <c r="HPC220" s="73"/>
      <c r="HPD220" s="73"/>
      <c r="HPE220" s="73"/>
      <c r="HPF220" s="73"/>
      <c r="HPG220" s="73"/>
      <c r="HPH220" s="73"/>
      <c r="HPI220" s="73"/>
      <c r="HPJ220" s="73"/>
      <c r="HPK220" s="73"/>
      <c r="HPL220" s="73"/>
      <c r="HPM220" s="73"/>
      <c r="HPN220" s="73"/>
      <c r="HPO220" s="73"/>
      <c r="HPP220" s="73"/>
      <c r="HPQ220" s="73"/>
      <c r="HPR220" s="73"/>
      <c r="HPS220" s="73"/>
      <c r="HPT220" s="73"/>
      <c r="HPU220" s="73"/>
      <c r="HPV220" s="73"/>
      <c r="HPW220" s="73"/>
      <c r="HPX220" s="73"/>
      <c r="HPY220" s="73"/>
      <c r="HPZ220" s="73"/>
      <c r="HQA220" s="73"/>
      <c r="HQB220" s="73"/>
      <c r="HQC220" s="73"/>
      <c r="HQD220" s="73"/>
      <c r="HQE220" s="73"/>
      <c r="HQF220" s="73"/>
      <c r="HQG220" s="73"/>
      <c r="HQH220" s="73"/>
      <c r="HQI220" s="73"/>
      <c r="HQJ220" s="73"/>
      <c r="HQK220" s="73"/>
      <c r="HQL220" s="73"/>
      <c r="HQM220" s="73"/>
      <c r="HQN220" s="73"/>
      <c r="HQO220" s="73"/>
      <c r="HQP220" s="73"/>
      <c r="HQQ220" s="73"/>
      <c r="HQR220" s="73"/>
      <c r="HQS220" s="73"/>
      <c r="HQT220" s="73"/>
      <c r="HQU220" s="73"/>
      <c r="HQV220" s="73"/>
      <c r="HQW220" s="73"/>
      <c r="HQX220" s="73"/>
      <c r="HQY220" s="73"/>
      <c r="HQZ220" s="73"/>
      <c r="HRA220" s="73"/>
      <c r="HRB220" s="73"/>
      <c r="HRC220" s="73"/>
      <c r="HRD220" s="73"/>
      <c r="HRE220" s="73"/>
      <c r="HRF220" s="73"/>
      <c r="HRG220" s="73"/>
      <c r="HRH220" s="73"/>
      <c r="HRI220" s="73"/>
      <c r="HRJ220" s="73"/>
      <c r="HRK220" s="73"/>
      <c r="HRL220" s="73"/>
      <c r="HRM220" s="73"/>
      <c r="HRN220" s="73"/>
      <c r="HRO220" s="73"/>
      <c r="HRP220" s="73"/>
      <c r="HRQ220" s="73"/>
      <c r="HRR220" s="73"/>
      <c r="HRS220" s="73"/>
      <c r="HRT220" s="73"/>
      <c r="HRU220" s="73"/>
      <c r="HRV220" s="73"/>
      <c r="HRW220" s="73"/>
      <c r="HRX220" s="73"/>
      <c r="HRY220" s="73"/>
      <c r="HRZ220" s="73"/>
      <c r="HSA220" s="73"/>
      <c r="HSB220" s="73"/>
      <c r="HSC220" s="73"/>
      <c r="HSD220" s="73"/>
      <c r="HSE220" s="73"/>
      <c r="HSF220" s="73"/>
      <c r="HSG220" s="73"/>
      <c r="HSH220" s="73"/>
      <c r="HSI220" s="73"/>
      <c r="HSJ220" s="73"/>
      <c r="HSK220" s="73"/>
      <c r="HSL220" s="73"/>
      <c r="HSM220" s="73"/>
      <c r="HSN220" s="73"/>
      <c r="HSO220" s="73"/>
      <c r="HSP220" s="73"/>
      <c r="HSQ220" s="73"/>
      <c r="HSR220" s="73"/>
      <c r="HSS220" s="73"/>
      <c r="HST220" s="73"/>
      <c r="HSU220" s="73"/>
      <c r="HSV220" s="73"/>
      <c r="HSW220" s="73"/>
      <c r="HSX220" s="73"/>
      <c r="HSY220" s="73"/>
      <c r="HSZ220" s="73"/>
      <c r="HTA220" s="73"/>
      <c r="HTB220" s="73"/>
      <c r="HTC220" s="73"/>
      <c r="HTD220" s="73"/>
      <c r="HTE220" s="73"/>
      <c r="HTF220" s="73"/>
      <c r="HTG220" s="73"/>
      <c r="HTH220" s="73"/>
      <c r="HTI220" s="73"/>
      <c r="HTJ220" s="73"/>
      <c r="HTK220" s="73"/>
      <c r="HTL220" s="73"/>
      <c r="HTM220" s="73"/>
      <c r="HTN220" s="73"/>
      <c r="HTO220" s="73"/>
      <c r="HTP220" s="73"/>
      <c r="HTQ220" s="73"/>
      <c r="HTR220" s="73"/>
      <c r="HTS220" s="73"/>
      <c r="HTT220" s="73"/>
      <c r="HTU220" s="73"/>
      <c r="HTV220" s="73"/>
      <c r="HTW220" s="73"/>
      <c r="HTX220" s="73"/>
      <c r="HTY220" s="73"/>
      <c r="HTZ220" s="73"/>
      <c r="HUA220" s="73"/>
      <c r="HUB220" s="73"/>
      <c r="HUC220" s="73"/>
      <c r="HUD220" s="73"/>
      <c r="HUE220" s="73"/>
      <c r="HUF220" s="73"/>
      <c r="HUG220" s="73"/>
      <c r="HUH220" s="73"/>
      <c r="HUI220" s="73"/>
      <c r="HUJ220" s="73"/>
      <c r="HUK220" s="73"/>
      <c r="HUL220" s="73"/>
      <c r="HUM220" s="73"/>
      <c r="HUN220" s="73"/>
      <c r="HUO220" s="73"/>
      <c r="HUP220" s="73"/>
      <c r="HUQ220" s="73"/>
      <c r="HUR220" s="73"/>
      <c r="HUS220" s="73"/>
      <c r="HUT220" s="73"/>
      <c r="HUU220" s="73"/>
      <c r="HUV220" s="73"/>
      <c r="HUW220" s="73"/>
      <c r="HUX220" s="73"/>
      <c r="HUY220" s="73"/>
      <c r="HUZ220" s="73"/>
      <c r="HVA220" s="73"/>
      <c r="HVB220" s="73"/>
      <c r="HVC220" s="73"/>
      <c r="HVD220" s="73"/>
      <c r="HVE220" s="73"/>
      <c r="HVF220" s="73"/>
      <c r="HVG220" s="73"/>
      <c r="HVH220" s="73"/>
      <c r="HVI220" s="73"/>
      <c r="HVJ220" s="73"/>
      <c r="HVK220" s="73"/>
      <c r="HVL220" s="73"/>
      <c r="HVM220" s="73"/>
      <c r="HVN220" s="73"/>
      <c r="HVO220" s="73"/>
      <c r="HVP220" s="73"/>
      <c r="HVQ220" s="73"/>
      <c r="HVR220" s="73"/>
      <c r="HVS220" s="73"/>
      <c r="HVT220" s="73"/>
      <c r="HVU220" s="73"/>
      <c r="HVV220" s="73"/>
      <c r="HVW220" s="73"/>
      <c r="HVX220" s="73"/>
      <c r="HVY220" s="73"/>
      <c r="HVZ220" s="73"/>
      <c r="HWA220" s="73"/>
      <c r="HWB220" s="73"/>
      <c r="HWC220" s="73"/>
      <c r="HWD220" s="73"/>
      <c r="HWE220" s="73"/>
      <c r="HWF220" s="73"/>
      <c r="HWG220" s="73"/>
      <c r="HWH220" s="73"/>
      <c r="HWI220" s="73"/>
      <c r="HWJ220" s="73"/>
      <c r="HWK220" s="73"/>
      <c r="HWL220" s="73"/>
      <c r="HWM220" s="73"/>
      <c r="HWN220" s="73"/>
      <c r="HWO220" s="73"/>
      <c r="HWP220" s="73"/>
      <c r="HWQ220" s="73"/>
      <c r="HWR220" s="73"/>
      <c r="HWS220" s="73"/>
      <c r="HWT220" s="73"/>
      <c r="HWU220" s="73"/>
      <c r="HWV220" s="73"/>
      <c r="HWW220" s="73"/>
      <c r="HWX220" s="73"/>
      <c r="HWY220" s="73"/>
      <c r="HWZ220" s="73"/>
      <c r="HXA220" s="73"/>
      <c r="HXB220" s="73"/>
      <c r="HXC220" s="73"/>
      <c r="HXD220" s="73"/>
      <c r="HXE220" s="73"/>
      <c r="HXF220" s="73"/>
      <c r="HXG220" s="73"/>
      <c r="HXH220" s="73"/>
      <c r="HXI220" s="73"/>
      <c r="HXJ220" s="73"/>
      <c r="HXK220" s="73"/>
      <c r="HXL220" s="73"/>
      <c r="HXM220" s="73"/>
      <c r="HXN220" s="73"/>
      <c r="HXO220" s="73"/>
      <c r="HXP220" s="73"/>
      <c r="HXQ220" s="73"/>
      <c r="HXR220" s="73"/>
      <c r="HXS220" s="73"/>
      <c r="HXT220" s="73"/>
      <c r="HXU220" s="73"/>
      <c r="HXV220" s="73"/>
      <c r="HXW220" s="73"/>
      <c r="HXX220" s="73"/>
      <c r="HXY220" s="73"/>
      <c r="HXZ220" s="73"/>
      <c r="HYA220" s="73"/>
      <c r="HYB220" s="73"/>
      <c r="HYC220" s="73"/>
      <c r="HYD220" s="73"/>
      <c r="HYE220" s="73"/>
      <c r="HYF220" s="73"/>
      <c r="HYG220" s="73"/>
      <c r="HYH220" s="73"/>
      <c r="HYI220" s="73"/>
      <c r="HYJ220" s="73"/>
      <c r="HYK220" s="73"/>
      <c r="HYL220" s="73"/>
      <c r="HYM220" s="73"/>
      <c r="HYN220" s="73"/>
      <c r="HYO220" s="73"/>
      <c r="HYP220" s="73"/>
      <c r="HYQ220" s="73"/>
      <c r="HYR220" s="73"/>
      <c r="HYS220" s="73"/>
      <c r="HYT220" s="73"/>
      <c r="HYU220" s="73"/>
      <c r="HYV220" s="73"/>
      <c r="HYW220" s="73"/>
      <c r="HYX220" s="73"/>
      <c r="HYY220" s="73"/>
      <c r="HYZ220" s="73"/>
      <c r="HZA220" s="73"/>
      <c r="HZB220" s="73"/>
      <c r="HZC220" s="73"/>
      <c r="HZD220" s="73"/>
      <c r="HZE220" s="73"/>
      <c r="HZF220" s="73"/>
      <c r="HZG220" s="73"/>
      <c r="HZH220" s="73"/>
      <c r="HZI220" s="73"/>
      <c r="HZJ220" s="73"/>
      <c r="HZK220" s="73"/>
      <c r="HZL220" s="73"/>
      <c r="HZM220" s="73"/>
      <c r="HZN220" s="73"/>
      <c r="HZO220" s="73"/>
      <c r="HZP220" s="73"/>
      <c r="HZQ220" s="73"/>
      <c r="HZR220" s="73"/>
      <c r="HZS220" s="73"/>
      <c r="HZT220" s="73"/>
      <c r="HZU220" s="73"/>
      <c r="HZV220" s="73"/>
      <c r="HZW220" s="73"/>
      <c r="HZX220" s="73"/>
      <c r="HZY220" s="73"/>
      <c r="HZZ220" s="73"/>
      <c r="IAA220" s="73"/>
      <c r="IAB220" s="73"/>
      <c r="IAC220" s="73"/>
      <c r="IAD220" s="73"/>
      <c r="IAE220" s="73"/>
      <c r="IAF220" s="73"/>
      <c r="IAG220" s="73"/>
      <c r="IAH220" s="73"/>
      <c r="IAI220" s="73"/>
      <c r="IAJ220" s="73"/>
      <c r="IAK220" s="73"/>
      <c r="IAL220" s="73"/>
      <c r="IAM220" s="73"/>
      <c r="IAN220" s="73"/>
      <c r="IAO220" s="73"/>
      <c r="IAP220" s="73"/>
      <c r="IAQ220" s="73"/>
      <c r="IAR220" s="73"/>
      <c r="IAS220" s="73"/>
      <c r="IAT220" s="73"/>
      <c r="IAU220" s="73"/>
      <c r="IAV220" s="73"/>
      <c r="IAW220" s="73"/>
      <c r="IAX220" s="73"/>
      <c r="IAY220" s="73"/>
      <c r="IAZ220" s="73"/>
      <c r="IBA220" s="73"/>
      <c r="IBB220" s="73"/>
      <c r="IBC220" s="73"/>
      <c r="IBD220" s="73"/>
      <c r="IBE220" s="73"/>
      <c r="IBF220" s="73"/>
      <c r="IBG220" s="73"/>
      <c r="IBH220" s="73"/>
      <c r="IBI220" s="73"/>
      <c r="IBJ220" s="73"/>
      <c r="IBK220" s="73"/>
      <c r="IBL220" s="73"/>
      <c r="IBM220" s="73"/>
      <c r="IBN220" s="73"/>
      <c r="IBO220" s="73"/>
      <c r="IBP220" s="73"/>
      <c r="IBQ220" s="73"/>
      <c r="IBR220" s="73"/>
      <c r="IBS220" s="73"/>
      <c r="IBT220" s="73"/>
      <c r="IBU220" s="73"/>
      <c r="IBV220" s="73"/>
      <c r="IBW220" s="73"/>
      <c r="IBX220" s="73"/>
      <c r="IBY220" s="73"/>
      <c r="IBZ220" s="73"/>
      <c r="ICA220" s="73"/>
      <c r="ICB220" s="73"/>
      <c r="ICC220" s="73"/>
      <c r="ICD220" s="73"/>
      <c r="ICE220" s="73"/>
      <c r="ICF220" s="73"/>
      <c r="ICG220" s="73"/>
      <c r="ICH220" s="73"/>
      <c r="ICI220" s="73"/>
      <c r="ICJ220" s="73"/>
      <c r="ICK220" s="73"/>
      <c r="ICL220" s="73"/>
      <c r="ICM220" s="73"/>
      <c r="ICN220" s="73"/>
      <c r="ICO220" s="73"/>
      <c r="ICP220" s="73"/>
      <c r="ICQ220" s="73"/>
      <c r="ICR220" s="73"/>
      <c r="ICS220" s="73"/>
      <c r="ICT220" s="73"/>
      <c r="ICU220" s="73"/>
      <c r="ICV220" s="73"/>
      <c r="ICW220" s="73"/>
      <c r="ICX220" s="73"/>
      <c r="ICY220" s="73"/>
      <c r="ICZ220" s="73"/>
      <c r="IDA220" s="73"/>
      <c r="IDB220" s="73"/>
      <c r="IDC220" s="73"/>
      <c r="IDD220" s="73"/>
      <c r="IDE220" s="73"/>
      <c r="IDF220" s="73"/>
      <c r="IDG220" s="73"/>
      <c r="IDH220" s="73"/>
      <c r="IDI220" s="73"/>
      <c r="IDJ220" s="73"/>
      <c r="IDK220" s="73"/>
      <c r="IDL220" s="73"/>
      <c r="IDM220" s="73"/>
      <c r="IDN220" s="73"/>
      <c r="IDO220" s="73"/>
      <c r="IDP220" s="73"/>
      <c r="IDQ220" s="73"/>
      <c r="IDR220" s="73"/>
      <c r="IDS220" s="73"/>
      <c r="IDT220" s="73"/>
      <c r="IDU220" s="73"/>
      <c r="IDV220" s="73"/>
      <c r="IDW220" s="73"/>
      <c r="IDX220" s="73"/>
      <c r="IDY220" s="73"/>
      <c r="IDZ220" s="73"/>
      <c r="IEA220" s="73"/>
      <c r="IEB220" s="73"/>
      <c r="IEC220" s="73"/>
      <c r="IED220" s="73"/>
      <c r="IEE220" s="73"/>
      <c r="IEF220" s="73"/>
      <c r="IEG220" s="73"/>
      <c r="IEH220" s="73"/>
      <c r="IEI220" s="73"/>
      <c r="IEJ220" s="73"/>
      <c r="IEK220" s="73"/>
      <c r="IEL220" s="73"/>
      <c r="IEM220" s="73"/>
      <c r="IEN220" s="73"/>
      <c r="IEO220" s="73"/>
      <c r="IEP220" s="73"/>
      <c r="IEQ220" s="73"/>
      <c r="IER220" s="73"/>
      <c r="IES220" s="73"/>
      <c r="IET220" s="73"/>
      <c r="IEU220" s="73"/>
      <c r="IEV220" s="73"/>
      <c r="IEW220" s="73"/>
      <c r="IEX220" s="73"/>
      <c r="IEY220" s="73"/>
      <c r="IEZ220" s="73"/>
      <c r="IFA220" s="73"/>
      <c r="IFB220" s="73"/>
      <c r="IFC220" s="73"/>
      <c r="IFD220" s="73"/>
      <c r="IFE220" s="73"/>
      <c r="IFF220" s="73"/>
      <c r="IFG220" s="73"/>
      <c r="IFH220" s="73"/>
      <c r="IFI220" s="73"/>
      <c r="IFJ220" s="73"/>
      <c r="IFK220" s="73"/>
      <c r="IFL220" s="73"/>
      <c r="IFM220" s="73"/>
      <c r="IFN220" s="73"/>
      <c r="IFO220" s="73"/>
      <c r="IFP220" s="73"/>
      <c r="IFQ220" s="73"/>
      <c r="IFR220" s="73"/>
      <c r="IFS220" s="73"/>
      <c r="IFT220" s="73"/>
      <c r="IFU220" s="73"/>
      <c r="IFV220" s="73"/>
      <c r="IFW220" s="73"/>
      <c r="IFX220" s="73"/>
      <c r="IFY220" s="73"/>
      <c r="IFZ220" s="73"/>
      <c r="IGA220" s="73"/>
      <c r="IGB220" s="73"/>
      <c r="IGC220" s="73"/>
      <c r="IGD220" s="73"/>
      <c r="IGE220" s="73"/>
      <c r="IGF220" s="73"/>
      <c r="IGG220" s="73"/>
      <c r="IGH220" s="73"/>
      <c r="IGI220" s="73"/>
      <c r="IGJ220" s="73"/>
      <c r="IGK220" s="73"/>
      <c r="IGL220" s="73"/>
      <c r="IGM220" s="73"/>
      <c r="IGN220" s="73"/>
      <c r="IGO220" s="73"/>
      <c r="IGP220" s="73"/>
      <c r="IGQ220" s="73"/>
      <c r="IGR220" s="73"/>
      <c r="IGS220" s="73"/>
      <c r="IGT220" s="73"/>
      <c r="IGU220" s="73"/>
      <c r="IGV220" s="73"/>
      <c r="IGW220" s="73"/>
      <c r="IGX220" s="73"/>
      <c r="IGY220" s="73"/>
      <c r="IGZ220" s="73"/>
      <c r="IHA220" s="73"/>
      <c r="IHB220" s="73"/>
      <c r="IHC220" s="73"/>
      <c r="IHD220" s="73"/>
      <c r="IHE220" s="73"/>
      <c r="IHF220" s="73"/>
      <c r="IHG220" s="73"/>
      <c r="IHH220" s="73"/>
      <c r="IHI220" s="73"/>
      <c r="IHJ220" s="73"/>
      <c r="IHK220" s="73"/>
      <c r="IHL220" s="73"/>
      <c r="IHM220" s="73"/>
      <c r="IHN220" s="73"/>
      <c r="IHO220" s="73"/>
      <c r="IHP220" s="73"/>
      <c r="IHQ220" s="73"/>
      <c r="IHR220" s="73"/>
      <c r="IHS220" s="73"/>
      <c r="IHT220" s="73"/>
      <c r="IHU220" s="73"/>
      <c r="IHV220" s="73"/>
      <c r="IHW220" s="73"/>
      <c r="IHX220" s="73"/>
      <c r="IHY220" s="73"/>
      <c r="IHZ220" s="73"/>
      <c r="IIA220" s="73"/>
      <c r="IIB220" s="73"/>
      <c r="IIC220" s="73"/>
      <c r="IID220" s="73"/>
      <c r="IIE220" s="73"/>
      <c r="IIF220" s="73"/>
      <c r="IIG220" s="73"/>
      <c r="IIH220" s="73"/>
      <c r="III220" s="73"/>
      <c r="IIJ220" s="73"/>
      <c r="IIK220" s="73"/>
      <c r="IIL220" s="73"/>
      <c r="IIM220" s="73"/>
      <c r="IIN220" s="73"/>
      <c r="IIO220" s="73"/>
      <c r="IIP220" s="73"/>
      <c r="IIQ220" s="73"/>
      <c r="IIR220" s="73"/>
      <c r="IIS220" s="73"/>
      <c r="IIT220" s="73"/>
      <c r="IIU220" s="73"/>
      <c r="IIV220" s="73"/>
      <c r="IIW220" s="73"/>
      <c r="IIX220" s="73"/>
      <c r="IIY220" s="73"/>
      <c r="IIZ220" s="73"/>
      <c r="IJA220" s="73"/>
      <c r="IJB220" s="73"/>
      <c r="IJC220" s="73"/>
      <c r="IJD220" s="73"/>
      <c r="IJE220" s="73"/>
      <c r="IJF220" s="73"/>
      <c r="IJG220" s="73"/>
      <c r="IJH220" s="73"/>
      <c r="IJI220" s="73"/>
      <c r="IJJ220" s="73"/>
      <c r="IJK220" s="73"/>
      <c r="IJL220" s="73"/>
      <c r="IJM220" s="73"/>
      <c r="IJN220" s="73"/>
      <c r="IJO220" s="73"/>
      <c r="IJP220" s="73"/>
      <c r="IJQ220" s="73"/>
      <c r="IJR220" s="73"/>
      <c r="IJS220" s="73"/>
      <c r="IJT220" s="73"/>
      <c r="IJU220" s="73"/>
      <c r="IJV220" s="73"/>
      <c r="IJW220" s="73"/>
      <c r="IJX220" s="73"/>
      <c r="IJY220" s="73"/>
      <c r="IJZ220" s="73"/>
      <c r="IKA220" s="73"/>
      <c r="IKB220" s="73"/>
      <c r="IKC220" s="73"/>
      <c r="IKD220" s="73"/>
      <c r="IKE220" s="73"/>
      <c r="IKF220" s="73"/>
      <c r="IKG220" s="73"/>
      <c r="IKH220" s="73"/>
      <c r="IKI220" s="73"/>
      <c r="IKJ220" s="73"/>
      <c r="IKK220" s="73"/>
      <c r="IKL220" s="73"/>
      <c r="IKM220" s="73"/>
      <c r="IKN220" s="73"/>
      <c r="IKO220" s="73"/>
      <c r="IKP220" s="73"/>
      <c r="IKQ220" s="73"/>
      <c r="IKR220" s="73"/>
      <c r="IKS220" s="73"/>
      <c r="IKT220" s="73"/>
      <c r="IKU220" s="73"/>
      <c r="IKV220" s="73"/>
      <c r="IKW220" s="73"/>
      <c r="IKX220" s="73"/>
      <c r="IKY220" s="73"/>
      <c r="IKZ220" s="73"/>
      <c r="ILA220" s="73"/>
      <c r="ILB220" s="73"/>
      <c r="ILC220" s="73"/>
      <c r="ILD220" s="73"/>
      <c r="ILE220" s="73"/>
      <c r="ILF220" s="73"/>
      <c r="ILG220" s="73"/>
      <c r="ILH220" s="73"/>
      <c r="ILI220" s="73"/>
      <c r="ILJ220" s="73"/>
      <c r="ILK220" s="73"/>
      <c r="ILL220" s="73"/>
      <c r="ILM220" s="73"/>
      <c r="ILN220" s="73"/>
      <c r="ILO220" s="73"/>
      <c r="ILP220" s="73"/>
      <c r="ILQ220" s="73"/>
      <c r="ILR220" s="73"/>
      <c r="ILS220" s="73"/>
      <c r="ILT220" s="73"/>
      <c r="ILU220" s="73"/>
      <c r="ILV220" s="73"/>
      <c r="ILW220" s="73"/>
      <c r="ILX220" s="73"/>
      <c r="ILY220" s="73"/>
      <c r="ILZ220" s="73"/>
      <c r="IMA220" s="73"/>
      <c r="IMB220" s="73"/>
      <c r="IMC220" s="73"/>
      <c r="IMD220" s="73"/>
      <c r="IME220" s="73"/>
      <c r="IMF220" s="73"/>
      <c r="IMG220" s="73"/>
      <c r="IMH220" s="73"/>
      <c r="IMI220" s="73"/>
      <c r="IMJ220" s="73"/>
      <c r="IMK220" s="73"/>
      <c r="IML220" s="73"/>
      <c r="IMM220" s="73"/>
      <c r="IMN220" s="73"/>
      <c r="IMO220" s="73"/>
      <c r="IMP220" s="73"/>
      <c r="IMQ220" s="73"/>
      <c r="IMR220" s="73"/>
      <c r="IMS220" s="73"/>
      <c r="IMT220" s="73"/>
      <c r="IMU220" s="73"/>
      <c r="IMV220" s="73"/>
      <c r="IMW220" s="73"/>
      <c r="IMX220" s="73"/>
      <c r="IMY220" s="73"/>
      <c r="IMZ220" s="73"/>
      <c r="INA220" s="73"/>
      <c r="INB220" s="73"/>
      <c r="INC220" s="73"/>
      <c r="IND220" s="73"/>
      <c r="INE220" s="73"/>
      <c r="INF220" s="73"/>
      <c r="ING220" s="73"/>
      <c r="INH220" s="73"/>
      <c r="INI220" s="73"/>
      <c r="INJ220" s="73"/>
      <c r="INK220" s="73"/>
      <c r="INL220" s="73"/>
      <c r="INM220" s="73"/>
      <c r="INN220" s="73"/>
      <c r="INO220" s="73"/>
      <c r="INP220" s="73"/>
      <c r="INQ220" s="73"/>
      <c r="INR220" s="73"/>
      <c r="INS220" s="73"/>
      <c r="INT220" s="73"/>
      <c r="INU220" s="73"/>
      <c r="INV220" s="73"/>
      <c r="INW220" s="73"/>
      <c r="INX220" s="73"/>
      <c r="INY220" s="73"/>
      <c r="INZ220" s="73"/>
      <c r="IOA220" s="73"/>
      <c r="IOB220" s="73"/>
      <c r="IOC220" s="73"/>
      <c r="IOD220" s="73"/>
      <c r="IOE220" s="73"/>
      <c r="IOF220" s="73"/>
      <c r="IOG220" s="73"/>
      <c r="IOH220" s="73"/>
      <c r="IOI220" s="73"/>
      <c r="IOJ220" s="73"/>
      <c r="IOK220" s="73"/>
      <c r="IOL220" s="73"/>
      <c r="IOM220" s="73"/>
      <c r="ION220" s="73"/>
      <c r="IOO220" s="73"/>
      <c r="IOP220" s="73"/>
      <c r="IOQ220" s="73"/>
      <c r="IOR220" s="73"/>
      <c r="IOS220" s="73"/>
      <c r="IOT220" s="73"/>
      <c r="IOU220" s="73"/>
      <c r="IOV220" s="73"/>
      <c r="IOW220" s="73"/>
      <c r="IOX220" s="73"/>
      <c r="IOY220" s="73"/>
      <c r="IOZ220" s="73"/>
      <c r="IPA220" s="73"/>
      <c r="IPB220" s="73"/>
      <c r="IPC220" s="73"/>
      <c r="IPD220" s="73"/>
      <c r="IPE220" s="73"/>
      <c r="IPF220" s="73"/>
      <c r="IPG220" s="73"/>
      <c r="IPH220" s="73"/>
      <c r="IPI220" s="73"/>
      <c r="IPJ220" s="73"/>
      <c r="IPK220" s="73"/>
      <c r="IPL220" s="73"/>
      <c r="IPM220" s="73"/>
      <c r="IPN220" s="73"/>
      <c r="IPO220" s="73"/>
      <c r="IPP220" s="73"/>
      <c r="IPQ220" s="73"/>
      <c r="IPR220" s="73"/>
      <c r="IPS220" s="73"/>
      <c r="IPT220" s="73"/>
      <c r="IPU220" s="73"/>
      <c r="IPV220" s="73"/>
      <c r="IPW220" s="73"/>
      <c r="IPX220" s="73"/>
      <c r="IPY220" s="73"/>
      <c r="IPZ220" s="73"/>
      <c r="IQA220" s="73"/>
      <c r="IQB220" s="73"/>
      <c r="IQC220" s="73"/>
      <c r="IQD220" s="73"/>
      <c r="IQE220" s="73"/>
      <c r="IQF220" s="73"/>
      <c r="IQG220" s="73"/>
      <c r="IQH220" s="73"/>
      <c r="IQI220" s="73"/>
      <c r="IQJ220" s="73"/>
      <c r="IQK220" s="73"/>
      <c r="IQL220" s="73"/>
      <c r="IQM220" s="73"/>
      <c r="IQN220" s="73"/>
      <c r="IQO220" s="73"/>
      <c r="IQP220" s="73"/>
      <c r="IQQ220" s="73"/>
      <c r="IQR220" s="73"/>
      <c r="IQS220" s="73"/>
      <c r="IQT220" s="73"/>
      <c r="IQU220" s="73"/>
      <c r="IQV220" s="73"/>
      <c r="IQW220" s="73"/>
      <c r="IQX220" s="73"/>
      <c r="IQY220" s="73"/>
      <c r="IQZ220" s="73"/>
      <c r="IRA220" s="73"/>
      <c r="IRB220" s="73"/>
      <c r="IRC220" s="73"/>
      <c r="IRD220" s="73"/>
      <c r="IRE220" s="73"/>
      <c r="IRF220" s="73"/>
      <c r="IRG220" s="73"/>
      <c r="IRH220" s="73"/>
      <c r="IRI220" s="73"/>
      <c r="IRJ220" s="73"/>
      <c r="IRK220" s="73"/>
      <c r="IRL220" s="73"/>
      <c r="IRM220" s="73"/>
      <c r="IRN220" s="73"/>
      <c r="IRO220" s="73"/>
      <c r="IRP220" s="73"/>
      <c r="IRQ220" s="73"/>
      <c r="IRR220" s="73"/>
      <c r="IRS220" s="73"/>
      <c r="IRT220" s="73"/>
      <c r="IRU220" s="73"/>
      <c r="IRV220" s="73"/>
      <c r="IRW220" s="73"/>
      <c r="IRX220" s="73"/>
      <c r="IRY220" s="73"/>
      <c r="IRZ220" s="73"/>
      <c r="ISA220" s="73"/>
      <c r="ISB220" s="73"/>
      <c r="ISC220" s="73"/>
      <c r="ISD220" s="73"/>
      <c r="ISE220" s="73"/>
      <c r="ISF220" s="73"/>
      <c r="ISG220" s="73"/>
      <c r="ISH220" s="73"/>
      <c r="ISI220" s="73"/>
      <c r="ISJ220" s="73"/>
      <c r="ISK220" s="73"/>
      <c r="ISL220" s="73"/>
      <c r="ISM220" s="73"/>
      <c r="ISN220" s="73"/>
      <c r="ISO220" s="73"/>
      <c r="ISP220" s="73"/>
      <c r="ISQ220" s="73"/>
      <c r="ISR220" s="73"/>
      <c r="ISS220" s="73"/>
      <c r="IST220" s="73"/>
      <c r="ISU220" s="73"/>
      <c r="ISV220" s="73"/>
      <c r="ISW220" s="73"/>
      <c r="ISX220" s="73"/>
      <c r="ISY220" s="73"/>
      <c r="ISZ220" s="73"/>
      <c r="ITA220" s="73"/>
      <c r="ITB220" s="73"/>
      <c r="ITC220" s="73"/>
      <c r="ITD220" s="73"/>
      <c r="ITE220" s="73"/>
      <c r="ITF220" s="73"/>
      <c r="ITG220" s="73"/>
      <c r="ITH220" s="73"/>
      <c r="ITI220" s="73"/>
      <c r="ITJ220" s="73"/>
      <c r="ITK220" s="73"/>
      <c r="ITL220" s="73"/>
      <c r="ITM220" s="73"/>
      <c r="ITN220" s="73"/>
      <c r="ITO220" s="73"/>
      <c r="ITP220" s="73"/>
      <c r="ITQ220" s="73"/>
      <c r="ITR220" s="73"/>
      <c r="ITS220" s="73"/>
      <c r="ITT220" s="73"/>
      <c r="ITU220" s="73"/>
      <c r="ITV220" s="73"/>
      <c r="ITW220" s="73"/>
      <c r="ITX220" s="73"/>
      <c r="ITY220" s="73"/>
      <c r="ITZ220" s="73"/>
      <c r="IUA220" s="73"/>
      <c r="IUB220" s="73"/>
      <c r="IUC220" s="73"/>
      <c r="IUD220" s="73"/>
      <c r="IUE220" s="73"/>
      <c r="IUF220" s="73"/>
      <c r="IUG220" s="73"/>
      <c r="IUH220" s="73"/>
      <c r="IUI220" s="73"/>
      <c r="IUJ220" s="73"/>
      <c r="IUK220" s="73"/>
      <c r="IUL220" s="73"/>
      <c r="IUM220" s="73"/>
      <c r="IUN220" s="73"/>
      <c r="IUO220" s="73"/>
      <c r="IUP220" s="73"/>
      <c r="IUQ220" s="73"/>
      <c r="IUR220" s="73"/>
      <c r="IUS220" s="73"/>
      <c r="IUT220" s="73"/>
      <c r="IUU220" s="73"/>
      <c r="IUV220" s="73"/>
      <c r="IUW220" s="73"/>
      <c r="IUX220" s="73"/>
      <c r="IUY220" s="73"/>
      <c r="IUZ220" s="73"/>
      <c r="IVA220" s="73"/>
      <c r="IVB220" s="73"/>
      <c r="IVC220" s="73"/>
      <c r="IVD220" s="73"/>
      <c r="IVE220" s="73"/>
      <c r="IVF220" s="73"/>
      <c r="IVG220" s="73"/>
      <c r="IVH220" s="73"/>
      <c r="IVI220" s="73"/>
      <c r="IVJ220" s="73"/>
      <c r="IVK220" s="73"/>
      <c r="IVL220" s="73"/>
      <c r="IVM220" s="73"/>
      <c r="IVN220" s="73"/>
      <c r="IVO220" s="73"/>
      <c r="IVP220" s="73"/>
      <c r="IVQ220" s="73"/>
      <c r="IVR220" s="73"/>
      <c r="IVS220" s="73"/>
      <c r="IVT220" s="73"/>
      <c r="IVU220" s="73"/>
      <c r="IVV220" s="73"/>
      <c r="IVW220" s="73"/>
      <c r="IVX220" s="73"/>
      <c r="IVY220" s="73"/>
      <c r="IVZ220" s="73"/>
      <c r="IWA220" s="73"/>
      <c r="IWB220" s="73"/>
      <c r="IWC220" s="73"/>
      <c r="IWD220" s="73"/>
      <c r="IWE220" s="73"/>
      <c r="IWF220" s="73"/>
      <c r="IWG220" s="73"/>
      <c r="IWH220" s="73"/>
      <c r="IWI220" s="73"/>
      <c r="IWJ220" s="73"/>
      <c r="IWK220" s="73"/>
      <c r="IWL220" s="73"/>
      <c r="IWM220" s="73"/>
      <c r="IWN220" s="73"/>
      <c r="IWO220" s="73"/>
      <c r="IWP220" s="73"/>
      <c r="IWQ220" s="73"/>
      <c r="IWR220" s="73"/>
      <c r="IWS220" s="73"/>
      <c r="IWT220" s="73"/>
      <c r="IWU220" s="73"/>
      <c r="IWV220" s="73"/>
      <c r="IWW220" s="73"/>
      <c r="IWX220" s="73"/>
      <c r="IWY220" s="73"/>
      <c r="IWZ220" s="73"/>
      <c r="IXA220" s="73"/>
      <c r="IXB220" s="73"/>
      <c r="IXC220" s="73"/>
      <c r="IXD220" s="73"/>
      <c r="IXE220" s="73"/>
      <c r="IXF220" s="73"/>
      <c r="IXG220" s="73"/>
      <c r="IXH220" s="73"/>
      <c r="IXI220" s="73"/>
      <c r="IXJ220" s="73"/>
      <c r="IXK220" s="73"/>
      <c r="IXL220" s="73"/>
      <c r="IXM220" s="73"/>
      <c r="IXN220" s="73"/>
      <c r="IXO220" s="73"/>
      <c r="IXP220" s="73"/>
      <c r="IXQ220" s="73"/>
      <c r="IXR220" s="73"/>
      <c r="IXS220" s="73"/>
      <c r="IXT220" s="73"/>
      <c r="IXU220" s="73"/>
      <c r="IXV220" s="73"/>
      <c r="IXW220" s="73"/>
      <c r="IXX220" s="73"/>
      <c r="IXY220" s="73"/>
      <c r="IXZ220" s="73"/>
      <c r="IYA220" s="73"/>
      <c r="IYB220" s="73"/>
      <c r="IYC220" s="73"/>
      <c r="IYD220" s="73"/>
      <c r="IYE220" s="73"/>
      <c r="IYF220" s="73"/>
      <c r="IYG220" s="73"/>
      <c r="IYH220" s="73"/>
      <c r="IYI220" s="73"/>
      <c r="IYJ220" s="73"/>
      <c r="IYK220" s="73"/>
      <c r="IYL220" s="73"/>
      <c r="IYM220" s="73"/>
      <c r="IYN220" s="73"/>
      <c r="IYO220" s="73"/>
      <c r="IYP220" s="73"/>
      <c r="IYQ220" s="73"/>
      <c r="IYR220" s="73"/>
      <c r="IYS220" s="73"/>
      <c r="IYT220" s="73"/>
      <c r="IYU220" s="73"/>
      <c r="IYV220" s="73"/>
      <c r="IYW220" s="73"/>
      <c r="IYX220" s="73"/>
      <c r="IYY220" s="73"/>
      <c r="IYZ220" s="73"/>
      <c r="IZA220" s="73"/>
      <c r="IZB220" s="73"/>
      <c r="IZC220" s="73"/>
      <c r="IZD220" s="73"/>
      <c r="IZE220" s="73"/>
      <c r="IZF220" s="73"/>
      <c r="IZG220" s="73"/>
      <c r="IZH220" s="73"/>
      <c r="IZI220" s="73"/>
      <c r="IZJ220" s="73"/>
      <c r="IZK220" s="73"/>
      <c r="IZL220" s="73"/>
      <c r="IZM220" s="73"/>
      <c r="IZN220" s="73"/>
      <c r="IZO220" s="73"/>
      <c r="IZP220" s="73"/>
      <c r="IZQ220" s="73"/>
      <c r="IZR220" s="73"/>
      <c r="IZS220" s="73"/>
      <c r="IZT220" s="73"/>
      <c r="IZU220" s="73"/>
      <c r="IZV220" s="73"/>
      <c r="IZW220" s="73"/>
      <c r="IZX220" s="73"/>
      <c r="IZY220" s="73"/>
      <c r="IZZ220" s="73"/>
      <c r="JAA220" s="73"/>
      <c r="JAB220" s="73"/>
      <c r="JAC220" s="73"/>
      <c r="JAD220" s="73"/>
      <c r="JAE220" s="73"/>
      <c r="JAF220" s="73"/>
      <c r="JAG220" s="73"/>
      <c r="JAH220" s="73"/>
      <c r="JAI220" s="73"/>
      <c r="JAJ220" s="73"/>
      <c r="JAK220" s="73"/>
      <c r="JAL220" s="73"/>
      <c r="JAM220" s="73"/>
      <c r="JAN220" s="73"/>
      <c r="JAO220" s="73"/>
      <c r="JAP220" s="73"/>
      <c r="JAQ220" s="73"/>
      <c r="JAR220" s="73"/>
      <c r="JAS220" s="73"/>
      <c r="JAT220" s="73"/>
      <c r="JAU220" s="73"/>
      <c r="JAV220" s="73"/>
      <c r="JAW220" s="73"/>
      <c r="JAX220" s="73"/>
      <c r="JAY220" s="73"/>
      <c r="JAZ220" s="73"/>
      <c r="JBA220" s="73"/>
      <c r="JBB220" s="73"/>
      <c r="JBC220" s="73"/>
      <c r="JBD220" s="73"/>
      <c r="JBE220" s="73"/>
      <c r="JBF220" s="73"/>
      <c r="JBG220" s="73"/>
      <c r="JBH220" s="73"/>
      <c r="JBI220" s="73"/>
      <c r="JBJ220" s="73"/>
      <c r="JBK220" s="73"/>
      <c r="JBL220" s="73"/>
      <c r="JBM220" s="73"/>
      <c r="JBN220" s="73"/>
      <c r="JBO220" s="73"/>
      <c r="JBP220" s="73"/>
      <c r="JBQ220" s="73"/>
      <c r="JBR220" s="73"/>
      <c r="JBS220" s="73"/>
      <c r="JBT220" s="73"/>
      <c r="JBU220" s="73"/>
      <c r="JBV220" s="73"/>
      <c r="JBW220" s="73"/>
      <c r="JBX220" s="73"/>
      <c r="JBY220" s="73"/>
      <c r="JBZ220" s="73"/>
      <c r="JCA220" s="73"/>
      <c r="JCB220" s="73"/>
      <c r="JCC220" s="73"/>
      <c r="JCD220" s="73"/>
      <c r="JCE220" s="73"/>
      <c r="JCF220" s="73"/>
      <c r="JCG220" s="73"/>
      <c r="JCH220" s="73"/>
      <c r="JCI220" s="73"/>
      <c r="JCJ220" s="73"/>
      <c r="JCK220" s="73"/>
      <c r="JCL220" s="73"/>
      <c r="JCM220" s="73"/>
      <c r="JCN220" s="73"/>
      <c r="JCO220" s="73"/>
      <c r="JCP220" s="73"/>
      <c r="JCQ220" s="73"/>
      <c r="JCR220" s="73"/>
      <c r="JCS220" s="73"/>
      <c r="JCT220" s="73"/>
      <c r="JCU220" s="73"/>
      <c r="JCV220" s="73"/>
      <c r="JCW220" s="73"/>
      <c r="JCX220" s="73"/>
      <c r="JCY220" s="73"/>
      <c r="JCZ220" s="73"/>
      <c r="JDA220" s="73"/>
      <c r="JDB220" s="73"/>
      <c r="JDC220" s="73"/>
      <c r="JDD220" s="73"/>
      <c r="JDE220" s="73"/>
      <c r="JDF220" s="73"/>
      <c r="JDG220" s="73"/>
      <c r="JDH220" s="73"/>
      <c r="JDI220" s="73"/>
      <c r="JDJ220" s="73"/>
      <c r="JDK220" s="73"/>
      <c r="JDL220" s="73"/>
      <c r="JDM220" s="73"/>
      <c r="JDN220" s="73"/>
      <c r="JDO220" s="73"/>
      <c r="JDP220" s="73"/>
      <c r="JDQ220" s="73"/>
      <c r="JDR220" s="73"/>
      <c r="JDS220" s="73"/>
      <c r="JDT220" s="73"/>
      <c r="JDU220" s="73"/>
      <c r="JDV220" s="73"/>
      <c r="JDW220" s="73"/>
      <c r="JDX220" s="73"/>
      <c r="JDY220" s="73"/>
      <c r="JDZ220" s="73"/>
      <c r="JEA220" s="73"/>
      <c r="JEB220" s="73"/>
      <c r="JEC220" s="73"/>
      <c r="JED220" s="73"/>
      <c r="JEE220" s="73"/>
      <c r="JEF220" s="73"/>
      <c r="JEG220" s="73"/>
      <c r="JEH220" s="73"/>
      <c r="JEI220" s="73"/>
      <c r="JEJ220" s="73"/>
      <c r="JEK220" s="73"/>
      <c r="JEL220" s="73"/>
      <c r="JEM220" s="73"/>
      <c r="JEN220" s="73"/>
      <c r="JEO220" s="73"/>
      <c r="JEP220" s="73"/>
      <c r="JEQ220" s="73"/>
      <c r="JER220" s="73"/>
      <c r="JES220" s="73"/>
      <c r="JET220" s="73"/>
      <c r="JEU220" s="73"/>
      <c r="JEV220" s="73"/>
      <c r="JEW220" s="73"/>
      <c r="JEX220" s="73"/>
      <c r="JEY220" s="73"/>
      <c r="JEZ220" s="73"/>
      <c r="JFA220" s="73"/>
      <c r="JFB220" s="73"/>
      <c r="JFC220" s="73"/>
      <c r="JFD220" s="73"/>
      <c r="JFE220" s="73"/>
      <c r="JFF220" s="73"/>
      <c r="JFG220" s="73"/>
      <c r="JFH220" s="73"/>
      <c r="JFI220" s="73"/>
      <c r="JFJ220" s="73"/>
      <c r="JFK220" s="73"/>
      <c r="JFL220" s="73"/>
      <c r="JFM220" s="73"/>
      <c r="JFN220" s="73"/>
      <c r="JFO220" s="73"/>
      <c r="JFP220" s="73"/>
      <c r="JFQ220" s="73"/>
      <c r="JFR220" s="73"/>
      <c r="JFS220" s="73"/>
      <c r="JFT220" s="73"/>
      <c r="JFU220" s="73"/>
      <c r="JFV220" s="73"/>
      <c r="JFW220" s="73"/>
      <c r="JFX220" s="73"/>
      <c r="JFY220" s="73"/>
      <c r="JFZ220" s="73"/>
      <c r="JGA220" s="73"/>
      <c r="JGB220" s="73"/>
      <c r="JGC220" s="73"/>
      <c r="JGD220" s="73"/>
      <c r="JGE220" s="73"/>
      <c r="JGF220" s="73"/>
      <c r="JGG220" s="73"/>
      <c r="JGH220" s="73"/>
      <c r="JGI220" s="73"/>
      <c r="JGJ220" s="73"/>
      <c r="JGK220" s="73"/>
      <c r="JGL220" s="73"/>
      <c r="JGM220" s="73"/>
      <c r="JGN220" s="73"/>
      <c r="JGO220" s="73"/>
      <c r="JGP220" s="73"/>
      <c r="JGQ220" s="73"/>
      <c r="JGR220" s="73"/>
      <c r="JGS220" s="73"/>
      <c r="JGT220" s="73"/>
      <c r="JGU220" s="73"/>
      <c r="JGV220" s="73"/>
      <c r="JGW220" s="73"/>
      <c r="JGX220" s="73"/>
      <c r="JGY220" s="73"/>
      <c r="JGZ220" s="73"/>
      <c r="JHA220" s="73"/>
      <c r="JHB220" s="73"/>
      <c r="JHC220" s="73"/>
      <c r="JHD220" s="73"/>
      <c r="JHE220" s="73"/>
      <c r="JHF220" s="73"/>
      <c r="JHG220" s="73"/>
      <c r="JHH220" s="73"/>
      <c r="JHI220" s="73"/>
      <c r="JHJ220" s="73"/>
      <c r="JHK220" s="73"/>
      <c r="JHL220" s="73"/>
      <c r="JHM220" s="73"/>
      <c r="JHN220" s="73"/>
      <c r="JHO220" s="73"/>
      <c r="JHP220" s="73"/>
      <c r="JHQ220" s="73"/>
      <c r="JHR220" s="73"/>
      <c r="JHS220" s="73"/>
      <c r="JHT220" s="73"/>
      <c r="JHU220" s="73"/>
      <c r="JHV220" s="73"/>
      <c r="JHW220" s="73"/>
      <c r="JHX220" s="73"/>
      <c r="JHY220" s="73"/>
      <c r="JHZ220" s="73"/>
      <c r="JIA220" s="73"/>
      <c r="JIB220" s="73"/>
      <c r="JIC220" s="73"/>
      <c r="JID220" s="73"/>
      <c r="JIE220" s="73"/>
      <c r="JIF220" s="73"/>
      <c r="JIG220" s="73"/>
      <c r="JIH220" s="73"/>
      <c r="JII220" s="73"/>
      <c r="JIJ220" s="73"/>
      <c r="JIK220" s="73"/>
      <c r="JIL220" s="73"/>
      <c r="JIM220" s="73"/>
      <c r="JIN220" s="73"/>
      <c r="JIO220" s="73"/>
      <c r="JIP220" s="73"/>
      <c r="JIQ220" s="73"/>
      <c r="JIR220" s="73"/>
      <c r="JIS220" s="73"/>
      <c r="JIT220" s="73"/>
      <c r="JIU220" s="73"/>
      <c r="JIV220" s="73"/>
      <c r="JIW220" s="73"/>
      <c r="JIX220" s="73"/>
      <c r="JIY220" s="73"/>
      <c r="JIZ220" s="73"/>
      <c r="JJA220" s="73"/>
      <c r="JJB220" s="73"/>
      <c r="JJC220" s="73"/>
      <c r="JJD220" s="73"/>
      <c r="JJE220" s="73"/>
      <c r="JJF220" s="73"/>
      <c r="JJG220" s="73"/>
      <c r="JJH220" s="73"/>
      <c r="JJI220" s="73"/>
      <c r="JJJ220" s="73"/>
      <c r="JJK220" s="73"/>
      <c r="JJL220" s="73"/>
      <c r="JJM220" s="73"/>
      <c r="JJN220" s="73"/>
      <c r="JJO220" s="73"/>
      <c r="JJP220" s="73"/>
      <c r="JJQ220" s="73"/>
      <c r="JJR220" s="73"/>
      <c r="JJS220" s="73"/>
      <c r="JJT220" s="73"/>
      <c r="JJU220" s="73"/>
      <c r="JJV220" s="73"/>
      <c r="JJW220" s="73"/>
      <c r="JJX220" s="73"/>
      <c r="JJY220" s="73"/>
      <c r="JJZ220" s="73"/>
      <c r="JKA220" s="73"/>
      <c r="JKB220" s="73"/>
      <c r="JKC220" s="73"/>
      <c r="JKD220" s="73"/>
      <c r="JKE220" s="73"/>
      <c r="JKF220" s="73"/>
      <c r="JKG220" s="73"/>
      <c r="JKH220" s="73"/>
      <c r="JKI220" s="73"/>
      <c r="JKJ220" s="73"/>
      <c r="JKK220" s="73"/>
      <c r="JKL220" s="73"/>
      <c r="JKM220" s="73"/>
      <c r="JKN220" s="73"/>
      <c r="JKO220" s="73"/>
      <c r="JKP220" s="73"/>
      <c r="JKQ220" s="73"/>
      <c r="JKR220" s="73"/>
      <c r="JKS220" s="73"/>
      <c r="JKT220" s="73"/>
      <c r="JKU220" s="73"/>
      <c r="JKV220" s="73"/>
      <c r="JKW220" s="73"/>
      <c r="JKX220" s="73"/>
      <c r="JKY220" s="73"/>
      <c r="JKZ220" s="73"/>
      <c r="JLA220" s="73"/>
      <c r="JLB220" s="73"/>
      <c r="JLC220" s="73"/>
      <c r="JLD220" s="73"/>
      <c r="JLE220" s="73"/>
      <c r="JLF220" s="73"/>
      <c r="JLG220" s="73"/>
      <c r="JLH220" s="73"/>
      <c r="JLI220" s="73"/>
      <c r="JLJ220" s="73"/>
      <c r="JLK220" s="73"/>
      <c r="JLL220" s="73"/>
      <c r="JLM220" s="73"/>
      <c r="JLN220" s="73"/>
      <c r="JLO220" s="73"/>
      <c r="JLP220" s="73"/>
      <c r="JLQ220" s="73"/>
      <c r="JLR220" s="73"/>
      <c r="JLS220" s="73"/>
      <c r="JLT220" s="73"/>
      <c r="JLU220" s="73"/>
      <c r="JLV220" s="73"/>
      <c r="JLW220" s="73"/>
      <c r="JLX220" s="73"/>
      <c r="JLY220" s="73"/>
      <c r="JLZ220" s="73"/>
      <c r="JMA220" s="73"/>
      <c r="JMB220" s="73"/>
      <c r="JMC220" s="73"/>
      <c r="JMD220" s="73"/>
      <c r="JME220" s="73"/>
      <c r="JMF220" s="73"/>
      <c r="JMG220" s="73"/>
      <c r="JMH220" s="73"/>
      <c r="JMI220" s="73"/>
      <c r="JMJ220" s="73"/>
      <c r="JMK220" s="73"/>
      <c r="JML220" s="73"/>
      <c r="JMM220" s="73"/>
      <c r="JMN220" s="73"/>
      <c r="JMO220" s="73"/>
      <c r="JMP220" s="73"/>
      <c r="JMQ220" s="73"/>
      <c r="JMR220" s="73"/>
      <c r="JMS220" s="73"/>
      <c r="JMT220" s="73"/>
      <c r="JMU220" s="73"/>
      <c r="JMV220" s="73"/>
      <c r="JMW220" s="73"/>
      <c r="JMX220" s="73"/>
      <c r="JMY220" s="73"/>
      <c r="JMZ220" s="73"/>
      <c r="JNA220" s="73"/>
      <c r="JNB220" s="73"/>
      <c r="JNC220" s="73"/>
      <c r="JND220" s="73"/>
      <c r="JNE220" s="73"/>
      <c r="JNF220" s="73"/>
      <c r="JNG220" s="73"/>
      <c r="JNH220" s="73"/>
      <c r="JNI220" s="73"/>
      <c r="JNJ220" s="73"/>
      <c r="JNK220" s="73"/>
      <c r="JNL220" s="73"/>
      <c r="JNM220" s="73"/>
      <c r="JNN220" s="73"/>
      <c r="JNO220" s="73"/>
      <c r="JNP220" s="73"/>
      <c r="JNQ220" s="73"/>
      <c r="JNR220" s="73"/>
      <c r="JNS220" s="73"/>
      <c r="JNT220" s="73"/>
      <c r="JNU220" s="73"/>
      <c r="JNV220" s="73"/>
      <c r="JNW220" s="73"/>
      <c r="JNX220" s="73"/>
      <c r="JNY220" s="73"/>
      <c r="JNZ220" s="73"/>
      <c r="JOA220" s="73"/>
      <c r="JOB220" s="73"/>
      <c r="JOC220" s="73"/>
      <c r="JOD220" s="73"/>
      <c r="JOE220" s="73"/>
      <c r="JOF220" s="73"/>
      <c r="JOG220" s="73"/>
      <c r="JOH220" s="73"/>
      <c r="JOI220" s="73"/>
      <c r="JOJ220" s="73"/>
      <c r="JOK220" s="73"/>
      <c r="JOL220" s="73"/>
      <c r="JOM220" s="73"/>
      <c r="JON220" s="73"/>
      <c r="JOO220" s="73"/>
      <c r="JOP220" s="73"/>
      <c r="JOQ220" s="73"/>
      <c r="JOR220" s="73"/>
      <c r="JOS220" s="73"/>
      <c r="JOT220" s="73"/>
      <c r="JOU220" s="73"/>
      <c r="JOV220" s="73"/>
      <c r="JOW220" s="73"/>
      <c r="JOX220" s="73"/>
      <c r="JOY220" s="73"/>
      <c r="JOZ220" s="73"/>
      <c r="JPA220" s="73"/>
      <c r="JPB220" s="73"/>
      <c r="JPC220" s="73"/>
      <c r="JPD220" s="73"/>
      <c r="JPE220" s="73"/>
      <c r="JPF220" s="73"/>
      <c r="JPG220" s="73"/>
      <c r="JPH220" s="73"/>
      <c r="JPI220" s="73"/>
      <c r="JPJ220" s="73"/>
      <c r="JPK220" s="73"/>
      <c r="JPL220" s="73"/>
      <c r="JPM220" s="73"/>
      <c r="JPN220" s="73"/>
      <c r="JPO220" s="73"/>
      <c r="JPP220" s="73"/>
      <c r="JPQ220" s="73"/>
      <c r="JPR220" s="73"/>
      <c r="JPS220" s="73"/>
      <c r="JPT220" s="73"/>
      <c r="JPU220" s="73"/>
      <c r="JPV220" s="73"/>
      <c r="JPW220" s="73"/>
      <c r="JPX220" s="73"/>
      <c r="JPY220" s="73"/>
      <c r="JPZ220" s="73"/>
      <c r="JQA220" s="73"/>
      <c r="JQB220" s="73"/>
      <c r="JQC220" s="73"/>
      <c r="JQD220" s="73"/>
      <c r="JQE220" s="73"/>
      <c r="JQF220" s="73"/>
      <c r="JQG220" s="73"/>
      <c r="JQH220" s="73"/>
      <c r="JQI220" s="73"/>
      <c r="JQJ220" s="73"/>
      <c r="JQK220" s="73"/>
      <c r="JQL220" s="73"/>
      <c r="JQM220" s="73"/>
      <c r="JQN220" s="73"/>
      <c r="JQO220" s="73"/>
      <c r="JQP220" s="73"/>
      <c r="JQQ220" s="73"/>
      <c r="JQR220" s="73"/>
      <c r="JQS220" s="73"/>
      <c r="JQT220" s="73"/>
      <c r="JQU220" s="73"/>
      <c r="JQV220" s="73"/>
      <c r="JQW220" s="73"/>
      <c r="JQX220" s="73"/>
      <c r="JQY220" s="73"/>
      <c r="JQZ220" s="73"/>
      <c r="JRA220" s="73"/>
      <c r="JRB220" s="73"/>
      <c r="JRC220" s="73"/>
      <c r="JRD220" s="73"/>
      <c r="JRE220" s="73"/>
      <c r="JRF220" s="73"/>
      <c r="JRG220" s="73"/>
      <c r="JRH220" s="73"/>
      <c r="JRI220" s="73"/>
      <c r="JRJ220" s="73"/>
      <c r="JRK220" s="73"/>
      <c r="JRL220" s="73"/>
      <c r="JRM220" s="73"/>
      <c r="JRN220" s="73"/>
      <c r="JRO220" s="73"/>
      <c r="JRP220" s="73"/>
      <c r="JRQ220" s="73"/>
      <c r="JRR220" s="73"/>
      <c r="JRS220" s="73"/>
      <c r="JRT220" s="73"/>
      <c r="JRU220" s="73"/>
      <c r="JRV220" s="73"/>
      <c r="JRW220" s="73"/>
      <c r="JRX220" s="73"/>
      <c r="JRY220" s="73"/>
      <c r="JRZ220" s="73"/>
      <c r="JSA220" s="73"/>
      <c r="JSB220" s="73"/>
      <c r="JSC220" s="73"/>
      <c r="JSD220" s="73"/>
      <c r="JSE220" s="73"/>
      <c r="JSF220" s="73"/>
      <c r="JSG220" s="73"/>
      <c r="JSH220" s="73"/>
      <c r="JSI220" s="73"/>
      <c r="JSJ220" s="73"/>
      <c r="JSK220" s="73"/>
      <c r="JSL220" s="73"/>
      <c r="JSM220" s="73"/>
      <c r="JSN220" s="73"/>
      <c r="JSO220" s="73"/>
      <c r="JSP220" s="73"/>
      <c r="JSQ220" s="73"/>
      <c r="JSR220" s="73"/>
      <c r="JSS220" s="73"/>
      <c r="JST220" s="73"/>
      <c r="JSU220" s="73"/>
      <c r="JSV220" s="73"/>
      <c r="JSW220" s="73"/>
      <c r="JSX220" s="73"/>
      <c r="JSY220" s="73"/>
      <c r="JSZ220" s="73"/>
      <c r="JTA220" s="73"/>
      <c r="JTB220" s="73"/>
      <c r="JTC220" s="73"/>
      <c r="JTD220" s="73"/>
      <c r="JTE220" s="73"/>
      <c r="JTF220" s="73"/>
      <c r="JTG220" s="73"/>
      <c r="JTH220" s="73"/>
      <c r="JTI220" s="73"/>
      <c r="JTJ220" s="73"/>
      <c r="JTK220" s="73"/>
      <c r="JTL220" s="73"/>
      <c r="JTM220" s="73"/>
      <c r="JTN220" s="73"/>
      <c r="JTO220" s="73"/>
      <c r="JTP220" s="73"/>
      <c r="JTQ220" s="73"/>
      <c r="JTR220" s="73"/>
      <c r="JTS220" s="73"/>
      <c r="JTT220" s="73"/>
      <c r="JTU220" s="73"/>
      <c r="JTV220" s="73"/>
      <c r="JTW220" s="73"/>
      <c r="JTX220" s="73"/>
      <c r="JTY220" s="73"/>
      <c r="JTZ220" s="73"/>
      <c r="JUA220" s="73"/>
      <c r="JUB220" s="73"/>
      <c r="JUC220" s="73"/>
      <c r="JUD220" s="73"/>
      <c r="JUE220" s="73"/>
      <c r="JUF220" s="73"/>
      <c r="JUG220" s="73"/>
      <c r="JUH220" s="73"/>
      <c r="JUI220" s="73"/>
      <c r="JUJ220" s="73"/>
      <c r="JUK220" s="73"/>
      <c r="JUL220" s="73"/>
      <c r="JUM220" s="73"/>
      <c r="JUN220" s="73"/>
      <c r="JUO220" s="73"/>
      <c r="JUP220" s="73"/>
      <c r="JUQ220" s="73"/>
      <c r="JUR220" s="73"/>
      <c r="JUS220" s="73"/>
      <c r="JUT220" s="73"/>
      <c r="JUU220" s="73"/>
      <c r="JUV220" s="73"/>
      <c r="JUW220" s="73"/>
      <c r="JUX220" s="73"/>
      <c r="JUY220" s="73"/>
      <c r="JUZ220" s="73"/>
      <c r="JVA220" s="73"/>
      <c r="JVB220" s="73"/>
      <c r="JVC220" s="73"/>
      <c r="JVD220" s="73"/>
      <c r="JVE220" s="73"/>
      <c r="JVF220" s="73"/>
      <c r="JVG220" s="73"/>
      <c r="JVH220" s="73"/>
      <c r="JVI220" s="73"/>
      <c r="JVJ220" s="73"/>
      <c r="JVK220" s="73"/>
      <c r="JVL220" s="73"/>
      <c r="JVM220" s="73"/>
      <c r="JVN220" s="73"/>
      <c r="JVO220" s="73"/>
      <c r="JVP220" s="73"/>
      <c r="JVQ220" s="73"/>
      <c r="JVR220" s="73"/>
      <c r="JVS220" s="73"/>
      <c r="JVT220" s="73"/>
      <c r="JVU220" s="73"/>
      <c r="JVV220" s="73"/>
      <c r="JVW220" s="73"/>
      <c r="JVX220" s="73"/>
      <c r="JVY220" s="73"/>
      <c r="JVZ220" s="73"/>
      <c r="JWA220" s="73"/>
      <c r="JWB220" s="73"/>
      <c r="JWC220" s="73"/>
      <c r="JWD220" s="73"/>
      <c r="JWE220" s="73"/>
      <c r="JWF220" s="73"/>
      <c r="JWG220" s="73"/>
      <c r="JWH220" s="73"/>
      <c r="JWI220" s="73"/>
      <c r="JWJ220" s="73"/>
      <c r="JWK220" s="73"/>
      <c r="JWL220" s="73"/>
      <c r="JWM220" s="73"/>
      <c r="JWN220" s="73"/>
      <c r="JWO220" s="73"/>
      <c r="JWP220" s="73"/>
      <c r="JWQ220" s="73"/>
      <c r="JWR220" s="73"/>
      <c r="JWS220" s="73"/>
      <c r="JWT220" s="73"/>
      <c r="JWU220" s="73"/>
      <c r="JWV220" s="73"/>
      <c r="JWW220" s="73"/>
      <c r="JWX220" s="73"/>
      <c r="JWY220" s="73"/>
      <c r="JWZ220" s="73"/>
      <c r="JXA220" s="73"/>
      <c r="JXB220" s="73"/>
      <c r="JXC220" s="73"/>
      <c r="JXD220" s="73"/>
      <c r="JXE220" s="73"/>
      <c r="JXF220" s="73"/>
      <c r="JXG220" s="73"/>
      <c r="JXH220" s="73"/>
      <c r="JXI220" s="73"/>
      <c r="JXJ220" s="73"/>
      <c r="JXK220" s="73"/>
      <c r="JXL220" s="73"/>
      <c r="JXM220" s="73"/>
      <c r="JXN220" s="73"/>
      <c r="JXO220" s="73"/>
      <c r="JXP220" s="73"/>
      <c r="JXQ220" s="73"/>
      <c r="JXR220" s="73"/>
      <c r="JXS220" s="73"/>
      <c r="JXT220" s="73"/>
      <c r="JXU220" s="73"/>
      <c r="JXV220" s="73"/>
      <c r="JXW220" s="73"/>
      <c r="JXX220" s="73"/>
      <c r="JXY220" s="73"/>
      <c r="JXZ220" s="73"/>
      <c r="JYA220" s="73"/>
      <c r="JYB220" s="73"/>
      <c r="JYC220" s="73"/>
      <c r="JYD220" s="73"/>
      <c r="JYE220" s="73"/>
      <c r="JYF220" s="73"/>
      <c r="JYG220" s="73"/>
      <c r="JYH220" s="73"/>
      <c r="JYI220" s="73"/>
      <c r="JYJ220" s="73"/>
      <c r="JYK220" s="73"/>
      <c r="JYL220" s="73"/>
      <c r="JYM220" s="73"/>
      <c r="JYN220" s="73"/>
      <c r="JYO220" s="73"/>
      <c r="JYP220" s="73"/>
      <c r="JYQ220" s="73"/>
      <c r="JYR220" s="73"/>
      <c r="JYS220" s="73"/>
      <c r="JYT220" s="73"/>
      <c r="JYU220" s="73"/>
      <c r="JYV220" s="73"/>
      <c r="JYW220" s="73"/>
      <c r="JYX220" s="73"/>
      <c r="JYY220" s="73"/>
      <c r="JYZ220" s="73"/>
      <c r="JZA220" s="73"/>
      <c r="JZB220" s="73"/>
      <c r="JZC220" s="73"/>
      <c r="JZD220" s="73"/>
      <c r="JZE220" s="73"/>
      <c r="JZF220" s="73"/>
      <c r="JZG220" s="73"/>
      <c r="JZH220" s="73"/>
      <c r="JZI220" s="73"/>
      <c r="JZJ220" s="73"/>
      <c r="JZK220" s="73"/>
      <c r="JZL220" s="73"/>
      <c r="JZM220" s="73"/>
      <c r="JZN220" s="73"/>
      <c r="JZO220" s="73"/>
      <c r="JZP220" s="73"/>
      <c r="JZQ220" s="73"/>
      <c r="JZR220" s="73"/>
      <c r="JZS220" s="73"/>
      <c r="JZT220" s="73"/>
      <c r="JZU220" s="73"/>
      <c r="JZV220" s="73"/>
      <c r="JZW220" s="73"/>
      <c r="JZX220" s="73"/>
      <c r="JZY220" s="73"/>
      <c r="JZZ220" s="73"/>
      <c r="KAA220" s="73"/>
      <c r="KAB220" s="73"/>
      <c r="KAC220" s="73"/>
      <c r="KAD220" s="73"/>
      <c r="KAE220" s="73"/>
      <c r="KAF220" s="73"/>
      <c r="KAG220" s="73"/>
      <c r="KAH220" s="73"/>
      <c r="KAI220" s="73"/>
      <c r="KAJ220" s="73"/>
      <c r="KAK220" s="73"/>
      <c r="KAL220" s="73"/>
      <c r="KAM220" s="73"/>
      <c r="KAN220" s="73"/>
      <c r="KAO220" s="73"/>
      <c r="KAP220" s="73"/>
      <c r="KAQ220" s="73"/>
      <c r="KAR220" s="73"/>
      <c r="KAS220" s="73"/>
      <c r="KAT220" s="73"/>
      <c r="KAU220" s="73"/>
      <c r="KAV220" s="73"/>
      <c r="KAW220" s="73"/>
      <c r="KAX220" s="73"/>
      <c r="KAY220" s="73"/>
      <c r="KAZ220" s="73"/>
      <c r="KBA220" s="73"/>
      <c r="KBB220" s="73"/>
      <c r="KBC220" s="73"/>
      <c r="KBD220" s="73"/>
      <c r="KBE220" s="73"/>
      <c r="KBF220" s="73"/>
      <c r="KBG220" s="73"/>
      <c r="KBH220" s="73"/>
      <c r="KBI220" s="73"/>
      <c r="KBJ220" s="73"/>
      <c r="KBK220" s="73"/>
      <c r="KBL220" s="73"/>
      <c r="KBM220" s="73"/>
      <c r="KBN220" s="73"/>
      <c r="KBO220" s="73"/>
      <c r="KBP220" s="73"/>
      <c r="KBQ220" s="73"/>
      <c r="KBR220" s="73"/>
      <c r="KBS220" s="73"/>
      <c r="KBT220" s="73"/>
      <c r="KBU220" s="73"/>
      <c r="KBV220" s="73"/>
      <c r="KBW220" s="73"/>
      <c r="KBX220" s="73"/>
      <c r="KBY220" s="73"/>
      <c r="KBZ220" s="73"/>
      <c r="KCA220" s="73"/>
      <c r="KCB220" s="73"/>
      <c r="KCC220" s="73"/>
      <c r="KCD220" s="73"/>
      <c r="KCE220" s="73"/>
      <c r="KCF220" s="73"/>
      <c r="KCG220" s="73"/>
      <c r="KCH220" s="73"/>
      <c r="KCI220" s="73"/>
      <c r="KCJ220" s="73"/>
      <c r="KCK220" s="73"/>
      <c r="KCL220" s="73"/>
      <c r="KCM220" s="73"/>
      <c r="KCN220" s="73"/>
      <c r="KCO220" s="73"/>
      <c r="KCP220" s="73"/>
      <c r="KCQ220" s="73"/>
      <c r="KCR220" s="73"/>
      <c r="KCS220" s="73"/>
      <c r="KCT220" s="73"/>
      <c r="KCU220" s="73"/>
      <c r="KCV220" s="73"/>
      <c r="KCW220" s="73"/>
      <c r="KCX220" s="73"/>
      <c r="KCY220" s="73"/>
      <c r="KCZ220" s="73"/>
      <c r="KDA220" s="73"/>
      <c r="KDB220" s="73"/>
      <c r="KDC220" s="73"/>
      <c r="KDD220" s="73"/>
      <c r="KDE220" s="73"/>
      <c r="KDF220" s="73"/>
      <c r="KDG220" s="73"/>
      <c r="KDH220" s="73"/>
      <c r="KDI220" s="73"/>
      <c r="KDJ220" s="73"/>
      <c r="KDK220" s="73"/>
      <c r="KDL220" s="73"/>
      <c r="KDM220" s="73"/>
      <c r="KDN220" s="73"/>
      <c r="KDO220" s="73"/>
      <c r="KDP220" s="73"/>
      <c r="KDQ220" s="73"/>
      <c r="KDR220" s="73"/>
      <c r="KDS220" s="73"/>
      <c r="KDT220" s="73"/>
      <c r="KDU220" s="73"/>
      <c r="KDV220" s="73"/>
      <c r="KDW220" s="73"/>
      <c r="KDX220" s="73"/>
      <c r="KDY220" s="73"/>
      <c r="KDZ220" s="73"/>
      <c r="KEA220" s="73"/>
      <c r="KEB220" s="73"/>
      <c r="KEC220" s="73"/>
      <c r="KED220" s="73"/>
      <c r="KEE220" s="73"/>
      <c r="KEF220" s="73"/>
      <c r="KEG220" s="73"/>
      <c r="KEH220" s="73"/>
      <c r="KEI220" s="73"/>
      <c r="KEJ220" s="73"/>
      <c r="KEK220" s="73"/>
      <c r="KEL220" s="73"/>
      <c r="KEM220" s="73"/>
      <c r="KEN220" s="73"/>
      <c r="KEO220" s="73"/>
      <c r="KEP220" s="73"/>
      <c r="KEQ220" s="73"/>
      <c r="KER220" s="73"/>
      <c r="KES220" s="73"/>
      <c r="KET220" s="73"/>
      <c r="KEU220" s="73"/>
      <c r="KEV220" s="73"/>
      <c r="KEW220" s="73"/>
      <c r="KEX220" s="73"/>
      <c r="KEY220" s="73"/>
      <c r="KEZ220" s="73"/>
      <c r="KFA220" s="73"/>
      <c r="KFB220" s="73"/>
      <c r="KFC220" s="73"/>
      <c r="KFD220" s="73"/>
      <c r="KFE220" s="73"/>
      <c r="KFF220" s="73"/>
      <c r="KFG220" s="73"/>
      <c r="KFH220" s="73"/>
      <c r="KFI220" s="73"/>
      <c r="KFJ220" s="73"/>
      <c r="KFK220" s="73"/>
      <c r="KFL220" s="73"/>
      <c r="KFM220" s="73"/>
      <c r="KFN220" s="73"/>
      <c r="KFO220" s="73"/>
      <c r="KFP220" s="73"/>
      <c r="KFQ220" s="73"/>
      <c r="KFR220" s="73"/>
      <c r="KFS220" s="73"/>
      <c r="KFT220" s="73"/>
      <c r="KFU220" s="73"/>
      <c r="KFV220" s="73"/>
      <c r="KFW220" s="73"/>
      <c r="KFX220" s="73"/>
      <c r="KFY220" s="73"/>
      <c r="KFZ220" s="73"/>
      <c r="KGA220" s="73"/>
      <c r="KGB220" s="73"/>
      <c r="KGC220" s="73"/>
      <c r="KGD220" s="73"/>
      <c r="KGE220" s="73"/>
      <c r="KGF220" s="73"/>
      <c r="KGG220" s="73"/>
      <c r="KGH220" s="73"/>
      <c r="KGI220" s="73"/>
      <c r="KGJ220" s="73"/>
      <c r="KGK220" s="73"/>
      <c r="KGL220" s="73"/>
      <c r="KGM220" s="73"/>
      <c r="KGN220" s="73"/>
      <c r="KGO220" s="73"/>
      <c r="KGP220" s="73"/>
      <c r="KGQ220" s="73"/>
      <c r="KGR220" s="73"/>
      <c r="KGS220" s="73"/>
      <c r="KGT220" s="73"/>
      <c r="KGU220" s="73"/>
      <c r="KGV220" s="73"/>
      <c r="KGW220" s="73"/>
      <c r="KGX220" s="73"/>
      <c r="KGY220" s="73"/>
      <c r="KGZ220" s="73"/>
      <c r="KHA220" s="73"/>
      <c r="KHB220" s="73"/>
      <c r="KHC220" s="73"/>
      <c r="KHD220" s="73"/>
      <c r="KHE220" s="73"/>
      <c r="KHF220" s="73"/>
      <c r="KHG220" s="73"/>
      <c r="KHH220" s="73"/>
      <c r="KHI220" s="73"/>
      <c r="KHJ220" s="73"/>
      <c r="KHK220" s="73"/>
      <c r="KHL220" s="73"/>
      <c r="KHM220" s="73"/>
      <c r="KHN220" s="73"/>
      <c r="KHO220" s="73"/>
      <c r="KHP220" s="73"/>
      <c r="KHQ220" s="73"/>
      <c r="KHR220" s="73"/>
      <c r="KHS220" s="73"/>
      <c r="KHT220" s="73"/>
      <c r="KHU220" s="73"/>
      <c r="KHV220" s="73"/>
      <c r="KHW220" s="73"/>
      <c r="KHX220" s="73"/>
      <c r="KHY220" s="73"/>
      <c r="KHZ220" s="73"/>
      <c r="KIA220" s="73"/>
      <c r="KIB220" s="73"/>
      <c r="KIC220" s="73"/>
      <c r="KID220" s="73"/>
      <c r="KIE220" s="73"/>
      <c r="KIF220" s="73"/>
      <c r="KIG220" s="73"/>
      <c r="KIH220" s="73"/>
      <c r="KII220" s="73"/>
      <c r="KIJ220" s="73"/>
      <c r="KIK220" s="73"/>
      <c r="KIL220" s="73"/>
      <c r="KIM220" s="73"/>
      <c r="KIN220" s="73"/>
      <c r="KIO220" s="73"/>
      <c r="KIP220" s="73"/>
      <c r="KIQ220" s="73"/>
      <c r="KIR220" s="73"/>
      <c r="KIS220" s="73"/>
      <c r="KIT220" s="73"/>
      <c r="KIU220" s="73"/>
      <c r="KIV220" s="73"/>
      <c r="KIW220" s="73"/>
      <c r="KIX220" s="73"/>
      <c r="KIY220" s="73"/>
      <c r="KIZ220" s="73"/>
      <c r="KJA220" s="73"/>
      <c r="KJB220" s="73"/>
      <c r="KJC220" s="73"/>
      <c r="KJD220" s="73"/>
      <c r="KJE220" s="73"/>
      <c r="KJF220" s="73"/>
      <c r="KJG220" s="73"/>
      <c r="KJH220" s="73"/>
      <c r="KJI220" s="73"/>
      <c r="KJJ220" s="73"/>
      <c r="KJK220" s="73"/>
      <c r="KJL220" s="73"/>
      <c r="KJM220" s="73"/>
      <c r="KJN220" s="73"/>
      <c r="KJO220" s="73"/>
      <c r="KJP220" s="73"/>
      <c r="KJQ220" s="73"/>
      <c r="KJR220" s="73"/>
      <c r="KJS220" s="73"/>
      <c r="KJT220" s="73"/>
      <c r="KJU220" s="73"/>
      <c r="KJV220" s="73"/>
      <c r="KJW220" s="73"/>
      <c r="KJX220" s="73"/>
      <c r="KJY220" s="73"/>
      <c r="KJZ220" s="73"/>
      <c r="KKA220" s="73"/>
      <c r="KKB220" s="73"/>
      <c r="KKC220" s="73"/>
      <c r="KKD220" s="73"/>
      <c r="KKE220" s="73"/>
      <c r="KKF220" s="73"/>
      <c r="KKG220" s="73"/>
      <c r="KKH220" s="73"/>
      <c r="KKI220" s="73"/>
      <c r="KKJ220" s="73"/>
      <c r="KKK220" s="73"/>
      <c r="KKL220" s="73"/>
      <c r="KKM220" s="73"/>
      <c r="KKN220" s="73"/>
      <c r="KKO220" s="73"/>
      <c r="KKP220" s="73"/>
      <c r="KKQ220" s="73"/>
      <c r="KKR220" s="73"/>
      <c r="KKS220" s="73"/>
      <c r="KKT220" s="73"/>
      <c r="KKU220" s="73"/>
      <c r="KKV220" s="73"/>
      <c r="KKW220" s="73"/>
      <c r="KKX220" s="73"/>
      <c r="KKY220" s="73"/>
      <c r="KKZ220" s="73"/>
      <c r="KLA220" s="73"/>
      <c r="KLB220" s="73"/>
      <c r="KLC220" s="73"/>
      <c r="KLD220" s="73"/>
      <c r="KLE220" s="73"/>
      <c r="KLF220" s="73"/>
      <c r="KLG220" s="73"/>
      <c r="KLH220" s="73"/>
      <c r="KLI220" s="73"/>
      <c r="KLJ220" s="73"/>
      <c r="KLK220" s="73"/>
      <c r="KLL220" s="73"/>
      <c r="KLM220" s="73"/>
      <c r="KLN220" s="73"/>
      <c r="KLO220" s="73"/>
      <c r="KLP220" s="73"/>
      <c r="KLQ220" s="73"/>
      <c r="KLR220" s="73"/>
      <c r="KLS220" s="73"/>
      <c r="KLT220" s="73"/>
      <c r="KLU220" s="73"/>
      <c r="KLV220" s="73"/>
      <c r="KLW220" s="73"/>
      <c r="KLX220" s="73"/>
      <c r="KLY220" s="73"/>
      <c r="KLZ220" s="73"/>
      <c r="KMA220" s="73"/>
      <c r="KMB220" s="73"/>
      <c r="KMC220" s="73"/>
      <c r="KMD220" s="73"/>
      <c r="KME220" s="73"/>
      <c r="KMF220" s="73"/>
      <c r="KMG220" s="73"/>
      <c r="KMH220" s="73"/>
      <c r="KMI220" s="73"/>
      <c r="KMJ220" s="73"/>
      <c r="KMK220" s="73"/>
      <c r="KML220" s="73"/>
      <c r="KMM220" s="73"/>
      <c r="KMN220" s="73"/>
      <c r="KMO220" s="73"/>
      <c r="KMP220" s="73"/>
      <c r="KMQ220" s="73"/>
      <c r="KMR220" s="73"/>
      <c r="KMS220" s="73"/>
      <c r="KMT220" s="73"/>
      <c r="KMU220" s="73"/>
      <c r="KMV220" s="73"/>
      <c r="KMW220" s="73"/>
      <c r="KMX220" s="73"/>
      <c r="KMY220" s="73"/>
      <c r="KMZ220" s="73"/>
      <c r="KNA220" s="73"/>
      <c r="KNB220" s="73"/>
      <c r="KNC220" s="73"/>
      <c r="KND220" s="73"/>
      <c r="KNE220" s="73"/>
      <c r="KNF220" s="73"/>
      <c r="KNG220" s="73"/>
      <c r="KNH220" s="73"/>
      <c r="KNI220" s="73"/>
      <c r="KNJ220" s="73"/>
      <c r="KNK220" s="73"/>
      <c r="KNL220" s="73"/>
      <c r="KNM220" s="73"/>
      <c r="KNN220" s="73"/>
      <c r="KNO220" s="73"/>
      <c r="KNP220" s="73"/>
      <c r="KNQ220" s="73"/>
      <c r="KNR220" s="73"/>
      <c r="KNS220" s="73"/>
      <c r="KNT220" s="73"/>
      <c r="KNU220" s="73"/>
      <c r="KNV220" s="73"/>
      <c r="KNW220" s="73"/>
      <c r="KNX220" s="73"/>
      <c r="KNY220" s="73"/>
      <c r="KNZ220" s="73"/>
      <c r="KOA220" s="73"/>
      <c r="KOB220" s="73"/>
      <c r="KOC220" s="73"/>
      <c r="KOD220" s="73"/>
      <c r="KOE220" s="73"/>
      <c r="KOF220" s="73"/>
      <c r="KOG220" s="73"/>
      <c r="KOH220" s="73"/>
      <c r="KOI220" s="73"/>
      <c r="KOJ220" s="73"/>
      <c r="KOK220" s="73"/>
      <c r="KOL220" s="73"/>
      <c r="KOM220" s="73"/>
      <c r="KON220" s="73"/>
      <c r="KOO220" s="73"/>
      <c r="KOP220" s="73"/>
      <c r="KOQ220" s="73"/>
      <c r="KOR220" s="73"/>
      <c r="KOS220" s="73"/>
      <c r="KOT220" s="73"/>
      <c r="KOU220" s="73"/>
      <c r="KOV220" s="73"/>
      <c r="KOW220" s="73"/>
      <c r="KOX220" s="73"/>
      <c r="KOY220" s="73"/>
      <c r="KOZ220" s="73"/>
      <c r="KPA220" s="73"/>
      <c r="KPB220" s="73"/>
      <c r="KPC220" s="73"/>
      <c r="KPD220" s="73"/>
      <c r="KPE220" s="73"/>
      <c r="KPF220" s="73"/>
      <c r="KPG220" s="73"/>
      <c r="KPH220" s="73"/>
      <c r="KPI220" s="73"/>
      <c r="KPJ220" s="73"/>
      <c r="KPK220" s="73"/>
      <c r="KPL220" s="73"/>
      <c r="KPM220" s="73"/>
      <c r="KPN220" s="73"/>
      <c r="KPO220" s="73"/>
      <c r="KPP220" s="73"/>
      <c r="KPQ220" s="73"/>
      <c r="KPR220" s="73"/>
      <c r="KPS220" s="73"/>
      <c r="KPT220" s="73"/>
      <c r="KPU220" s="73"/>
      <c r="KPV220" s="73"/>
      <c r="KPW220" s="73"/>
      <c r="KPX220" s="73"/>
      <c r="KPY220" s="73"/>
      <c r="KPZ220" s="73"/>
      <c r="KQA220" s="73"/>
      <c r="KQB220" s="73"/>
      <c r="KQC220" s="73"/>
      <c r="KQD220" s="73"/>
      <c r="KQE220" s="73"/>
      <c r="KQF220" s="73"/>
      <c r="KQG220" s="73"/>
      <c r="KQH220" s="73"/>
      <c r="KQI220" s="73"/>
      <c r="KQJ220" s="73"/>
      <c r="KQK220" s="73"/>
      <c r="KQL220" s="73"/>
      <c r="KQM220" s="73"/>
      <c r="KQN220" s="73"/>
      <c r="KQO220" s="73"/>
      <c r="KQP220" s="73"/>
      <c r="KQQ220" s="73"/>
      <c r="KQR220" s="73"/>
      <c r="KQS220" s="73"/>
      <c r="KQT220" s="73"/>
      <c r="KQU220" s="73"/>
      <c r="KQV220" s="73"/>
      <c r="KQW220" s="73"/>
      <c r="KQX220" s="73"/>
      <c r="KQY220" s="73"/>
      <c r="KQZ220" s="73"/>
      <c r="KRA220" s="73"/>
      <c r="KRB220" s="73"/>
      <c r="KRC220" s="73"/>
      <c r="KRD220" s="73"/>
      <c r="KRE220" s="73"/>
      <c r="KRF220" s="73"/>
      <c r="KRG220" s="73"/>
      <c r="KRH220" s="73"/>
      <c r="KRI220" s="73"/>
      <c r="KRJ220" s="73"/>
      <c r="KRK220" s="73"/>
      <c r="KRL220" s="73"/>
      <c r="KRM220" s="73"/>
      <c r="KRN220" s="73"/>
      <c r="KRO220" s="73"/>
      <c r="KRP220" s="73"/>
      <c r="KRQ220" s="73"/>
      <c r="KRR220" s="73"/>
      <c r="KRS220" s="73"/>
      <c r="KRT220" s="73"/>
      <c r="KRU220" s="73"/>
      <c r="KRV220" s="73"/>
      <c r="KRW220" s="73"/>
      <c r="KRX220" s="73"/>
      <c r="KRY220" s="73"/>
      <c r="KRZ220" s="73"/>
      <c r="KSA220" s="73"/>
      <c r="KSB220" s="73"/>
      <c r="KSC220" s="73"/>
      <c r="KSD220" s="73"/>
      <c r="KSE220" s="73"/>
      <c r="KSF220" s="73"/>
      <c r="KSG220" s="73"/>
      <c r="KSH220" s="73"/>
      <c r="KSI220" s="73"/>
      <c r="KSJ220" s="73"/>
      <c r="KSK220" s="73"/>
      <c r="KSL220" s="73"/>
      <c r="KSM220" s="73"/>
      <c r="KSN220" s="73"/>
      <c r="KSO220" s="73"/>
      <c r="KSP220" s="73"/>
      <c r="KSQ220" s="73"/>
      <c r="KSR220" s="73"/>
      <c r="KSS220" s="73"/>
      <c r="KST220" s="73"/>
      <c r="KSU220" s="73"/>
      <c r="KSV220" s="73"/>
      <c r="KSW220" s="73"/>
      <c r="KSX220" s="73"/>
      <c r="KSY220" s="73"/>
      <c r="KSZ220" s="73"/>
      <c r="KTA220" s="73"/>
      <c r="KTB220" s="73"/>
      <c r="KTC220" s="73"/>
      <c r="KTD220" s="73"/>
      <c r="KTE220" s="73"/>
      <c r="KTF220" s="73"/>
      <c r="KTG220" s="73"/>
      <c r="KTH220" s="73"/>
      <c r="KTI220" s="73"/>
      <c r="KTJ220" s="73"/>
      <c r="KTK220" s="73"/>
      <c r="KTL220" s="73"/>
      <c r="KTM220" s="73"/>
      <c r="KTN220" s="73"/>
      <c r="KTO220" s="73"/>
      <c r="KTP220" s="73"/>
      <c r="KTQ220" s="73"/>
      <c r="KTR220" s="73"/>
      <c r="KTS220" s="73"/>
      <c r="KTT220" s="73"/>
      <c r="KTU220" s="73"/>
      <c r="KTV220" s="73"/>
      <c r="KTW220" s="73"/>
      <c r="KTX220" s="73"/>
      <c r="KTY220" s="73"/>
      <c r="KTZ220" s="73"/>
      <c r="KUA220" s="73"/>
      <c r="KUB220" s="73"/>
      <c r="KUC220" s="73"/>
      <c r="KUD220" s="73"/>
      <c r="KUE220" s="73"/>
      <c r="KUF220" s="73"/>
      <c r="KUG220" s="73"/>
      <c r="KUH220" s="73"/>
      <c r="KUI220" s="73"/>
      <c r="KUJ220" s="73"/>
      <c r="KUK220" s="73"/>
      <c r="KUL220" s="73"/>
      <c r="KUM220" s="73"/>
      <c r="KUN220" s="73"/>
      <c r="KUO220" s="73"/>
      <c r="KUP220" s="73"/>
      <c r="KUQ220" s="73"/>
      <c r="KUR220" s="73"/>
      <c r="KUS220" s="73"/>
      <c r="KUT220" s="73"/>
      <c r="KUU220" s="73"/>
      <c r="KUV220" s="73"/>
      <c r="KUW220" s="73"/>
      <c r="KUX220" s="73"/>
      <c r="KUY220" s="73"/>
      <c r="KUZ220" s="73"/>
      <c r="KVA220" s="73"/>
      <c r="KVB220" s="73"/>
      <c r="KVC220" s="73"/>
      <c r="KVD220" s="73"/>
      <c r="KVE220" s="73"/>
      <c r="KVF220" s="73"/>
      <c r="KVG220" s="73"/>
      <c r="KVH220" s="73"/>
      <c r="KVI220" s="73"/>
      <c r="KVJ220" s="73"/>
      <c r="KVK220" s="73"/>
      <c r="KVL220" s="73"/>
      <c r="KVM220" s="73"/>
      <c r="KVN220" s="73"/>
      <c r="KVO220" s="73"/>
      <c r="KVP220" s="73"/>
      <c r="KVQ220" s="73"/>
      <c r="KVR220" s="73"/>
      <c r="KVS220" s="73"/>
      <c r="KVT220" s="73"/>
      <c r="KVU220" s="73"/>
      <c r="KVV220" s="73"/>
      <c r="KVW220" s="73"/>
      <c r="KVX220" s="73"/>
      <c r="KVY220" s="73"/>
      <c r="KVZ220" s="73"/>
      <c r="KWA220" s="73"/>
      <c r="KWB220" s="73"/>
      <c r="KWC220" s="73"/>
      <c r="KWD220" s="73"/>
      <c r="KWE220" s="73"/>
      <c r="KWF220" s="73"/>
      <c r="KWG220" s="73"/>
      <c r="KWH220" s="73"/>
      <c r="KWI220" s="73"/>
      <c r="KWJ220" s="73"/>
      <c r="KWK220" s="73"/>
      <c r="KWL220" s="73"/>
      <c r="KWM220" s="73"/>
      <c r="KWN220" s="73"/>
      <c r="KWO220" s="73"/>
      <c r="KWP220" s="73"/>
      <c r="KWQ220" s="73"/>
      <c r="KWR220" s="73"/>
      <c r="KWS220" s="73"/>
      <c r="KWT220" s="73"/>
      <c r="KWU220" s="73"/>
      <c r="KWV220" s="73"/>
      <c r="KWW220" s="73"/>
      <c r="KWX220" s="73"/>
      <c r="KWY220" s="73"/>
      <c r="KWZ220" s="73"/>
      <c r="KXA220" s="73"/>
      <c r="KXB220" s="73"/>
      <c r="KXC220" s="73"/>
      <c r="KXD220" s="73"/>
      <c r="KXE220" s="73"/>
      <c r="KXF220" s="73"/>
      <c r="KXG220" s="73"/>
      <c r="KXH220" s="73"/>
      <c r="KXI220" s="73"/>
      <c r="KXJ220" s="73"/>
      <c r="KXK220" s="73"/>
      <c r="KXL220" s="73"/>
      <c r="KXM220" s="73"/>
      <c r="KXN220" s="73"/>
      <c r="KXO220" s="73"/>
      <c r="KXP220" s="73"/>
      <c r="KXQ220" s="73"/>
      <c r="KXR220" s="73"/>
      <c r="KXS220" s="73"/>
      <c r="KXT220" s="73"/>
      <c r="KXU220" s="73"/>
      <c r="KXV220" s="73"/>
      <c r="KXW220" s="73"/>
      <c r="KXX220" s="73"/>
      <c r="KXY220" s="73"/>
      <c r="KXZ220" s="73"/>
      <c r="KYA220" s="73"/>
      <c r="KYB220" s="73"/>
      <c r="KYC220" s="73"/>
      <c r="KYD220" s="73"/>
      <c r="KYE220" s="73"/>
      <c r="KYF220" s="73"/>
      <c r="KYG220" s="73"/>
      <c r="KYH220" s="73"/>
      <c r="KYI220" s="73"/>
      <c r="KYJ220" s="73"/>
      <c r="KYK220" s="73"/>
      <c r="KYL220" s="73"/>
      <c r="KYM220" s="73"/>
      <c r="KYN220" s="73"/>
      <c r="KYO220" s="73"/>
      <c r="KYP220" s="73"/>
      <c r="KYQ220" s="73"/>
      <c r="KYR220" s="73"/>
      <c r="KYS220" s="73"/>
      <c r="KYT220" s="73"/>
      <c r="KYU220" s="73"/>
      <c r="KYV220" s="73"/>
      <c r="KYW220" s="73"/>
      <c r="KYX220" s="73"/>
      <c r="KYY220" s="73"/>
      <c r="KYZ220" s="73"/>
      <c r="KZA220" s="73"/>
      <c r="KZB220" s="73"/>
      <c r="KZC220" s="73"/>
      <c r="KZD220" s="73"/>
      <c r="KZE220" s="73"/>
      <c r="KZF220" s="73"/>
      <c r="KZG220" s="73"/>
      <c r="KZH220" s="73"/>
      <c r="KZI220" s="73"/>
      <c r="KZJ220" s="73"/>
      <c r="KZK220" s="73"/>
      <c r="KZL220" s="73"/>
      <c r="KZM220" s="73"/>
      <c r="KZN220" s="73"/>
      <c r="KZO220" s="73"/>
      <c r="KZP220" s="73"/>
      <c r="KZQ220" s="73"/>
      <c r="KZR220" s="73"/>
      <c r="KZS220" s="73"/>
      <c r="KZT220" s="73"/>
      <c r="KZU220" s="73"/>
      <c r="KZV220" s="73"/>
      <c r="KZW220" s="73"/>
      <c r="KZX220" s="73"/>
      <c r="KZY220" s="73"/>
      <c r="KZZ220" s="73"/>
      <c r="LAA220" s="73"/>
      <c r="LAB220" s="73"/>
      <c r="LAC220" s="73"/>
      <c r="LAD220" s="73"/>
      <c r="LAE220" s="73"/>
      <c r="LAF220" s="73"/>
      <c r="LAG220" s="73"/>
      <c r="LAH220" s="73"/>
      <c r="LAI220" s="73"/>
      <c r="LAJ220" s="73"/>
      <c r="LAK220" s="73"/>
      <c r="LAL220" s="73"/>
      <c r="LAM220" s="73"/>
      <c r="LAN220" s="73"/>
      <c r="LAO220" s="73"/>
      <c r="LAP220" s="73"/>
      <c r="LAQ220" s="73"/>
      <c r="LAR220" s="73"/>
      <c r="LAS220" s="73"/>
      <c r="LAT220" s="73"/>
      <c r="LAU220" s="73"/>
      <c r="LAV220" s="73"/>
      <c r="LAW220" s="73"/>
      <c r="LAX220" s="73"/>
      <c r="LAY220" s="73"/>
      <c r="LAZ220" s="73"/>
      <c r="LBA220" s="73"/>
      <c r="LBB220" s="73"/>
      <c r="LBC220" s="73"/>
      <c r="LBD220" s="73"/>
      <c r="LBE220" s="73"/>
      <c r="LBF220" s="73"/>
      <c r="LBG220" s="73"/>
      <c r="LBH220" s="73"/>
      <c r="LBI220" s="73"/>
      <c r="LBJ220" s="73"/>
      <c r="LBK220" s="73"/>
      <c r="LBL220" s="73"/>
      <c r="LBM220" s="73"/>
      <c r="LBN220" s="73"/>
      <c r="LBO220" s="73"/>
      <c r="LBP220" s="73"/>
      <c r="LBQ220" s="73"/>
      <c r="LBR220" s="73"/>
      <c r="LBS220" s="73"/>
      <c r="LBT220" s="73"/>
      <c r="LBU220" s="73"/>
      <c r="LBV220" s="73"/>
      <c r="LBW220" s="73"/>
      <c r="LBX220" s="73"/>
      <c r="LBY220" s="73"/>
      <c r="LBZ220" s="73"/>
      <c r="LCA220" s="73"/>
      <c r="LCB220" s="73"/>
      <c r="LCC220" s="73"/>
      <c r="LCD220" s="73"/>
      <c r="LCE220" s="73"/>
      <c r="LCF220" s="73"/>
      <c r="LCG220" s="73"/>
      <c r="LCH220" s="73"/>
      <c r="LCI220" s="73"/>
      <c r="LCJ220" s="73"/>
      <c r="LCK220" s="73"/>
      <c r="LCL220" s="73"/>
      <c r="LCM220" s="73"/>
      <c r="LCN220" s="73"/>
      <c r="LCO220" s="73"/>
      <c r="LCP220" s="73"/>
      <c r="LCQ220" s="73"/>
      <c r="LCR220" s="73"/>
      <c r="LCS220" s="73"/>
      <c r="LCT220" s="73"/>
      <c r="LCU220" s="73"/>
      <c r="LCV220" s="73"/>
      <c r="LCW220" s="73"/>
      <c r="LCX220" s="73"/>
      <c r="LCY220" s="73"/>
      <c r="LCZ220" s="73"/>
      <c r="LDA220" s="73"/>
      <c r="LDB220" s="73"/>
      <c r="LDC220" s="73"/>
      <c r="LDD220" s="73"/>
      <c r="LDE220" s="73"/>
      <c r="LDF220" s="73"/>
      <c r="LDG220" s="73"/>
      <c r="LDH220" s="73"/>
      <c r="LDI220" s="73"/>
      <c r="LDJ220" s="73"/>
      <c r="LDK220" s="73"/>
      <c r="LDL220" s="73"/>
      <c r="LDM220" s="73"/>
      <c r="LDN220" s="73"/>
      <c r="LDO220" s="73"/>
      <c r="LDP220" s="73"/>
      <c r="LDQ220" s="73"/>
      <c r="LDR220" s="73"/>
      <c r="LDS220" s="73"/>
      <c r="LDT220" s="73"/>
      <c r="LDU220" s="73"/>
      <c r="LDV220" s="73"/>
      <c r="LDW220" s="73"/>
      <c r="LDX220" s="73"/>
      <c r="LDY220" s="73"/>
      <c r="LDZ220" s="73"/>
      <c r="LEA220" s="73"/>
      <c r="LEB220" s="73"/>
      <c r="LEC220" s="73"/>
      <c r="LED220" s="73"/>
      <c r="LEE220" s="73"/>
      <c r="LEF220" s="73"/>
      <c r="LEG220" s="73"/>
      <c r="LEH220" s="73"/>
      <c r="LEI220" s="73"/>
      <c r="LEJ220" s="73"/>
      <c r="LEK220" s="73"/>
      <c r="LEL220" s="73"/>
      <c r="LEM220" s="73"/>
      <c r="LEN220" s="73"/>
      <c r="LEO220" s="73"/>
      <c r="LEP220" s="73"/>
      <c r="LEQ220" s="73"/>
      <c r="LER220" s="73"/>
      <c r="LES220" s="73"/>
      <c r="LET220" s="73"/>
      <c r="LEU220" s="73"/>
      <c r="LEV220" s="73"/>
      <c r="LEW220" s="73"/>
      <c r="LEX220" s="73"/>
      <c r="LEY220" s="73"/>
      <c r="LEZ220" s="73"/>
      <c r="LFA220" s="73"/>
      <c r="LFB220" s="73"/>
      <c r="LFC220" s="73"/>
      <c r="LFD220" s="73"/>
      <c r="LFE220" s="73"/>
      <c r="LFF220" s="73"/>
      <c r="LFG220" s="73"/>
      <c r="LFH220" s="73"/>
      <c r="LFI220" s="73"/>
      <c r="LFJ220" s="73"/>
      <c r="LFK220" s="73"/>
      <c r="LFL220" s="73"/>
      <c r="LFM220" s="73"/>
      <c r="LFN220" s="73"/>
      <c r="LFO220" s="73"/>
      <c r="LFP220" s="73"/>
      <c r="LFQ220" s="73"/>
      <c r="LFR220" s="73"/>
      <c r="LFS220" s="73"/>
      <c r="LFT220" s="73"/>
      <c r="LFU220" s="73"/>
      <c r="LFV220" s="73"/>
      <c r="LFW220" s="73"/>
      <c r="LFX220" s="73"/>
      <c r="LFY220" s="73"/>
      <c r="LFZ220" s="73"/>
      <c r="LGA220" s="73"/>
      <c r="LGB220" s="73"/>
      <c r="LGC220" s="73"/>
      <c r="LGD220" s="73"/>
      <c r="LGE220" s="73"/>
      <c r="LGF220" s="73"/>
      <c r="LGG220" s="73"/>
      <c r="LGH220" s="73"/>
      <c r="LGI220" s="73"/>
      <c r="LGJ220" s="73"/>
      <c r="LGK220" s="73"/>
      <c r="LGL220" s="73"/>
      <c r="LGM220" s="73"/>
      <c r="LGN220" s="73"/>
      <c r="LGO220" s="73"/>
      <c r="LGP220" s="73"/>
      <c r="LGQ220" s="73"/>
      <c r="LGR220" s="73"/>
      <c r="LGS220" s="73"/>
      <c r="LGT220" s="73"/>
      <c r="LGU220" s="73"/>
      <c r="LGV220" s="73"/>
      <c r="LGW220" s="73"/>
      <c r="LGX220" s="73"/>
      <c r="LGY220" s="73"/>
      <c r="LGZ220" s="73"/>
      <c r="LHA220" s="73"/>
      <c r="LHB220" s="73"/>
      <c r="LHC220" s="73"/>
      <c r="LHD220" s="73"/>
      <c r="LHE220" s="73"/>
      <c r="LHF220" s="73"/>
      <c r="LHG220" s="73"/>
      <c r="LHH220" s="73"/>
      <c r="LHI220" s="73"/>
      <c r="LHJ220" s="73"/>
      <c r="LHK220" s="73"/>
      <c r="LHL220" s="73"/>
      <c r="LHM220" s="73"/>
      <c r="LHN220" s="73"/>
      <c r="LHO220" s="73"/>
      <c r="LHP220" s="73"/>
      <c r="LHQ220" s="73"/>
      <c r="LHR220" s="73"/>
      <c r="LHS220" s="73"/>
      <c r="LHT220" s="73"/>
      <c r="LHU220" s="73"/>
      <c r="LHV220" s="73"/>
      <c r="LHW220" s="73"/>
      <c r="LHX220" s="73"/>
      <c r="LHY220" s="73"/>
      <c r="LHZ220" s="73"/>
      <c r="LIA220" s="73"/>
      <c r="LIB220" s="73"/>
      <c r="LIC220" s="73"/>
      <c r="LID220" s="73"/>
      <c r="LIE220" s="73"/>
      <c r="LIF220" s="73"/>
      <c r="LIG220" s="73"/>
      <c r="LIH220" s="73"/>
      <c r="LII220" s="73"/>
      <c r="LIJ220" s="73"/>
      <c r="LIK220" s="73"/>
      <c r="LIL220" s="73"/>
      <c r="LIM220" s="73"/>
      <c r="LIN220" s="73"/>
      <c r="LIO220" s="73"/>
      <c r="LIP220" s="73"/>
      <c r="LIQ220" s="73"/>
      <c r="LIR220" s="73"/>
      <c r="LIS220" s="73"/>
      <c r="LIT220" s="73"/>
      <c r="LIU220" s="73"/>
      <c r="LIV220" s="73"/>
      <c r="LIW220" s="73"/>
      <c r="LIX220" s="73"/>
      <c r="LIY220" s="73"/>
      <c r="LIZ220" s="73"/>
      <c r="LJA220" s="73"/>
      <c r="LJB220" s="73"/>
      <c r="LJC220" s="73"/>
      <c r="LJD220" s="73"/>
      <c r="LJE220" s="73"/>
      <c r="LJF220" s="73"/>
      <c r="LJG220" s="73"/>
      <c r="LJH220" s="73"/>
      <c r="LJI220" s="73"/>
      <c r="LJJ220" s="73"/>
      <c r="LJK220" s="73"/>
      <c r="LJL220" s="73"/>
      <c r="LJM220" s="73"/>
      <c r="LJN220" s="73"/>
      <c r="LJO220" s="73"/>
      <c r="LJP220" s="73"/>
      <c r="LJQ220" s="73"/>
      <c r="LJR220" s="73"/>
      <c r="LJS220" s="73"/>
      <c r="LJT220" s="73"/>
      <c r="LJU220" s="73"/>
      <c r="LJV220" s="73"/>
      <c r="LJW220" s="73"/>
      <c r="LJX220" s="73"/>
      <c r="LJY220" s="73"/>
      <c r="LJZ220" s="73"/>
      <c r="LKA220" s="73"/>
      <c r="LKB220" s="73"/>
      <c r="LKC220" s="73"/>
      <c r="LKD220" s="73"/>
      <c r="LKE220" s="73"/>
      <c r="LKF220" s="73"/>
      <c r="LKG220" s="73"/>
      <c r="LKH220" s="73"/>
      <c r="LKI220" s="73"/>
      <c r="LKJ220" s="73"/>
      <c r="LKK220" s="73"/>
      <c r="LKL220" s="73"/>
      <c r="LKM220" s="73"/>
      <c r="LKN220" s="73"/>
      <c r="LKO220" s="73"/>
      <c r="LKP220" s="73"/>
      <c r="LKQ220" s="73"/>
      <c r="LKR220" s="73"/>
      <c r="LKS220" s="73"/>
      <c r="LKT220" s="73"/>
      <c r="LKU220" s="73"/>
      <c r="LKV220" s="73"/>
      <c r="LKW220" s="73"/>
      <c r="LKX220" s="73"/>
      <c r="LKY220" s="73"/>
      <c r="LKZ220" s="73"/>
      <c r="LLA220" s="73"/>
      <c r="LLB220" s="73"/>
      <c r="LLC220" s="73"/>
      <c r="LLD220" s="73"/>
      <c r="LLE220" s="73"/>
      <c r="LLF220" s="73"/>
      <c r="LLG220" s="73"/>
      <c r="LLH220" s="73"/>
      <c r="LLI220" s="73"/>
      <c r="LLJ220" s="73"/>
      <c r="LLK220" s="73"/>
      <c r="LLL220" s="73"/>
      <c r="LLM220" s="73"/>
      <c r="LLN220" s="73"/>
      <c r="LLO220" s="73"/>
      <c r="LLP220" s="73"/>
      <c r="LLQ220" s="73"/>
      <c r="LLR220" s="73"/>
      <c r="LLS220" s="73"/>
      <c r="LLT220" s="73"/>
      <c r="LLU220" s="73"/>
      <c r="LLV220" s="73"/>
      <c r="LLW220" s="73"/>
      <c r="LLX220" s="73"/>
      <c r="LLY220" s="73"/>
      <c r="LLZ220" s="73"/>
      <c r="LMA220" s="73"/>
      <c r="LMB220" s="73"/>
      <c r="LMC220" s="73"/>
      <c r="LMD220" s="73"/>
      <c r="LME220" s="73"/>
      <c r="LMF220" s="73"/>
      <c r="LMG220" s="73"/>
      <c r="LMH220" s="73"/>
      <c r="LMI220" s="73"/>
      <c r="LMJ220" s="73"/>
      <c r="LMK220" s="73"/>
      <c r="LML220" s="73"/>
      <c r="LMM220" s="73"/>
      <c r="LMN220" s="73"/>
      <c r="LMO220" s="73"/>
      <c r="LMP220" s="73"/>
      <c r="LMQ220" s="73"/>
      <c r="LMR220" s="73"/>
      <c r="LMS220" s="73"/>
      <c r="LMT220" s="73"/>
      <c r="LMU220" s="73"/>
      <c r="LMV220" s="73"/>
      <c r="LMW220" s="73"/>
      <c r="LMX220" s="73"/>
      <c r="LMY220" s="73"/>
      <c r="LMZ220" s="73"/>
      <c r="LNA220" s="73"/>
      <c r="LNB220" s="73"/>
      <c r="LNC220" s="73"/>
      <c r="LND220" s="73"/>
      <c r="LNE220" s="73"/>
      <c r="LNF220" s="73"/>
      <c r="LNG220" s="73"/>
      <c r="LNH220" s="73"/>
      <c r="LNI220" s="73"/>
      <c r="LNJ220" s="73"/>
      <c r="LNK220" s="73"/>
      <c r="LNL220" s="73"/>
      <c r="LNM220" s="73"/>
      <c r="LNN220" s="73"/>
      <c r="LNO220" s="73"/>
      <c r="LNP220" s="73"/>
      <c r="LNQ220" s="73"/>
      <c r="LNR220" s="73"/>
      <c r="LNS220" s="73"/>
      <c r="LNT220" s="73"/>
      <c r="LNU220" s="73"/>
      <c r="LNV220" s="73"/>
      <c r="LNW220" s="73"/>
      <c r="LNX220" s="73"/>
      <c r="LNY220" s="73"/>
      <c r="LNZ220" s="73"/>
      <c r="LOA220" s="73"/>
      <c r="LOB220" s="73"/>
      <c r="LOC220" s="73"/>
      <c r="LOD220" s="73"/>
      <c r="LOE220" s="73"/>
      <c r="LOF220" s="73"/>
      <c r="LOG220" s="73"/>
      <c r="LOH220" s="73"/>
      <c r="LOI220" s="73"/>
      <c r="LOJ220" s="73"/>
      <c r="LOK220" s="73"/>
      <c r="LOL220" s="73"/>
      <c r="LOM220" s="73"/>
      <c r="LON220" s="73"/>
      <c r="LOO220" s="73"/>
      <c r="LOP220" s="73"/>
      <c r="LOQ220" s="73"/>
      <c r="LOR220" s="73"/>
      <c r="LOS220" s="73"/>
      <c r="LOT220" s="73"/>
      <c r="LOU220" s="73"/>
      <c r="LOV220" s="73"/>
      <c r="LOW220" s="73"/>
      <c r="LOX220" s="73"/>
      <c r="LOY220" s="73"/>
      <c r="LOZ220" s="73"/>
      <c r="LPA220" s="73"/>
      <c r="LPB220" s="73"/>
      <c r="LPC220" s="73"/>
      <c r="LPD220" s="73"/>
      <c r="LPE220" s="73"/>
      <c r="LPF220" s="73"/>
      <c r="LPG220" s="73"/>
      <c r="LPH220" s="73"/>
      <c r="LPI220" s="73"/>
      <c r="LPJ220" s="73"/>
      <c r="LPK220" s="73"/>
      <c r="LPL220" s="73"/>
      <c r="LPM220" s="73"/>
      <c r="LPN220" s="73"/>
      <c r="LPO220" s="73"/>
      <c r="LPP220" s="73"/>
      <c r="LPQ220" s="73"/>
      <c r="LPR220" s="73"/>
      <c r="LPS220" s="73"/>
      <c r="LPT220" s="73"/>
      <c r="LPU220" s="73"/>
      <c r="LPV220" s="73"/>
      <c r="LPW220" s="73"/>
      <c r="LPX220" s="73"/>
      <c r="LPY220" s="73"/>
      <c r="LPZ220" s="73"/>
      <c r="LQA220" s="73"/>
      <c r="LQB220" s="73"/>
      <c r="LQC220" s="73"/>
      <c r="LQD220" s="73"/>
      <c r="LQE220" s="73"/>
      <c r="LQF220" s="73"/>
      <c r="LQG220" s="73"/>
      <c r="LQH220" s="73"/>
      <c r="LQI220" s="73"/>
      <c r="LQJ220" s="73"/>
      <c r="LQK220" s="73"/>
      <c r="LQL220" s="73"/>
      <c r="LQM220" s="73"/>
      <c r="LQN220" s="73"/>
      <c r="LQO220" s="73"/>
      <c r="LQP220" s="73"/>
      <c r="LQQ220" s="73"/>
      <c r="LQR220" s="73"/>
      <c r="LQS220" s="73"/>
      <c r="LQT220" s="73"/>
      <c r="LQU220" s="73"/>
      <c r="LQV220" s="73"/>
      <c r="LQW220" s="73"/>
      <c r="LQX220" s="73"/>
      <c r="LQY220" s="73"/>
      <c r="LQZ220" s="73"/>
      <c r="LRA220" s="73"/>
      <c r="LRB220" s="73"/>
      <c r="LRC220" s="73"/>
      <c r="LRD220" s="73"/>
      <c r="LRE220" s="73"/>
      <c r="LRF220" s="73"/>
      <c r="LRG220" s="73"/>
      <c r="LRH220" s="73"/>
      <c r="LRI220" s="73"/>
      <c r="LRJ220" s="73"/>
      <c r="LRK220" s="73"/>
      <c r="LRL220" s="73"/>
      <c r="LRM220" s="73"/>
      <c r="LRN220" s="73"/>
      <c r="LRO220" s="73"/>
      <c r="LRP220" s="73"/>
      <c r="LRQ220" s="73"/>
      <c r="LRR220" s="73"/>
      <c r="LRS220" s="73"/>
      <c r="LRT220" s="73"/>
      <c r="LRU220" s="73"/>
      <c r="LRV220" s="73"/>
      <c r="LRW220" s="73"/>
      <c r="LRX220" s="73"/>
      <c r="LRY220" s="73"/>
      <c r="LRZ220" s="73"/>
      <c r="LSA220" s="73"/>
      <c r="LSB220" s="73"/>
      <c r="LSC220" s="73"/>
      <c r="LSD220" s="73"/>
      <c r="LSE220" s="73"/>
      <c r="LSF220" s="73"/>
      <c r="LSG220" s="73"/>
      <c r="LSH220" s="73"/>
      <c r="LSI220" s="73"/>
      <c r="LSJ220" s="73"/>
      <c r="LSK220" s="73"/>
      <c r="LSL220" s="73"/>
      <c r="LSM220" s="73"/>
      <c r="LSN220" s="73"/>
      <c r="LSO220" s="73"/>
      <c r="LSP220" s="73"/>
      <c r="LSQ220" s="73"/>
      <c r="LSR220" s="73"/>
      <c r="LSS220" s="73"/>
      <c r="LST220" s="73"/>
      <c r="LSU220" s="73"/>
      <c r="LSV220" s="73"/>
      <c r="LSW220" s="73"/>
      <c r="LSX220" s="73"/>
      <c r="LSY220" s="73"/>
      <c r="LSZ220" s="73"/>
      <c r="LTA220" s="73"/>
      <c r="LTB220" s="73"/>
      <c r="LTC220" s="73"/>
      <c r="LTD220" s="73"/>
      <c r="LTE220" s="73"/>
      <c r="LTF220" s="73"/>
      <c r="LTG220" s="73"/>
      <c r="LTH220" s="73"/>
      <c r="LTI220" s="73"/>
      <c r="LTJ220" s="73"/>
      <c r="LTK220" s="73"/>
      <c r="LTL220" s="73"/>
      <c r="LTM220" s="73"/>
      <c r="LTN220" s="73"/>
      <c r="LTO220" s="73"/>
      <c r="LTP220" s="73"/>
      <c r="LTQ220" s="73"/>
      <c r="LTR220" s="73"/>
      <c r="LTS220" s="73"/>
      <c r="LTT220" s="73"/>
      <c r="LTU220" s="73"/>
      <c r="LTV220" s="73"/>
      <c r="LTW220" s="73"/>
      <c r="LTX220" s="73"/>
      <c r="LTY220" s="73"/>
      <c r="LTZ220" s="73"/>
      <c r="LUA220" s="73"/>
      <c r="LUB220" s="73"/>
      <c r="LUC220" s="73"/>
      <c r="LUD220" s="73"/>
      <c r="LUE220" s="73"/>
      <c r="LUF220" s="73"/>
      <c r="LUG220" s="73"/>
      <c r="LUH220" s="73"/>
      <c r="LUI220" s="73"/>
      <c r="LUJ220" s="73"/>
      <c r="LUK220" s="73"/>
      <c r="LUL220" s="73"/>
      <c r="LUM220" s="73"/>
      <c r="LUN220" s="73"/>
      <c r="LUO220" s="73"/>
      <c r="LUP220" s="73"/>
      <c r="LUQ220" s="73"/>
      <c r="LUR220" s="73"/>
      <c r="LUS220" s="73"/>
      <c r="LUT220" s="73"/>
      <c r="LUU220" s="73"/>
      <c r="LUV220" s="73"/>
      <c r="LUW220" s="73"/>
      <c r="LUX220" s="73"/>
      <c r="LUY220" s="73"/>
      <c r="LUZ220" s="73"/>
      <c r="LVA220" s="73"/>
      <c r="LVB220" s="73"/>
      <c r="LVC220" s="73"/>
      <c r="LVD220" s="73"/>
      <c r="LVE220" s="73"/>
      <c r="LVF220" s="73"/>
      <c r="LVG220" s="73"/>
      <c r="LVH220" s="73"/>
      <c r="LVI220" s="73"/>
      <c r="LVJ220" s="73"/>
      <c r="LVK220" s="73"/>
      <c r="LVL220" s="73"/>
      <c r="LVM220" s="73"/>
      <c r="LVN220" s="73"/>
      <c r="LVO220" s="73"/>
      <c r="LVP220" s="73"/>
      <c r="LVQ220" s="73"/>
      <c r="LVR220" s="73"/>
      <c r="LVS220" s="73"/>
      <c r="LVT220" s="73"/>
      <c r="LVU220" s="73"/>
      <c r="LVV220" s="73"/>
      <c r="LVW220" s="73"/>
      <c r="LVX220" s="73"/>
      <c r="LVY220" s="73"/>
      <c r="LVZ220" s="73"/>
      <c r="LWA220" s="73"/>
      <c r="LWB220" s="73"/>
      <c r="LWC220" s="73"/>
      <c r="LWD220" s="73"/>
      <c r="LWE220" s="73"/>
      <c r="LWF220" s="73"/>
      <c r="LWG220" s="73"/>
      <c r="LWH220" s="73"/>
      <c r="LWI220" s="73"/>
      <c r="LWJ220" s="73"/>
      <c r="LWK220" s="73"/>
      <c r="LWL220" s="73"/>
      <c r="LWM220" s="73"/>
      <c r="LWN220" s="73"/>
      <c r="LWO220" s="73"/>
      <c r="LWP220" s="73"/>
      <c r="LWQ220" s="73"/>
      <c r="LWR220" s="73"/>
      <c r="LWS220" s="73"/>
      <c r="LWT220" s="73"/>
      <c r="LWU220" s="73"/>
      <c r="LWV220" s="73"/>
      <c r="LWW220" s="73"/>
      <c r="LWX220" s="73"/>
      <c r="LWY220" s="73"/>
      <c r="LWZ220" s="73"/>
      <c r="LXA220" s="73"/>
      <c r="LXB220" s="73"/>
      <c r="LXC220" s="73"/>
      <c r="LXD220" s="73"/>
      <c r="LXE220" s="73"/>
      <c r="LXF220" s="73"/>
      <c r="LXG220" s="73"/>
      <c r="LXH220" s="73"/>
      <c r="LXI220" s="73"/>
      <c r="LXJ220" s="73"/>
      <c r="LXK220" s="73"/>
      <c r="LXL220" s="73"/>
      <c r="LXM220" s="73"/>
      <c r="LXN220" s="73"/>
      <c r="LXO220" s="73"/>
      <c r="LXP220" s="73"/>
      <c r="LXQ220" s="73"/>
      <c r="LXR220" s="73"/>
      <c r="LXS220" s="73"/>
      <c r="LXT220" s="73"/>
      <c r="LXU220" s="73"/>
      <c r="LXV220" s="73"/>
      <c r="LXW220" s="73"/>
      <c r="LXX220" s="73"/>
      <c r="LXY220" s="73"/>
      <c r="LXZ220" s="73"/>
      <c r="LYA220" s="73"/>
      <c r="LYB220" s="73"/>
      <c r="LYC220" s="73"/>
      <c r="LYD220" s="73"/>
      <c r="LYE220" s="73"/>
      <c r="LYF220" s="73"/>
      <c r="LYG220" s="73"/>
      <c r="LYH220" s="73"/>
      <c r="LYI220" s="73"/>
      <c r="LYJ220" s="73"/>
      <c r="LYK220" s="73"/>
      <c r="LYL220" s="73"/>
      <c r="LYM220" s="73"/>
      <c r="LYN220" s="73"/>
      <c r="LYO220" s="73"/>
      <c r="LYP220" s="73"/>
      <c r="LYQ220" s="73"/>
      <c r="LYR220" s="73"/>
      <c r="LYS220" s="73"/>
      <c r="LYT220" s="73"/>
      <c r="LYU220" s="73"/>
      <c r="LYV220" s="73"/>
      <c r="LYW220" s="73"/>
      <c r="LYX220" s="73"/>
      <c r="LYY220" s="73"/>
      <c r="LYZ220" s="73"/>
      <c r="LZA220" s="73"/>
      <c r="LZB220" s="73"/>
      <c r="LZC220" s="73"/>
      <c r="LZD220" s="73"/>
      <c r="LZE220" s="73"/>
      <c r="LZF220" s="73"/>
      <c r="LZG220" s="73"/>
      <c r="LZH220" s="73"/>
      <c r="LZI220" s="73"/>
      <c r="LZJ220" s="73"/>
      <c r="LZK220" s="73"/>
      <c r="LZL220" s="73"/>
      <c r="LZM220" s="73"/>
      <c r="LZN220" s="73"/>
      <c r="LZO220" s="73"/>
      <c r="LZP220" s="73"/>
      <c r="LZQ220" s="73"/>
      <c r="LZR220" s="73"/>
      <c r="LZS220" s="73"/>
      <c r="LZT220" s="73"/>
      <c r="LZU220" s="73"/>
      <c r="LZV220" s="73"/>
      <c r="LZW220" s="73"/>
      <c r="LZX220" s="73"/>
      <c r="LZY220" s="73"/>
      <c r="LZZ220" s="73"/>
      <c r="MAA220" s="73"/>
      <c r="MAB220" s="73"/>
      <c r="MAC220" s="73"/>
      <c r="MAD220" s="73"/>
      <c r="MAE220" s="73"/>
      <c r="MAF220" s="73"/>
      <c r="MAG220" s="73"/>
      <c r="MAH220" s="73"/>
      <c r="MAI220" s="73"/>
      <c r="MAJ220" s="73"/>
      <c r="MAK220" s="73"/>
      <c r="MAL220" s="73"/>
      <c r="MAM220" s="73"/>
      <c r="MAN220" s="73"/>
      <c r="MAO220" s="73"/>
      <c r="MAP220" s="73"/>
      <c r="MAQ220" s="73"/>
      <c r="MAR220" s="73"/>
      <c r="MAS220" s="73"/>
      <c r="MAT220" s="73"/>
      <c r="MAU220" s="73"/>
      <c r="MAV220" s="73"/>
      <c r="MAW220" s="73"/>
      <c r="MAX220" s="73"/>
      <c r="MAY220" s="73"/>
      <c r="MAZ220" s="73"/>
      <c r="MBA220" s="73"/>
      <c r="MBB220" s="73"/>
      <c r="MBC220" s="73"/>
      <c r="MBD220" s="73"/>
      <c r="MBE220" s="73"/>
      <c r="MBF220" s="73"/>
      <c r="MBG220" s="73"/>
      <c r="MBH220" s="73"/>
      <c r="MBI220" s="73"/>
      <c r="MBJ220" s="73"/>
      <c r="MBK220" s="73"/>
      <c r="MBL220" s="73"/>
      <c r="MBM220" s="73"/>
      <c r="MBN220" s="73"/>
      <c r="MBO220" s="73"/>
      <c r="MBP220" s="73"/>
      <c r="MBQ220" s="73"/>
      <c r="MBR220" s="73"/>
      <c r="MBS220" s="73"/>
      <c r="MBT220" s="73"/>
      <c r="MBU220" s="73"/>
      <c r="MBV220" s="73"/>
      <c r="MBW220" s="73"/>
      <c r="MBX220" s="73"/>
      <c r="MBY220" s="73"/>
      <c r="MBZ220" s="73"/>
      <c r="MCA220" s="73"/>
      <c r="MCB220" s="73"/>
      <c r="MCC220" s="73"/>
      <c r="MCD220" s="73"/>
      <c r="MCE220" s="73"/>
      <c r="MCF220" s="73"/>
      <c r="MCG220" s="73"/>
      <c r="MCH220" s="73"/>
      <c r="MCI220" s="73"/>
      <c r="MCJ220" s="73"/>
      <c r="MCK220" s="73"/>
      <c r="MCL220" s="73"/>
      <c r="MCM220" s="73"/>
      <c r="MCN220" s="73"/>
      <c r="MCO220" s="73"/>
      <c r="MCP220" s="73"/>
      <c r="MCQ220" s="73"/>
      <c r="MCR220" s="73"/>
      <c r="MCS220" s="73"/>
      <c r="MCT220" s="73"/>
      <c r="MCU220" s="73"/>
      <c r="MCV220" s="73"/>
      <c r="MCW220" s="73"/>
      <c r="MCX220" s="73"/>
      <c r="MCY220" s="73"/>
      <c r="MCZ220" s="73"/>
      <c r="MDA220" s="73"/>
      <c r="MDB220" s="73"/>
      <c r="MDC220" s="73"/>
      <c r="MDD220" s="73"/>
      <c r="MDE220" s="73"/>
      <c r="MDF220" s="73"/>
      <c r="MDG220" s="73"/>
      <c r="MDH220" s="73"/>
      <c r="MDI220" s="73"/>
      <c r="MDJ220" s="73"/>
      <c r="MDK220" s="73"/>
      <c r="MDL220" s="73"/>
      <c r="MDM220" s="73"/>
      <c r="MDN220" s="73"/>
      <c r="MDO220" s="73"/>
      <c r="MDP220" s="73"/>
      <c r="MDQ220" s="73"/>
      <c r="MDR220" s="73"/>
      <c r="MDS220" s="73"/>
      <c r="MDT220" s="73"/>
      <c r="MDU220" s="73"/>
      <c r="MDV220" s="73"/>
      <c r="MDW220" s="73"/>
      <c r="MDX220" s="73"/>
      <c r="MDY220" s="73"/>
      <c r="MDZ220" s="73"/>
      <c r="MEA220" s="73"/>
      <c r="MEB220" s="73"/>
      <c r="MEC220" s="73"/>
      <c r="MED220" s="73"/>
      <c r="MEE220" s="73"/>
      <c r="MEF220" s="73"/>
      <c r="MEG220" s="73"/>
      <c r="MEH220" s="73"/>
      <c r="MEI220" s="73"/>
      <c r="MEJ220" s="73"/>
      <c r="MEK220" s="73"/>
      <c r="MEL220" s="73"/>
      <c r="MEM220" s="73"/>
      <c r="MEN220" s="73"/>
      <c r="MEO220" s="73"/>
      <c r="MEP220" s="73"/>
      <c r="MEQ220" s="73"/>
      <c r="MER220" s="73"/>
      <c r="MES220" s="73"/>
      <c r="MET220" s="73"/>
      <c r="MEU220" s="73"/>
      <c r="MEV220" s="73"/>
      <c r="MEW220" s="73"/>
      <c r="MEX220" s="73"/>
      <c r="MEY220" s="73"/>
      <c r="MEZ220" s="73"/>
      <c r="MFA220" s="73"/>
      <c r="MFB220" s="73"/>
      <c r="MFC220" s="73"/>
      <c r="MFD220" s="73"/>
      <c r="MFE220" s="73"/>
      <c r="MFF220" s="73"/>
      <c r="MFG220" s="73"/>
      <c r="MFH220" s="73"/>
      <c r="MFI220" s="73"/>
      <c r="MFJ220" s="73"/>
      <c r="MFK220" s="73"/>
      <c r="MFL220" s="73"/>
      <c r="MFM220" s="73"/>
      <c r="MFN220" s="73"/>
      <c r="MFO220" s="73"/>
      <c r="MFP220" s="73"/>
      <c r="MFQ220" s="73"/>
      <c r="MFR220" s="73"/>
      <c r="MFS220" s="73"/>
      <c r="MFT220" s="73"/>
      <c r="MFU220" s="73"/>
      <c r="MFV220" s="73"/>
      <c r="MFW220" s="73"/>
      <c r="MFX220" s="73"/>
      <c r="MFY220" s="73"/>
      <c r="MFZ220" s="73"/>
      <c r="MGA220" s="73"/>
      <c r="MGB220" s="73"/>
      <c r="MGC220" s="73"/>
      <c r="MGD220" s="73"/>
      <c r="MGE220" s="73"/>
      <c r="MGF220" s="73"/>
      <c r="MGG220" s="73"/>
      <c r="MGH220" s="73"/>
      <c r="MGI220" s="73"/>
      <c r="MGJ220" s="73"/>
      <c r="MGK220" s="73"/>
      <c r="MGL220" s="73"/>
      <c r="MGM220" s="73"/>
      <c r="MGN220" s="73"/>
      <c r="MGO220" s="73"/>
      <c r="MGP220" s="73"/>
      <c r="MGQ220" s="73"/>
      <c r="MGR220" s="73"/>
      <c r="MGS220" s="73"/>
      <c r="MGT220" s="73"/>
      <c r="MGU220" s="73"/>
      <c r="MGV220" s="73"/>
      <c r="MGW220" s="73"/>
      <c r="MGX220" s="73"/>
      <c r="MGY220" s="73"/>
      <c r="MGZ220" s="73"/>
      <c r="MHA220" s="73"/>
      <c r="MHB220" s="73"/>
      <c r="MHC220" s="73"/>
      <c r="MHD220" s="73"/>
      <c r="MHE220" s="73"/>
      <c r="MHF220" s="73"/>
      <c r="MHG220" s="73"/>
      <c r="MHH220" s="73"/>
      <c r="MHI220" s="73"/>
      <c r="MHJ220" s="73"/>
      <c r="MHK220" s="73"/>
      <c r="MHL220" s="73"/>
      <c r="MHM220" s="73"/>
      <c r="MHN220" s="73"/>
      <c r="MHO220" s="73"/>
      <c r="MHP220" s="73"/>
      <c r="MHQ220" s="73"/>
      <c r="MHR220" s="73"/>
      <c r="MHS220" s="73"/>
      <c r="MHT220" s="73"/>
      <c r="MHU220" s="73"/>
      <c r="MHV220" s="73"/>
      <c r="MHW220" s="73"/>
      <c r="MHX220" s="73"/>
      <c r="MHY220" s="73"/>
      <c r="MHZ220" s="73"/>
      <c r="MIA220" s="73"/>
      <c r="MIB220" s="73"/>
      <c r="MIC220" s="73"/>
      <c r="MID220" s="73"/>
      <c r="MIE220" s="73"/>
      <c r="MIF220" s="73"/>
      <c r="MIG220" s="73"/>
      <c r="MIH220" s="73"/>
      <c r="MII220" s="73"/>
      <c r="MIJ220" s="73"/>
      <c r="MIK220" s="73"/>
      <c r="MIL220" s="73"/>
      <c r="MIM220" s="73"/>
      <c r="MIN220" s="73"/>
      <c r="MIO220" s="73"/>
      <c r="MIP220" s="73"/>
      <c r="MIQ220" s="73"/>
      <c r="MIR220" s="73"/>
      <c r="MIS220" s="73"/>
      <c r="MIT220" s="73"/>
      <c r="MIU220" s="73"/>
      <c r="MIV220" s="73"/>
      <c r="MIW220" s="73"/>
      <c r="MIX220" s="73"/>
      <c r="MIY220" s="73"/>
      <c r="MIZ220" s="73"/>
      <c r="MJA220" s="73"/>
      <c r="MJB220" s="73"/>
      <c r="MJC220" s="73"/>
      <c r="MJD220" s="73"/>
      <c r="MJE220" s="73"/>
      <c r="MJF220" s="73"/>
      <c r="MJG220" s="73"/>
      <c r="MJH220" s="73"/>
      <c r="MJI220" s="73"/>
      <c r="MJJ220" s="73"/>
      <c r="MJK220" s="73"/>
      <c r="MJL220" s="73"/>
      <c r="MJM220" s="73"/>
      <c r="MJN220" s="73"/>
      <c r="MJO220" s="73"/>
      <c r="MJP220" s="73"/>
      <c r="MJQ220" s="73"/>
      <c r="MJR220" s="73"/>
      <c r="MJS220" s="73"/>
      <c r="MJT220" s="73"/>
      <c r="MJU220" s="73"/>
      <c r="MJV220" s="73"/>
      <c r="MJW220" s="73"/>
      <c r="MJX220" s="73"/>
      <c r="MJY220" s="73"/>
      <c r="MJZ220" s="73"/>
      <c r="MKA220" s="73"/>
      <c r="MKB220" s="73"/>
      <c r="MKC220" s="73"/>
      <c r="MKD220" s="73"/>
      <c r="MKE220" s="73"/>
      <c r="MKF220" s="73"/>
      <c r="MKG220" s="73"/>
      <c r="MKH220" s="73"/>
      <c r="MKI220" s="73"/>
      <c r="MKJ220" s="73"/>
      <c r="MKK220" s="73"/>
      <c r="MKL220" s="73"/>
      <c r="MKM220" s="73"/>
      <c r="MKN220" s="73"/>
      <c r="MKO220" s="73"/>
      <c r="MKP220" s="73"/>
      <c r="MKQ220" s="73"/>
      <c r="MKR220" s="73"/>
      <c r="MKS220" s="73"/>
      <c r="MKT220" s="73"/>
      <c r="MKU220" s="73"/>
      <c r="MKV220" s="73"/>
      <c r="MKW220" s="73"/>
      <c r="MKX220" s="73"/>
      <c r="MKY220" s="73"/>
      <c r="MKZ220" s="73"/>
      <c r="MLA220" s="73"/>
      <c r="MLB220" s="73"/>
      <c r="MLC220" s="73"/>
      <c r="MLD220" s="73"/>
      <c r="MLE220" s="73"/>
      <c r="MLF220" s="73"/>
      <c r="MLG220" s="73"/>
      <c r="MLH220" s="73"/>
      <c r="MLI220" s="73"/>
      <c r="MLJ220" s="73"/>
      <c r="MLK220" s="73"/>
      <c r="MLL220" s="73"/>
      <c r="MLM220" s="73"/>
      <c r="MLN220" s="73"/>
      <c r="MLO220" s="73"/>
      <c r="MLP220" s="73"/>
      <c r="MLQ220" s="73"/>
      <c r="MLR220" s="73"/>
      <c r="MLS220" s="73"/>
      <c r="MLT220" s="73"/>
      <c r="MLU220" s="73"/>
      <c r="MLV220" s="73"/>
      <c r="MLW220" s="73"/>
      <c r="MLX220" s="73"/>
      <c r="MLY220" s="73"/>
      <c r="MLZ220" s="73"/>
      <c r="MMA220" s="73"/>
      <c r="MMB220" s="73"/>
      <c r="MMC220" s="73"/>
      <c r="MMD220" s="73"/>
      <c r="MME220" s="73"/>
      <c r="MMF220" s="73"/>
      <c r="MMG220" s="73"/>
      <c r="MMH220" s="73"/>
      <c r="MMI220" s="73"/>
      <c r="MMJ220" s="73"/>
      <c r="MMK220" s="73"/>
      <c r="MML220" s="73"/>
      <c r="MMM220" s="73"/>
      <c r="MMN220" s="73"/>
      <c r="MMO220" s="73"/>
      <c r="MMP220" s="73"/>
      <c r="MMQ220" s="73"/>
      <c r="MMR220" s="73"/>
      <c r="MMS220" s="73"/>
      <c r="MMT220" s="73"/>
      <c r="MMU220" s="73"/>
      <c r="MMV220" s="73"/>
      <c r="MMW220" s="73"/>
      <c r="MMX220" s="73"/>
      <c r="MMY220" s="73"/>
      <c r="MMZ220" s="73"/>
      <c r="MNA220" s="73"/>
      <c r="MNB220" s="73"/>
      <c r="MNC220" s="73"/>
      <c r="MND220" s="73"/>
      <c r="MNE220" s="73"/>
      <c r="MNF220" s="73"/>
      <c r="MNG220" s="73"/>
      <c r="MNH220" s="73"/>
      <c r="MNI220" s="73"/>
      <c r="MNJ220" s="73"/>
      <c r="MNK220" s="73"/>
      <c r="MNL220" s="73"/>
      <c r="MNM220" s="73"/>
      <c r="MNN220" s="73"/>
      <c r="MNO220" s="73"/>
      <c r="MNP220" s="73"/>
      <c r="MNQ220" s="73"/>
      <c r="MNR220" s="73"/>
      <c r="MNS220" s="73"/>
      <c r="MNT220" s="73"/>
      <c r="MNU220" s="73"/>
      <c r="MNV220" s="73"/>
      <c r="MNW220" s="73"/>
      <c r="MNX220" s="73"/>
      <c r="MNY220" s="73"/>
      <c r="MNZ220" s="73"/>
      <c r="MOA220" s="73"/>
      <c r="MOB220" s="73"/>
      <c r="MOC220" s="73"/>
      <c r="MOD220" s="73"/>
      <c r="MOE220" s="73"/>
      <c r="MOF220" s="73"/>
      <c r="MOG220" s="73"/>
      <c r="MOH220" s="73"/>
      <c r="MOI220" s="73"/>
      <c r="MOJ220" s="73"/>
      <c r="MOK220" s="73"/>
      <c r="MOL220" s="73"/>
      <c r="MOM220" s="73"/>
      <c r="MON220" s="73"/>
      <c r="MOO220" s="73"/>
      <c r="MOP220" s="73"/>
      <c r="MOQ220" s="73"/>
      <c r="MOR220" s="73"/>
      <c r="MOS220" s="73"/>
      <c r="MOT220" s="73"/>
      <c r="MOU220" s="73"/>
      <c r="MOV220" s="73"/>
      <c r="MOW220" s="73"/>
      <c r="MOX220" s="73"/>
      <c r="MOY220" s="73"/>
      <c r="MOZ220" s="73"/>
      <c r="MPA220" s="73"/>
      <c r="MPB220" s="73"/>
      <c r="MPC220" s="73"/>
      <c r="MPD220" s="73"/>
      <c r="MPE220" s="73"/>
      <c r="MPF220" s="73"/>
      <c r="MPG220" s="73"/>
      <c r="MPH220" s="73"/>
      <c r="MPI220" s="73"/>
      <c r="MPJ220" s="73"/>
      <c r="MPK220" s="73"/>
      <c r="MPL220" s="73"/>
      <c r="MPM220" s="73"/>
      <c r="MPN220" s="73"/>
      <c r="MPO220" s="73"/>
      <c r="MPP220" s="73"/>
      <c r="MPQ220" s="73"/>
      <c r="MPR220" s="73"/>
      <c r="MPS220" s="73"/>
      <c r="MPT220" s="73"/>
      <c r="MPU220" s="73"/>
      <c r="MPV220" s="73"/>
      <c r="MPW220" s="73"/>
      <c r="MPX220" s="73"/>
      <c r="MPY220" s="73"/>
      <c r="MPZ220" s="73"/>
      <c r="MQA220" s="73"/>
      <c r="MQB220" s="73"/>
      <c r="MQC220" s="73"/>
      <c r="MQD220" s="73"/>
      <c r="MQE220" s="73"/>
      <c r="MQF220" s="73"/>
      <c r="MQG220" s="73"/>
      <c r="MQH220" s="73"/>
      <c r="MQI220" s="73"/>
      <c r="MQJ220" s="73"/>
      <c r="MQK220" s="73"/>
      <c r="MQL220" s="73"/>
      <c r="MQM220" s="73"/>
      <c r="MQN220" s="73"/>
      <c r="MQO220" s="73"/>
      <c r="MQP220" s="73"/>
      <c r="MQQ220" s="73"/>
      <c r="MQR220" s="73"/>
      <c r="MQS220" s="73"/>
      <c r="MQT220" s="73"/>
      <c r="MQU220" s="73"/>
      <c r="MQV220" s="73"/>
      <c r="MQW220" s="73"/>
      <c r="MQX220" s="73"/>
      <c r="MQY220" s="73"/>
      <c r="MQZ220" s="73"/>
      <c r="MRA220" s="73"/>
      <c r="MRB220" s="73"/>
      <c r="MRC220" s="73"/>
      <c r="MRD220" s="73"/>
      <c r="MRE220" s="73"/>
      <c r="MRF220" s="73"/>
      <c r="MRG220" s="73"/>
      <c r="MRH220" s="73"/>
      <c r="MRI220" s="73"/>
      <c r="MRJ220" s="73"/>
      <c r="MRK220" s="73"/>
      <c r="MRL220" s="73"/>
      <c r="MRM220" s="73"/>
      <c r="MRN220" s="73"/>
      <c r="MRO220" s="73"/>
      <c r="MRP220" s="73"/>
      <c r="MRQ220" s="73"/>
      <c r="MRR220" s="73"/>
      <c r="MRS220" s="73"/>
      <c r="MRT220" s="73"/>
      <c r="MRU220" s="73"/>
      <c r="MRV220" s="73"/>
      <c r="MRW220" s="73"/>
      <c r="MRX220" s="73"/>
      <c r="MRY220" s="73"/>
      <c r="MRZ220" s="73"/>
      <c r="MSA220" s="73"/>
      <c r="MSB220" s="73"/>
      <c r="MSC220" s="73"/>
      <c r="MSD220" s="73"/>
      <c r="MSE220" s="73"/>
      <c r="MSF220" s="73"/>
      <c r="MSG220" s="73"/>
      <c r="MSH220" s="73"/>
      <c r="MSI220" s="73"/>
      <c r="MSJ220" s="73"/>
      <c r="MSK220" s="73"/>
      <c r="MSL220" s="73"/>
      <c r="MSM220" s="73"/>
      <c r="MSN220" s="73"/>
      <c r="MSO220" s="73"/>
      <c r="MSP220" s="73"/>
      <c r="MSQ220" s="73"/>
      <c r="MSR220" s="73"/>
      <c r="MSS220" s="73"/>
      <c r="MST220" s="73"/>
      <c r="MSU220" s="73"/>
      <c r="MSV220" s="73"/>
      <c r="MSW220" s="73"/>
      <c r="MSX220" s="73"/>
      <c r="MSY220" s="73"/>
      <c r="MSZ220" s="73"/>
      <c r="MTA220" s="73"/>
      <c r="MTB220" s="73"/>
      <c r="MTC220" s="73"/>
      <c r="MTD220" s="73"/>
      <c r="MTE220" s="73"/>
      <c r="MTF220" s="73"/>
      <c r="MTG220" s="73"/>
      <c r="MTH220" s="73"/>
      <c r="MTI220" s="73"/>
      <c r="MTJ220" s="73"/>
      <c r="MTK220" s="73"/>
      <c r="MTL220" s="73"/>
      <c r="MTM220" s="73"/>
      <c r="MTN220" s="73"/>
      <c r="MTO220" s="73"/>
      <c r="MTP220" s="73"/>
      <c r="MTQ220" s="73"/>
      <c r="MTR220" s="73"/>
      <c r="MTS220" s="73"/>
      <c r="MTT220" s="73"/>
      <c r="MTU220" s="73"/>
      <c r="MTV220" s="73"/>
      <c r="MTW220" s="73"/>
      <c r="MTX220" s="73"/>
      <c r="MTY220" s="73"/>
      <c r="MTZ220" s="73"/>
      <c r="MUA220" s="73"/>
      <c r="MUB220" s="73"/>
      <c r="MUC220" s="73"/>
      <c r="MUD220" s="73"/>
      <c r="MUE220" s="73"/>
      <c r="MUF220" s="73"/>
      <c r="MUG220" s="73"/>
      <c r="MUH220" s="73"/>
      <c r="MUI220" s="73"/>
      <c r="MUJ220" s="73"/>
      <c r="MUK220" s="73"/>
      <c r="MUL220" s="73"/>
      <c r="MUM220" s="73"/>
      <c r="MUN220" s="73"/>
      <c r="MUO220" s="73"/>
      <c r="MUP220" s="73"/>
      <c r="MUQ220" s="73"/>
      <c r="MUR220" s="73"/>
      <c r="MUS220" s="73"/>
      <c r="MUT220" s="73"/>
      <c r="MUU220" s="73"/>
      <c r="MUV220" s="73"/>
      <c r="MUW220" s="73"/>
      <c r="MUX220" s="73"/>
      <c r="MUY220" s="73"/>
      <c r="MUZ220" s="73"/>
      <c r="MVA220" s="73"/>
      <c r="MVB220" s="73"/>
      <c r="MVC220" s="73"/>
      <c r="MVD220" s="73"/>
      <c r="MVE220" s="73"/>
      <c r="MVF220" s="73"/>
      <c r="MVG220" s="73"/>
      <c r="MVH220" s="73"/>
      <c r="MVI220" s="73"/>
      <c r="MVJ220" s="73"/>
      <c r="MVK220" s="73"/>
      <c r="MVL220" s="73"/>
      <c r="MVM220" s="73"/>
      <c r="MVN220" s="73"/>
      <c r="MVO220" s="73"/>
      <c r="MVP220" s="73"/>
      <c r="MVQ220" s="73"/>
      <c r="MVR220" s="73"/>
      <c r="MVS220" s="73"/>
      <c r="MVT220" s="73"/>
      <c r="MVU220" s="73"/>
      <c r="MVV220" s="73"/>
      <c r="MVW220" s="73"/>
      <c r="MVX220" s="73"/>
      <c r="MVY220" s="73"/>
      <c r="MVZ220" s="73"/>
      <c r="MWA220" s="73"/>
      <c r="MWB220" s="73"/>
      <c r="MWC220" s="73"/>
      <c r="MWD220" s="73"/>
      <c r="MWE220" s="73"/>
      <c r="MWF220" s="73"/>
      <c r="MWG220" s="73"/>
      <c r="MWH220" s="73"/>
      <c r="MWI220" s="73"/>
      <c r="MWJ220" s="73"/>
      <c r="MWK220" s="73"/>
      <c r="MWL220" s="73"/>
      <c r="MWM220" s="73"/>
      <c r="MWN220" s="73"/>
      <c r="MWO220" s="73"/>
      <c r="MWP220" s="73"/>
      <c r="MWQ220" s="73"/>
      <c r="MWR220" s="73"/>
      <c r="MWS220" s="73"/>
      <c r="MWT220" s="73"/>
      <c r="MWU220" s="73"/>
      <c r="MWV220" s="73"/>
      <c r="MWW220" s="73"/>
      <c r="MWX220" s="73"/>
      <c r="MWY220" s="73"/>
      <c r="MWZ220" s="73"/>
      <c r="MXA220" s="73"/>
      <c r="MXB220" s="73"/>
      <c r="MXC220" s="73"/>
      <c r="MXD220" s="73"/>
      <c r="MXE220" s="73"/>
      <c r="MXF220" s="73"/>
      <c r="MXG220" s="73"/>
      <c r="MXH220" s="73"/>
      <c r="MXI220" s="73"/>
      <c r="MXJ220" s="73"/>
      <c r="MXK220" s="73"/>
      <c r="MXL220" s="73"/>
      <c r="MXM220" s="73"/>
      <c r="MXN220" s="73"/>
      <c r="MXO220" s="73"/>
      <c r="MXP220" s="73"/>
      <c r="MXQ220" s="73"/>
      <c r="MXR220" s="73"/>
      <c r="MXS220" s="73"/>
      <c r="MXT220" s="73"/>
      <c r="MXU220" s="73"/>
      <c r="MXV220" s="73"/>
      <c r="MXW220" s="73"/>
      <c r="MXX220" s="73"/>
      <c r="MXY220" s="73"/>
      <c r="MXZ220" s="73"/>
      <c r="MYA220" s="73"/>
      <c r="MYB220" s="73"/>
      <c r="MYC220" s="73"/>
      <c r="MYD220" s="73"/>
      <c r="MYE220" s="73"/>
      <c r="MYF220" s="73"/>
      <c r="MYG220" s="73"/>
      <c r="MYH220" s="73"/>
      <c r="MYI220" s="73"/>
      <c r="MYJ220" s="73"/>
      <c r="MYK220" s="73"/>
      <c r="MYL220" s="73"/>
      <c r="MYM220" s="73"/>
      <c r="MYN220" s="73"/>
      <c r="MYO220" s="73"/>
      <c r="MYP220" s="73"/>
      <c r="MYQ220" s="73"/>
      <c r="MYR220" s="73"/>
      <c r="MYS220" s="73"/>
      <c r="MYT220" s="73"/>
      <c r="MYU220" s="73"/>
      <c r="MYV220" s="73"/>
      <c r="MYW220" s="73"/>
      <c r="MYX220" s="73"/>
      <c r="MYY220" s="73"/>
      <c r="MYZ220" s="73"/>
      <c r="MZA220" s="73"/>
      <c r="MZB220" s="73"/>
      <c r="MZC220" s="73"/>
      <c r="MZD220" s="73"/>
      <c r="MZE220" s="73"/>
      <c r="MZF220" s="73"/>
      <c r="MZG220" s="73"/>
      <c r="MZH220" s="73"/>
      <c r="MZI220" s="73"/>
      <c r="MZJ220" s="73"/>
      <c r="MZK220" s="73"/>
      <c r="MZL220" s="73"/>
      <c r="MZM220" s="73"/>
      <c r="MZN220" s="73"/>
      <c r="MZO220" s="73"/>
      <c r="MZP220" s="73"/>
      <c r="MZQ220" s="73"/>
      <c r="MZR220" s="73"/>
      <c r="MZS220" s="73"/>
      <c r="MZT220" s="73"/>
      <c r="MZU220" s="73"/>
      <c r="MZV220" s="73"/>
      <c r="MZW220" s="73"/>
      <c r="MZX220" s="73"/>
      <c r="MZY220" s="73"/>
      <c r="MZZ220" s="73"/>
      <c r="NAA220" s="73"/>
      <c r="NAB220" s="73"/>
      <c r="NAC220" s="73"/>
      <c r="NAD220" s="73"/>
      <c r="NAE220" s="73"/>
      <c r="NAF220" s="73"/>
      <c r="NAG220" s="73"/>
      <c r="NAH220" s="73"/>
      <c r="NAI220" s="73"/>
      <c r="NAJ220" s="73"/>
      <c r="NAK220" s="73"/>
      <c r="NAL220" s="73"/>
      <c r="NAM220" s="73"/>
      <c r="NAN220" s="73"/>
      <c r="NAO220" s="73"/>
      <c r="NAP220" s="73"/>
      <c r="NAQ220" s="73"/>
      <c r="NAR220" s="73"/>
      <c r="NAS220" s="73"/>
      <c r="NAT220" s="73"/>
      <c r="NAU220" s="73"/>
      <c r="NAV220" s="73"/>
      <c r="NAW220" s="73"/>
      <c r="NAX220" s="73"/>
      <c r="NAY220" s="73"/>
      <c r="NAZ220" s="73"/>
      <c r="NBA220" s="73"/>
      <c r="NBB220" s="73"/>
      <c r="NBC220" s="73"/>
      <c r="NBD220" s="73"/>
      <c r="NBE220" s="73"/>
      <c r="NBF220" s="73"/>
      <c r="NBG220" s="73"/>
      <c r="NBH220" s="73"/>
      <c r="NBI220" s="73"/>
      <c r="NBJ220" s="73"/>
      <c r="NBK220" s="73"/>
      <c r="NBL220" s="73"/>
      <c r="NBM220" s="73"/>
      <c r="NBN220" s="73"/>
      <c r="NBO220" s="73"/>
      <c r="NBP220" s="73"/>
      <c r="NBQ220" s="73"/>
      <c r="NBR220" s="73"/>
      <c r="NBS220" s="73"/>
      <c r="NBT220" s="73"/>
      <c r="NBU220" s="73"/>
      <c r="NBV220" s="73"/>
      <c r="NBW220" s="73"/>
      <c r="NBX220" s="73"/>
      <c r="NBY220" s="73"/>
      <c r="NBZ220" s="73"/>
      <c r="NCA220" s="73"/>
      <c r="NCB220" s="73"/>
      <c r="NCC220" s="73"/>
      <c r="NCD220" s="73"/>
      <c r="NCE220" s="73"/>
      <c r="NCF220" s="73"/>
      <c r="NCG220" s="73"/>
      <c r="NCH220" s="73"/>
      <c r="NCI220" s="73"/>
      <c r="NCJ220" s="73"/>
      <c r="NCK220" s="73"/>
      <c r="NCL220" s="73"/>
      <c r="NCM220" s="73"/>
      <c r="NCN220" s="73"/>
      <c r="NCO220" s="73"/>
      <c r="NCP220" s="73"/>
      <c r="NCQ220" s="73"/>
      <c r="NCR220" s="73"/>
      <c r="NCS220" s="73"/>
      <c r="NCT220" s="73"/>
      <c r="NCU220" s="73"/>
      <c r="NCV220" s="73"/>
      <c r="NCW220" s="73"/>
      <c r="NCX220" s="73"/>
      <c r="NCY220" s="73"/>
      <c r="NCZ220" s="73"/>
      <c r="NDA220" s="73"/>
      <c r="NDB220" s="73"/>
      <c r="NDC220" s="73"/>
      <c r="NDD220" s="73"/>
      <c r="NDE220" s="73"/>
      <c r="NDF220" s="73"/>
      <c r="NDG220" s="73"/>
      <c r="NDH220" s="73"/>
      <c r="NDI220" s="73"/>
      <c r="NDJ220" s="73"/>
      <c r="NDK220" s="73"/>
      <c r="NDL220" s="73"/>
      <c r="NDM220" s="73"/>
      <c r="NDN220" s="73"/>
      <c r="NDO220" s="73"/>
      <c r="NDP220" s="73"/>
      <c r="NDQ220" s="73"/>
      <c r="NDR220" s="73"/>
      <c r="NDS220" s="73"/>
      <c r="NDT220" s="73"/>
      <c r="NDU220" s="73"/>
      <c r="NDV220" s="73"/>
      <c r="NDW220" s="73"/>
      <c r="NDX220" s="73"/>
      <c r="NDY220" s="73"/>
      <c r="NDZ220" s="73"/>
      <c r="NEA220" s="73"/>
      <c r="NEB220" s="73"/>
      <c r="NEC220" s="73"/>
      <c r="NED220" s="73"/>
      <c r="NEE220" s="73"/>
      <c r="NEF220" s="73"/>
      <c r="NEG220" s="73"/>
      <c r="NEH220" s="73"/>
      <c r="NEI220" s="73"/>
      <c r="NEJ220" s="73"/>
      <c r="NEK220" s="73"/>
      <c r="NEL220" s="73"/>
      <c r="NEM220" s="73"/>
      <c r="NEN220" s="73"/>
      <c r="NEO220" s="73"/>
      <c r="NEP220" s="73"/>
      <c r="NEQ220" s="73"/>
      <c r="NER220" s="73"/>
      <c r="NES220" s="73"/>
      <c r="NET220" s="73"/>
      <c r="NEU220" s="73"/>
      <c r="NEV220" s="73"/>
      <c r="NEW220" s="73"/>
      <c r="NEX220" s="73"/>
      <c r="NEY220" s="73"/>
      <c r="NEZ220" s="73"/>
      <c r="NFA220" s="73"/>
      <c r="NFB220" s="73"/>
      <c r="NFC220" s="73"/>
      <c r="NFD220" s="73"/>
      <c r="NFE220" s="73"/>
      <c r="NFF220" s="73"/>
      <c r="NFG220" s="73"/>
      <c r="NFH220" s="73"/>
      <c r="NFI220" s="73"/>
      <c r="NFJ220" s="73"/>
      <c r="NFK220" s="73"/>
      <c r="NFL220" s="73"/>
      <c r="NFM220" s="73"/>
      <c r="NFN220" s="73"/>
      <c r="NFO220" s="73"/>
      <c r="NFP220" s="73"/>
      <c r="NFQ220" s="73"/>
      <c r="NFR220" s="73"/>
      <c r="NFS220" s="73"/>
      <c r="NFT220" s="73"/>
      <c r="NFU220" s="73"/>
      <c r="NFV220" s="73"/>
      <c r="NFW220" s="73"/>
      <c r="NFX220" s="73"/>
      <c r="NFY220" s="73"/>
      <c r="NFZ220" s="73"/>
      <c r="NGA220" s="73"/>
      <c r="NGB220" s="73"/>
      <c r="NGC220" s="73"/>
      <c r="NGD220" s="73"/>
      <c r="NGE220" s="73"/>
      <c r="NGF220" s="73"/>
      <c r="NGG220" s="73"/>
      <c r="NGH220" s="73"/>
      <c r="NGI220" s="73"/>
      <c r="NGJ220" s="73"/>
      <c r="NGK220" s="73"/>
      <c r="NGL220" s="73"/>
      <c r="NGM220" s="73"/>
      <c r="NGN220" s="73"/>
      <c r="NGO220" s="73"/>
      <c r="NGP220" s="73"/>
      <c r="NGQ220" s="73"/>
      <c r="NGR220" s="73"/>
      <c r="NGS220" s="73"/>
      <c r="NGT220" s="73"/>
      <c r="NGU220" s="73"/>
      <c r="NGV220" s="73"/>
      <c r="NGW220" s="73"/>
      <c r="NGX220" s="73"/>
      <c r="NGY220" s="73"/>
      <c r="NGZ220" s="73"/>
      <c r="NHA220" s="73"/>
      <c r="NHB220" s="73"/>
      <c r="NHC220" s="73"/>
      <c r="NHD220" s="73"/>
      <c r="NHE220" s="73"/>
      <c r="NHF220" s="73"/>
      <c r="NHG220" s="73"/>
      <c r="NHH220" s="73"/>
      <c r="NHI220" s="73"/>
      <c r="NHJ220" s="73"/>
      <c r="NHK220" s="73"/>
      <c r="NHL220" s="73"/>
      <c r="NHM220" s="73"/>
      <c r="NHN220" s="73"/>
      <c r="NHO220" s="73"/>
      <c r="NHP220" s="73"/>
      <c r="NHQ220" s="73"/>
      <c r="NHR220" s="73"/>
      <c r="NHS220" s="73"/>
      <c r="NHT220" s="73"/>
      <c r="NHU220" s="73"/>
      <c r="NHV220" s="73"/>
      <c r="NHW220" s="73"/>
      <c r="NHX220" s="73"/>
      <c r="NHY220" s="73"/>
      <c r="NHZ220" s="73"/>
      <c r="NIA220" s="73"/>
      <c r="NIB220" s="73"/>
      <c r="NIC220" s="73"/>
      <c r="NID220" s="73"/>
      <c r="NIE220" s="73"/>
      <c r="NIF220" s="73"/>
      <c r="NIG220" s="73"/>
      <c r="NIH220" s="73"/>
      <c r="NII220" s="73"/>
      <c r="NIJ220" s="73"/>
      <c r="NIK220" s="73"/>
      <c r="NIL220" s="73"/>
      <c r="NIM220" s="73"/>
      <c r="NIN220" s="73"/>
      <c r="NIO220" s="73"/>
      <c r="NIP220" s="73"/>
      <c r="NIQ220" s="73"/>
      <c r="NIR220" s="73"/>
      <c r="NIS220" s="73"/>
      <c r="NIT220" s="73"/>
      <c r="NIU220" s="73"/>
      <c r="NIV220" s="73"/>
      <c r="NIW220" s="73"/>
      <c r="NIX220" s="73"/>
      <c r="NIY220" s="73"/>
      <c r="NIZ220" s="73"/>
      <c r="NJA220" s="73"/>
      <c r="NJB220" s="73"/>
      <c r="NJC220" s="73"/>
      <c r="NJD220" s="73"/>
      <c r="NJE220" s="73"/>
      <c r="NJF220" s="73"/>
      <c r="NJG220" s="73"/>
      <c r="NJH220" s="73"/>
      <c r="NJI220" s="73"/>
      <c r="NJJ220" s="73"/>
      <c r="NJK220" s="73"/>
      <c r="NJL220" s="73"/>
      <c r="NJM220" s="73"/>
      <c r="NJN220" s="73"/>
      <c r="NJO220" s="73"/>
      <c r="NJP220" s="73"/>
      <c r="NJQ220" s="73"/>
      <c r="NJR220" s="73"/>
      <c r="NJS220" s="73"/>
      <c r="NJT220" s="73"/>
      <c r="NJU220" s="73"/>
      <c r="NJV220" s="73"/>
      <c r="NJW220" s="73"/>
      <c r="NJX220" s="73"/>
      <c r="NJY220" s="73"/>
      <c r="NJZ220" s="73"/>
      <c r="NKA220" s="73"/>
      <c r="NKB220" s="73"/>
      <c r="NKC220" s="73"/>
      <c r="NKD220" s="73"/>
      <c r="NKE220" s="73"/>
      <c r="NKF220" s="73"/>
      <c r="NKG220" s="73"/>
      <c r="NKH220" s="73"/>
      <c r="NKI220" s="73"/>
      <c r="NKJ220" s="73"/>
      <c r="NKK220" s="73"/>
      <c r="NKL220" s="73"/>
      <c r="NKM220" s="73"/>
      <c r="NKN220" s="73"/>
      <c r="NKO220" s="73"/>
      <c r="NKP220" s="73"/>
      <c r="NKQ220" s="73"/>
      <c r="NKR220" s="73"/>
      <c r="NKS220" s="73"/>
      <c r="NKT220" s="73"/>
      <c r="NKU220" s="73"/>
      <c r="NKV220" s="73"/>
      <c r="NKW220" s="73"/>
      <c r="NKX220" s="73"/>
      <c r="NKY220" s="73"/>
      <c r="NKZ220" s="73"/>
      <c r="NLA220" s="73"/>
      <c r="NLB220" s="73"/>
      <c r="NLC220" s="73"/>
      <c r="NLD220" s="73"/>
      <c r="NLE220" s="73"/>
      <c r="NLF220" s="73"/>
      <c r="NLG220" s="73"/>
      <c r="NLH220" s="73"/>
      <c r="NLI220" s="73"/>
      <c r="NLJ220" s="73"/>
      <c r="NLK220" s="73"/>
      <c r="NLL220" s="73"/>
      <c r="NLM220" s="73"/>
      <c r="NLN220" s="73"/>
      <c r="NLO220" s="73"/>
      <c r="NLP220" s="73"/>
      <c r="NLQ220" s="73"/>
      <c r="NLR220" s="73"/>
      <c r="NLS220" s="73"/>
      <c r="NLT220" s="73"/>
      <c r="NLU220" s="73"/>
      <c r="NLV220" s="73"/>
      <c r="NLW220" s="73"/>
      <c r="NLX220" s="73"/>
      <c r="NLY220" s="73"/>
      <c r="NLZ220" s="73"/>
      <c r="NMA220" s="73"/>
      <c r="NMB220" s="73"/>
      <c r="NMC220" s="73"/>
      <c r="NMD220" s="73"/>
      <c r="NME220" s="73"/>
      <c r="NMF220" s="73"/>
      <c r="NMG220" s="73"/>
      <c r="NMH220" s="73"/>
      <c r="NMI220" s="73"/>
      <c r="NMJ220" s="73"/>
      <c r="NMK220" s="73"/>
      <c r="NML220" s="73"/>
      <c r="NMM220" s="73"/>
      <c r="NMN220" s="73"/>
      <c r="NMO220" s="73"/>
      <c r="NMP220" s="73"/>
      <c r="NMQ220" s="73"/>
      <c r="NMR220" s="73"/>
      <c r="NMS220" s="73"/>
      <c r="NMT220" s="73"/>
      <c r="NMU220" s="73"/>
      <c r="NMV220" s="73"/>
      <c r="NMW220" s="73"/>
      <c r="NMX220" s="73"/>
      <c r="NMY220" s="73"/>
      <c r="NMZ220" s="73"/>
      <c r="NNA220" s="73"/>
      <c r="NNB220" s="73"/>
      <c r="NNC220" s="73"/>
      <c r="NND220" s="73"/>
      <c r="NNE220" s="73"/>
      <c r="NNF220" s="73"/>
      <c r="NNG220" s="73"/>
      <c r="NNH220" s="73"/>
      <c r="NNI220" s="73"/>
      <c r="NNJ220" s="73"/>
      <c r="NNK220" s="73"/>
      <c r="NNL220" s="73"/>
      <c r="NNM220" s="73"/>
      <c r="NNN220" s="73"/>
      <c r="NNO220" s="73"/>
      <c r="NNP220" s="73"/>
      <c r="NNQ220" s="73"/>
      <c r="NNR220" s="73"/>
      <c r="NNS220" s="73"/>
      <c r="NNT220" s="73"/>
      <c r="NNU220" s="73"/>
      <c r="NNV220" s="73"/>
      <c r="NNW220" s="73"/>
      <c r="NNX220" s="73"/>
      <c r="NNY220" s="73"/>
      <c r="NNZ220" s="73"/>
      <c r="NOA220" s="73"/>
      <c r="NOB220" s="73"/>
      <c r="NOC220" s="73"/>
      <c r="NOD220" s="73"/>
      <c r="NOE220" s="73"/>
      <c r="NOF220" s="73"/>
      <c r="NOG220" s="73"/>
      <c r="NOH220" s="73"/>
      <c r="NOI220" s="73"/>
      <c r="NOJ220" s="73"/>
      <c r="NOK220" s="73"/>
      <c r="NOL220" s="73"/>
      <c r="NOM220" s="73"/>
      <c r="NON220" s="73"/>
      <c r="NOO220" s="73"/>
      <c r="NOP220" s="73"/>
      <c r="NOQ220" s="73"/>
      <c r="NOR220" s="73"/>
      <c r="NOS220" s="73"/>
      <c r="NOT220" s="73"/>
      <c r="NOU220" s="73"/>
      <c r="NOV220" s="73"/>
      <c r="NOW220" s="73"/>
      <c r="NOX220" s="73"/>
      <c r="NOY220" s="73"/>
      <c r="NOZ220" s="73"/>
      <c r="NPA220" s="73"/>
      <c r="NPB220" s="73"/>
      <c r="NPC220" s="73"/>
      <c r="NPD220" s="73"/>
      <c r="NPE220" s="73"/>
      <c r="NPF220" s="73"/>
      <c r="NPG220" s="73"/>
      <c r="NPH220" s="73"/>
      <c r="NPI220" s="73"/>
      <c r="NPJ220" s="73"/>
      <c r="NPK220" s="73"/>
      <c r="NPL220" s="73"/>
      <c r="NPM220" s="73"/>
      <c r="NPN220" s="73"/>
      <c r="NPO220" s="73"/>
      <c r="NPP220" s="73"/>
      <c r="NPQ220" s="73"/>
      <c r="NPR220" s="73"/>
      <c r="NPS220" s="73"/>
      <c r="NPT220" s="73"/>
      <c r="NPU220" s="73"/>
      <c r="NPV220" s="73"/>
      <c r="NPW220" s="73"/>
      <c r="NPX220" s="73"/>
      <c r="NPY220" s="73"/>
      <c r="NPZ220" s="73"/>
      <c r="NQA220" s="73"/>
      <c r="NQB220" s="73"/>
      <c r="NQC220" s="73"/>
      <c r="NQD220" s="73"/>
      <c r="NQE220" s="73"/>
      <c r="NQF220" s="73"/>
      <c r="NQG220" s="73"/>
      <c r="NQH220" s="73"/>
      <c r="NQI220" s="73"/>
      <c r="NQJ220" s="73"/>
      <c r="NQK220" s="73"/>
      <c r="NQL220" s="73"/>
      <c r="NQM220" s="73"/>
      <c r="NQN220" s="73"/>
      <c r="NQO220" s="73"/>
      <c r="NQP220" s="73"/>
      <c r="NQQ220" s="73"/>
      <c r="NQR220" s="73"/>
      <c r="NQS220" s="73"/>
      <c r="NQT220" s="73"/>
      <c r="NQU220" s="73"/>
      <c r="NQV220" s="73"/>
      <c r="NQW220" s="73"/>
      <c r="NQX220" s="73"/>
      <c r="NQY220" s="73"/>
      <c r="NQZ220" s="73"/>
      <c r="NRA220" s="73"/>
      <c r="NRB220" s="73"/>
      <c r="NRC220" s="73"/>
      <c r="NRD220" s="73"/>
      <c r="NRE220" s="73"/>
      <c r="NRF220" s="73"/>
      <c r="NRG220" s="73"/>
      <c r="NRH220" s="73"/>
      <c r="NRI220" s="73"/>
      <c r="NRJ220" s="73"/>
      <c r="NRK220" s="73"/>
      <c r="NRL220" s="73"/>
      <c r="NRM220" s="73"/>
      <c r="NRN220" s="73"/>
      <c r="NRO220" s="73"/>
      <c r="NRP220" s="73"/>
      <c r="NRQ220" s="73"/>
      <c r="NRR220" s="73"/>
      <c r="NRS220" s="73"/>
      <c r="NRT220" s="73"/>
      <c r="NRU220" s="73"/>
      <c r="NRV220" s="73"/>
      <c r="NRW220" s="73"/>
      <c r="NRX220" s="73"/>
      <c r="NRY220" s="73"/>
      <c r="NRZ220" s="73"/>
      <c r="NSA220" s="73"/>
      <c r="NSB220" s="73"/>
      <c r="NSC220" s="73"/>
      <c r="NSD220" s="73"/>
      <c r="NSE220" s="73"/>
      <c r="NSF220" s="73"/>
      <c r="NSG220" s="73"/>
      <c r="NSH220" s="73"/>
      <c r="NSI220" s="73"/>
      <c r="NSJ220" s="73"/>
      <c r="NSK220" s="73"/>
      <c r="NSL220" s="73"/>
      <c r="NSM220" s="73"/>
      <c r="NSN220" s="73"/>
      <c r="NSO220" s="73"/>
      <c r="NSP220" s="73"/>
      <c r="NSQ220" s="73"/>
      <c r="NSR220" s="73"/>
      <c r="NSS220" s="73"/>
      <c r="NST220" s="73"/>
      <c r="NSU220" s="73"/>
      <c r="NSV220" s="73"/>
      <c r="NSW220" s="73"/>
      <c r="NSX220" s="73"/>
      <c r="NSY220" s="73"/>
      <c r="NSZ220" s="73"/>
      <c r="NTA220" s="73"/>
      <c r="NTB220" s="73"/>
      <c r="NTC220" s="73"/>
      <c r="NTD220" s="73"/>
      <c r="NTE220" s="73"/>
      <c r="NTF220" s="73"/>
      <c r="NTG220" s="73"/>
      <c r="NTH220" s="73"/>
      <c r="NTI220" s="73"/>
      <c r="NTJ220" s="73"/>
      <c r="NTK220" s="73"/>
      <c r="NTL220" s="73"/>
      <c r="NTM220" s="73"/>
      <c r="NTN220" s="73"/>
      <c r="NTO220" s="73"/>
      <c r="NTP220" s="73"/>
      <c r="NTQ220" s="73"/>
      <c r="NTR220" s="73"/>
      <c r="NTS220" s="73"/>
      <c r="NTT220" s="73"/>
      <c r="NTU220" s="73"/>
      <c r="NTV220" s="73"/>
      <c r="NTW220" s="73"/>
      <c r="NTX220" s="73"/>
      <c r="NTY220" s="73"/>
      <c r="NTZ220" s="73"/>
      <c r="NUA220" s="73"/>
      <c r="NUB220" s="73"/>
      <c r="NUC220" s="73"/>
      <c r="NUD220" s="73"/>
      <c r="NUE220" s="73"/>
      <c r="NUF220" s="73"/>
      <c r="NUG220" s="73"/>
      <c r="NUH220" s="73"/>
      <c r="NUI220" s="73"/>
      <c r="NUJ220" s="73"/>
      <c r="NUK220" s="73"/>
      <c r="NUL220" s="73"/>
      <c r="NUM220" s="73"/>
      <c r="NUN220" s="73"/>
      <c r="NUO220" s="73"/>
      <c r="NUP220" s="73"/>
      <c r="NUQ220" s="73"/>
      <c r="NUR220" s="73"/>
      <c r="NUS220" s="73"/>
      <c r="NUT220" s="73"/>
      <c r="NUU220" s="73"/>
      <c r="NUV220" s="73"/>
      <c r="NUW220" s="73"/>
      <c r="NUX220" s="73"/>
      <c r="NUY220" s="73"/>
      <c r="NUZ220" s="73"/>
      <c r="NVA220" s="73"/>
      <c r="NVB220" s="73"/>
      <c r="NVC220" s="73"/>
      <c r="NVD220" s="73"/>
      <c r="NVE220" s="73"/>
      <c r="NVF220" s="73"/>
      <c r="NVG220" s="73"/>
      <c r="NVH220" s="73"/>
      <c r="NVI220" s="73"/>
      <c r="NVJ220" s="73"/>
      <c r="NVK220" s="73"/>
      <c r="NVL220" s="73"/>
      <c r="NVM220" s="73"/>
      <c r="NVN220" s="73"/>
      <c r="NVO220" s="73"/>
      <c r="NVP220" s="73"/>
      <c r="NVQ220" s="73"/>
      <c r="NVR220" s="73"/>
      <c r="NVS220" s="73"/>
      <c r="NVT220" s="73"/>
      <c r="NVU220" s="73"/>
      <c r="NVV220" s="73"/>
      <c r="NVW220" s="73"/>
      <c r="NVX220" s="73"/>
      <c r="NVY220" s="73"/>
      <c r="NVZ220" s="73"/>
      <c r="NWA220" s="73"/>
      <c r="NWB220" s="73"/>
      <c r="NWC220" s="73"/>
      <c r="NWD220" s="73"/>
      <c r="NWE220" s="73"/>
      <c r="NWF220" s="73"/>
      <c r="NWG220" s="73"/>
      <c r="NWH220" s="73"/>
      <c r="NWI220" s="73"/>
      <c r="NWJ220" s="73"/>
      <c r="NWK220" s="73"/>
      <c r="NWL220" s="73"/>
      <c r="NWM220" s="73"/>
      <c r="NWN220" s="73"/>
      <c r="NWO220" s="73"/>
      <c r="NWP220" s="73"/>
      <c r="NWQ220" s="73"/>
      <c r="NWR220" s="73"/>
      <c r="NWS220" s="73"/>
      <c r="NWT220" s="73"/>
      <c r="NWU220" s="73"/>
      <c r="NWV220" s="73"/>
      <c r="NWW220" s="73"/>
      <c r="NWX220" s="73"/>
      <c r="NWY220" s="73"/>
      <c r="NWZ220" s="73"/>
      <c r="NXA220" s="73"/>
      <c r="NXB220" s="73"/>
      <c r="NXC220" s="73"/>
      <c r="NXD220" s="73"/>
      <c r="NXE220" s="73"/>
      <c r="NXF220" s="73"/>
      <c r="NXG220" s="73"/>
      <c r="NXH220" s="73"/>
      <c r="NXI220" s="73"/>
      <c r="NXJ220" s="73"/>
      <c r="NXK220" s="73"/>
      <c r="NXL220" s="73"/>
      <c r="NXM220" s="73"/>
      <c r="NXN220" s="73"/>
      <c r="NXO220" s="73"/>
      <c r="NXP220" s="73"/>
      <c r="NXQ220" s="73"/>
      <c r="NXR220" s="73"/>
      <c r="NXS220" s="73"/>
      <c r="NXT220" s="73"/>
      <c r="NXU220" s="73"/>
      <c r="NXV220" s="73"/>
      <c r="NXW220" s="73"/>
      <c r="NXX220" s="73"/>
      <c r="NXY220" s="73"/>
      <c r="NXZ220" s="73"/>
      <c r="NYA220" s="73"/>
      <c r="NYB220" s="73"/>
      <c r="NYC220" s="73"/>
      <c r="NYD220" s="73"/>
      <c r="NYE220" s="73"/>
      <c r="NYF220" s="73"/>
      <c r="NYG220" s="73"/>
      <c r="NYH220" s="73"/>
      <c r="NYI220" s="73"/>
      <c r="NYJ220" s="73"/>
      <c r="NYK220" s="73"/>
      <c r="NYL220" s="73"/>
      <c r="NYM220" s="73"/>
      <c r="NYN220" s="73"/>
      <c r="NYO220" s="73"/>
      <c r="NYP220" s="73"/>
      <c r="NYQ220" s="73"/>
      <c r="NYR220" s="73"/>
      <c r="NYS220" s="73"/>
      <c r="NYT220" s="73"/>
      <c r="NYU220" s="73"/>
      <c r="NYV220" s="73"/>
      <c r="NYW220" s="73"/>
      <c r="NYX220" s="73"/>
      <c r="NYY220" s="73"/>
      <c r="NYZ220" s="73"/>
      <c r="NZA220" s="73"/>
      <c r="NZB220" s="73"/>
      <c r="NZC220" s="73"/>
      <c r="NZD220" s="73"/>
      <c r="NZE220" s="73"/>
      <c r="NZF220" s="73"/>
      <c r="NZG220" s="73"/>
      <c r="NZH220" s="73"/>
      <c r="NZI220" s="73"/>
      <c r="NZJ220" s="73"/>
      <c r="NZK220" s="73"/>
      <c r="NZL220" s="73"/>
      <c r="NZM220" s="73"/>
      <c r="NZN220" s="73"/>
      <c r="NZO220" s="73"/>
      <c r="NZP220" s="73"/>
      <c r="NZQ220" s="73"/>
      <c r="NZR220" s="73"/>
      <c r="NZS220" s="73"/>
      <c r="NZT220" s="73"/>
      <c r="NZU220" s="73"/>
      <c r="NZV220" s="73"/>
      <c r="NZW220" s="73"/>
      <c r="NZX220" s="73"/>
      <c r="NZY220" s="73"/>
      <c r="NZZ220" s="73"/>
      <c r="OAA220" s="73"/>
      <c r="OAB220" s="73"/>
      <c r="OAC220" s="73"/>
      <c r="OAD220" s="73"/>
      <c r="OAE220" s="73"/>
      <c r="OAF220" s="73"/>
      <c r="OAG220" s="73"/>
      <c r="OAH220" s="73"/>
      <c r="OAI220" s="73"/>
      <c r="OAJ220" s="73"/>
      <c r="OAK220" s="73"/>
      <c r="OAL220" s="73"/>
      <c r="OAM220" s="73"/>
      <c r="OAN220" s="73"/>
      <c r="OAO220" s="73"/>
      <c r="OAP220" s="73"/>
      <c r="OAQ220" s="73"/>
      <c r="OAR220" s="73"/>
      <c r="OAS220" s="73"/>
      <c r="OAT220" s="73"/>
      <c r="OAU220" s="73"/>
      <c r="OAV220" s="73"/>
      <c r="OAW220" s="73"/>
      <c r="OAX220" s="73"/>
      <c r="OAY220" s="73"/>
      <c r="OAZ220" s="73"/>
      <c r="OBA220" s="73"/>
      <c r="OBB220" s="73"/>
      <c r="OBC220" s="73"/>
      <c r="OBD220" s="73"/>
      <c r="OBE220" s="73"/>
      <c r="OBF220" s="73"/>
      <c r="OBG220" s="73"/>
      <c r="OBH220" s="73"/>
      <c r="OBI220" s="73"/>
      <c r="OBJ220" s="73"/>
      <c r="OBK220" s="73"/>
      <c r="OBL220" s="73"/>
      <c r="OBM220" s="73"/>
      <c r="OBN220" s="73"/>
      <c r="OBO220" s="73"/>
      <c r="OBP220" s="73"/>
      <c r="OBQ220" s="73"/>
      <c r="OBR220" s="73"/>
      <c r="OBS220" s="73"/>
      <c r="OBT220" s="73"/>
      <c r="OBU220" s="73"/>
      <c r="OBV220" s="73"/>
      <c r="OBW220" s="73"/>
      <c r="OBX220" s="73"/>
      <c r="OBY220" s="73"/>
      <c r="OBZ220" s="73"/>
      <c r="OCA220" s="73"/>
      <c r="OCB220" s="73"/>
      <c r="OCC220" s="73"/>
      <c r="OCD220" s="73"/>
      <c r="OCE220" s="73"/>
      <c r="OCF220" s="73"/>
      <c r="OCG220" s="73"/>
      <c r="OCH220" s="73"/>
      <c r="OCI220" s="73"/>
      <c r="OCJ220" s="73"/>
      <c r="OCK220" s="73"/>
      <c r="OCL220" s="73"/>
      <c r="OCM220" s="73"/>
      <c r="OCN220" s="73"/>
      <c r="OCO220" s="73"/>
      <c r="OCP220" s="73"/>
      <c r="OCQ220" s="73"/>
      <c r="OCR220" s="73"/>
      <c r="OCS220" s="73"/>
      <c r="OCT220" s="73"/>
      <c r="OCU220" s="73"/>
      <c r="OCV220" s="73"/>
      <c r="OCW220" s="73"/>
      <c r="OCX220" s="73"/>
      <c r="OCY220" s="73"/>
      <c r="OCZ220" s="73"/>
      <c r="ODA220" s="73"/>
      <c r="ODB220" s="73"/>
      <c r="ODC220" s="73"/>
      <c r="ODD220" s="73"/>
      <c r="ODE220" s="73"/>
      <c r="ODF220" s="73"/>
      <c r="ODG220" s="73"/>
      <c r="ODH220" s="73"/>
      <c r="ODI220" s="73"/>
      <c r="ODJ220" s="73"/>
      <c r="ODK220" s="73"/>
      <c r="ODL220" s="73"/>
      <c r="ODM220" s="73"/>
      <c r="ODN220" s="73"/>
      <c r="ODO220" s="73"/>
      <c r="ODP220" s="73"/>
      <c r="ODQ220" s="73"/>
      <c r="ODR220" s="73"/>
      <c r="ODS220" s="73"/>
      <c r="ODT220" s="73"/>
      <c r="ODU220" s="73"/>
      <c r="ODV220" s="73"/>
      <c r="ODW220" s="73"/>
      <c r="ODX220" s="73"/>
      <c r="ODY220" s="73"/>
      <c r="ODZ220" s="73"/>
      <c r="OEA220" s="73"/>
      <c r="OEB220" s="73"/>
      <c r="OEC220" s="73"/>
      <c r="OED220" s="73"/>
      <c r="OEE220" s="73"/>
      <c r="OEF220" s="73"/>
      <c r="OEG220" s="73"/>
      <c r="OEH220" s="73"/>
      <c r="OEI220" s="73"/>
      <c r="OEJ220" s="73"/>
      <c r="OEK220" s="73"/>
      <c r="OEL220" s="73"/>
      <c r="OEM220" s="73"/>
      <c r="OEN220" s="73"/>
      <c r="OEO220" s="73"/>
      <c r="OEP220" s="73"/>
      <c r="OEQ220" s="73"/>
      <c r="OER220" s="73"/>
      <c r="OES220" s="73"/>
      <c r="OET220" s="73"/>
      <c r="OEU220" s="73"/>
      <c r="OEV220" s="73"/>
      <c r="OEW220" s="73"/>
      <c r="OEX220" s="73"/>
      <c r="OEY220" s="73"/>
      <c r="OEZ220" s="73"/>
      <c r="OFA220" s="73"/>
      <c r="OFB220" s="73"/>
      <c r="OFC220" s="73"/>
      <c r="OFD220" s="73"/>
      <c r="OFE220" s="73"/>
      <c r="OFF220" s="73"/>
      <c r="OFG220" s="73"/>
      <c r="OFH220" s="73"/>
      <c r="OFI220" s="73"/>
      <c r="OFJ220" s="73"/>
      <c r="OFK220" s="73"/>
      <c r="OFL220" s="73"/>
      <c r="OFM220" s="73"/>
      <c r="OFN220" s="73"/>
      <c r="OFO220" s="73"/>
      <c r="OFP220" s="73"/>
      <c r="OFQ220" s="73"/>
      <c r="OFR220" s="73"/>
      <c r="OFS220" s="73"/>
      <c r="OFT220" s="73"/>
      <c r="OFU220" s="73"/>
      <c r="OFV220" s="73"/>
      <c r="OFW220" s="73"/>
      <c r="OFX220" s="73"/>
      <c r="OFY220" s="73"/>
      <c r="OFZ220" s="73"/>
      <c r="OGA220" s="73"/>
      <c r="OGB220" s="73"/>
      <c r="OGC220" s="73"/>
      <c r="OGD220" s="73"/>
      <c r="OGE220" s="73"/>
      <c r="OGF220" s="73"/>
      <c r="OGG220" s="73"/>
      <c r="OGH220" s="73"/>
      <c r="OGI220" s="73"/>
      <c r="OGJ220" s="73"/>
      <c r="OGK220" s="73"/>
      <c r="OGL220" s="73"/>
      <c r="OGM220" s="73"/>
      <c r="OGN220" s="73"/>
      <c r="OGO220" s="73"/>
      <c r="OGP220" s="73"/>
      <c r="OGQ220" s="73"/>
      <c r="OGR220" s="73"/>
      <c r="OGS220" s="73"/>
      <c r="OGT220" s="73"/>
      <c r="OGU220" s="73"/>
      <c r="OGV220" s="73"/>
      <c r="OGW220" s="73"/>
      <c r="OGX220" s="73"/>
      <c r="OGY220" s="73"/>
      <c r="OGZ220" s="73"/>
      <c r="OHA220" s="73"/>
      <c r="OHB220" s="73"/>
      <c r="OHC220" s="73"/>
      <c r="OHD220" s="73"/>
      <c r="OHE220" s="73"/>
      <c r="OHF220" s="73"/>
      <c r="OHG220" s="73"/>
      <c r="OHH220" s="73"/>
      <c r="OHI220" s="73"/>
      <c r="OHJ220" s="73"/>
      <c r="OHK220" s="73"/>
      <c r="OHL220" s="73"/>
      <c r="OHM220" s="73"/>
      <c r="OHN220" s="73"/>
      <c r="OHO220" s="73"/>
      <c r="OHP220" s="73"/>
      <c r="OHQ220" s="73"/>
      <c r="OHR220" s="73"/>
      <c r="OHS220" s="73"/>
      <c r="OHT220" s="73"/>
      <c r="OHU220" s="73"/>
      <c r="OHV220" s="73"/>
      <c r="OHW220" s="73"/>
      <c r="OHX220" s="73"/>
      <c r="OHY220" s="73"/>
      <c r="OHZ220" s="73"/>
      <c r="OIA220" s="73"/>
      <c r="OIB220" s="73"/>
      <c r="OIC220" s="73"/>
      <c r="OID220" s="73"/>
      <c r="OIE220" s="73"/>
      <c r="OIF220" s="73"/>
      <c r="OIG220" s="73"/>
      <c r="OIH220" s="73"/>
      <c r="OII220" s="73"/>
      <c r="OIJ220" s="73"/>
      <c r="OIK220" s="73"/>
      <c r="OIL220" s="73"/>
      <c r="OIM220" s="73"/>
      <c r="OIN220" s="73"/>
      <c r="OIO220" s="73"/>
      <c r="OIP220" s="73"/>
      <c r="OIQ220" s="73"/>
      <c r="OIR220" s="73"/>
      <c r="OIS220" s="73"/>
      <c r="OIT220" s="73"/>
      <c r="OIU220" s="73"/>
      <c r="OIV220" s="73"/>
      <c r="OIW220" s="73"/>
      <c r="OIX220" s="73"/>
      <c r="OIY220" s="73"/>
      <c r="OIZ220" s="73"/>
      <c r="OJA220" s="73"/>
      <c r="OJB220" s="73"/>
      <c r="OJC220" s="73"/>
      <c r="OJD220" s="73"/>
      <c r="OJE220" s="73"/>
      <c r="OJF220" s="73"/>
      <c r="OJG220" s="73"/>
      <c r="OJH220" s="73"/>
      <c r="OJI220" s="73"/>
      <c r="OJJ220" s="73"/>
      <c r="OJK220" s="73"/>
      <c r="OJL220" s="73"/>
      <c r="OJM220" s="73"/>
      <c r="OJN220" s="73"/>
      <c r="OJO220" s="73"/>
      <c r="OJP220" s="73"/>
      <c r="OJQ220" s="73"/>
      <c r="OJR220" s="73"/>
      <c r="OJS220" s="73"/>
      <c r="OJT220" s="73"/>
      <c r="OJU220" s="73"/>
      <c r="OJV220" s="73"/>
      <c r="OJW220" s="73"/>
      <c r="OJX220" s="73"/>
      <c r="OJY220" s="73"/>
      <c r="OJZ220" s="73"/>
      <c r="OKA220" s="73"/>
      <c r="OKB220" s="73"/>
      <c r="OKC220" s="73"/>
      <c r="OKD220" s="73"/>
      <c r="OKE220" s="73"/>
      <c r="OKF220" s="73"/>
      <c r="OKG220" s="73"/>
      <c r="OKH220" s="73"/>
      <c r="OKI220" s="73"/>
      <c r="OKJ220" s="73"/>
      <c r="OKK220" s="73"/>
      <c r="OKL220" s="73"/>
      <c r="OKM220" s="73"/>
      <c r="OKN220" s="73"/>
      <c r="OKO220" s="73"/>
      <c r="OKP220" s="73"/>
      <c r="OKQ220" s="73"/>
      <c r="OKR220" s="73"/>
      <c r="OKS220" s="73"/>
      <c r="OKT220" s="73"/>
      <c r="OKU220" s="73"/>
      <c r="OKV220" s="73"/>
      <c r="OKW220" s="73"/>
      <c r="OKX220" s="73"/>
      <c r="OKY220" s="73"/>
      <c r="OKZ220" s="73"/>
      <c r="OLA220" s="73"/>
      <c r="OLB220" s="73"/>
      <c r="OLC220" s="73"/>
      <c r="OLD220" s="73"/>
      <c r="OLE220" s="73"/>
      <c r="OLF220" s="73"/>
      <c r="OLG220" s="73"/>
      <c r="OLH220" s="73"/>
      <c r="OLI220" s="73"/>
      <c r="OLJ220" s="73"/>
      <c r="OLK220" s="73"/>
      <c r="OLL220" s="73"/>
      <c r="OLM220" s="73"/>
      <c r="OLN220" s="73"/>
      <c r="OLO220" s="73"/>
      <c r="OLP220" s="73"/>
      <c r="OLQ220" s="73"/>
      <c r="OLR220" s="73"/>
      <c r="OLS220" s="73"/>
      <c r="OLT220" s="73"/>
      <c r="OLU220" s="73"/>
      <c r="OLV220" s="73"/>
      <c r="OLW220" s="73"/>
      <c r="OLX220" s="73"/>
      <c r="OLY220" s="73"/>
      <c r="OLZ220" s="73"/>
      <c r="OMA220" s="73"/>
      <c r="OMB220" s="73"/>
      <c r="OMC220" s="73"/>
      <c r="OMD220" s="73"/>
      <c r="OME220" s="73"/>
      <c r="OMF220" s="73"/>
      <c r="OMG220" s="73"/>
      <c r="OMH220" s="73"/>
      <c r="OMI220" s="73"/>
      <c r="OMJ220" s="73"/>
      <c r="OMK220" s="73"/>
      <c r="OML220" s="73"/>
      <c r="OMM220" s="73"/>
      <c r="OMN220" s="73"/>
      <c r="OMO220" s="73"/>
      <c r="OMP220" s="73"/>
      <c r="OMQ220" s="73"/>
      <c r="OMR220" s="73"/>
      <c r="OMS220" s="73"/>
      <c r="OMT220" s="73"/>
      <c r="OMU220" s="73"/>
      <c r="OMV220" s="73"/>
      <c r="OMW220" s="73"/>
      <c r="OMX220" s="73"/>
      <c r="OMY220" s="73"/>
      <c r="OMZ220" s="73"/>
      <c r="ONA220" s="73"/>
      <c r="ONB220" s="73"/>
      <c r="ONC220" s="73"/>
      <c r="OND220" s="73"/>
      <c r="ONE220" s="73"/>
      <c r="ONF220" s="73"/>
      <c r="ONG220" s="73"/>
      <c r="ONH220" s="73"/>
      <c r="ONI220" s="73"/>
      <c r="ONJ220" s="73"/>
      <c r="ONK220" s="73"/>
      <c r="ONL220" s="73"/>
      <c r="ONM220" s="73"/>
      <c r="ONN220" s="73"/>
      <c r="ONO220" s="73"/>
      <c r="ONP220" s="73"/>
      <c r="ONQ220" s="73"/>
      <c r="ONR220" s="73"/>
      <c r="ONS220" s="73"/>
      <c r="ONT220" s="73"/>
      <c r="ONU220" s="73"/>
      <c r="ONV220" s="73"/>
      <c r="ONW220" s="73"/>
      <c r="ONX220" s="73"/>
      <c r="ONY220" s="73"/>
      <c r="ONZ220" s="73"/>
      <c r="OOA220" s="73"/>
      <c r="OOB220" s="73"/>
      <c r="OOC220" s="73"/>
      <c r="OOD220" s="73"/>
      <c r="OOE220" s="73"/>
      <c r="OOF220" s="73"/>
      <c r="OOG220" s="73"/>
      <c r="OOH220" s="73"/>
      <c r="OOI220" s="73"/>
      <c r="OOJ220" s="73"/>
      <c r="OOK220" s="73"/>
      <c r="OOL220" s="73"/>
      <c r="OOM220" s="73"/>
      <c r="OON220" s="73"/>
      <c r="OOO220" s="73"/>
      <c r="OOP220" s="73"/>
      <c r="OOQ220" s="73"/>
      <c r="OOR220" s="73"/>
      <c r="OOS220" s="73"/>
      <c r="OOT220" s="73"/>
      <c r="OOU220" s="73"/>
      <c r="OOV220" s="73"/>
      <c r="OOW220" s="73"/>
      <c r="OOX220" s="73"/>
      <c r="OOY220" s="73"/>
      <c r="OOZ220" s="73"/>
      <c r="OPA220" s="73"/>
      <c r="OPB220" s="73"/>
      <c r="OPC220" s="73"/>
      <c r="OPD220" s="73"/>
      <c r="OPE220" s="73"/>
      <c r="OPF220" s="73"/>
      <c r="OPG220" s="73"/>
      <c r="OPH220" s="73"/>
      <c r="OPI220" s="73"/>
      <c r="OPJ220" s="73"/>
      <c r="OPK220" s="73"/>
      <c r="OPL220" s="73"/>
      <c r="OPM220" s="73"/>
      <c r="OPN220" s="73"/>
      <c r="OPO220" s="73"/>
      <c r="OPP220" s="73"/>
      <c r="OPQ220" s="73"/>
      <c r="OPR220" s="73"/>
      <c r="OPS220" s="73"/>
      <c r="OPT220" s="73"/>
      <c r="OPU220" s="73"/>
      <c r="OPV220" s="73"/>
      <c r="OPW220" s="73"/>
      <c r="OPX220" s="73"/>
      <c r="OPY220" s="73"/>
      <c r="OPZ220" s="73"/>
      <c r="OQA220" s="73"/>
      <c r="OQB220" s="73"/>
      <c r="OQC220" s="73"/>
      <c r="OQD220" s="73"/>
      <c r="OQE220" s="73"/>
      <c r="OQF220" s="73"/>
      <c r="OQG220" s="73"/>
      <c r="OQH220" s="73"/>
      <c r="OQI220" s="73"/>
      <c r="OQJ220" s="73"/>
      <c r="OQK220" s="73"/>
      <c r="OQL220" s="73"/>
      <c r="OQM220" s="73"/>
      <c r="OQN220" s="73"/>
      <c r="OQO220" s="73"/>
      <c r="OQP220" s="73"/>
      <c r="OQQ220" s="73"/>
      <c r="OQR220" s="73"/>
      <c r="OQS220" s="73"/>
      <c r="OQT220" s="73"/>
      <c r="OQU220" s="73"/>
      <c r="OQV220" s="73"/>
      <c r="OQW220" s="73"/>
      <c r="OQX220" s="73"/>
      <c r="OQY220" s="73"/>
      <c r="OQZ220" s="73"/>
      <c r="ORA220" s="73"/>
      <c r="ORB220" s="73"/>
      <c r="ORC220" s="73"/>
      <c r="ORD220" s="73"/>
      <c r="ORE220" s="73"/>
      <c r="ORF220" s="73"/>
      <c r="ORG220" s="73"/>
      <c r="ORH220" s="73"/>
      <c r="ORI220" s="73"/>
      <c r="ORJ220" s="73"/>
      <c r="ORK220" s="73"/>
      <c r="ORL220" s="73"/>
      <c r="ORM220" s="73"/>
      <c r="ORN220" s="73"/>
      <c r="ORO220" s="73"/>
      <c r="ORP220" s="73"/>
      <c r="ORQ220" s="73"/>
      <c r="ORR220" s="73"/>
      <c r="ORS220" s="73"/>
      <c r="ORT220" s="73"/>
      <c r="ORU220" s="73"/>
      <c r="ORV220" s="73"/>
      <c r="ORW220" s="73"/>
      <c r="ORX220" s="73"/>
      <c r="ORY220" s="73"/>
      <c r="ORZ220" s="73"/>
      <c r="OSA220" s="73"/>
      <c r="OSB220" s="73"/>
      <c r="OSC220" s="73"/>
      <c r="OSD220" s="73"/>
      <c r="OSE220" s="73"/>
      <c r="OSF220" s="73"/>
      <c r="OSG220" s="73"/>
      <c r="OSH220" s="73"/>
      <c r="OSI220" s="73"/>
      <c r="OSJ220" s="73"/>
      <c r="OSK220" s="73"/>
      <c r="OSL220" s="73"/>
      <c r="OSM220" s="73"/>
      <c r="OSN220" s="73"/>
      <c r="OSO220" s="73"/>
      <c r="OSP220" s="73"/>
      <c r="OSQ220" s="73"/>
      <c r="OSR220" s="73"/>
      <c r="OSS220" s="73"/>
      <c r="OST220" s="73"/>
      <c r="OSU220" s="73"/>
      <c r="OSV220" s="73"/>
      <c r="OSW220" s="73"/>
      <c r="OSX220" s="73"/>
      <c r="OSY220" s="73"/>
      <c r="OSZ220" s="73"/>
      <c r="OTA220" s="73"/>
      <c r="OTB220" s="73"/>
      <c r="OTC220" s="73"/>
      <c r="OTD220" s="73"/>
      <c r="OTE220" s="73"/>
      <c r="OTF220" s="73"/>
      <c r="OTG220" s="73"/>
      <c r="OTH220" s="73"/>
      <c r="OTI220" s="73"/>
      <c r="OTJ220" s="73"/>
      <c r="OTK220" s="73"/>
      <c r="OTL220" s="73"/>
      <c r="OTM220" s="73"/>
      <c r="OTN220" s="73"/>
      <c r="OTO220" s="73"/>
      <c r="OTP220" s="73"/>
      <c r="OTQ220" s="73"/>
      <c r="OTR220" s="73"/>
      <c r="OTS220" s="73"/>
      <c r="OTT220" s="73"/>
      <c r="OTU220" s="73"/>
      <c r="OTV220" s="73"/>
      <c r="OTW220" s="73"/>
      <c r="OTX220" s="73"/>
      <c r="OTY220" s="73"/>
      <c r="OTZ220" s="73"/>
      <c r="OUA220" s="73"/>
      <c r="OUB220" s="73"/>
      <c r="OUC220" s="73"/>
      <c r="OUD220" s="73"/>
      <c r="OUE220" s="73"/>
      <c r="OUF220" s="73"/>
      <c r="OUG220" s="73"/>
      <c r="OUH220" s="73"/>
      <c r="OUI220" s="73"/>
      <c r="OUJ220" s="73"/>
      <c r="OUK220" s="73"/>
      <c r="OUL220" s="73"/>
      <c r="OUM220" s="73"/>
      <c r="OUN220" s="73"/>
      <c r="OUO220" s="73"/>
      <c r="OUP220" s="73"/>
      <c r="OUQ220" s="73"/>
      <c r="OUR220" s="73"/>
      <c r="OUS220" s="73"/>
      <c r="OUT220" s="73"/>
      <c r="OUU220" s="73"/>
      <c r="OUV220" s="73"/>
      <c r="OUW220" s="73"/>
      <c r="OUX220" s="73"/>
      <c r="OUY220" s="73"/>
      <c r="OUZ220" s="73"/>
      <c r="OVA220" s="73"/>
      <c r="OVB220" s="73"/>
      <c r="OVC220" s="73"/>
      <c r="OVD220" s="73"/>
      <c r="OVE220" s="73"/>
      <c r="OVF220" s="73"/>
      <c r="OVG220" s="73"/>
      <c r="OVH220" s="73"/>
      <c r="OVI220" s="73"/>
      <c r="OVJ220" s="73"/>
      <c r="OVK220" s="73"/>
      <c r="OVL220" s="73"/>
      <c r="OVM220" s="73"/>
      <c r="OVN220" s="73"/>
      <c r="OVO220" s="73"/>
      <c r="OVP220" s="73"/>
      <c r="OVQ220" s="73"/>
      <c r="OVR220" s="73"/>
      <c r="OVS220" s="73"/>
      <c r="OVT220" s="73"/>
      <c r="OVU220" s="73"/>
      <c r="OVV220" s="73"/>
      <c r="OVW220" s="73"/>
      <c r="OVX220" s="73"/>
      <c r="OVY220" s="73"/>
      <c r="OVZ220" s="73"/>
      <c r="OWA220" s="73"/>
      <c r="OWB220" s="73"/>
      <c r="OWC220" s="73"/>
      <c r="OWD220" s="73"/>
      <c r="OWE220" s="73"/>
      <c r="OWF220" s="73"/>
      <c r="OWG220" s="73"/>
      <c r="OWH220" s="73"/>
      <c r="OWI220" s="73"/>
      <c r="OWJ220" s="73"/>
      <c r="OWK220" s="73"/>
      <c r="OWL220" s="73"/>
      <c r="OWM220" s="73"/>
      <c r="OWN220" s="73"/>
      <c r="OWO220" s="73"/>
      <c r="OWP220" s="73"/>
      <c r="OWQ220" s="73"/>
      <c r="OWR220" s="73"/>
      <c r="OWS220" s="73"/>
      <c r="OWT220" s="73"/>
      <c r="OWU220" s="73"/>
      <c r="OWV220" s="73"/>
      <c r="OWW220" s="73"/>
      <c r="OWX220" s="73"/>
      <c r="OWY220" s="73"/>
      <c r="OWZ220" s="73"/>
      <c r="OXA220" s="73"/>
      <c r="OXB220" s="73"/>
      <c r="OXC220" s="73"/>
      <c r="OXD220" s="73"/>
      <c r="OXE220" s="73"/>
      <c r="OXF220" s="73"/>
      <c r="OXG220" s="73"/>
      <c r="OXH220" s="73"/>
      <c r="OXI220" s="73"/>
      <c r="OXJ220" s="73"/>
      <c r="OXK220" s="73"/>
      <c r="OXL220" s="73"/>
      <c r="OXM220" s="73"/>
      <c r="OXN220" s="73"/>
      <c r="OXO220" s="73"/>
      <c r="OXP220" s="73"/>
      <c r="OXQ220" s="73"/>
      <c r="OXR220" s="73"/>
      <c r="OXS220" s="73"/>
      <c r="OXT220" s="73"/>
      <c r="OXU220" s="73"/>
      <c r="OXV220" s="73"/>
      <c r="OXW220" s="73"/>
      <c r="OXX220" s="73"/>
      <c r="OXY220" s="73"/>
      <c r="OXZ220" s="73"/>
      <c r="OYA220" s="73"/>
      <c r="OYB220" s="73"/>
      <c r="OYC220" s="73"/>
      <c r="OYD220" s="73"/>
      <c r="OYE220" s="73"/>
      <c r="OYF220" s="73"/>
      <c r="OYG220" s="73"/>
      <c r="OYH220" s="73"/>
      <c r="OYI220" s="73"/>
      <c r="OYJ220" s="73"/>
      <c r="OYK220" s="73"/>
      <c r="OYL220" s="73"/>
      <c r="OYM220" s="73"/>
      <c r="OYN220" s="73"/>
      <c r="OYO220" s="73"/>
      <c r="OYP220" s="73"/>
      <c r="OYQ220" s="73"/>
      <c r="OYR220" s="73"/>
      <c r="OYS220" s="73"/>
      <c r="OYT220" s="73"/>
      <c r="OYU220" s="73"/>
      <c r="OYV220" s="73"/>
      <c r="OYW220" s="73"/>
      <c r="OYX220" s="73"/>
      <c r="OYY220" s="73"/>
      <c r="OYZ220" s="73"/>
      <c r="OZA220" s="73"/>
      <c r="OZB220" s="73"/>
      <c r="OZC220" s="73"/>
      <c r="OZD220" s="73"/>
      <c r="OZE220" s="73"/>
      <c r="OZF220" s="73"/>
      <c r="OZG220" s="73"/>
      <c r="OZH220" s="73"/>
      <c r="OZI220" s="73"/>
      <c r="OZJ220" s="73"/>
      <c r="OZK220" s="73"/>
      <c r="OZL220" s="73"/>
      <c r="OZM220" s="73"/>
      <c r="OZN220" s="73"/>
      <c r="OZO220" s="73"/>
      <c r="OZP220" s="73"/>
      <c r="OZQ220" s="73"/>
      <c r="OZR220" s="73"/>
      <c r="OZS220" s="73"/>
      <c r="OZT220" s="73"/>
      <c r="OZU220" s="73"/>
      <c r="OZV220" s="73"/>
      <c r="OZW220" s="73"/>
      <c r="OZX220" s="73"/>
      <c r="OZY220" s="73"/>
      <c r="OZZ220" s="73"/>
      <c r="PAA220" s="73"/>
      <c r="PAB220" s="73"/>
      <c r="PAC220" s="73"/>
      <c r="PAD220" s="73"/>
      <c r="PAE220" s="73"/>
      <c r="PAF220" s="73"/>
      <c r="PAG220" s="73"/>
      <c r="PAH220" s="73"/>
      <c r="PAI220" s="73"/>
      <c r="PAJ220" s="73"/>
      <c r="PAK220" s="73"/>
      <c r="PAL220" s="73"/>
      <c r="PAM220" s="73"/>
      <c r="PAN220" s="73"/>
      <c r="PAO220" s="73"/>
      <c r="PAP220" s="73"/>
      <c r="PAQ220" s="73"/>
      <c r="PAR220" s="73"/>
      <c r="PAS220" s="73"/>
      <c r="PAT220" s="73"/>
      <c r="PAU220" s="73"/>
      <c r="PAV220" s="73"/>
      <c r="PAW220" s="73"/>
      <c r="PAX220" s="73"/>
      <c r="PAY220" s="73"/>
      <c r="PAZ220" s="73"/>
      <c r="PBA220" s="73"/>
      <c r="PBB220" s="73"/>
      <c r="PBC220" s="73"/>
      <c r="PBD220" s="73"/>
      <c r="PBE220" s="73"/>
      <c r="PBF220" s="73"/>
      <c r="PBG220" s="73"/>
      <c r="PBH220" s="73"/>
      <c r="PBI220" s="73"/>
      <c r="PBJ220" s="73"/>
      <c r="PBK220" s="73"/>
      <c r="PBL220" s="73"/>
      <c r="PBM220" s="73"/>
      <c r="PBN220" s="73"/>
      <c r="PBO220" s="73"/>
      <c r="PBP220" s="73"/>
      <c r="PBQ220" s="73"/>
      <c r="PBR220" s="73"/>
      <c r="PBS220" s="73"/>
      <c r="PBT220" s="73"/>
      <c r="PBU220" s="73"/>
      <c r="PBV220" s="73"/>
      <c r="PBW220" s="73"/>
      <c r="PBX220" s="73"/>
      <c r="PBY220" s="73"/>
      <c r="PBZ220" s="73"/>
      <c r="PCA220" s="73"/>
      <c r="PCB220" s="73"/>
      <c r="PCC220" s="73"/>
      <c r="PCD220" s="73"/>
      <c r="PCE220" s="73"/>
      <c r="PCF220" s="73"/>
      <c r="PCG220" s="73"/>
      <c r="PCH220" s="73"/>
      <c r="PCI220" s="73"/>
      <c r="PCJ220" s="73"/>
      <c r="PCK220" s="73"/>
      <c r="PCL220" s="73"/>
      <c r="PCM220" s="73"/>
      <c r="PCN220" s="73"/>
      <c r="PCO220" s="73"/>
      <c r="PCP220" s="73"/>
      <c r="PCQ220" s="73"/>
      <c r="PCR220" s="73"/>
      <c r="PCS220" s="73"/>
      <c r="PCT220" s="73"/>
      <c r="PCU220" s="73"/>
      <c r="PCV220" s="73"/>
      <c r="PCW220" s="73"/>
      <c r="PCX220" s="73"/>
      <c r="PCY220" s="73"/>
      <c r="PCZ220" s="73"/>
      <c r="PDA220" s="73"/>
      <c r="PDB220" s="73"/>
      <c r="PDC220" s="73"/>
      <c r="PDD220" s="73"/>
      <c r="PDE220" s="73"/>
      <c r="PDF220" s="73"/>
      <c r="PDG220" s="73"/>
      <c r="PDH220" s="73"/>
      <c r="PDI220" s="73"/>
      <c r="PDJ220" s="73"/>
      <c r="PDK220" s="73"/>
      <c r="PDL220" s="73"/>
      <c r="PDM220" s="73"/>
      <c r="PDN220" s="73"/>
      <c r="PDO220" s="73"/>
      <c r="PDP220" s="73"/>
      <c r="PDQ220" s="73"/>
      <c r="PDR220" s="73"/>
      <c r="PDS220" s="73"/>
      <c r="PDT220" s="73"/>
      <c r="PDU220" s="73"/>
      <c r="PDV220" s="73"/>
      <c r="PDW220" s="73"/>
      <c r="PDX220" s="73"/>
      <c r="PDY220" s="73"/>
      <c r="PDZ220" s="73"/>
      <c r="PEA220" s="73"/>
      <c r="PEB220" s="73"/>
      <c r="PEC220" s="73"/>
      <c r="PED220" s="73"/>
      <c r="PEE220" s="73"/>
      <c r="PEF220" s="73"/>
      <c r="PEG220" s="73"/>
      <c r="PEH220" s="73"/>
      <c r="PEI220" s="73"/>
      <c r="PEJ220" s="73"/>
      <c r="PEK220" s="73"/>
      <c r="PEL220" s="73"/>
      <c r="PEM220" s="73"/>
      <c r="PEN220" s="73"/>
      <c r="PEO220" s="73"/>
      <c r="PEP220" s="73"/>
      <c r="PEQ220" s="73"/>
      <c r="PER220" s="73"/>
      <c r="PES220" s="73"/>
      <c r="PET220" s="73"/>
      <c r="PEU220" s="73"/>
      <c r="PEV220" s="73"/>
      <c r="PEW220" s="73"/>
      <c r="PEX220" s="73"/>
      <c r="PEY220" s="73"/>
      <c r="PEZ220" s="73"/>
      <c r="PFA220" s="73"/>
      <c r="PFB220" s="73"/>
      <c r="PFC220" s="73"/>
      <c r="PFD220" s="73"/>
      <c r="PFE220" s="73"/>
      <c r="PFF220" s="73"/>
      <c r="PFG220" s="73"/>
      <c r="PFH220" s="73"/>
      <c r="PFI220" s="73"/>
      <c r="PFJ220" s="73"/>
      <c r="PFK220" s="73"/>
      <c r="PFL220" s="73"/>
      <c r="PFM220" s="73"/>
      <c r="PFN220" s="73"/>
      <c r="PFO220" s="73"/>
      <c r="PFP220" s="73"/>
      <c r="PFQ220" s="73"/>
      <c r="PFR220" s="73"/>
      <c r="PFS220" s="73"/>
      <c r="PFT220" s="73"/>
      <c r="PFU220" s="73"/>
      <c r="PFV220" s="73"/>
      <c r="PFW220" s="73"/>
      <c r="PFX220" s="73"/>
      <c r="PFY220" s="73"/>
      <c r="PFZ220" s="73"/>
      <c r="PGA220" s="73"/>
      <c r="PGB220" s="73"/>
      <c r="PGC220" s="73"/>
      <c r="PGD220" s="73"/>
      <c r="PGE220" s="73"/>
      <c r="PGF220" s="73"/>
      <c r="PGG220" s="73"/>
      <c r="PGH220" s="73"/>
      <c r="PGI220" s="73"/>
      <c r="PGJ220" s="73"/>
      <c r="PGK220" s="73"/>
      <c r="PGL220" s="73"/>
      <c r="PGM220" s="73"/>
      <c r="PGN220" s="73"/>
      <c r="PGO220" s="73"/>
      <c r="PGP220" s="73"/>
      <c r="PGQ220" s="73"/>
      <c r="PGR220" s="73"/>
      <c r="PGS220" s="73"/>
      <c r="PGT220" s="73"/>
      <c r="PGU220" s="73"/>
      <c r="PGV220" s="73"/>
      <c r="PGW220" s="73"/>
      <c r="PGX220" s="73"/>
      <c r="PGY220" s="73"/>
      <c r="PGZ220" s="73"/>
      <c r="PHA220" s="73"/>
      <c r="PHB220" s="73"/>
      <c r="PHC220" s="73"/>
      <c r="PHD220" s="73"/>
      <c r="PHE220" s="73"/>
      <c r="PHF220" s="73"/>
      <c r="PHG220" s="73"/>
      <c r="PHH220" s="73"/>
      <c r="PHI220" s="73"/>
      <c r="PHJ220" s="73"/>
      <c r="PHK220" s="73"/>
      <c r="PHL220" s="73"/>
      <c r="PHM220" s="73"/>
      <c r="PHN220" s="73"/>
      <c r="PHO220" s="73"/>
      <c r="PHP220" s="73"/>
      <c r="PHQ220" s="73"/>
      <c r="PHR220" s="73"/>
      <c r="PHS220" s="73"/>
      <c r="PHT220" s="73"/>
      <c r="PHU220" s="73"/>
      <c r="PHV220" s="73"/>
      <c r="PHW220" s="73"/>
      <c r="PHX220" s="73"/>
      <c r="PHY220" s="73"/>
      <c r="PHZ220" s="73"/>
      <c r="PIA220" s="73"/>
      <c r="PIB220" s="73"/>
      <c r="PIC220" s="73"/>
      <c r="PID220" s="73"/>
      <c r="PIE220" s="73"/>
      <c r="PIF220" s="73"/>
      <c r="PIG220" s="73"/>
      <c r="PIH220" s="73"/>
      <c r="PII220" s="73"/>
      <c r="PIJ220" s="73"/>
      <c r="PIK220" s="73"/>
      <c r="PIL220" s="73"/>
      <c r="PIM220" s="73"/>
      <c r="PIN220" s="73"/>
      <c r="PIO220" s="73"/>
      <c r="PIP220" s="73"/>
      <c r="PIQ220" s="73"/>
      <c r="PIR220" s="73"/>
      <c r="PIS220" s="73"/>
      <c r="PIT220" s="73"/>
      <c r="PIU220" s="73"/>
      <c r="PIV220" s="73"/>
      <c r="PIW220" s="73"/>
      <c r="PIX220" s="73"/>
      <c r="PIY220" s="73"/>
      <c r="PIZ220" s="73"/>
      <c r="PJA220" s="73"/>
      <c r="PJB220" s="73"/>
      <c r="PJC220" s="73"/>
      <c r="PJD220" s="73"/>
      <c r="PJE220" s="73"/>
      <c r="PJF220" s="73"/>
      <c r="PJG220" s="73"/>
      <c r="PJH220" s="73"/>
      <c r="PJI220" s="73"/>
      <c r="PJJ220" s="73"/>
      <c r="PJK220" s="73"/>
      <c r="PJL220" s="73"/>
      <c r="PJM220" s="73"/>
      <c r="PJN220" s="73"/>
      <c r="PJO220" s="73"/>
      <c r="PJP220" s="73"/>
      <c r="PJQ220" s="73"/>
      <c r="PJR220" s="73"/>
      <c r="PJS220" s="73"/>
      <c r="PJT220" s="73"/>
      <c r="PJU220" s="73"/>
      <c r="PJV220" s="73"/>
      <c r="PJW220" s="73"/>
      <c r="PJX220" s="73"/>
      <c r="PJY220" s="73"/>
      <c r="PJZ220" s="73"/>
      <c r="PKA220" s="73"/>
      <c r="PKB220" s="73"/>
      <c r="PKC220" s="73"/>
      <c r="PKD220" s="73"/>
      <c r="PKE220" s="73"/>
      <c r="PKF220" s="73"/>
      <c r="PKG220" s="73"/>
      <c r="PKH220" s="73"/>
      <c r="PKI220" s="73"/>
      <c r="PKJ220" s="73"/>
      <c r="PKK220" s="73"/>
      <c r="PKL220" s="73"/>
      <c r="PKM220" s="73"/>
      <c r="PKN220" s="73"/>
      <c r="PKO220" s="73"/>
      <c r="PKP220" s="73"/>
      <c r="PKQ220" s="73"/>
      <c r="PKR220" s="73"/>
      <c r="PKS220" s="73"/>
      <c r="PKT220" s="73"/>
      <c r="PKU220" s="73"/>
      <c r="PKV220" s="73"/>
      <c r="PKW220" s="73"/>
      <c r="PKX220" s="73"/>
      <c r="PKY220" s="73"/>
      <c r="PKZ220" s="73"/>
      <c r="PLA220" s="73"/>
      <c r="PLB220" s="73"/>
      <c r="PLC220" s="73"/>
      <c r="PLD220" s="73"/>
      <c r="PLE220" s="73"/>
      <c r="PLF220" s="73"/>
      <c r="PLG220" s="73"/>
      <c r="PLH220" s="73"/>
      <c r="PLI220" s="73"/>
      <c r="PLJ220" s="73"/>
      <c r="PLK220" s="73"/>
      <c r="PLL220" s="73"/>
      <c r="PLM220" s="73"/>
      <c r="PLN220" s="73"/>
      <c r="PLO220" s="73"/>
      <c r="PLP220" s="73"/>
      <c r="PLQ220" s="73"/>
      <c r="PLR220" s="73"/>
      <c r="PLS220" s="73"/>
      <c r="PLT220" s="73"/>
      <c r="PLU220" s="73"/>
      <c r="PLV220" s="73"/>
      <c r="PLW220" s="73"/>
      <c r="PLX220" s="73"/>
      <c r="PLY220" s="73"/>
      <c r="PLZ220" s="73"/>
      <c r="PMA220" s="73"/>
      <c r="PMB220" s="73"/>
      <c r="PMC220" s="73"/>
      <c r="PMD220" s="73"/>
      <c r="PME220" s="73"/>
      <c r="PMF220" s="73"/>
      <c r="PMG220" s="73"/>
      <c r="PMH220" s="73"/>
      <c r="PMI220" s="73"/>
      <c r="PMJ220" s="73"/>
      <c r="PMK220" s="73"/>
      <c r="PML220" s="73"/>
      <c r="PMM220" s="73"/>
      <c r="PMN220" s="73"/>
      <c r="PMO220" s="73"/>
      <c r="PMP220" s="73"/>
      <c r="PMQ220" s="73"/>
      <c r="PMR220" s="73"/>
      <c r="PMS220" s="73"/>
      <c r="PMT220" s="73"/>
      <c r="PMU220" s="73"/>
      <c r="PMV220" s="73"/>
      <c r="PMW220" s="73"/>
      <c r="PMX220" s="73"/>
      <c r="PMY220" s="73"/>
      <c r="PMZ220" s="73"/>
      <c r="PNA220" s="73"/>
      <c r="PNB220" s="73"/>
      <c r="PNC220" s="73"/>
      <c r="PND220" s="73"/>
      <c r="PNE220" s="73"/>
      <c r="PNF220" s="73"/>
      <c r="PNG220" s="73"/>
      <c r="PNH220" s="73"/>
      <c r="PNI220" s="73"/>
      <c r="PNJ220" s="73"/>
      <c r="PNK220" s="73"/>
      <c r="PNL220" s="73"/>
      <c r="PNM220" s="73"/>
      <c r="PNN220" s="73"/>
      <c r="PNO220" s="73"/>
      <c r="PNP220" s="73"/>
      <c r="PNQ220" s="73"/>
      <c r="PNR220" s="73"/>
      <c r="PNS220" s="73"/>
      <c r="PNT220" s="73"/>
      <c r="PNU220" s="73"/>
      <c r="PNV220" s="73"/>
      <c r="PNW220" s="73"/>
      <c r="PNX220" s="73"/>
      <c r="PNY220" s="73"/>
      <c r="PNZ220" s="73"/>
      <c r="POA220" s="73"/>
      <c r="POB220" s="73"/>
      <c r="POC220" s="73"/>
      <c r="POD220" s="73"/>
      <c r="POE220" s="73"/>
      <c r="POF220" s="73"/>
      <c r="POG220" s="73"/>
      <c r="POH220" s="73"/>
      <c r="POI220" s="73"/>
      <c r="POJ220" s="73"/>
      <c r="POK220" s="73"/>
      <c r="POL220" s="73"/>
      <c r="POM220" s="73"/>
      <c r="PON220" s="73"/>
      <c r="POO220" s="73"/>
      <c r="POP220" s="73"/>
      <c r="POQ220" s="73"/>
      <c r="POR220" s="73"/>
      <c r="POS220" s="73"/>
      <c r="POT220" s="73"/>
      <c r="POU220" s="73"/>
      <c r="POV220" s="73"/>
      <c r="POW220" s="73"/>
      <c r="POX220" s="73"/>
      <c r="POY220" s="73"/>
      <c r="POZ220" s="73"/>
      <c r="PPA220" s="73"/>
      <c r="PPB220" s="73"/>
      <c r="PPC220" s="73"/>
      <c r="PPD220" s="73"/>
      <c r="PPE220" s="73"/>
      <c r="PPF220" s="73"/>
      <c r="PPG220" s="73"/>
      <c r="PPH220" s="73"/>
      <c r="PPI220" s="73"/>
      <c r="PPJ220" s="73"/>
      <c r="PPK220" s="73"/>
      <c r="PPL220" s="73"/>
      <c r="PPM220" s="73"/>
      <c r="PPN220" s="73"/>
      <c r="PPO220" s="73"/>
      <c r="PPP220" s="73"/>
      <c r="PPQ220" s="73"/>
      <c r="PPR220" s="73"/>
      <c r="PPS220" s="73"/>
      <c r="PPT220" s="73"/>
      <c r="PPU220" s="73"/>
      <c r="PPV220" s="73"/>
      <c r="PPW220" s="73"/>
      <c r="PPX220" s="73"/>
      <c r="PPY220" s="73"/>
      <c r="PPZ220" s="73"/>
      <c r="PQA220" s="73"/>
      <c r="PQB220" s="73"/>
      <c r="PQC220" s="73"/>
      <c r="PQD220" s="73"/>
      <c r="PQE220" s="73"/>
      <c r="PQF220" s="73"/>
      <c r="PQG220" s="73"/>
      <c r="PQH220" s="73"/>
      <c r="PQI220" s="73"/>
      <c r="PQJ220" s="73"/>
      <c r="PQK220" s="73"/>
      <c r="PQL220" s="73"/>
      <c r="PQM220" s="73"/>
      <c r="PQN220" s="73"/>
      <c r="PQO220" s="73"/>
      <c r="PQP220" s="73"/>
      <c r="PQQ220" s="73"/>
      <c r="PQR220" s="73"/>
      <c r="PQS220" s="73"/>
      <c r="PQT220" s="73"/>
      <c r="PQU220" s="73"/>
      <c r="PQV220" s="73"/>
      <c r="PQW220" s="73"/>
      <c r="PQX220" s="73"/>
      <c r="PQY220" s="73"/>
      <c r="PQZ220" s="73"/>
      <c r="PRA220" s="73"/>
      <c r="PRB220" s="73"/>
      <c r="PRC220" s="73"/>
      <c r="PRD220" s="73"/>
      <c r="PRE220" s="73"/>
      <c r="PRF220" s="73"/>
      <c r="PRG220" s="73"/>
      <c r="PRH220" s="73"/>
      <c r="PRI220" s="73"/>
      <c r="PRJ220" s="73"/>
      <c r="PRK220" s="73"/>
      <c r="PRL220" s="73"/>
      <c r="PRM220" s="73"/>
      <c r="PRN220" s="73"/>
      <c r="PRO220" s="73"/>
      <c r="PRP220" s="73"/>
      <c r="PRQ220" s="73"/>
      <c r="PRR220" s="73"/>
      <c r="PRS220" s="73"/>
      <c r="PRT220" s="73"/>
      <c r="PRU220" s="73"/>
      <c r="PRV220" s="73"/>
      <c r="PRW220" s="73"/>
      <c r="PRX220" s="73"/>
      <c r="PRY220" s="73"/>
      <c r="PRZ220" s="73"/>
      <c r="PSA220" s="73"/>
      <c r="PSB220" s="73"/>
      <c r="PSC220" s="73"/>
      <c r="PSD220" s="73"/>
      <c r="PSE220" s="73"/>
      <c r="PSF220" s="73"/>
      <c r="PSG220" s="73"/>
      <c r="PSH220" s="73"/>
      <c r="PSI220" s="73"/>
      <c r="PSJ220" s="73"/>
      <c r="PSK220" s="73"/>
      <c r="PSL220" s="73"/>
      <c r="PSM220" s="73"/>
      <c r="PSN220" s="73"/>
      <c r="PSO220" s="73"/>
      <c r="PSP220" s="73"/>
      <c r="PSQ220" s="73"/>
      <c r="PSR220" s="73"/>
      <c r="PSS220" s="73"/>
      <c r="PST220" s="73"/>
      <c r="PSU220" s="73"/>
      <c r="PSV220" s="73"/>
      <c r="PSW220" s="73"/>
      <c r="PSX220" s="73"/>
      <c r="PSY220" s="73"/>
      <c r="PSZ220" s="73"/>
      <c r="PTA220" s="73"/>
      <c r="PTB220" s="73"/>
      <c r="PTC220" s="73"/>
      <c r="PTD220" s="73"/>
      <c r="PTE220" s="73"/>
      <c r="PTF220" s="73"/>
      <c r="PTG220" s="73"/>
      <c r="PTH220" s="73"/>
      <c r="PTI220" s="73"/>
      <c r="PTJ220" s="73"/>
      <c r="PTK220" s="73"/>
      <c r="PTL220" s="73"/>
      <c r="PTM220" s="73"/>
      <c r="PTN220" s="73"/>
      <c r="PTO220" s="73"/>
      <c r="PTP220" s="73"/>
      <c r="PTQ220" s="73"/>
      <c r="PTR220" s="73"/>
      <c r="PTS220" s="73"/>
      <c r="PTT220" s="73"/>
      <c r="PTU220" s="73"/>
      <c r="PTV220" s="73"/>
      <c r="PTW220" s="73"/>
      <c r="PTX220" s="73"/>
      <c r="PTY220" s="73"/>
      <c r="PTZ220" s="73"/>
      <c r="PUA220" s="73"/>
      <c r="PUB220" s="73"/>
      <c r="PUC220" s="73"/>
      <c r="PUD220" s="73"/>
      <c r="PUE220" s="73"/>
      <c r="PUF220" s="73"/>
      <c r="PUG220" s="73"/>
      <c r="PUH220" s="73"/>
      <c r="PUI220" s="73"/>
      <c r="PUJ220" s="73"/>
      <c r="PUK220" s="73"/>
      <c r="PUL220" s="73"/>
      <c r="PUM220" s="73"/>
      <c r="PUN220" s="73"/>
      <c r="PUO220" s="73"/>
      <c r="PUP220" s="73"/>
      <c r="PUQ220" s="73"/>
      <c r="PUR220" s="73"/>
      <c r="PUS220" s="73"/>
      <c r="PUT220" s="73"/>
      <c r="PUU220" s="73"/>
      <c r="PUV220" s="73"/>
      <c r="PUW220" s="73"/>
      <c r="PUX220" s="73"/>
      <c r="PUY220" s="73"/>
      <c r="PUZ220" s="73"/>
      <c r="PVA220" s="73"/>
      <c r="PVB220" s="73"/>
      <c r="PVC220" s="73"/>
      <c r="PVD220" s="73"/>
      <c r="PVE220" s="73"/>
      <c r="PVF220" s="73"/>
      <c r="PVG220" s="73"/>
      <c r="PVH220" s="73"/>
      <c r="PVI220" s="73"/>
      <c r="PVJ220" s="73"/>
      <c r="PVK220" s="73"/>
      <c r="PVL220" s="73"/>
      <c r="PVM220" s="73"/>
      <c r="PVN220" s="73"/>
      <c r="PVO220" s="73"/>
      <c r="PVP220" s="73"/>
      <c r="PVQ220" s="73"/>
      <c r="PVR220" s="73"/>
      <c r="PVS220" s="73"/>
      <c r="PVT220" s="73"/>
      <c r="PVU220" s="73"/>
      <c r="PVV220" s="73"/>
      <c r="PVW220" s="73"/>
      <c r="PVX220" s="73"/>
      <c r="PVY220" s="73"/>
      <c r="PVZ220" s="73"/>
      <c r="PWA220" s="73"/>
      <c r="PWB220" s="73"/>
      <c r="PWC220" s="73"/>
      <c r="PWD220" s="73"/>
      <c r="PWE220" s="73"/>
      <c r="PWF220" s="73"/>
      <c r="PWG220" s="73"/>
      <c r="PWH220" s="73"/>
      <c r="PWI220" s="73"/>
      <c r="PWJ220" s="73"/>
      <c r="PWK220" s="73"/>
      <c r="PWL220" s="73"/>
      <c r="PWM220" s="73"/>
      <c r="PWN220" s="73"/>
      <c r="PWO220" s="73"/>
      <c r="PWP220" s="73"/>
      <c r="PWQ220" s="73"/>
      <c r="PWR220" s="73"/>
      <c r="PWS220" s="73"/>
      <c r="PWT220" s="73"/>
      <c r="PWU220" s="73"/>
      <c r="PWV220" s="73"/>
      <c r="PWW220" s="73"/>
      <c r="PWX220" s="73"/>
      <c r="PWY220" s="73"/>
      <c r="PWZ220" s="73"/>
      <c r="PXA220" s="73"/>
      <c r="PXB220" s="73"/>
      <c r="PXC220" s="73"/>
      <c r="PXD220" s="73"/>
      <c r="PXE220" s="73"/>
      <c r="PXF220" s="73"/>
      <c r="PXG220" s="73"/>
      <c r="PXH220" s="73"/>
      <c r="PXI220" s="73"/>
      <c r="PXJ220" s="73"/>
      <c r="PXK220" s="73"/>
      <c r="PXL220" s="73"/>
      <c r="PXM220" s="73"/>
      <c r="PXN220" s="73"/>
      <c r="PXO220" s="73"/>
      <c r="PXP220" s="73"/>
      <c r="PXQ220" s="73"/>
      <c r="PXR220" s="73"/>
      <c r="PXS220" s="73"/>
      <c r="PXT220" s="73"/>
      <c r="PXU220" s="73"/>
      <c r="PXV220" s="73"/>
      <c r="PXW220" s="73"/>
      <c r="PXX220" s="73"/>
      <c r="PXY220" s="73"/>
      <c r="PXZ220" s="73"/>
      <c r="PYA220" s="73"/>
      <c r="PYB220" s="73"/>
      <c r="PYC220" s="73"/>
      <c r="PYD220" s="73"/>
      <c r="PYE220" s="73"/>
      <c r="PYF220" s="73"/>
      <c r="PYG220" s="73"/>
      <c r="PYH220" s="73"/>
      <c r="PYI220" s="73"/>
      <c r="PYJ220" s="73"/>
      <c r="PYK220" s="73"/>
      <c r="PYL220" s="73"/>
      <c r="PYM220" s="73"/>
      <c r="PYN220" s="73"/>
      <c r="PYO220" s="73"/>
      <c r="PYP220" s="73"/>
      <c r="PYQ220" s="73"/>
      <c r="PYR220" s="73"/>
      <c r="PYS220" s="73"/>
      <c r="PYT220" s="73"/>
      <c r="PYU220" s="73"/>
      <c r="PYV220" s="73"/>
      <c r="PYW220" s="73"/>
      <c r="PYX220" s="73"/>
      <c r="PYY220" s="73"/>
      <c r="PYZ220" s="73"/>
      <c r="PZA220" s="73"/>
      <c r="PZB220" s="73"/>
      <c r="PZC220" s="73"/>
      <c r="PZD220" s="73"/>
      <c r="PZE220" s="73"/>
      <c r="PZF220" s="73"/>
      <c r="PZG220" s="73"/>
      <c r="PZH220" s="73"/>
      <c r="PZI220" s="73"/>
      <c r="PZJ220" s="73"/>
      <c r="PZK220" s="73"/>
      <c r="PZL220" s="73"/>
      <c r="PZM220" s="73"/>
      <c r="PZN220" s="73"/>
      <c r="PZO220" s="73"/>
      <c r="PZP220" s="73"/>
      <c r="PZQ220" s="73"/>
      <c r="PZR220" s="73"/>
      <c r="PZS220" s="73"/>
      <c r="PZT220" s="73"/>
      <c r="PZU220" s="73"/>
      <c r="PZV220" s="73"/>
      <c r="PZW220" s="73"/>
      <c r="PZX220" s="73"/>
      <c r="PZY220" s="73"/>
      <c r="PZZ220" s="73"/>
      <c r="QAA220" s="73"/>
      <c r="QAB220" s="73"/>
      <c r="QAC220" s="73"/>
      <c r="QAD220" s="73"/>
      <c r="QAE220" s="73"/>
      <c r="QAF220" s="73"/>
      <c r="QAG220" s="73"/>
      <c r="QAH220" s="73"/>
      <c r="QAI220" s="73"/>
      <c r="QAJ220" s="73"/>
      <c r="QAK220" s="73"/>
      <c r="QAL220" s="73"/>
      <c r="QAM220" s="73"/>
      <c r="QAN220" s="73"/>
      <c r="QAO220" s="73"/>
      <c r="QAP220" s="73"/>
      <c r="QAQ220" s="73"/>
      <c r="QAR220" s="73"/>
      <c r="QAS220" s="73"/>
      <c r="QAT220" s="73"/>
      <c r="QAU220" s="73"/>
      <c r="QAV220" s="73"/>
      <c r="QAW220" s="73"/>
      <c r="QAX220" s="73"/>
      <c r="QAY220" s="73"/>
      <c r="QAZ220" s="73"/>
      <c r="QBA220" s="73"/>
      <c r="QBB220" s="73"/>
      <c r="QBC220" s="73"/>
      <c r="QBD220" s="73"/>
      <c r="QBE220" s="73"/>
      <c r="QBF220" s="73"/>
      <c r="QBG220" s="73"/>
      <c r="QBH220" s="73"/>
      <c r="QBI220" s="73"/>
      <c r="QBJ220" s="73"/>
      <c r="QBK220" s="73"/>
      <c r="QBL220" s="73"/>
      <c r="QBM220" s="73"/>
      <c r="QBN220" s="73"/>
      <c r="QBO220" s="73"/>
      <c r="QBP220" s="73"/>
      <c r="QBQ220" s="73"/>
      <c r="QBR220" s="73"/>
      <c r="QBS220" s="73"/>
      <c r="QBT220" s="73"/>
      <c r="QBU220" s="73"/>
      <c r="QBV220" s="73"/>
      <c r="QBW220" s="73"/>
      <c r="QBX220" s="73"/>
      <c r="QBY220" s="73"/>
      <c r="QBZ220" s="73"/>
      <c r="QCA220" s="73"/>
      <c r="QCB220" s="73"/>
      <c r="QCC220" s="73"/>
      <c r="QCD220" s="73"/>
      <c r="QCE220" s="73"/>
      <c r="QCF220" s="73"/>
      <c r="QCG220" s="73"/>
      <c r="QCH220" s="73"/>
      <c r="QCI220" s="73"/>
      <c r="QCJ220" s="73"/>
      <c r="QCK220" s="73"/>
      <c r="QCL220" s="73"/>
      <c r="QCM220" s="73"/>
      <c r="QCN220" s="73"/>
      <c r="QCO220" s="73"/>
      <c r="QCP220" s="73"/>
      <c r="QCQ220" s="73"/>
      <c r="QCR220" s="73"/>
      <c r="QCS220" s="73"/>
      <c r="QCT220" s="73"/>
      <c r="QCU220" s="73"/>
      <c r="QCV220" s="73"/>
      <c r="QCW220" s="73"/>
      <c r="QCX220" s="73"/>
      <c r="QCY220" s="73"/>
      <c r="QCZ220" s="73"/>
      <c r="QDA220" s="73"/>
      <c r="QDB220" s="73"/>
      <c r="QDC220" s="73"/>
      <c r="QDD220" s="73"/>
      <c r="QDE220" s="73"/>
      <c r="QDF220" s="73"/>
      <c r="QDG220" s="73"/>
      <c r="QDH220" s="73"/>
      <c r="QDI220" s="73"/>
      <c r="QDJ220" s="73"/>
      <c r="QDK220" s="73"/>
      <c r="QDL220" s="73"/>
      <c r="QDM220" s="73"/>
      <c r="QDN220" s="73"/>
      <c r="QDO220" s="73"/>
      <c r="QDP220" s="73"/>
      <c r="QDQ220" s="73"/>
      <c r="QDR220" s="73"/>
      <c r="QDS220" s="73"/>
      <c r="QDT220" s="73"/>
      <c r="QDU220" s="73"/>
      <c r="QDV220" s="73"/>
      <c r="QDW220" s="73"/>
      <c r="QDX220" s="73"/>
      <c r="QDY220" s="73"/>
      <c r="QDZ220" s="73"/>
      <c r="QEA220" s="73"/>
      <c r="QEB220" s="73"/>
      <c r="QEC220" s="73"/>
      <c r="QED220" s="73"/>
      <c r="QEE220" s="73"/>
      <c r="QEF220" s="73"/>
      <c r="QEG220" s="73"/>
      <c r="QEH220" s="73"/>
      <c r="QEI220" s="73"/>
      <c r="QEJ220" s="73"/>
      <c r="QEK220" s="73"/>
      <c r="QEL220" s="73"/>
      <c r="QEM220" s="73"/>
      <c r="QEN220" s="73"/>
      <c r="QEO220" s="73"/>
      <c r="QEP220" s="73"/>
      <c r="QEQ220" s="73"/>
      <c r="QER220" s="73"/>
      <c r="QES220" s="73"/>
      <c r="QET220" s="73"/>
      <c r="QEU220" s="73"/>
      <c r="QEV220" s="73"/>
      <c r="QEW220" s="73"/>
      <c r="QEX220" s="73"/>
      <c r="QEY220" s="73"/>
      <c r="QEZ220" s="73"/>
      <c r="QFA220" s="73"/>
      <c r="QFB220" s="73"/>
      <c r="QFC220" s="73"/>
      <c r="QFD220" s="73"/>
      <c r="QFE220" s="73"/>
      <c r="QFF220" s="73"/>
      <c r="QFG220" s="73"/>
      <c r="QFH220" s="73"/>
      <c r="QFI220" s="73"/>
      <c r="QFJ220" s="73"/>
      <c r="QFK220" s="73"/>
      <c r="QFL220" s="73"/>
      <c r="QFM220" s="73"/>
      <c r="QFN220" s="73"/>
      <c r="QFO220" s="73"/>
      <c r="QFP220" s="73"/>
      <c r="QFQ220" s="73"/>
      <c r="QFR220" s="73"/>
      <c r="QFS220" s="73"/>
      <c r="QFT220" s="73"/>
      <c r="QFU220" s="73"/>
      <c r="QFV220" s="73"/>
      <c r="QFW220" s="73"/>
      <c r="QFX220" s="73"/>
      <c r="QFY220" s="73"/>
      <c r="QFZ220" s="73"/>
      <c r="QGA220" s="73"/>
      <c r="QGB220" s="73"/>
      <c r="QGC220" s="73"/>
      <c r="QGD220" s="73"/>
      <c r="QGE220" s="73"/>
      <c r="QGF220" s="73"/>
      <c r="QGG220" s="73"/>
      <c r="QGH220" s="73"/>
      <c r="QGI220" s="73"/>
      <c r="QGJ220" s="73"/>
      <c r="QGK220" s="73"/>
      <c r="QGL220" s="73"/>
      <c r="QGM220" s="73"/>
      <c r="QGN220" s="73"/>
      <c r="QGO220" s="73"/>
      <c r="QGP220" s="73"/>
      <c r="QGQ220" s="73"/>
      <c r="QGR220" s="73"/>
      <c r="QGS220" s="73"/>
      <c r="QGT220" s="73"/>
      <c r="QGU220" s="73"/>
      <c r="QGV220" s="73"/>
      <c r="QGW220" s="73"/>
      <c r="QGX220" s="73"/>
      <c r="QGY220" s="73"/>
      <c r="QGZ220" s="73"/>
      <c r="QHA220" s="73"/>
      <c r="QHB220" s="73"/>
      <c r="QHC220" s="73"/>
      <c r="QHD220" s="73"/>
      <c r="QHE220" s="73"/>
      <c r="QHF220" s="73"/>
      <c r="QHG220" s="73"/>
      <c r="QHH220" s="73"/>
      <c r="QHI220" s="73"/>
      <c r="QHJ220" s="73"/>
      <c r="QHK220" s="73"/>
      <c r="QHL220" s="73"/>
      <c r="QHM220" s="73"/>
      <c r="QHN220" s="73"/>
      <c r="QHO220" s="73"/>
      <c r="QHP220" s="73"/>
      <c r="QHQ220" s="73"/>
      <c r="QHR220" s="73"/>
      <c r="QHS220" s="73"/>
      <c r="QHT220" s="73"/>
      <c r="QHU220" s="73"/>
      <c r="QHV220" s="73"/>
      <c r="QHW220" s="73"/>
      <c r="QHX220" s="73"/>
      <c r="QHY220" s="73"/>
      <c r="QHZ220" s="73"/>
      <c r="QIA220" s="73"/>
      <c r="QIB220" s="73"/>
      <c r="QIC220" s="73"/>
      <c r="QID220" s="73"/>
      <c r="QIE220" s="73"/>
      <c r="QIF220" s="73"/>
      <c r="QIG220" s="73"/>
      <c r="QIH220" s="73"/>
      <c r="QII220" s="73"/>
      <c r="QIJ220" s="73"/>
      <c r="QIK220" s="73"/>
      <c r="QIL220" s="73"/>
      <c r="QIM220" s="73"/>
      <c r="QIN220" s="73"/>
      <c r="QIO220" s="73"/>
      <c r="QIP220" s="73"/>
      <c r="QIQ220" s="73"/>
      <c r="QIR220" s="73"/>
      <c r="QIS220" s="73"/>
      <c r="QIT220" s="73"/>
      <c r="QIU220" s="73"/>
      <c r="QIV220" s="73"/>
      <c r="QIW220" s="73"/>
      <c r="QIX220" s="73"/>
      <c r="QIY220" s="73"/>
      <c r="QIZ220" s="73"/>
      <c r="QJA220" s="73"/>
      <c r="QJB220" s="73"/>
      <c r="QJC220" s="73"/>
      <c r="QJD220" s="73"/>
      <c r="QJE220" s="73"/>
      <c r="QJF220" s="73"/>
      <c r="QJG220" s="73"/>
      <c r="QJH220" s="73"/>
      <c r="QJI220" s="73"/>
      <c r="QJJ220" s="73"/>
      <c r="QJK220" s="73"/>
      <c r="QJL220" s="73"/>
      <c r="QJM220" s="73"/>
      <c r="QJN220" s="73"/>
      <c r="QJO220" s="73"/>
      <c r="QJP220" s="73"/>
      <c r="QJQ220" s="73"/>
      <c r="QJR220" s="73"/>
      <c r="QJS220" s="73"/>
      <c r="QJT220" s="73"/>
      <c r="QJU220" s="73"/>
      <c r="QJV220" s="73"/>
      <c r="QJW220" s="73"/>
      <c r="QJX220" s="73"/>
      <c r="QJY220" s="73"/>
      <c r="QJZ220" s="73"/>
      <c r="QKA220" s="73"/>
      <c r="QKB220" s="73"/>
      <c r="QKC220" s="73"/>
      <c r="QKD220" s="73"/>
      <c r="QKE220" s="73"/>
      <c r="QKF220" s="73"/>
      <c r="QKG220" s="73"/>
      <c r="QKH220" s="73"/>
      <c r="QKI220" s="73"/>
      <c r="QKJ220" s="73"/>
      <c r="QKK220" s="73"/>
      <c r="QKL220" s="73"/>
      <c r="QKM220" s="73"/>
      <c r="QKN220" s="73"/>
      <c r="QKO220" s="73"/>
      <c r="QKP220" s="73"/>
      <c r="QKQ220" s="73"/>
      <c r="QKR220" s="73"/>
      <c r="QKS220" s="73"/>
      <c r="QKT220" s="73"/>
      <c r="QKU220" s="73"/>
      <c r="QKV220" s="73"/>
      <c r="QKW220" s="73"/>
      <c r="QKX220" s="73"/>
      <c r="QKY220" s="73"/>
      <c r="QKZ220" s="73"/>
      <c r="QLA220" s="73"/>
      <c r="QLB220" s="73"/>
      <c r="QLC220" s="73"/>
      <c r="QLD220" s="73"/>
      <c r="QLE220" s="73"/>
      <c r="QLF220" s="73"/>
      <c r="QLG220" s="73"/>
      <c r="QLH220" s="73"/>
      <c r="QLI220" s="73"/>
      <c r="QLJ220" s="73"/>
      <c r="QLK220" s="73"/>
      <c r="QLL220" s="73"/>
      <c r="QLM220" s="73"/>
      <c r="QLN220" s="73"/>
      <c r="QLO220" s="73"/>
      <c r="QLP220" s="73"/>
      <c r="QLQ220" s="73"/>
      <c r="QLR220" s="73"/>
      <c r="QLS220" s="73"/>
      <c r="QLT220" s="73"/>
      <c r="QLU220" s="73"/>
      <c r="QLV220" s="73"/>
      <c r="QLW220" s="73"/>
      <c r="QLX220" s="73"/>
      <c r="QLY220" s="73"/>
      <c r="QLZ220" s="73"/>
      <c r="QMA220" s="73"/>
      <c r="QMB220" s="73"/>
      <c r="QMC220" s="73"/>
      <c r="QMD220" s="73"/>
      <c r="QME220" s="73"/>
      <c r="QMF220" s="73"/>
      <c r="QMG220" s="73"/>
      <c r="QMH220" s="73"/>
      <c r="QMI220" s="73"/>
      <c r="QMJ220" s="73"/>
      <c r="QMK220" s="73"/>
      <c r="QML220" s="73"/>
      <c r="QMM220" s="73"/>
      <c r="QMN220" s="73"/>
      <c r="QMO220" s="73"/>
      <c r="QMP220" s="73"/>
      <c r="QMQ220" s="73"/>
      <c r="QMR220" s="73"/>
      <c r="QMS220" s="73"/>
      <c r="QMT220" s="73"/>
      <c r="QMU220" s="73"/>
      <c r="QMV220" s="73"/>
      <c r="QMW220" s="73"/>
      <c r="QMX220" s="73"/>
      <c r="QMY220" s="73"/>
      <c r="QMZ220" s="73"/>
      <c r="QNA220" s="73"/>
      <c r="QNB220" s="73"/>
      <c r="QNC220" s="73"/>
      <c r="QND220" s="73"/>
      <c r="QNE220" s="73"/>
      <c r="QNF220" s="73"/>
      <c r="QNG220" s="73"/>
      <c r="QNH220" s="73"/>
      <c r="QNI220" s="73"/>
      <c r="QNJ220" s="73"/>
      <c r="QNK220" s="73"/>
      <c r="QNL220" s="73"/>
      <c r="QNM220" s="73"/>
      <c r="QNN220" s="73"/>
      <c r="QNO220" s="73"/>
      <c r="QNP220" s="73"/>
      <c r="QNQ220" s="73"/>
      <c r="QNR220" s="73"/>
      <c r="QNS220" s="73"/>
      <c r="QNT220" s="73"/>
      <c r="QNU220" s="73"/>
      <c r="QNV220" s="73"/>
      <c r="QNW220" s="73"/>
      <c r="QNX220" s="73"/>
      <c r="QNY220" s="73"/>
      <c r="QNZ220" s="73"/>
      <c r="QOA220" s="73"/>
      <c r="QOB220" s="73"/>
      <c r="QOC220" s="73"/>
      <c r="QOD220" s="73"/>
      <c r="QOE220" s="73"/>
      <c r="QOF220" s="73"/>
      <c r="QOG220" s="73"/>
      <c r="QOH220" s="73"/>
      <c r="QOI220" s="73"/>
      <c r="QOJ220" s="73"/>
      <c r="QOK220" s="73"/>
      <c r="QOL220" s="73"/>
      <c r="QOM220" s="73"/>
      <c r="QON220" s="73"/>
      <c r="QOO220" s="73"/>
      <c r="QOP220" s="73"/>
      <c r="QOQ220" s="73"/>
      <c r="QOR220" s="73"/>
      <c r="QOS220" s="73"/>
      <c r="QOT220" s="73"/>
      <c r="QOU220" s="73"/>
      <c r="QOV220" s="73"/>
      <c r="QOW220" s="73"/>
      <c r="QOX220" s="73"/>
      <c r="QOY220" s="73"/>
      <c r="QOZ220" s="73"/>
      <c r="QPA220" s="73"/>
      <c r="QPB220" s="73"/>
      <c r="QPC220" s="73"/>
      <c r="QPD220" s="73"/>
      <c r="QPE220" s="73"/>
      <c r="QPF220" s="73"/>
      <c r="QPG220" s="73"/>
      <c r="QPH220" s="73"/>
      <c r="QPI220" s="73"/>
      <c r="QPJ220" s="73"/>
      <c r="QPK220" s="73"/>
      <c r="QPL220" s="73"/>
      <c r="QPM220" s="73"/>
      <c r="QPN220" s="73"/>
      <c r="QPO220" s="73"/>
      <c r="QPP220" s="73"/>
      <c r="QPQ220" s="73"/>
      <c r="QPR220" s="73"/>
      <c r="QPS220" s="73"/>
      <c r="QPT220" s="73"/>
      <c r="QPU220" s="73"/>
      <c r="QPV220" s="73"/>
      <c r="QPW220" s="73"/>
      <c r="QPX220" s="73"/>
      <c r="QPY220" s="73"/>
      <c r="QPZ220" s="73"/>
      <c r="QQA220" s="73"/>
      <c r="QQB220" s="73"/>
      <c r="QQC220" s="73"/>
      <c r="QQD220" s="73"/>
      <c r="QQE220" s="73"/>
      <c r="QQF220" s="73"/>
      <c r="QQG220" s="73"/>
      <c r="QQH220" s="73"/>
      <c r="QQI220" s="73"/>
      <c r="QQJ220" s="73"/>
      <c r="QQK220" s="73"/>
      <c r="QQL220" s="73"/>
      <c r="QQM220" s="73"/>
      <c r="QQN220" s="73"/>
      <c r="QQO220" s="73"/>
      <c r="QQP220" s="73"/>
      <c r="QQQ220" s="73"/>
      <c r="QQR220" s="73"/>
      <c r="QQS220" s="73"/>
      <c r="QQT220" s="73"/>
      <c r="QQU220" s="73"/>
      <c r="QQV220" s="73"/>
      <c r="QQW220" s="73"/>
      <c r="QQX220" s="73"/>
      <c r="QQY220" s="73"/>
      <c r="QQZ220" s="73"/>
      <c r="QRA220" s="73"/>
      <c r="QRB220" s="73"/>
      <c r="QRC220" s="73"/>
      <c r="QRD220" s="73"/>
      <c r="QRE220" s="73"/>
      <c r="QRF220" s="73"/>
      <c r="QRG220" s="73"/>
      <c r="QRH220" s="73"/>
      <c r="QRI220" s="73"/>
      <c r="QRJ220" s="73"/>
      <c r="QRK220" s="73"/>
      <c r="QRL220" s="73"/>
      <c r="QRM220" s="73"/>
      <c r="QRN220" s="73"/>
      <c r="QRO220" s="73"/>
      <c r="QRP220" s="73"/>
      <c r="QRQ220" s="73"/>
      <c r="QRR220" s="73"/>
      <c r="QRS220" s="73"/>
      <c r="QRT220" s="73"/>
      <c r="QRU220" s="73"/>
      <c r="QRV220" s="73"/>
      <c r="QRW220" s="73"/>
      <c r="QRX220" s="73"/>
      <c r="QRY220" s="73"/>
      <c r="QRZ220" s="73"/>
      <c r="QSA220" s="73"/>
      <c r="QSB220" s="73"/>
      <c r="QSC220" s="73"/>
      <c r="QSD220" s="73"/>
      <c r="QSE220" s="73"/>
      <c r="QSF220" s="73"/>
      <c r="QSG220" s="73"/>
      <c r="QSH220" s="73"/>
      <c r="QSI220" s="73"/>
      <c r="QSJ220" s="73"/>
      <c r="QSK220" s="73"/>
      <c r="QSL220" s="73"/>
      <c r="QSM220" s="73"/>
      <c r="QSN220" s="73"/>
      <c r="QSO220" s="73"/>
      <c r="QSP220" s="73"/>
      <c r="QSQ220" s="73"/>
      <c r="QSR220" s="73"/>
      <c r="QSS220" s="73"/>
      <c r="QST220" s="73"/>
      <c r="QSU220" s="73"/>
      <c r="QSV220" s="73"/>
      <c r="QSW220" s="73"/>
      <c r="QSX220" s="73"/>
      <c r="QSY220" s="73"/>
      <c r="QSZ220" s="73"/>
      <c r="QTA220" s="73"/>
      <c r="QTB220" s="73"/>
      <c r="QTC220" s="73"/>
      <c r="QTD220" s="73"/>
      <c r="QTE220" s="73"/>
      <c r="QTF220" s="73"/>
      <c r="QTG220" s="73"/>
      <c r="QTH220" s="73"/>
      <c r="QTI220" s="73"/>
      <c r="QTJ220" s="73"/>
      <c r="QTK220" s="73"/>
      <c r="QTL220" s="73"/>
      <c r="QTM220" s="73"/>
      <c r="QTN220" s="73"/>
      <c r="QTO220" s="73"/>
      <c r="QTP220" s="73"/>
      <c r="QTQ220" s="73"/>
      <c r="QTR220" s="73"/>
      <c r="QTS220" s="73"/>
      <c r="QTT220" s="73"/>
      <c r="QTU220" s="73"/>
      <c r="QTV220" s="73"/>
      <c r="QTW220" s="73"/>
      <c r="QTX220" s="73"/>
      <c r="QTY220" s="73"/>
      <c r="QTZ220" s="73"/>
      <c r="QUA220" s="73"/>
      <c r="QUB220" s="73"/>
      <c r="QUC220" s="73"/>
      <c r="QUD220" s="73"/>
      <c r="QUE220" s="73"/>
      <c r="QUF220" s="73"/>
      <c r="QUG220" s="73"/>
      <c r="QUH220" s="73"/>
      <c r="QUI220" s="73"/>
      <c r="QUJ220" s="73"/>
      <c r="QUK220" s="73"/>
      <c r="QUL220" s="73"/>
      <c r="QUM220" s="73"/>
      <c r="QUN220" s="73"/>
      <c r="QUO220" s="73"/>
      <c r="QUP220" s="73"/>
      <c r="QUQ220" s="73"/>
      <c r="QUR220" s="73"/>
      <c r="QUS220" s="73"/>
      <c r="QUT220" s="73"/>
      <c r="QUU220" s="73"/>
      <c r="QUV220" s="73"/>
      <c r="QUW220" s="73"/>
      <c r="QUX220" s="73"/>
      <c r="QUY220" s="73"/>
      <c r="QUZ220" s="73"/>
      <c r="QVA220" s="73"/>
      <c r="QVB220" s="73"/>
      <c r="QVC220" s="73"/>
      <c r="QVD220" s="73"/>
      <c r="QVE220" s="73"/>
      <c r="QVF220" s="73"/>
      <c r="QVG220" s="73"/>
      <c r="QVH220" s="73"/>
      <c r="QVI220" s="73"/>
      <c r="QVJ220" s="73"/>
      <c r="QVK220" s="73"/>
      <c r="QVL220" s="73"/>
      <c r="QVM220" s="73"/>
      <c r="QVN220" s="73"/>
      <c r="QVO220" s="73"/>
      <c r="QVP220" s="73"/>
      <c r="QVQ220" s="73"/>
      <c r="QVR220" s="73"/>
      <c r="QVS220" s="73"/>
      <c r="QVT220" s="73"/>
      <c r="QVU220" s="73"/>
      <c r="QVV220" s="73"/>
      <c r="QVW220" s="73"/>
      <c r="QVX220" s="73"/>
      <c r="QVY220" s="73"/>
      <c r="QVZ220" s="73"/>
      <c r="QWA220" s="73"/>
      <c r="QWB220" s="73"/>
      <c r="QWC220" s="73"/>
      <c r="QWD220" s="73"/>
      <c r="QWE220" s="73"/>
      <c r="QWF220" s="73"/>
      <c r="QWG220" s="73"/>
      <c r="QWH220" s="73"/>
      <c r="QWI220" s="73"/>
      <c r="QWJ220" s="73"/>
      <c r="QWK220" s="73"/>
      <c r="QWL220" s="73"/>
      <c r="QWM220" s="73"/>
      <c r="QWN220" s="73"/>
      <c r="QWO220" s="73"/>
      <c r="QWP220" s="73"/>
      <c r="QWQ220" s="73"/>
      <c r="QWR220" s="73"/>
      <c r="QWS220" s="73"/>
      <c r="QWT220" s="73"/>
      <c r="QWU220" s="73"/>
      <c r="QWV220" s="73"/>
      <c r="QWW220" s="73"/>
      <c r="QWX220" s="73"/>
      <c r="QWY220" s="73"/>
      <c r="QWZ220" s="73"/>
      <c r="QXA220" s="73"/>
      <c r="QXB220" s="73"/>
      <c r="QXC220" s="73"/>
      <c r="QXD220" s="73"/>
      <c r="QXE220" s="73"/>
      <c r="QXF220" s="73"/>
      <c r="QXG220" s="73"/>
      <c r="QXH220" s="73"/>
      <c r="QXI220" s="73"/>
      <c r="QXJ220" s="73"/>
      <c r="QXK220" s="73"/>
      <c r="QXL220" s="73"/>
      <c r="QXM220" s="73"/>
      <c r="QXN220" s="73"/>
      <c r="QXO220" s="73"/>
      <c r="QXP220" s="73"/>
      <c r="QXQ220" s="73"/>
      <c r="QXR220" s="73"/>
      <c r="QXS220" s="73"/>
      <c r="QXT220" s="73"/>
      <c r="QXU220" s="73"/>
      <c r="QXV220" s="73"/>
      <c r="QXW220" s="73"/>
      <c r="QXX220" s="73"/>
      <c r="QXY220" s="73"/>
      <c r="QXZ220" s="73"/>
      <c r="QYA220" s="73"/>
      <c r="QYB220" s="73"/>
      <c r="QYC220" s="73"/>
      <c r="QYD220" s="73"/>
      <c r="QYE220" s="73"/>
      <c r="QYF220" s="73"/>
      <c r="QYG220" s="73"/>
      <c r="QYH220" s="73"/>
      <c r="QYI220" s="73"/>
      <c r="QYJ220" s="73"/>
      <c r="QYK220" s="73"/>
      <c r="QYL220" s="73"/>
      <c r="QYM220" s="73"/>
      <c r="QYN220" s="73"/>
      <c r="QYO220" s="73"/>
      <c r="QYP220" s="73"/>
      <c r="QYQ220" s="73"/>
      <c r="QYR220" s="73"/>
      <c r="QYS220" s="73"/>
      <c r="QYT220" s="73"/>
      <c r="QYU220" s="73"/>
      <c r="QYV220" s="73"/>
      <c r="QYW220" s="73"/>
      <c r="QYX220" s="73"/>
      <c r="QYY220" s="73"/>
      <c r="QYZ220" s="73"/>
      <c r="QZA220" s="73"/>
      <c r="QZB220" s="73"/>
      <c r="QZC220" s="73"/>
      <c r="QZD220" s="73"/>
      <c r="QZE220" s="73"/>
      <c r="QZF220" s="73"/>
      <c r="QZG220" s="73"/>
      <c r="QZH220" s="73"/>
      <c r="QZI220" s="73"/>
      <c r="QZJ220" s="73"/>
      <c r="QZK220" s="73"/>
      <c r="QZL220" s="73"/>
      <c r="QZM220" s="73"/>
      <c r="QZN220" s="73"/>
      <c r="QZO220" s="73"/>
      <c r="QZP220" s="73"/>
      <c r="QZQ220" s="73"/>
      <c r="QZR220" s="73"/>
      <c r="QZS220" s="73"/>
      <c r="QZT220" s="73"/>
      <c r="QZU220" s="73"/>
      <c r="QZV220" s="73"/>
      <c r="QZW220" s="73"/>
      <c r="QZX220" s="73"/>
      <c r="QZY220" s="73"/>
      <c r="QZZ220" s="73"/>
      <c r="RAA220" s="73"/>
      <c r="RAB220" s="73"/>
      <c r="RAC220" s="73"/>
      <c r="RAD220" s="73"/>
      <c r="RAE220" s="73"/>
      <c r="RAF220" s="73"/>
      <c r="RAG220" s="73"/>
      <c r="RAH220" s="73"/>
      <c r="RAI220" s="73"/>
      <c r="RAJ220" s="73"/>
      <c r="RAK220" s="73"/>
      <c r="RAL220" s="73"/>
      <c r="RAM220" s="73"/>
      <c r="RAN220" s="73"/>
      <c r="RAO220" s="73"/>
      <c r="RAP220" s="73"/>
      <c r="RAQ220" s="73"/>
      <c r="RAR220" s="73"/>
      <c r="RAS220" s="73"/>
      <c r="RAT220" s="73"/>
      <c r="RAU220" s="73"/>
      <c r="RAV220" s="73"/>
      <c r="RAW220" s="73"/>
      <c r="RAX220" s="73"/>
      <c r="RAY220" s="73"/>
      <c r="RAZ220" s="73"/>
      <c r="RBA220" s="73"/>
      <c r="RBB220" s="73"/>
      <c r="RBC220" s="73"/>
      <c r="RBD220" s="73"/>
      <c r="RBE220" s="73"/>
      <c r="RBF220" s="73"/>
      <c r="RBG220" s="73"/>
      <c r="RBH220" s="73"/>
      <c r="RBI220" s="73"/>
      <c r="RBJ220" s="73"/>
      <c r="RBK220" s="73"/>
      <c r="RBL220" s="73"/>
      <c r="RBM220" s="73"/>
      <c r="RBN220" s="73"/>
      <c r="RBO220" s="73"/>
      <c r="RBP220" s="73"/>
      <c r="RBQ220" s="73"/>
      <c r="RBR220" s="73"/>
      <c r="RBS220" s="73"/>
      <c r="RBT220" s="73"/>
      <c r="RBU220" s="73"/>
      <c r="RBV220" s="73"/>
      <c r="RBW220" s="73"/>
      <c r="RBX220" s="73"/>
      <c r="RBY220" s="73"/>
      <c r="RBZ220" s="73"/>
      <c r="RCA220" s="73"/>
      <c r="RCB220" s="73"/>
      <c r="RCC220" s="73"/>
      <c r="RCD220" s="73"/>
      <c r="RCE220" s="73"/>
      <c r="RCF220" s="73"/>
      <c r="RCG220" s="73"/>
      <c r="RCH220" s="73"/>
      <c r="RCI220" s="73"/>
      <c r="RCJ220" s="73"/>
      <c r="RCK220" s="73"/>
      <c r="RCL220" s="73"/>
      <c r="RCM220" s="73"/>
      <c r="RCN220" s="73"/>
      <c r="RCO220" s="73"/>
      <c r="RCP220" s="73"/>
      <c r="RCQ220" s="73"/>
      <c r="RCR220" s="73"/>
      <c r="RCS220" s="73"/>
      <c r="RCT220" s="73"/>
      <c r="RCU220" s="73"/>
      <c r="RCV220" s="73"/>
      <c r="RCW220" s="73"/>
      <c r="RCX220" s="73"/>
      <c r="RCY220" s="73"/>
      <c r="RCZ220" s="73"/>
      <c r="RDA220" s="73"/>
      <c r="RDB220" s="73"/>
      <c r="RDC220" s="73"/>
      <c r="RDD220" s="73"/>
      <c r="RDE220" s="73"/>
      <c r="RDF220" s="73"/>
      <c r="RDG220" s="73"/>
      <c r="RDH220" s="73"/>
      <c r="RDI220" s="73"/>
      <c r="RDJ220" s="73"/>
      <c r="RDK220" s="73"/>
      <c r="RDL220" s="73"/>
      <c r="RDM220" s="73"/>
      <c r="RDN220" s="73"/>
      <c r="RDO220" s="73"/>
      <c r="RDP220" s="73"/>
      <c r="RDQ220" s="73"/>
      <c r="RDR220" s="73"/>
      <c r="RDS220" s="73"/>
      <c r="RDT220" s="73"/>
      <c r="RDU220" s="73"/>
      <c r="RDV220" s="73"/>
      <c r="RDW220" s="73"/>
      <c r="RDX220" s="73"/>
      <c r="RDY220" s="73"/>
      <c r="RDZ220" s="73"/>
      <c r="REA220" s="73"/>
      <c r="REB220" s="73"/>
      <c r="REC220" s="73"/>
      <c r="RED220" s="73"/>
      <c r="REE220" s="73"/>
      <c r="REF220" s="73"/>
      <c r="REG220" s="73"/>
      <c r="REH220" s="73"/>
      <c r="REI220" s="73"/>
      <c r="REJ220" s="73"/>
      <c r="REK220" s="73"/>
      <c r="REL220" s="73"/>
      <c r="REM220" s="73"/>
      <c r="REN220" s="73"/>
      <c r="REO220" s="73"/>
      <c r="REP220" s="73"/>
      <c r="REQ220" s="73"/>
      <c r="RER220" s="73"/>
      <c r="RES220" s="73"/>
      <c r="RET220" s="73"/>
      <c r="REU220" s="73"/>
      <c r="REV220" s="73"/>
      <c r="REW220" s="73"/>
      <c r="REX220" s="73"/>
      <c r="REY220" s="73"/>
      <c r="REZ220" s="73"/>
      <c r="RFA220" s="73"/>
      <c r="RFB220" s="73"/>
      <c r="RFC220" s="73"/>
      <c r="RFD220" s="73"/>
      <c r="RFE220" s="73"/>
      <c r="RFF220" s="73"/>
      <c r="RFG220" s="73"/>
      <c r="RFH220" s="73"/>
      <c r="RFI220" s="73"/>
      <c r="RFJ220" s="73"/>
      <c r="RFK220" s="73"/>
      <c r="RFL220" s="73"/>
      <c r="RFM220" s="73"/>
      <c r="RFN220" s="73"/>
      <c r="RFO220" s="73"/>
      <c r="RFP220" s="73"/>
      <c r="RFQ220" s="73"/>
      <c r="RFR220" s="73"/>
      <c r="RFS220" s="73"/>
      <c r="RFT220" s="73"/>
      <c r="RFU220" s="73"/>
      <c r="RFV220" s="73"/>
      <c r="RFW220" s="73"/>
      <c r="RFX220" s="73"/>
      <c r="RFY220" s="73"/>
      <c r="RFZ220" s="73"/>
      <c r="RGA220" s="73"/>
      <c r="RGB220" s="73"/>
      <c r="RGC220" s="73"/>
      <c r="RGD220" s="73"/>
      <c r="RGE220" s="73"/>
      <c r="RGF220" s="73"/>
      <c r="RGG220" s="73"/>
      <c r="RGH220" s="73"/>
      <c r="RGI220" s="73"/>
      <c r="RGJ220" s="73"/>
      <c r="RGK220" s="73"/>
      <c r="RGL220" s="73"/>
      <c r="RGM220" s="73"/>
      <c r="RGN220" s="73"/>
      <c r="RGO220" s="73"/>
      <c r="RGP220" s="73"/>
      <c r="RGQ220" s="73"/>
      <c r="RGR220" s="73"/>
      <c r="RGS220" s="73"/>
      <c r="RGT220" s="73"/>
      <c r="RGU220" s="73"/>
      <c r="RGV220" s="73"/>
      <c r="RGW220" s="73"/>
      <c r="RGX220" s="73"/>
      <c r="RGY220" s="73"/>
      <c r="RGZ220" s="73"/>
      <c r="RHA220" s="73"/>
      <c r="RHB220" s="73"/>
      <c r="RHC220" s="73"/>
      <c r="RHD220" s="73"/>
      <c r="RHE220" s="73"/>
      <c r="RHF220" s="73"/>
      <c r="RHG220" s="73"/>
      <c r="RHH220" s="73"/>
      <c r="RHI220" s="73"/>
      <c r="RHJ220" s="73"/>
      <c r="RHK220" s="73"/>
      <c r="RHL220" s="73"/>
      <c r="RHM220" s="73"/>
      <c r="RHN220" s="73"/>
      <c r="RHO220" s="73"/>
      <c r="RHP220" s="73"/>
      <c r="RHQ220" s="73"/>
      <c r="RHR220" s="73"/>
      <c r="RHS220" s="73"/>
      <c r="RHT220" s="73"/>
      <c r="RHU220" s="73"/>
      <c r="RHV220" s="73"/>
      <c r="RHW220" s="73"/>
      <c r="RHX220" s="73"/>
      <c r="RHY220" s="73"/>
      <c r="RHZ220" s="73"/>
      <c r="RIA220" s="73"/>
      <c r="RIB220" s="73"/>
      <c r="RIC220" s="73"/>
      <c r="RID220" s="73"/>
      <c r="RIE220" s="73"/>
      <c r="RIF220" s="73"/>
      <c r="RIG220" s="73"/>
      <c r="RIH220" s="73"/>
      <c r="RII220" s="73"/>
      <c r="RIJ220" s="73"/>
      <c r="RIK220" s="73"/>
      <c r="RIL220" s="73"/>
      <c r="RIM220" s="73"/>
      <c r="RIN220" s="73"/>
      <c r="RIO220" s="73"/>
      <c r="RIP220" s="73"/>
      <c r="RIQ220" s="73"/>
      <c r="RIR220" s="73"/>
      <c r="RIS220" s="73"/>
      <c r="RIT220" s="73"/>
      <c r="RIU220" s="73"/>
      <c r="RIV220" s="73"/>
      <c r="RIW220" s="73"/>
      <c r="RIX220" s="73"/>
      <c r="RIY220" s="73"/>
      <c r="RIZ220" s="73"/>
      <c r="RJA220" s="73"/>
      <c r="RJB220" s="73"/>
      <c r="RJC220" s="73"/>
      <c r="RJD220" s="73"/>
      <c r="RJE220" s="73"/>
      <c r="RJF220" s="73"/>
      <c r="RJG220" s="73"/>
      <c r="RJH220" s="73"/>
      <c r="RJI220" s="73"/>
      <c r="RJJ220" s="73"/>
      <c r="RJK220" s="73"/>
      <c r="RJL220" s="73"/>
      <c r="RJM220" s="73"/>
      <c r="RJN220" s="73"/>
      <c r="RJO220" s="73"/>
      <c r="RJP220" s="73"/>
      <c r="RJQ220" s="73"/>
      <c r="RJR220" s="73"/>
      <c r="RJS220" s="73"/>
      <c r="RJT220" s="73"/>
      <c r="RJU220" s="73"/>
      <c r="RJV220" s="73"/>
      <c r="RJW220" s="73"/>
      <c r="RJX220" s="73"/>
      <c r="RJY220" s="73"/>
      <c r="RJZ220" s="73"/>
      <c r="RKA220" s="73"/>
      <c r="RKB220" s="73"/>
      <c r="RKC220" s="73"/>
      <c r="RKD220" s="73"/>
      <c r="RKE220" s="73"/>
      <c r="RKF220" s="73"/>
      <c r="RKG220" s="73"/>
      <c r="RKH220" s="73"/>
      <c r="RKI220" s="73"/>
      <c r="RKJ220" s="73"/>
      <c r="RKK220" s="73"/>
      <c r="RKL220" s="73"/>
      <c r="RKM220" s="73"/>
      <c r="RKN220" s="73"/>
      <c r="RKO220" s="73"/>
      <c r="RKP220" s="73"/>
      <c r="RKQ220" s="73"/>
      <c r="RKR220" s="73"/>
      <c r="RKS220" s="73"/>
      <c r="RKT220" s="73"/>
      <c r="RKU220" s="73"/>
      <c r="RKV220" s="73"/>
      <c r="RKW220" s="73"/>
      <c r="RKX220" s="73"/>
      <c r="RKY220" s="73"/>
      <c r="RKZ220" s="73"/>
      <c r="RLA220" s="73"/>
      <c r="RLB220" s="73"/>
      <c r="RLC220" s="73"/>
      <c r="RLD220" s="73"/>
      <c r="RLE220" s="73"/>
      <c r="RLF220" s="73"/>
      <c r="RLG220" s="73"/>
      <c r="RLH220" s="73"/>
      <c r="RLI220" s="73"/>
      <c r="RLJ220" s="73"/>
      <c r="RLK220" s="73"/>
      <c r="RLL220" s="73"/>
      <c r="RLM220" s="73"/>
      <c r="RLN220" s="73"/>
      <c r="RLO220" s="73"/>
      <c r="RLP220" s="73"/>
      <c r="RLQ220" s="73"/>
      <c r="RLR220" s="73"/>
      <c r="RLS220" s="73"/>
      <c r="RLT220" s="73"/>
      <c r="RLU220" s="73"/>
      <c r="RLV220" s="73"/>
      <c r="RLW220" s="73"/>
      <c r="RLX220" s="73"/>
      <c r="RLY220" s="73"/>
      <c r="RLZ220" s="73"/>
      <c r="RMA220" s="73"/>
      <c r="RMB220" s="73"/>
      <c r="RMC220" s="73"/>
      <c r="RMD220" s="73"/>
      <c r="RME220" s="73"/>
      <c r="RMF220" s="73"/>
      <c r="RMG220" s="73"/>
      <c r="RMH220" s="73"/>
      <c r="RMI220" s="73"/>
      <c r="RMJ220" s="73"/>
      <c r="RMK220" s="73"/>
      <c r="RML220" s="73"/>
      <c r="RMM220" s="73"/>
      <c r="RMN220" s="73"/>
      <c r="RMO220" s="73"/>
      <c r="RMP220" s="73"/>
      <c r="RMQ220" s="73"/>
      <c r="RMR220" s="73"/>
      <c r="RMS220" s="73"/>
      <c r="RMT220" s="73"/>
      <c r="RMU220" s="73"/>
      <c r="RMV220" s="73"/>
      <c r="RMW220" s="73"/>
      <c r="RMX220" s="73"/>
      <c r="RMY220" s="73"/>
      <c r="RMZ220" s="73"/>
      <c r="RNA220" s="73"/>
      <c r="RNB220" s="73"/>
      <c r="RNC220" s="73"/>
      <c r="RND220" s="73"/>
      <c r="RNE220" s="73"/>
      <c r="RNF220" s="73"/>
      <c r="RNG220" s="73"/>
      <c r="RNH220" s="73"/>
      <c r="RNI220" s="73"/>
      <c r="RNJ220" s="73"/>
      <c r="RNK220" s="73"/>
      <c r="RNL220" s="73"/>
      <c r="RNM220" s="73"/>
      <c r="RNN220" s="73"/>
      <c r="RNO220" s="73"/>
      <c r="RNP220" s="73"/>
      <c r="RNQ220" s="73"/>
      <c r="RNR220" s="73"/>
      <c r="RNS220" s="73"/>
      <c r="RNT220" s="73"/>
      <c r="RNU220" s="73"/>
      <c r="RNV220" s="73"/>
      <c r="RNW220" s="73"/>
      <c r="RNX220" s="73"/>
      <c r="RNY220" s="73"/>
      <c r="RNZ220" s="73"/>
      <c r="ROA220" s="73"/>
      <c r="ROB220" s="73"/>
      <c r="ROC220" s="73"/>
      <c r="ROD220" s="73"/>
      <c r="ROE220" s="73"/>
      <c r="ROF220" s="73"/>
      <c r="ROG220" s="73"/>
      <c r="ROH220" s="73"/>
      <c r="ROI220" s="73"/>
      <c r="ROJ220" s="73"/>
      <c r="ROK220" s="73"/>
      <c r="ROL220" s="73"/>
      <c r="ROM220" s="73"/>
      <c r="RON220" s="73"/>
      <c r="ROO220" s="73"/>
      <c r="ROP220" s="73"/>
      <c r="ROQ220" s="73"/>
      <c r="ROR220" s="73"/>
      <c r="ROS220" s="73"/>
      <c r="ROT220" s="73"/>
      <c r="ROU220" s="73"/>
      <c r="ROV220" s="73"/>
      <c r="ROW220" s="73"/>
      <c r="ROX220" s="73"/>
      <c r="ROY220" s="73"/>
      <c r="ROZ220" s="73"/>
      <c r="RPA220" s="73"/>
      <c r="RPB220" s="73"/>
      <c r="RPC220" s="73"/>
      <c r="RPD220" s="73"/>
      <c r="RPE220" s="73"/>
      <c r="RPF220" s="73"/>
      <c r="RPG220" s="73"/>
      <c r="RPH220" s="73"/>
      <c r="RPI220" s="73"/>
      <c r="RPJ220" s="73"/>
      <c r="RPK220" s="73"/>
      <c r="RPL220" s="73"/>
      <c r="RPM220" s="73"/>
      <c r="RPN220" s="73"/>
      <c r="RPO220" s="73"/>
      <c r="RPP220" s="73"/>
      <c r="RPQ220" s="73"/>
      <c r="RPR220" s="73"/>
      <c r="RPS220" s="73"/>
      <c r="RPT220" s="73"/>
      <c r="RPU220" s="73"/>
      <c r="RPV220" s="73"/>
      <c r="RPW220" s="73"/>
      <c r="RPX220" s="73"/>
      <c r="RPY220" s="73"/>
      <c r="RPZ220" s="73"/>
      <c r="RQA220" s="73"/>
      <c r="RQB220" s="73"/>
      <c r="RQC220" s="73"/>
      <c r="RQD220" s="73"/>
      <c r="RQE220" s="73"/>
      <c r="RQF220" s="73"/>
      <c r="RQG220" s="73"/>
      <c r="RQH220" s="73"/>
      <c r="RQI220" s="73"/>
      <c r="RQJ220" s="73"/>
      <c r="RQK220" s="73"/>
      <c r="RQL220" s="73"/>
      <c r="RQM220" s="73"/>
      <c r="RQN220" s="73"/>
      <c r="RQO220" s="73"/>
      <c r="RQP220" s="73"/>
      <c r="RQQ220" s="73"/>
      <c r="RQR220" s="73"/>
      <c r="RQS220" s="73"/>
      <c r="RQT220" s="73"/>
      <c r="RQU220" s="73"/>
      <c r="RQV220" s="73"/>
      <c r="RQW220" s="73"/>
      <c r="RQX220" s="73"/>
      <c r="RQY220" s="73"/>
      <c r="RQZ220" s="73"/>
      <c r="RRA220" s="73"/>
      <c r="RRB220" s="73"/>
      <c r="RRC220" s="73"/>
      <c r="RRD220" s="73"/>
      <c r="RRE220" s="73"/>
      <c r="RRF220" s="73"/>
      <c r="RRG220" s="73"/>
      <c r="RRH220" s="73"/>
      <c r="RRI220" s="73"/>
      <c r="RRJ220" s="73"/>
      <c r="RRK220" s="73"/>
      <c r="RRL220" s="73"/>
      <c r="RRM220" s="73"/>
      <c r="RRN220" s="73"/>
      <c r="RRO220" s="73"/>
      <c r="RRP220" s="73"/>
      <c r="RRQ220" s="73"/>
      <c r="RRR220" s="73"/>
      <c r="RRS220" s="73"/>
      <c r="RRT220" s="73"/>
      <c r="RRU220" s="73"/>
      <c r="RRV220" s="73"/>
      <c r="RRW220" s="73"/>
      <c r="RRX220" s="73"/>
      <c r="RRY220" s="73"/>
      <c r="RRZ220" s="73"/>
      <c r="RSA220" s="73"/>
      <c r="RSB220" s="73"/>
      <c r="RSC220" s="73"/>
      <c r="RSD220" s="73"/>
      <c r="RSE220" s="73"/>
      <c r="RSF220" s="73"/>
      <c r="RSG220" s="73"/>
      <c r="RSH220" s="73"/>
      <c r="RSI220" s="73"/>
      <c r="RSJ220" s="73"/>
      <c r="RSK220" s="73"/>
      <c r="RSL220" s="73"/>
      <c r="RSM220" s="73"/>
      <c r="RSN220" s="73"/>
      <c r="RSO220" s="73"/>
      <c r="RSP220" s="73"/>
      <c r="RSQ220" s="73"/>
      <c r="RSR220" s="73"/>
      <c r="RSS220" s="73"/>
      <c r="RST220" s="73"/>
      <c r="RSU220" s="73"/>
      <c r="RSV220" s="73"/>
      <c r="RSW220" s="73"/>
      <c r="RSX220" s="73"/>
      <c r="RSY220" s="73"/>
      <c r="RSZ220" s="73"/>
      <c r="RTA220" s="73"/>
      <c r="RTB220" s="73"/>
      <c r="RTC220" s="73"/>
      <c r="RTD220" s="73"/>
      <c r="RTE220" s="73"/>
      <c r="RTF220" s="73"/>
      <c r="RTG220" s="73"/>
      <c r="RTH220" s="73"/>
      <c r="RTI220" s="73"/>
      <c r="RTJ220" s="73"/>
      <c r="RTK220" s="73"/>
      <c r="RTL220" s="73"/>
      <c r="RTM220" s="73"/>
      <c r="RTN220" s="73"/>
      <c r="RTO220" s="73"/>
      <c r="RTP220" s="73"/>
      <c r="RTQ220" s="73"/>
      <c r="RTR220" s="73"/>
      <c r="RTS220" s="73"/>
      <c r="RTT220" s="73"/>
      <c r="RTU220" s="73"/>
      <c r="RTV220" s="73"/>
      <c r="RTW220" s="73"/>
      <c r="RTX220" s="73"/>
      <c r="RTY220" s="73"/>
      <c r="RTZ220" s="73"/>
      <c r="RUA220" s="73"/>
      <c r="RUB220" s="73"/>
      <c r="RUC220" s="73"/>
      <c r="RUD220" s="73"/>
      <c r="RUE220" s="73"/>
      <c r="RUF220" s="73"/>
      <c r="RUG220" s="73"/>
      <c r="RUH220" s="73"/>
      <c r="RUI220" s="73"/>
      <c r="RUJ220" s="73"/>
      <c r="RUK220" s="73"/>
      <c r="RUL220" s="73"/>
      <c r="RUM220" s="73"/>
      <c r="RUN220" s="73"/>
      <c r="RUO220" s="73"/>
      <c r="RUP220" s="73"/>
      <c r="RUQ220" s="73"/>
      <c r="RUR220" s="73"/>
      <c r="RUS220" s="73"/>
      <c r="RUT220" s="73"/>
      <c r="RUU220" s="73"/>
      <c r="RUV220" s="73"/>
      <c r="RUW220" s="73"/>
      <c r="RUX220" s="73"/>
      <c r="RUY220" s="73"/>
      <c r="RUZ220" s="73"/>
      <c r="RVA220" s="73"/>
      <c r="RVB220" s="73"/>
      <c r="RVC220" s="73"/>
      <c r="RVD220" s="73"/>
      <c r="RVE220" s="73"/>
      <c r="RVF220" s="73"/>
      <c r="RVG220" s="73"/>
      <c r="RVH220" s="73"/>
      <c r="RVI220" s="73"/>
      <c r="RVJ220" s="73"/>
      <c r="RVK220" s="73"/>
      <c r="RVL220" s="73"/>
      <c r="RVM220" s="73"/>
      <c r="RVN220" s="73"/>
      <c r="RVO220" s="73"/>
      <c r="RVP220" s="73"/>
      <c r="RVQ220" s="73"/>
      <c r="RVR220" s="73"/>
      <c r="RVS220" s="73"/>
      <c r="RVT220" s="73"/>
      <c r="RVU220" s="73"/>
      <c r="RVV220" s="73"/>
      <c r="RVW220" s="73"/>
      <c r="RVX220" s="73"/>
      <c r="RVY220" s="73"/>
      <c r="RVZ220" s="73"/>
      <c r="RWA220" s="73"/>
      <c r="RWB220" s="73"/>
      <c r="RWC220" s="73"/>
      <c r="RWD220" s="73"/>
      <c r="RWE220" s="73"/>
      <c r="RWF220" s="73"/>
      <c r="RWG220" s="73"/>
      <c r="RWH220" s="73"/>
      <c r="RWI220" s="73"/>
      <c r="RWJ220" s="73"/>
      <c r="RWK220" s="73"/>
      <c r="RWL220" s="73"/>
      <c r="RWM220" s="73"/>
      <c r="RWN220" s="73"/>
      <c r="RWO220" s="73"/>
      <c r="RWP220" s="73"/>
      <c r="RWQ220" s="73"/>
      <c r="RWR220" s="73"/>
      <c r="RWS220" s="73"/>
      <c r="RWT220" s="73"/>
      <c r="RWU220" s="73"/>
      <c r="RWV220" s="73"/>
      <c r="RWW220" s="73"/>
      <c r="RWX220" s="73"/>
      <c r="RWY220" s="73"/>
      <c r="RWZ220" s="73"/>
      <c r="RXA220" s="73"/>
      <c r="RXB220" s="73"/>
      <c r="RXC220" s="73"/>
      <c r="RXD220" s="73"/>
      <c r="RXE220" s="73"/>
      <c r="RXF220" s="73"/>
      <c r="RXG220" s="73"/>
      <c r="RXH220" s="73"/>
      <c r="RXI220" s="73"/>
      <c r="RXJ220" s="73"/>
      <c r="RXK220" s="73"/>
      <c r="RXL220" s="73"/>
      <c r="RXM220" s="73"/>
      <c r="RXN220" s="73"/>
      <c r="RXO220" s="73"/>
      <c r="RXP220" s="73"/>
      <c r="RXQ220" s="73"/>
      <c r="RXR220" s="73"/>
      <c r="RXS220" s="73"/>
      <c r="RXT220" s="73"/>
      <c r="RXU220" s="73"/>
      <c r="RXV220" s="73"/>
      <c r="RXW220" s="73"/>
      <c r="RXX220" s="73"/>
      <c r="RXY220" s="73"/>
      <c r="RXZ220" s="73"/>
      <c r="RYA220" s="73"/>
      <c r="RYB220" s="73"/>
      <c r="RYC220" s="73"/>
      <c r="RYD220" s="73"/>
      <c r="RYE220" s="73"/>
      <c r="RYF220" s="73"/>
      <c r="RYG220" s="73"/>
      <c r="RYH220" s="73"/>
      <c r="RYI220" s="73"/>
      <c r="RYJ220" s="73"/>
      <c r="RYK220" s="73"/>
      <c r="RYL220" s="73"/>
      <c r="RYM220" s="73"/>
      <c r="RYN220" s="73"/>
      <c r="RYO220" s="73"/>
      <c r="RYP220" s="73"/>
      <c r="RYQ220" s="73"/>
      <c r="RYR220" s="73"/>
      <c r="RYS220" s="73"/>
      <c r="RYT220" s="73"/>
      <c r="RYU220" s="73"/>
      <c r="RYV220" s="73"/>
      <c r="RYW220" s="73"/>
      <c r="RYX220" s="73"/>
      <c r="RYY220" s="73"/>
      <c r="RYZ220" s="73"/>
      <c r="RZA220" s="73"/>
      <c r="RZB220" s="73"/>
      <c r="RZC220" s="73"/>
      <c r="RZD220" s="73"/>
      <c r="RZE220" s="73"/>
      <c r="RZF220" s="73"/>
      <c r="RZG220" s="73"/>
      <c r="RZH220" s="73"/>
      <c r="RZI220" s="73"/>
      <c r="RZJ220" s="73"/>
      <c r="RZK220" s="73"/>
      <c r="RZL220" s="73"/>
      <c r="RZM220" s="73"/>
      <c r="RZN220" s="73"/>
      <c r="RZO220" s="73"/>
      <c r="RZP220" s="73"/>
      <c r="RZQ220" s="73"/>
      <c r="RZR220" s="73"/>
      <c r="RZS220" s="73"/>
      <c r="RZT220" s="73"/>
      <c r="RZU220" s="73"/>
      <c r="RZV220" s="73"/>
      <c r="RZW220" s="73"/>
      <c r="RZX220" s="73"/>
      <c r="RZY220" s="73"/>
      <c r="RZZ220" s="73"/>
      <c r="SAA220" s="73"/>
      <c r="SAB220" s="73"/>
      <c r="SAC220" s="73"/>
      <c r="SAD220" s="73"/>
      <c r="SAE220" s="73"/>
      <c r="SAF220" s="73"/>
      <c r="SAG220" s="73"/>
      <c r="SAH220" s="73"/>
      <c r="SAI220" s="73"/>
      <c r="SAJ220" s="73"/>
      <c r="SAK220" s="73"/>
      <c r="SAL220" s="73"/>
      <c r="SAM220" s="73"/>
      <c r="SAN220" s="73"/>
      <c r="SAO220" s="73"/>
      <c r="SAP220" s="73"/>
      <c r="SAQ220" s="73"/>
      <c r="SAR220" s="73"/>
      <c r="SAS220" s="73"/>
      <c r="SAT220" s="73"/>
      <c r="SAU220" s="73"/>
      <c r="SAV220" s="73"/>
      <c r="SAW220" s="73"/>
      <c r="SAX220" s="73"/>
      <c r="SAY220" s="73"/>
      <c r="SAZ220" s="73"/>
      <c r="SBA220" s="73"/>
      <c r="SBB220" s="73"/>
      <c r="SBC220" s="73"/>
      <c r="SBD220" s="73"/>
      <c r="SBE220" s="73"/>
      <c r="SBF220" s="73"/>
      <c r="SBG220" s="73"/>
      <c r="SBH220" s="73"/>
      <c r="SBI220" s="73"/>
      <c r="SBJ220" s="73"/>
      <c r="SBK220" s="73"/>
      <c r="SBL220" s="73"/>
      <c r="SBM220" s="73"/>
      <c r="SBN220" s="73"/>
      <c r="SBO220" s="73"/>
      <c r="SBP220" s="73"/>
      <c r="SBQ220" s="73"/>
      <c r="SBR220" s="73"/>
      <c r="SBS220" s="73"/>
      <c r="SBT220" s="73"/>
      <c r="SBU220" s="73"/>
      <c r="SBV220" s="73"/>
      <c r="SBW220" s="73"/>
      <c r="SBX220" s="73"/>
      <c r="SBY220" s="73"/>
      <c r="SBZ220" s="73"/>
      <c r="SCA220" s="73"/>
      <c r="SCB220" s="73"/>
      <c r="SCC220" s="73"/>
      <c r="SCD220" s="73"/>
      <c r="SCE220" s="73"/>
      <c r="SCF220" s="73"/>
      <c r="SCG220" s="73"/>
      <c r="SCH220" s="73"/>
      <c r="SCI220" s="73"/>
      <c r="SCJ220" s="73"/>
      <c r="SCK220" s="73"/>
      <c r="SCL220" s="73"/>
      <c r="SCM220" s="73"/>
      <c r="SCN220" s="73"/>
      <c r="SCO220" s="73"/>
      <c r="SCP220" s="73"/>
      <c r="SCQ220" s="73"/>
      <c r="SCR220" s="73"/>
      <c r="SCS220" s="73"/>
      <c r="SCT220" s="73"/>
      <c r="SCU220" s="73"/>
      <c r="SCV220" s="73"/>
      <c r="SCW220" s="73"/>
      <c r="SCX220" s="73"/>
      <c r="SCY220" s="73"/>
      <c r="SCZ220" s="73"/>
      <c r="SDA220" s="73"/>
      <c r="SDB220" s="73"/>
      <c r="SDC220" s="73"/>
      <c r="SDD220" s="73"/>
      <c r="SDE220" s="73"/>
      <c r="SDF220" s="73"/>
      <c r="SDG220" s="73"/>
      <c r="SDH220" s="73"/>
      <c r="SDI220" s="73"/>
      <c r="SDJ220" s="73"/>
      <c r="SDK220" s="73"/>
      <c r="SDL220" s="73"/>
      <c r="SDM220" s="73"/>
      <c r="SDN220" s="73"/>
      <c r="SDO220" s="73"/>
      <c r="SDP220" s="73"/>
      <c r="SDQ220" s="73"/>
      <c r="SDR220" s="73"/>
      <c r="SDS220" s="73"/>
      <c r="SDT220" s="73"/>
      <c r="SDU220" s="73"/>
      <c r="SDV220" s="73"/>
      <c r="SDW220" s="73"/>
      <c r="SDX220" s="73"/>
      <c r="SDY220" s="73"/>
      <c r="SDZ220" s="73"/>
      <c r="SEA220" s="73"/>
      <c r="SEB220" s="73"/>
      <c r="SEC220" s="73"/>
      <c r="SED220" s="73"/>
      <c r="SEE220" s="73"/>
      <c r="SEF220" s="73"/>
      <c r="SEG220" s="73"/>
      <c r="SEH220" s="73"/>
      <c r="SEI220" s="73"/>
      <c r="SEJ220" s="73"/>
      <c r="SEK220" s="73"/>
      <c r="SEL220" s="73"/>
      <c r="SEM220" s="73"/>
      <c r="SEN220" s="73"/>
      <c r="SEO220" s="73"/>
      <c r="SEP220" s="73"/>
      <c r="SEQ220" s="73"/>
      <c r="SER220" s="73"/>
      <c r="SES220" s="73"/>
      <c r="SET220" s="73"/>
      <c r="SEU220" s="73"/>
      <c r="SEV220" s="73"/>
      <c r="SEW220" s="73"/>
      <c r="SEX220" s="73"/>
      <c r="SEY220" s="73"/>
      <c r="SEZ220" s="73"/>
      <c r="SFA220" s="73"/>
      <c r="SFB220" s="73"/>
      <c r="SFC220" s="73"/>
      <c r="SFD220" s="73"/>
      <c r="SFE220" s="73"/>
      <c r="SFF220" s="73"/>
      <c r="SFG220" s="73"/>
      <c r="SFH220" s="73"/>
      <c r="SFI220" s="73"/>
      <c r="SFJ220" s="73"/>
      <c r="SFK220" s="73"/>
      <c r="SFL220" s="73"/>
      <c r="SFM220" s="73"/>
      <c r="SFN220" s="73"/>
      <c r="SFO220" s="73"/>
      <c r="SFP220" s="73"/>
      <c r="SFQ220" s="73"/>
      <c r="SFR220" s="73"/>
      <c r="SFS220" s="73"/>
      <c r="SFT220" s="73"/>
      <c r="SFU220" s="73"/>
      <c r="SFV220" s="73"/>
      <c r="SFW220" s="73"/>
      <c r="SFX220" s="73"/>
      <c r="SFY220" s="73"/>
      <c r="SFZ220" s="73"/>
      <c r="SGA220" s="73"/>
      <c r="SGB220" s="73"/>
      <c r="SGC220" s="73"/>
      <c r="SGD220" s="73"/>
      <c r="SGE220" s="73"/>
      <c r="SGF220" s="73"/>
      <c r="SGG220" s="73"/>
      <c r="SGH220" s="73"/>
      <c r="SGI220" s="73"/>
      <c r="SGJ220" s="73"/>
      <c r="SGK220" s="73"/>
      <c r="SGL220" s="73"/>
      <c r="SGM220" s="73"/>
      <c r="SGN220" s="73"/>
      <c r="SGO220" s="73"/>
      <c r="SGP220" s="73"/>
      <c r="SGQ220" s="73"/>
      <c r="SGR220" s="73"/>
      <c r="SGS220" s="73"/>
      <c r="SGT220" s="73"/>
      <c r="SGU220" s="73"/>
      <c r="SGV220" s="73"/>
      <c r="SGW220" s="73"/>
      <c r="SGX220" s="73"/>
      <c r="SGY220" s="73"/>
      <c r="SGZ220" s="73"/>
      <c r="SHA220" s="73"/>
      <c r="SHB220" s="73"/>
      <c r="SHC220" s="73"/>
      <c r="SHD220" s="73"/>
      <c r="SHE220" s="73"/>
      <c r="SHF220" s="73"/>
      <c r="SHG220" s="73"/>
      <c r="SHH220" s="73"/>
      <c r="SHI220" s="73"/>
      <c r="SHJ220" s="73"/>
      <c r="SHK220" s="73"/>
      <c r="SHL220" s="73"/>
      <c r="SHM220" s="73"/>
      <c r="SHN220" s="73"/>
      <c r="SHO220" s="73"/>
      <c r="SHP220" s="73"/>
      <c r="SHQ220" s="73"/>
      <c r="SHR220" s="73"/>
      <c r="SHS220" s="73"/>
      <c r="SHT220" s="73"/>
      <c r="SHU220" s="73"/>
      <c r="SHV220" s="73"/>
      <c r="SHW220" s="73"/>
      <c r="SHX220" s="73"/>
      <c r="SHY220" s="73"/>
      <c r="SHZ220" s="73"/>
      <c r="SIA220" s="73"/>
      <c r="SIB220" s="73"/>
      <c r="SIC220" s="73"/>
      <c r="SID220" s="73"/>
      <c r="SIE220" s="73"/>
      <c r="SIF220" s="73"/>
      <c r="SIG220" s="73"/>
      <c r="SIH220" s="73"/>
      <c r="SII220" s="73"/>
      <c r="SIJ220" s="73"/>
      <c r="SIK220" s="73"/>
      <c r="SIL220" s="73"/>
      <c r="SIM220" s="73"/>
      <c r="SIN220" s="73"/>
      <c r="SIO220" s="73"/>
      <c r="SIP220" s="73"/>
      <c r="SIQ220" s="73"/>
      <c r="SIR220" s="73"/>
      <c r="SIS220" s="73"/>
      <c r="SIT220" s="73"/>
      <c r="SIU220" s="73"/>
      <c r="SIV220" s="73"/>
      <c r="SIW220" s="73"/>
      <c r="SIX220" s="73"/>
      <c r="SIY220" s="73"/>
      <c r="SIZ220" s="73"/>
      <c r="SJA220" s="73"/>
      <c r="SJB220" s="73"/>
      <c r="SJC220" s="73"/>
      <c r="SJD220" s="73"/>
      <c r="SJE220" s="73"/>
      <c r="SJF220" s="73"/>
      <c r="SJG220" s="73"/>
      <c r="SJH220" s="73"/>
      <c r="SJI220" s="73"/>
      <c r="SJJ220" s="73"/>
      <c r="SJK220" s="73"/>
      <c r="SJL220" s="73"/>
      <c r="SJM220" s="73"/>
      <c r="SJN220" s="73"/>
      <c r="SJO220" s="73"/>
      <c r="SJP220" s="73"/>
      <c r="SJQ220" s="73"/>
      <c r="SJR220" s="73"/>
      <c r="SJS220" s="73"/>
      <c r="SJT220" s="73"/>
      <c r="SJU220" s="73"/>
      <c r="SJV220" s="73"/>
      <c r="SJW220" s="73"/>
      <c r="SJX220" s="73"/>
      <c r="SJY220" s="73"/>
      <c r="SJZ220" s="73"/>
      <c r="SKA220" s="73"/>
      <c r="SKB220" s="73"/>
      <c r="SKC220" s="73"/>
      <c r="SKD220" s="73"/>
      <c r="SKE220" s="73"/>
      <c r="SKF220" s="73"/>
      <c r="SKG220" s="73"/>
      <c r="SKH220" s="73"/>
      <c r="SKI220" s="73"/>
      <c r="SKJ220" s="73"/>
      <c r="SKK220" s="73"/>
      <c r="SKL220" s="73"/>
      <c r="SKM220" s="73"/>
      <c r="SKN220" s="73"/>
      <c r="SKO220" s="73"/>
      <c r="SKP220" s="73"/>
      <c r="SKQ220" s="73"/>
      <c r="SKR220" s="73"/>
      <c r="SKS220" s="73"/>
      <c r="SKT220" s="73"/>
      <c r="SKU220" s="73"/>
      <c r="SKV220" s="73"/>
      <c r="SKW220" s="73"/>
      <c r="SKX220" s="73"/>
      <c r="SKY220" s="73"/>
      <c r="SKZ220" s="73"/>
      <c r="SLA220" s="73"/>
      <c r="SLB220" s="73"/>
      <c r="SLC220" s="73"/>
      <c r="SLD220" s="73"/>
      <c r="SLE220" s="73"/>
      <c r="SLF220" s="73"/>
      <c r="SLG220" s="73"/>
      <c r="SLH220" s="73"/>
      <c r="SLI220" s="73"/>
      <c r="SLJ220" s="73"/>
      <c r="SLK220" s="73"/>
      <c r="SLL220" s="73"/>
      <c r="SLM220" s="73"/>
      <c r="SLN220" s="73"/>
      <c r="SLO220" s="73"/>
      <c r="SLP220" s="73"/>
      <c r="SLQ220" s="73"/>
      <c r="SLR220" s="73"/>
      <c r="SLS220" s="73"/>
      <c r="SLT220" s="73"/>
      <c r="SLU220" s="73"/>
      <c r="SLV220" s="73"/>
      <c r="SLW220" s="73"/>
      <c r="SLX220" s="73"/>
      <c r="SLY220" s="73"/>
      <c r="SLZ220" s="73"/>
      <c r="SMA220" s="73"/>
      <c r="SMB220" s="73"/>
      <c r="SMC220" s="73"/>
      <c r="SMD220" s="73"/>
      <c r="SME220" s="73"/>
      <c r="SMF220" s="73"/>
      <c r="SMG220" s="73"/>
      <c r="SMH220" s="73"/>
      <c r="SMI220" s="73"/>
      <c r="SMJ220" s="73"/>
      <c r="SMK220" s="73"/>
      <c r="SML220" s="73"/>
      <c r="SMM220" s="73"/>
      <c r="SMN220" s="73"/>
      <c r="SMO220" s="73"/>
      <c r="SMP220" s="73"/>
      <c r="SMQ220" s="73"/>
      <c r="SMR220" s="73"/>
      <c r="SMS220" s="73"/>
      <c r="SMT220" s="73"/>
      <c r="SMU220" s="73"/>
      <c r="SMV220" s="73"/>
      <c r="SMW220" s="73"/>
      <c r="SMX220" s="73"/>
      <c r="SMY220" s="73"/>
      <c r="SMZ220" s="73"/>
      <c r="SNA220" s="73"/>
      <c r="SNB220" s="73"/>
      <c r="SNC220" s="73"/>
      <c r="SND220" s="73"/>
      <c r="SNE220" s="73"/>
      <c r="SNF220" s="73"/>
      <c r="SNG220" s="73"/>
      <c r="SNH220" s="73"/>
      <c r="SNI220" s="73"/>
      <c r="SNJ220" s="73"/>
      <c r="SNK220" s="73"/>
      <c r="SNL220" s="73"/>
      <c r="SNM220" s="73"/>
      <c r="SNN220" s="73"/>
      <c r="SNO220" s="73"/>
      <c r="SNP220" s="73"/>
      <c r="SNQ220" s="73"/>
      <c r="SNR220" s="73"/>
      <c r="SNS220" s="73"/>
      <c r="SNT220" s="73"/>
      <c r="SNU220" s="73"/>
      <c r="SNV220" s="73"/>
      <c r="SNW220" s="73"/>
      <c r="SNX220" s="73"/>
      <c r="SNY220" s="73"/>
      <c r="SNZ220" s="73"/>
      <c r="SOA220" s="73"/>
      <c r="SOB220" s="73"/>
      <c r="SOC220" s="73"/>
      <c r="SOD220" s="73"/>
      <c r="SOE220" s="73"/>
      <c r="SOF220" s="73"/>
      <c r="SOG220" s="73"/>
      <c r="SOH220" s="73"/>
      <c r="SOI220" s="73"/>
      <c r="SOJ220" s="73"/>
      <c r="SOK220" s="73"/>
      <c r="SOL220" s="73"/>
      <c r="SOM220" s="73"/>
      <c r="SON220" s="73"/>
      <c r="SOO220" s="73"/>
      <c r="SOP220" s="73"/>
      <c r="SOQ220" s="73"/>
      <c r="SOR220" s="73"/>
      <c r="SOS220" s="73"/>
      <c r="SOT220" s="73"/>
      <c r="SOU220" s="73"/>
      <c r="SOV220" s="73"/>
      <c r="SOW220" s="73"/>
      <c r="SOX220" s="73"/>
      <c r="SOY220" s="73"/>
      <c r="SOZ220" s="73"/>
      <c r="SPA220" s="73"/>
      <c r="SPB220" s="73"/>
      <c r="SPC220" s="73"/>
      <c r="SPD220" s="73"/>
      <c r="SPE220" s="73"/>
      <c r="SPF220" s="73"/>
      <c r="SPG220" s="73"/>
      <c r="SPH220" s="73"/>
      <c r="SPI220" s="73"/>
      <c r="SPJ220" s="73"/>
      <c r="SPK220" s="73"/>
      <c r="SPL220" s="73"/>
      <c r="SPM220" s="73"/>
      <c r="SPN220" s="73"/>
      <c r="SPO220" s="73"/>
      <c r="SPP220" s="73"/>
      <c r="SPQ220" s="73"/>
      <c r="SPR220" s="73"/>
      <c r="SPS220" s="73"/>
      <c r="SPT220" s="73"/>
      <c r="SPU220" s="73"/>
      <c r="SPV220" s="73"/>
      <c r="SPW220" s="73"/>
      <c r="SPX220" s="73"/>
      <c r="SPY220" s="73"/>
      <c r="SPZ220" s="73"/>
      <c r="SQA220" s="73"/>
      <c r="SQB220" s="73"/>
      <c r="SQC220" s="73"/>
      <c r="SQD220" s="73"/>
      <c r="SQE220" s="73"/>
      <c r="SQF220" s="73"/>
      <c r="SQG220" s="73"/>
      <c r="SQH220" s="73"/>
      <c r="SQI220" s="73"/>
      <c r="SQJ220" s="73"/>
      <c r="SQK220" s="73"/>
      <c r="SQL220" s="73"/>
      <c r="SQM220" s="73"/>
      <c r="SQN220" s="73"/>
      <c r="SQO220" s="73"/>
      <c r="SQP220" s="73"/>
      <c r="SQQ220" s="73"/>
      <c r="SQR220" s="73"/>
      <c r="SQS220" s="73"/>
      <c r="SQT220" s="73"/>
      <c r="SQU220" s="73"/>
      <c r="SQV220" s="73"/>
      <c r="SQW220" s="73"/>
      <c r="SQX220" s="73"/>
      <c r="SQY220" s="73"/>
      <c r="SQZ220" s="73"/>
      <c r="SRA220" s="73"/>
      <c r="SRB220" s="73"/>
      <c r="SRC220" s="73"/>
      <c r="SRD220" s="73"/>
      <c r="SRE220" s="73"/>
      <c r="SRF220" s="73"/>
      <c r="SRG220" s="73"/>
      <c r="SRH220" s="73"/>
      <c r="SRI220" s="73"/>
      <c r="SRJ220" s="73"/>
      <c r="SRK220" s="73"/>
      <c r="SRL220" s="73"/>
      <c r="SRM220" s="73"/>
      <c r="SRN220" s="73"/>
      <c r="SRO220" s="73"/>
      <c r="SRP220" s="73"/>
      <c r="SRQ220" s="73"/>
      <c r="SRR220" s="73"/>
      <c r="SRS220" s="73"/>
      <c r="SRT220" s="73"/>
      <c r="SRU220" s="73"/>
      <c r="SRV220" s="73"/>
      <c r="SRW220" s="73"/>
      <c r="SRX220" s="73"/>
      <c r="SRY220" s="73"/>
      <c r="SRZ220" s="73"/>
      <c r="SSA220" s="73"/>
      <c r="SSB220" s="73"/>
      <c r="SSC220" s="73"/>
      <c r="SSD220" s="73"/>
      <c r="SSE220" s="73"/>
      <c r="SSF220" s="73"/>
      <c r="SSG220" s="73"/>
      <c r="SSH220" s="73"/>
      <c r="SSI220" s="73"/>
      <c r="SSJ220" s="73"/>
      <c r="SSK220" s="73"/>
      <c r="SSL220" s="73"/>
      <c r="SSM220" s="73"/>
      <c r="SSN220" s="73"/>
      <c r="SSO220" s="73"/>
      <c r="SSP220" s="73"/>
      <c r="SSQ220" s="73"/>
      <c r="SSR220" s="73"/>
      <c r="SSS220" s="73"/>
      <c r="SST220" s="73"/>
      <c r="SSU220" s="73"/>
      <c r="SSV220" s="73"/>
      <c r="SSW220" s="73"/>
      <c r="SSX220" s="73"/>
      <c r="SSY220" s="73"/>
      <c r="SSZ220" s="73"/>
      <c r="STA220" s="73"/>
      <c r="STB220" s="73"/>
      <c r="STC220" s="73"/>
      <c r="STD220" s="73"/>
      <c r="STE220" s="73"/>
      <c r="STF220" s="73"/>
      <c r="STG220" s="73"/>
      <c r="STH220" s="73"/>
      <c r="STI220" s="73"/>
      <c r="STJ220" s="73"/>
      <c r="STK220" s="73"/>
      <c r="STL220" s="73"/>
      <c r="STM220" s="73"/>
      <c r="STN220" s="73"/>
      <c r="STO220" s="73"/>
      <c r="STP220" s="73"/>
      <c r="STQ220" s="73"/>
      <c r="STR220" s="73"/>
      <c r="STS220" s="73"/>
      <c r="STT220" s="73"/>
      <c r="STU220" s="73"/>
      <c r="STV220" s="73"/>
      <c r="STW220" s="73"/>
      <c r="STX220" s="73"/>
      <c r="STY220" s="73"/>
      <c r="STZ220" s="73"/>
      <c r="SUA220" s="73"/>
      <c r="SUB220" s="73"/>
      <c r="SUC220" s="73"/>
      <c r="SUD220" s="73"/>
      <c r="SUE220" s="73"/>
      <c r="SUF220" s="73"/>
      <c r="SUG220" s="73"/>
      <c r="SUH220" s="73"/>
      <c r="SUI220" s="73"/>
      <c r="SUJ220" s="73"/>
      <c r="SUK220" s="73"/>
      <c r="SUL220" s="73"/>
      <c r="SUM220" s="73"/>
      <c r="SUN220" s="73"/>
      <c r="SUO220" s="73"/>
      <c r="SUP220" s="73"/>
      <c r="SUQ220" s="73"/>
      <c r="SUR220" s="73"/>
      <c r="SUS220" s="73"/>
      <c r="SUT220" s="73"/>
      <c r="SUU220" s="73"/>
      <c r="SUV220" s="73"/>
      <c r="SUW220" s="73"/>
      <c r="SUX220" s="73"/>
      <c r="SUY220" s="73"/>
      <c r="SUZ220" s="73"/>
      <c r="SVA220" s="73"/>
      <c r="SVB220" s="73"/>
      <c r="SVC220" s="73"/>
      <c r="SVD220" s="73"/>
      <c r="SVE220" s="73"/>
      <c r="SVF220" s="73"/>
      <c r="SVG220" s="73"/>
      <c r="SVH220" s="73"/>
      <c r="SVI220" s="73"/>
      <c r="SVJ220" s="73"/>
      <c r="SVK220" s="73"/>
      <c r="SVL220" s="73"/>
      <c r="SVM220" s="73"/>
      <c r="SVN220" s="73"/>
      <c r="SVO220" s="73"/>
      <c r="SVP220" s="73"/>
      <c r="SVQ220" s="73"/>
      <c r="SVR220" s="73"/>
      <c r="SVS220" s="73"/>
      <c r="SVT220" s="73"/>
      <c r="SVU220" s="73"/>
      <c r="SVV220" s="73"/>
      <c r="SVW220" s="73"/>
      <c r="SVX220" s="73"/>
      <c r="SVY220" s="73"/>
      <c r="SVZ220" s="73"/>
      <c r="SWA220" s="73"/>
      <c r="SWB220" s="73"/>
      <c r="SWC220" s="73"/>
      <c r="SWD220" s="73"/>
      <c r="SWE220" s="73"/>
      <c r="SWF220" s="73"/>
      <c r="SWG220" s="73"/>
      <c r="SWH220" s="73"/>
      <c r="SWI220" s="73"/>
      <c r="SWJ220" s="73"/>
      <c r="SWK220" s="73"/>
      <c r="SWL220" s="73"/>
      <c r="SWM220" s="73"/>
      <c r="SWN220" s="73"/>
      <c r="SWO220" s="73"/>
      <c r="SWP220" s="73"/>
      <c r="SWQ220" s="73"/>
      <c r="SWR220" s="73"/>
      <c r="SWS220" s="73"/>
      <c r="SWT220" s="73"/>
      <c r="SWU220" s="73"/>
      <c r="SWV220" s="73"/>
      <c r="SWW220" s="73"/>
      <c r="SWX220" s="73"/>
      <c r="SWY220" s="73"/>
      <c r="SWZ220" s="73"/>
      <c r="SXA220" s="73"/>
      <c r="SXB220" s="73"/>
      <c r="SXC220" s="73"/>
      <c r="SXD220" s="73"/>
      <c r="SXE220" s="73"/>
      <c r="SXF220" s="73"/>
      <c r="SXG220" s="73"/>
      <c r="SXH220" s="73"/>
      <c r="SXI220" s="73"/>
      <c r="SXJ220" s="73"/>
      <c r="SXK220" s="73"/>
      <c r="SXL220" s="73"/>
      <c r="SXM220" s="73"/>
      <c r="SXN220" s="73"/>
      <c r="SXO220" s="73"/>
      <c r="SXP220" s="73"/>
      <c r="SXQ220" s="73"/>
      <c r="SXR220" s="73"/>
      <c r="SXS220" s="73"/>
      <c r="SXT220" s="73"/>
      <c r="SXU220" s="73"/>
      <c r="SXV220" s="73"/>
      <c r="SXW220" s="73"/>
      <c r="SXX220" s="73"/>
      <c r="SXY220" s="73"/>
      <c r="SXZ220" s="73"/>
      <c r="SYA220" s="73"/>
      <c r="SYB220" s="73"/>
      <c r="SYC220" s="73"/>
      <c r="SYD220" s="73"/>
      <c r="SYE220" s="73"/>
      <c r="SYF220" s="73"/>
      <c r="SYG220" s="73"/>
      <c r="SYH220" s="73"/>
      <c r="SYI220" s="73"/>
      <c r="SYJ220" s="73"/>
      <c r="SYK220" s="73"/>
      <c r="SYL220" s="73"/>
      <c r="SYM220" s="73"/>
      <c r="SYN220" s="73"/>
      <c r="SYO220" s="73"/>
      <c r="SYP220" s="73"/>
      <c r="SYQ220" s="73"/>
      <c r="SYR220" s="73"/>
      <c r="SYS220" s="73"/>
      <c r="SYT220" s="73"/>
      <c r="SYU220" s="73"/>
      <c r="SYV220" s="73"/>
      <c r="SYW220" s="73"/>
      <c r="SYX220" s="73"/>
      <c r="SYY220" s="73"/>
      <c r="SYZ220" s="73"/>
      <c r="SZA220" s="73"/>
      <c r="SZB220" s="73"/>
      <c r="SZC220" s="73"/>
      <c r="SZD220" s="73"/>
      <c r="SZE220" s="73"/>
      <c r="SZF220" s="73"/>
      <c r="SZG220" s="73"/>
      <c r="SZH220" s="73"/>
      <c r="SZI220" s="73"/>
      <c r="SZJ220" s="73"/>
      <c r="SZK220" s="73"/>
      <c r="SZL220" s="73"/>
      <c r="SZM220" s="73"/>
      <c r="SZN220" s="73"/>
      <c r="SZO220" s="73"/>
      <c r="SZP220" s="73"/>
      <c r="SZQ220" s="73"/>
      <c r="SZR220" s="73"/>
      <c r="SZS220" s="73"/>
      <c r="SZT220" s="73"/>
      <c r="SZU220" s="73"/>
      <c r="SZV220" s="73"/>
      <c r="SZW220" s="73"/>
      <c r="SZX220" s="73"/>
      <c r="SZY220" s="73"/>
      <c r="SZZ220" s="73"/>
      <c r="TAA220" s="73"/>
      <c r="TAB220" s="73"/>
      <c r="TAC220" s="73"/>
      <c r="TAD220" s="73"/>
      <c r="TAE220" s="73"/>
      <c r="TAF220" s="73"/>
      <c r="TAG220" s="73"/>
      <c r="TAH220" s="73"/>
      <c r="TAI220" s="73"/>
      <c r="TAJ220" s="73"/>
      <c r="TAK220" s="73"/>
      <c r="TAL220" s="73"/>
      <c r="TAM220" s="73"/>
      <c r="TAN220" s="73"/>
      <c r="TAO220" s="73"/>
      <c r="TAP220" s="73"/>
      <c r="TAQ220" s="73"/>
      <c r="TAR220" s="73"/>
      <c r="TAS220" s="73"/>
      <c r="TAT220" s="73"/>
      <c r="TAU220" s="73"/>
      <c r="TAV220" s="73"/>
      <c r="TAW220" s="73"/>
      <c r="TAX220" s="73"/>
      <c r="TAY220" s="73"/>
      <c r="TAZ220" s="73"/>
      <c r="TBA220" s="73"/>
      <c r="TBB220" s="73"/>
      <c r="TBC220" s="73"/>
      <c r="TBD220" s="73"/>
      <c r="TBE220" s="73"/>
      <c r="TBF220" s="73"/>
      <c r="TBG220" s="73"/>
      <c r="TBH220" s="73"/>
      <c r="TBI220" s="73"/>
      <c r="TBJ220" s="73"/>
      <c r="TBK220" s="73"/>
      <c r="TBL220" s="73"/>
      <c r="TBM220" s="73"/>
      <c r="TBN220" s="73"/>
      <c r="TBO220" s="73"/>
      <c r="TBP220" s="73"/>
      <c r="TBQ220" s="73"/>
      <c r="TBR220" s="73"/>
      <c r="TBS220" s="73"/>
      <c r="TBT220" s="73"/>
      <c r="TBU220" s="73"/>
      <c r="TBV220" s="73"/>
      <c r="TBW220" s="73"/>
      <c r="TBX220" s="73"/>
      <c r="TBY220" s="73"/>
      <c r="TBZ220" s="73"/>
      <c r="TCA220" s="73"/>
      <c r="TCB220" s="73"/>
      <c r="TCC220" s="73"/>
      <c r="TCD220" s="73"/>
      <c r="TCE220" s="73"/>
      <c r="TCF220" s="73"/>
      <c r="TCG220" s="73"/>
      <c r="TCH220" s="73"/>
      <c r="TCI220" s="73"/>
      <c r="TCJ220" s="73"/>
      <c r="TCK220" s="73"/>
      <c r="TCL220" s="73"/>
      <c r="TCM220" s="73"/>
      <c r="TCN220" s="73"/>
      <c r="TCO220" s="73"/>
      <c r="TCP220" s="73"/>
      <c r="TCQ220" s="73"/>
      <c r="TCR220" s="73"/>
      <c r="TCS220" s="73"/>
      <c r="TCT220" s="73"/>
      <c r="TCU220" s="73"/>
      <c r="TCV220" s="73"/>
      <c r="TCW220" s="73"/>
      <c r="TCX220" s="73"/>
      <c r="TCY220" s="73"/>
      <c r="TCZ220" s="73"/>
      <c r="TDA220" s="73"/>
      <c r="TDB220" s="73"/>
      <c r="TDC220" s="73"/>
      <c r="TDD220" s="73"/>
      <c r="TDE220" s="73"/>
      <c r="TDF220" s="73"/>
      <c r="TDG220" s="73"/>
      <c r="TDH220" s="73"/>
      <c r="TDI220" s="73"/>
      <c r="TDJ220" s="73"/>
      <c r="TDK220" s="73"/>
      <c r="TDL220" s="73"/>
      <c r="TDM220" s="73"/>
      <c r="TDN220" s="73"/>
      <c r="TDO220" s="73"/>
      <c r="TDP220" s="73"/>
      <c r="TDQ220" s="73"/>
      <c r="TDR220" s="73"/>
      <c r="TDS220" s="73"/>
      <c r="TDT220" s="73"/>
      <c r="TDU220" s="73"/>
      <c r="TDV220" s="73"/>
      <c r="TDW220" s="73"/>
      <c r="TDX220" s="73"/>
      <c r="TDY220" s="73"/>
      <c r="TDZ220" s="73"/>
      <c r="TEA220" s="73"/>
      <c r="TEB220" s="73"/>
      <c r="TEC220" s="73"/>
      <c r="TED220" s="73"/>
      <c r="TEE220" s="73"/>
      <c r="TEF220" s="73"/>
      <c r="TEG220" s="73"/>
      <c r="TEH220" s="73"/>
      <c r="TEI220" s="73"/>
      <c r="TEJ220" s="73"/>
      <c r="TEK220" s="73"/>
      <c r="TEL220" s="73"/>
      <c r="TEM220" s="73"/>
      <c r="TEN220" s="73"/>
      <c r="TEO220" s="73"/>
      <c r="TEP220" s="73"/>
      <c r="TEQ220" s="73"/>
      <c r="TER220" s="73"/>
      <c r="TES220" s="73"/>
      <c r="TET220" s="73"/>
      <c r="TEU220" s="73"/>
      <c r="TEV220" s="73"/>
      <c r="TEW220" s="73"/>
      <c r="TEX220" s="73"/>
      <c r="TEY220" s="73"/>
      <c r="TEZ220" s="73"/>
      <c r="TFA220" s="73"/>
      <c r="TFB220" s="73"/>
      <c r="TFC220" s="73"/>
      <c r="TFD220" s="73"/>
      <c r="TFE220" s="73"/>
      <c r="TFF220" s="73"/>
      <c r="TFG220" s="73"/>
      <c r="TFH220" s="73"/>
      <c r="TFI220" s="73"/>
      <c r="TFJ220" s="73"/>
      <c r="TFK220" s="73"/>
      <c r="TFL220" s="73"/>
      <c r="TFM220" s="73"/>
      <c r="TFN220" s="73"/>
      <c r="TFO220" s="73"/>
      <c r="TFP220" s="73"/>
      <c r="TFQ220" s="73"/>
      <c r="TFR220" s="73"/>
      <c r="TFS220" s="73"/>
      <c r="TFT220" s="73"/>
      <c r="TFU220" s="73"/>
      <c r="TFV220" s="73"/>
      <c r="TFW220" s="73"/>
      <c r="TFX220" s="73"/>
      <c r="TFY220" s="73"/>
      <c r="TFZ220" s="73"/>
      <c r="TGA220" s="73"/>
      <c r="TGB220" s="73"/>
      <c r="TGC220" s="73"/>
      <c r="TGD220" s="73"/>
      <c r="TGE220" s="73"/>
      <c r="TGF220" s="73"/>
      <c r="TGG220" s="73"/>
      <c r="TGH220" s="73"/>
      <c r="TGI220" s="73"/>
      <c r="TGJ220" s="73"/>
      <c r="TGK220" s="73"/>
      <c r="TGL220" s="73"/>
      <c r="TGM220" s="73"/>
      <c r="TGN220" s="73"/>
      <c r="TGO220" s="73"/>
      <c r="TGP220" s="73"/>
      <c r="TGQ220" s="73"/>
      <c r="TGR220" s="73"/>
      <c r="TGS220" s="73"/>
      <c r="TGT220" s="73"/>
      <c r="TGU220" s="73"/>
      <c r="TGV220" s="73"/>
      <c r="TGW220" s="73"/>
      <c r="TGX220" s="73"/>
      <c r="TGY220" s="73"/>
      <c r="TGZ220" s="73"/>
      <c r="THA220" s="73"/>
      <c r="THB220" s="73"/>
      <c r="THC220" s="73"/>
      <c r="THD220" s="73"/>
      <c r="THE220" s="73"/>
      <c r="THF220" s="73"/>
      <c r="THG220" s="73"/>
      <c r="THH220" s="73"/>
      <c r="THI220" s="73"/>
      <c r="THJ220" s="73"/>
      <c r="THK220" s="73"/>
      <c r="THL220" s="73"/>
      <c r="THM220" s="73"/>
      <c r="THN220" s="73"/>
      <c r="THO220" s="73"/>
      <c r="THP220" s="73"/>
      <c r="THQ220" s="73"/>
      <c r="THR220" s="73"/>
      <c r="THS220" s="73"/>
      <c r="THT220" s="73"/>
      <c r="THU220" s="73"/>
      <c r="THV220" s="73"/>
      <c r="THW220" s="73"/>
      <c r="THX220" s="73"/>
      <c r="THY220" s="73"/>
      <c r="THZ220" s="73"/>
      <c r="TIA220" s="73"/>
      <c r="TIB220" s="73"/>
      <c r="TIC220" s="73"/>
      <c r="TID220" s="73"/>
      <c r="TIE220" s="73"/>
      <c r="TIF220" s="73"/>
      <c r="TIG220" s="73"/>
      <c r="TIH220" s="73"/>
      <c r="TII220" s="73"/>
      <c r="TIJ220" s="73"/>
      <c r="TIK220" s="73"/>
      <c r="TIL220" s="73"/>
      <c r="TIM220" s="73"/>
      <c r="TIN220" s="73"/>
      <c r="TIO220" s="73"/>
      <c r="TIP220" s="73"/>
      <c r="TIQ220" s="73"/>
      <c r="TIR220" s="73"/>
      <c r="TIS220" s="73"/>
      <c r="TIT220" s="73"/>
      <c r="TIU220" s="73"/>
      <c r="TIV220" s="73"/>
      <c r="TIW220" s="73"/>
      <c r="TIX220" s="73"/>
      <c r="TIY220" s="73"/>
      <c r="TIZ220" s="73"/>
      <c r="TJA220" s="73"/>
      <c r="TJB220" s="73"/>
      <c r="TJC220" s="73"/>
      <c r="TJD220" s="73"/>
      <c r="TJE220" s="73"/>
      <c r="TJF220" s="73"/>
      <c r="TJG220" s="73"/>
      <c r="TJH220" s="73"/>
      <c r="TJI220" s="73"/>
      <c r="TJJ220" s="73"/>
      <c r="TJK220" s="73"/>
      <c r="TJL220" s="73"/>
      <c r="TJM220" s="73"/>
      <c r="TJN220" s="73"/>
      <c r="TJO220" s="73"/>
      <c r="TJP220" s="73"/>
      <c r="TJQ220" s="73"/>
      <c r="TJR220" s="73"/>
      <c r="TJS220" s="73"/>
      <c r="TJT220" s="73"/>
      <c r="TJU220" s="73"/>
      <c r="TJV220" s="73"/>
      <c r="TJW220" s="73"/>
      <c r="TJX220" s="73"/>
      <c r="TJY220" s="73"/>
      <c r="TJZ220" s="73"/>
      <c r="TKA220" s="73"/>
      <c r="TKB220" s="73"/>
      <c r="TKC220" s="73"/>
      <c r="TKD220" s="73"/>
      <c r="TKE220" s="73"/>
      <c r="TKF220" s="73"/>
      <c r="TKG220" s="73"/>
      <c r="TKH220" s="73"/>
      <c r="TKI220" s="73"/>
      <c r="TKJ220" s="73"/>
      <c r="TKK220" s="73"/>
      <c r="TKL220" s="73"/>
      <c r="TKM220" s="73"/>
      <c r="TKN220" s="73"/>
      <c r="TKO220" s="73"/>
      <c r="TKP220" s="73"/>
      <c r="TKQ220" s="73"/>
      <c r="TKR220" s="73"/>
      <c r="TKS220" s="73"/>
      <c r="TKT220" s="73"/>
      <c r="TKU220" s="73"/>
      <c r="TKV220" s="73"/>
      <c r="TKW220" s="73"/>
      <c r="TKX220" s="73"/>
      <c r="TKY220" s="73"/>
      <c r="TKZ220" s="73"/>
      <c r="TLA220" s="73"/>
      <c r="TLB220" s="73"/>
      <c r="TLC220" s="73"/>
      <c r="TLD220" s="73"/>
      <c r="TLE220" s="73"/>
      <c r="TLF220" s="73"/>
      <c r="TLG220" s="73"/>
      <c r="TLH220" s="73"/>
      <c r="TLI220" s="73"/>
      <c r="TLJ220" s="73"/>
      <c r="TLK220" s="73"/>
      <c r="TLL220" s="73"/>
      <c r="TLM220" s="73"/>
      <c r="TLN220" s="73"/>
      <c r="TLO220" s="73"/>
      <c r="TLP220" s="73"/>
      <c r="TLQ220" s="73"/>
      <c r="TLR220" s="73"/>
      <c r="TLS220" s="73"/>
      <c r="TLT220" s="73"/>
      <c r="TLU220" s="73"/>
      <c r="TLV220" s="73"/>
      <c r="TLW220" s="73"/>
      <c r="TLX220" s="73"/>
      <c r="TLY220" s="73"/>
      <c r="TLZ220" s="73"/>
      <c r="TMA220" s="73"/>
      <c r="TMB220" s="73"/>
      <c r="TMC220" s="73"/>
      <c r="TMD220" s="73"/>
      <c r="TME220" s="73"/>
      <c r="TMF220" s="73"/>
      <c r="TMG220" s="73"/>
      <c r="TMH220" s="73"/>
      <c r="TMI220" s="73"/>
      <c r="TMJ220" s="73"/>
      <c r="TMK220" s="73"/>
      <c r="TML220" s="73"/>
      <c r="TMM220" s="73"/>
      <c r="TMN220" s="73"/>
      <c r="TMO220" s="73"/>
      <c r="TMP220" s="73"/>
      <c r="TMQ220" s="73"/>
      <c r="TMR220" s="73"/>
      <c r="TMS220" s="73"/>
      <c r="TMT220" s="73"/>
      <c r="TMU220" s="73"/>
      <c r="TMV220" s="73"/>
      <c r="TMW220" s="73"/>
      <c r="TMX220" s="73"/>
      <c r="TMY220" s="73"/>
      <c r="TMZ220" s="73"/>
      <c r="TNA220" s="73"/>
      <c r="TNB220" s="73"/>
      <c r="TNC220" s="73"/>
      <c r="TND220" s="73"/>
      <c r="TNE220" s="73"/>
      <c r="TNF220" s="73"/>
      <c r="TNG220" s="73"/>
      <c r="TNH220" s="73"/>
      <c r="TNI220" s="73"/>
      <c r="TNJ220" s="73"/>
      <c r="TNK220" s="73"/>
      <c r="TNL220" s="73"/>
      <c r="TNM220" s="73"/>
      <c r="TNN220" s="73"/>
      <c r="TNO220" s="73"/>
      <c r="TNP220" s="73"/>
      <c r="TNQ220" s="73"/>
      <c r="TNR220" s="73"/>
      <c r="TNS220" s="73"/>
      <c r="TNT220" s="73"/>
      <c r="TNU220" s="73"/>
      <c r="TNV220" s="73"/>
      <c r="TNW220" s="73"/>
      <c r="TNX220" s="73"/>
      <c r="TNY220" s="73"/>
      <c r="TNZ220" s="73"/>
      <c r="TOA220" s="73"/>
      <c r="TOB220" s="73"/>
      <c r="TOC220" s="73"/>
      <c r="TOD220" s="73"/>
      <c r="TOE220" s="73"/>
      <c r="TOF220" s="73"/>
      <c r="TOG220" s="73"/>
      <c r="TOH220" s="73"/>
      <c r="TOI220" s="73"/>
      <c r="TOJ220" s="73"/>
      <c r="TOK220" s="73"/>
      <c r="TOL220" s="73"/>
      <c r="TOM220" s="73"/>
      <c r="TON220" s="73"/>
      <c r="TOO220" s="73"/>
      <c r="TOP220" s="73"/>
      <c r="TOQ220" s="73"/>
      <c r="TOR220" s="73"/>
      <c r="TOS220" s="73"/>
      <c r="TOT220" s="73"/>
      <c r="TOU220" s="73"/>
      <c r="TOV220" s="73"/>
      <c r="TOW220" s="73"/>
      <c r="TOX220" s="73"/>
      <c r="TOY220" s="73"/>
      <c r="TOZ220" s="73"/>
      <c r="TPA220" s="73"/>
      <c r="TPB220" s="73"/>
      <c r="TPC220" s="73"/>
      <c r="TPD220" s="73"/>
      <c r="TPE220" s="73"/>
      <c r="TPF220" s="73"/>
      <c r="TPG220" s="73"/>
      <c r="TPH220" s="73"/>
      <c r="TPI220" s="73"/>
      <c r="TPJ220" s="73"/>
      <c r="TPK220" s="73"/>
      <c r="TPL220" s="73"/>
      <c r="TPM220" s="73"/>
      <c r="TPN220" s="73"/>
      <c r="TPO220" s="73"/>
      <c r="TPP220" s="73"/>
      <c r="TPQ220" s="73"/>
      <c r="TPR220" s="73"/>
      <c r="TPS220" s="73"/>
      <c r="TPT220" s="73"/>
      <c r="TPU220" s="73"/>
      <c r="TPV220" s="73"/>
      <c r="TPW220" s="73"/>
      <c r="TPX220" s="73"/>
      <c r="TPY220" s="73"/>
      <c r="TPZ220" s="73"/>
      <c r="TQA220" s="73"/>
      <c r="TQB220" s="73"/>
      <c r="TQC220" s="73"/>
      <c r="TQD220" s="73"/>
      <c r="TQE220" s="73"/>
      <c r="TQF220" s="73"/>
      <c r="TQG220" s="73"/>
      <c r="TQH220" s="73"/>
      <c r="TQI220" s="73"/>
      <c r="TQJ220" s="73"/>
      <c r="TQK220" s="73"/>
      <c r="TQL220" s="73"/>
      <c r="TQM220" s="73"/>
      <c r="TQN220" s="73"/>
      <c r="TQO220" s="73"/>
      <c r="TQP220" s="73"/>
      <c r="TQQ220" s="73"/>
      <c r="TQR220" s="73"/>
      <c r="TQS220" s="73"/>
      <c r="TQT220" s="73"/>
      <c r="TQU220" s="73"/>
      <c r="TQV220" s="73"/>
      <c r="TQW220" s="73"/>
      <c r="TQX220" s="73"/>
      <c r="TQY220" s="73"/>
      <c r="TQZ220" s="73"/>
      <c r="TRA220" s="73"/>
      <c r="TRB220" s="73"/>
      <c r="TRC220" s="73"/>
      <c r="TRD220" s="73"/>
      <c r="TRE220" s="73"/>
      <c r="TRF220" s="73"/>
      <c r="TRG220" s="73"/>
      <c r="TRH220" s="73"/>
      <c r="TRI220" s="73"/>
      <c r="TRJ220" s="73"/>
      <c r="TRK220" s="73"/>
      <c r="TRL220" s="73"/>
      <c r="TRM220" s="73"/>
      <c r="TRN220" s="73"/>
      <c r="TRO220" s="73"/>
      <c r="TRP220" s="73"/>
      <c r="TRQ220" s="73"/>
      <c r="TRR220" s="73"/>
      <c r="TRS220" s="73"/>
      <c r="TRT220" s="73"/>
      <c r="TRU220" s="73"/>
      <c r="TRV220" s="73"/>
      <c r="TRW220" s="73"/>
      <c r="TRX220" s="73"/>
      <c r="TRY220" s="73"/>
      <c r="TRZ220" s="73"/>
      <c r="TSA220" s="73"/>
      <c r="TSB220" s="73"/>
      <c r="TSC220" s="73"/>
      <c r="TSD220" s="73"/>
      <c r="TSE220" s="73"/>
      <c r="TSF220" s="73"/>
      <c r="TSG220" s="73"/>
      <c r="TSH220" s="73"/>
      <c r="TSI220" s="73"/>
      <c r="TSJ220" s="73"/>
      <c r="TSK220" s="73"/>
      <c r="TSL220" s="73"/>
      <c r="TSM220" s="73"/>
      <c r="TSN220" s="73"/>
      <c r="TSO220" s="73"/>
      <c r="TSP220" s="73"/>
      <c r="TSQ220" s="73"/>
      <c r="TSR220" s="73"/>
      <c r="TSS220" s="73"/>
      <c r="TST220" s="73"/>
      <c r="TSU220" s="73"/>
      <c r="TSV220" s="73"/>
      <c r="TSW220" s="73"/>
      <c r="TSX220" s="73"/>
      <c r="TSY220" s="73"/>
      <c r="TSZ220" s="73"/>
      <c r="TTA220" s="73"/>
      <c r="TTB220" s="73"/>
      <c r="TTC220" s="73"/>
      <c r="TTD220" s="73"/>
      <c r="TTE220" s="73"/>
      <c r="TTF220" s="73"/>
      <c r="TTG220" s="73"/>
      <c r="TTH220" s="73"/>
      <c r="TTI220" s="73"/>
      <c r="TTJ220" s="73"/>
      <c r="TTK220" s="73"/>
      <c r="TTL220" s="73"/>
      <c r="TTM220" s="73"/>
      <c r="TTN220" s="73"/>
      <c r="TTO220" s="73"/>
      <c r="TTP220" s="73"/>
      <c r="TTQ220" s="73"/>
      <c r="TTR220" s="73"/>
      <c r="TTS220" s="73"/>
      <c r="TTT220" s="73"/>
      <c r="TTU220" s="73"/>
      <c r="TTV220" s="73"/>
      <c r="TTW220" s="73"/>
      <c r="TTX220" s="73"/>
      <c r="TTY220" s="73"/>
      <c r="TTZ220" s="73"/>
      <c r="TUA220" s="73"/>
      <c r="TUB220" s="73"/>
      <c r="TUC220" s="73"/>
      <c r="TUD220" s="73"/>
      <c r="TUE220" s="73"/>
      <c r="TUF220" s="73"/>
      <c r="TUG220" s="73"/>
      <c r="TUH220" s="73"/>
      <c r="TUI220" s="73"/>
      <c r="TUJ220" s="73"/>
      <c r="TUK220" s="73"/>
      <c r="TUL220" s="73"/>
      <c r="TUM220" s="73"/>
      <c r="TUN220" s="73"/>
      <c r="TUO220" s="73"/>
      <c r="TUP220" s="73"/>
      <c r="TUQ220" s="73"/>
      <c r="TUR220" s="73"/>
      <c r="TUS220" s="73"/>
      <c r="TUT220" s="73"/>
      <c r="TUU220" s="73"/>
      <c r="TUV220" s="73"/>
      <c r="TUW220" s="73"/>
      <c r="TUX220" s="73"/>
      <c r="TUY220" s="73"/>
      <c r="TUZ220" s="73"/>
      <c r="TVA220" s="73"/>
      <c r="TVB220" s="73"/>
      <c r="TVC220" s="73"/>
      <c r="TVD220" s="73"/>
      <c r="TVE220" s="73"/>
      <c r="TVF220" s="73"/>
      <c r="TVG220" s="73"/>
      <c r="TVH220" s="73"/>
      <c r="TVI220" s="73"/>
      <c r="TVJ220" s="73"/>
      <c r="TVK220" s="73"/>
      <c r="TVL220" s="73"/>
      <c r="TVM220" s="73"/>
      <c r="TVN220" s="73"/>
      <c r="TVO220" s="73"/>
      <c r="TVP220" s="73"/>
      <c r="TVQ220" s="73"/>
      <c r="TVR220" s="73"/>
      <c r="TVS220" s="73"/>
      <c r="TVT220" s="73"/>
      <c r="TVU220" s="73"/>
      <c r="TVV220" s="73"/>
      <c r="TVW220" s="73"/>
      <c r="TVX220" s="73"/>
      <c r="TVY220" s="73"/>
      <c r="TVZ220" s="73"/>
      <c r="TWA220" s="73"/>
      <c r="TWB220" s="73"/>
      <c r="TWC220" s="73"/>
      <c r="TWD220" s="73"/>
      <c r="TWE220" s="73"/>
      <c r="TWF220" s="73"/>
      <c r="TWG220" s="73"/>
      <c r="TWH220" s="73"/>
      <c r="TWI220" s="73"/>
      <c r="TWJ220" s="73"/>
      <c r="TWK220" s="73"/>
      <c r="TWL220" s="73"/>
      <c r="TWM220" s="73"/>
      <c r="TWN220" s="73"/>
      <c r="TWO220" s="73"/>
      <c r="TWP220" s="73"/>
      <c r="TWQ220" s="73"/>
      <c r="TWR220" s="73"/>
      <c r="TWS220" s="73"/>
      <c r="TWT220" s="73"/>
      <c r="TWU220" s="73"/>
      <c r="TWV220" s="73"/>
      <c r="TWW220" s="73"/>
      <c r="TWX220" s="73"/>
      <c r="TWY220" s="73"/>
      <c r="TWZ220" s="73"/>
      <c r="TXA220" s="73"/>
      <c r="TXB220" s="73"/>
      <c r="TXC220" s="73"/>
      <c r="TXD220" s="73"/>
      <c r="TXE220" s="73"/>
      <c r="TXF220" s="73"/>
      <c r="TXG220" s="73"/>
      <c r="TXH220" s="73"/>
      <c r="TXI220" s="73"/>
      <c r="TXJ220" s="73"/>
      <c r="TXK220" s="73"/>
      <c r="TXL220" s="73"/>
      <c r="TXM220" s="73"/>
      <c r="TXN220" s="73"/>
      <c r="TXO220" s="73"/>
      <c r="TXP220" s="73"/>
      <c r="TXQ220" s="73"/>
      <c r="TXR220" s="73"/>
      <c r="TXS220" s="73"/>
      <c r="TXT220" s="73"/>
      <c r="TXU220" s="73"/>
      <c r="TXV220" s="73"/>
      <c r="TXW220" s="73"/>
      <c r="TXX220" s="73"/>
      <c r="TXY220" s="73"/>
      <c r="TXZ220" s="73"/>
      <c r="TYA220" s="73"/>
      <c r="TYB220" s="73"/>
      <c r="TYC220" s="73"/>
      <c r="TYD220" s="73"/>
      <c r="TYE220" s="73"/>
      <c r="TYF220" s="73"/>
      <c r="TYG220" s="73"/>
      <c r="TYH220" s="73"/>
      <c r="TYI220" s="73"/>
      <c r="TYJ220" s="73"/>
      <c r="TYK220" s="73"/>
      <c r="TYL220" s="73"/>
      <c r="TYM220" s="73"/>
      <c r="TYN220" s="73"/>
      <c r="TYO220" s="73"/>
      <c r="TYP220" s="73"/>
      <c r="TYQ220" s="73"/>
      <c r="TYR220" s="73"/>
      <c r="TYS220" s="73"/>
      <c r="TYT220" s="73"/>
      <c r="TYU220" s="73"/>
      <c r="TYV220" s="73"/>
      <c r="TYW220" s="73"/>
      <c r="TYX220" s="73"/>
      <c r="TYY220" s="73"/>
      <c r="TYZ220" s="73"/>
      <c r="TZA220" s="73"/>
      <c r="TZB220" s="73"/>
      <c r="TZC220" s="73"/>
      <c r="TZD220" s="73"/>
      <c r="TZE220" s="73"/>
      <c r="TZF220" s="73"/>
      <c r="TZG220" s="73"/>
      <c r="TZH220" s="73"/>
      <c r="TZI220" s="73"/>
      <c r="TZJ220" s="73"/>
      <c r="TZK220" s="73"/>
      <c r="TZL220" s="73"/>
      <c r="TZM220" s="73"/>
      <c r="TZN220" s="73"/>
      <c r="TZO220" s="73"/>
      <c r="TZP220" s="73"/>
      <c r="TZQ220" s="73"/>
      <c r="TZR220" s="73"/>
      <c r="TZS220" s="73"/>
      <c r="TZT220" s="73"/>
      <c r="TZU220" s="73"/>
      <c r="TZV220" s="73"/>
      <c r="TZW220" s="73"/>
      <c r="TZX220" s="73"/>
      <c r="TZY220" s="73"/>
      <c r="TZZ220" s="73"/>
      <c r="UAA220" s="73"/>
      <c r="UAB220" s="73"/>
      <c r="UAC220" s="73"/>
      <c r="UAD220" s="73"/>
      <c r="UAE220" s="73"/>
      <c r="UAF220" s="73"/>
      <c r="UAG220" s="73"/>
      <c r="UAH220" s="73"/>
      <c r="UAI220" s="73"/>
      <c r="UAJ220" s="73"/>
      <c r="UAK220" s="73"/>
      <c r="UAL220" s="73"/>
      <c r="UAM220" s="73"/>
      <c r="UAN220" s="73"/>
      <c r="UAO220" s="73"/>
      <c r="UAP220" s="73"/>
      <c r="UAQ220" s="73"/>
      <c r="UAR220" s="73"/>
      <c r="UAS220" s="73"/>
      <c r="UAT220" s="73"/>
      <c r="UAU220" s="73"/>
      <c r="UAV220" s="73"/>
      <c r="UAW220" s="73"/>
      <c r="UAX220" s="73"/>
      <c r="UAY220" s="73"/>
      <c r="UAZ220" s="73"/>
      <c r="UBA220" s="73"/>
      <c r="UBB220" s="73"/>
      <c r="UBC220" s="73"/>
      <c r="UBD220" s="73"/>
      <c r="UBE220" s="73"/>
      <c r="UBF220" s="73"/>
      <c r="UBG220" s="73"/>
      <c r="UBH220" s="73"/>
      <c r="UBI220" s="73"/>
      <c r="UBJ220" s="73"/>
      <c r="UBK220" s="73"/>
      <c r="UBL220" s="73"/>
      <c r="UBM220" s="73"/>
      <c r="UBN220" s="73"/>
      <c r="UBO220" s="73"/>
      <c r="UBP220" s="73"/>
      <c r="UBQ220" s="73"/>
      <c r="UBR220" s="73"/>
      <c r="UBS220" s="73"/>
      <c r="UBT220" s="73"/>
      <c r="UBU220" s="73"/>
      <c r="UBV220" s="73"/>
      <c r="UBW220" s="73"/>
      <c r="UBX220" s="73"/>
      <c r="UBY220" s="73"/>
      <c r="UBZ220" s="73"/>
      <c r="UCA220" s="73"/>
      <c r="UCB220" s="73"/>
      <c r="UCC220" s="73"/>
      <c r="UCD220" s="73"/>
      <c r="UCE220" s="73"/>
      <c r="UCF220" s="73"/>
      <c r="UCG220" s="73"/>
      <c r="UCH220" s="73"/>
      <c r="UCI220" s="73"/>
      <c r="UCJ220" s="73"/>
      <c r="UCK220" s="73"/>
      <c r="UCL220" s="73"/>
      <c r="UCM220" s="73"/>
      <c r="UCN220" s="73"/>
      <c r="UCO220" s="73"/>
      <c r="UCP220" s="73"/>
      <c r="UCQ220" s="73"/>
      <c r="UCR220" s="73"/>
      <c r="UCS220" s="73"/>
      <c r="UCT220" s="73"/>
      <c r="UCU220" s="73"/>
      <c r="UCV220" s="73"/>
      <c r="UCW220" s="73"/>
      <c r="UCX220" s="73"/>
      <c r="UCY220" s="73"/>
      <c r="UCZ220" s="73"/>
      <c r="UDA220" s="73"/>
      <c r="UDB220" s="73"/>
      <c r="UDC220" s="73"/>
      <c r="UDD220" s="73"/>
      <c r="UDE220" s="73"/>
      <c r="UDF220" s="73"/>
      <c r="UDG220" s="73"/>
      <c r="UDH220" s="73"/>
      <c r="UDI220" s="73"/>
      <c r="UDJ220" s="73"/>
      <c r="UDK220" s="73"/>
      <c r="UDL220" s="73"/>
      <c r="UDM220" s="73"/>
      <c r="UDN220" s="73"/>
      <c r="UDO220" s="73"/>
      <c r="UDP220" s="73"/>
      <c r="UDQ220" s="73"/>
      <c r="UDR220" s="73"/>
      <c r="UDS220" s="73"/>
      <c r="UDT220" s="73"/>
      <c r="UDU220" s="73"/>
      <c r="UDV220" s="73"/>
      <c r="UDW220" s="73"/>
      <c r="UDX220" s="73"/>
      <c r="UDY220" s="73"/>
      <c r="UDZ220" s="73"/>
      <c r="UEA220" s="73"/>
      <c r="UEB220" s="73"/>
      <c r="UEC220" s="73"/>
      <c r="UED220" s="73"/>
      <c r="UEE220" s="73"/>
      <c r="UEF220" s="73"/>
      <c r="UEG220" s="73"/>
      <c r="UEH220" s="73"/>
      <c r="UEI220" s="73"/>
      <c r="UEJ220" s="73"/>
      <c r="UEK220" s="73"/>
      <c r="UEL220" s="73"/>
      <c r="UEM220" s="73"/>
      <c r="UEN220" s="73"/>
      <c r="UEO220" s="73"/>
      <c r="UEP220" s="73"/>
      <c r="UEQ220" s="73"/>
      <c r="UER220" s="73"/>
      <c r="UES220" s="73"/>
      <c r="UET220" s="73"/>
      <c r="UEU220" s="73"/>
      <c r="UEV220" s="73"/>
      <c r="UEW220" s="73"/>
      <c r="UEX220" s="73"/>
      <c r="UEY220" s="73"/>
      <c r="UEZ220" s="73"/>
      <c r="UFA220" s="73"/>
      <c r="UFB220" s="73"/>
      <c r="UFC220" s="73"/>
      <c r="UFD220" s="73"/>
      <c r="UFE220" s="73"/>
      <c r="UFF220" s="73"/>
      <c r="UFG220" s="73"/>
      <c r="UFH220" s="73"/>
      <c r="UFI220" s="73"/>
      <c r="UFJ220" s="73"/>
      <c r="UFK220" s="73"/>
      <c r="UFL220" s="73"/>
      <c r="UFM220" s="73"/>
      <c r="UFN220" s="73"/>
      <c r="UFO220" s="73"/>
      <c r="UFP220" s="73"/>
      <c r="UFQ220" s="73"/>
      <c r="UFR220" s="73"/>
      <c r="UFS220" s="73"/>
      <c r="UFT220" s="73"/>
      <c r="UFU220" s="73"/>
      <c r="UFV220" s="73"/>
      <c r="UFW220" s="73"/>
      <c r="UFX220" s="73"/>
      <c r="UFY220" s="73"/>
      <c r="UFZ220" s="73"/>
      <c r="UGA220" s="73"/>
      <c r="UGB220" s="73"/>
      <c r="UGC220" s="73"/>
      <c r="UGD220" s="73"/>
      <c r="UGE220" s="73"/>
      <c r="UGF220" s="73"/>
      <c r="UGG220" s="73"/>
      <c r="UGH220" s="73"/>
      <c r="UGI220" s="73"/>
      <c r="UGJ220" s="73"/>
      <c r="UGK220" s="73"/>
      <c r="UGL220" s="73"/>
      <c r="UGM220" s="73"/>
      <c r="UGN220" s="73"/>
      <c r="UGO220" s="73"/>
      <c r="UGP220" s="73"/>
      <c r="UGQ220" s="73"/>
      <c r="UGR220" s="73"/>
      <c r="UGS220" s="73"/>
      <c r="UGT220" s="73"/>
      <c r="UGU220" s="73"/>
      <c r="UGV220" s="73"/>
      <c r="UGW220" s="73"/>
      <c r="UGX220" s="73"/>
      <c r="UGY220" s="73"/>
      <c r="UGZ220" s="73"/>
      <c r="UHA220" s="73"/>
      <c r="UHB220" s="73"/>
      <c r="UHC220" s="73"/>
      <c r="UHD220" s="73"/>
      <c r="UHE220" s="73"/>
      <c r="UHF220" s="73"/>
      <c r="UHG220" s="73"/>
      <c r="UHH220" s="73"/>
      <c r="UHI220" s="73"/>
      <c r="UHJ220" s="73"/>
      <c r="UHK220" s="73"/>
      <c r="UHL220" s="73"/>
      <c r="UHM220" s="73"/>
      <c r="UHN220" s="73"/>
      <c r="UHO220" s="73"/>
      <c r="UHP220" s="73"/>
      <c r="UHQ220" s="73"/>
      <c r="UHR220" s="73"/>
      <c r="UHS220" s="73"/>
      <c r="UHT220" s="73"/>
      <c r="UHU220" s="73"/>
      <c r="UHV220" s="73"/>
      <c r="UHW220" s="73"/>
      <c r="UHX220" s="73"/>
      <c r="UHY220" s="73"/>
      <c r="UHZ220" s="73"/>
      <c r="UIA220" s="73"/>
      <c r="UIB220" s="73"/>
      <c r="UIC220" s="73"/>
      <c r="UID220" s="73"/>
      <c r="UIE220" s="73"/>
      <c r="UIF220" s="73"/>
      <c r="UIG220" s="73"/>
      <c r="UIH220" s="73"/>
      <c r="UII220" s="73"/>
      <c r="UIJ220" s="73"/>
      <c r="UIK220" s="73"/>
      <c r="UIL220" s="73"/>
      <c r="UIM220" s="73"/>
      <c r="UIN220" s="73"/>
      <c r="UIO220" s="73"/>
      <c r="UIP220" s="73"/>
      <c r="UIQ220" s="73"/>
      <c r="UIR220" s="73"/>
      <c r="UIS220" s="73"/>
      <c r="UIT220" s="73"/>
      <c r="UIU220" s="73"/>
      <c r="UIV220" s="73"/>
      <c r="UIW220" s="73"/>
      <c r="UIX220" s="73"/>
      <c r="UIY220" s="73"/>
      <c r="UIZ220" s="73"/>
      <c r="UJA220" s="73"/>
      <c r="UJB220" s="73"/>
      <c r="UJC220" s="73"/>
      <c r="UJD220" s="73"/>
      <c r="UJE220" s="73"/>
      <c r="UJF220" s="73"/>
      <c r="UJG220" s="73"/>
      <c r="UJH220" s="73"/>
      <c r="UJI220" s="73"/>
      <c r="UJJ220" s="73"/>
      <c r="UJK220" s="73"/>
      <c r="UJL220" s="73"/>
      <c r="UJM220" s="73"/>
      <c r="UJN220" s="73"/>
      <c r="UJO220" s="73"/>
      <c r="UJP220" s="73"/>
      <c r="UJQ220" s="73"/>
      <c r="UJR220" s="73"/>
      <c r="UJS220" s="73"/>
      <c r="UJT220" s="73"/>
      <c r="UJU220" s="73"/>
      <c r="UJV220" s="73"/>
      <c r="UJW220" s="73"/>
      <c r="UJX220" s="73"/>
      <c r="UJY220" s="73"/>
      <c r="UJZ220" s="73"/>
      <c r="UKA220" s="73"/>
      <c r="UKB220" s="73"/>
      <c r="UKC220" s="73"/>
      <c r="UKD220" s="73"/>
      <c r="UKE220" s="73"/>
      <c r="UKF220" s="73"/>
      <c r="UKG220" s="73"/>
      <c r="UKH220" s="73"/>
      <c r="UKI220" s="73"/>
      <c r="UKJ220" s="73"/>
      <c r="UKK220" s="73"/>
      <c r="UKL220" s="73"/>
      <c r="UKM220" s="73"/>
      <c r="UKN220" s="73"/>
      <c r="UKO220" s="73"/>
      <c r="UKP220" s="73"/>
      <c r="UKQ220" s="73"/>
      <c r="UKR220" s="73"/>
      <c r="UKS220" s="73"/>
      <c r="UKT220" s="73"/>
      <c r="UKU220" s="73"/>
      <c r="UKV220" s="73"/>
      <c r="UKW220" s="73"/>
      <c r="UKX220" s="73"/>
      <c r="UKY220" s="73"/>
      <c r="UKZ220" s="73"/>
      <c r="ULA220" s="73"/>
      <c r="ULB220" s="73"/>
      <c r="ULC220" s="73"/>
      <c r="ULD220" s="73"/>
      <c r="ULE220" s="73"/>
      <c r="ULF220" s="73"/>
      <c r="ULG220" s="73"/>
      <c r="ULH220" s="73"/>
      <c r="ULI220" s="73"/>
      <c r="ULJ220" s="73"/>
      <c r="ULK220" s="73"/>
      <c r="ULL220" s="73"/>
      <c r="ULM220" s="73"/>
      <c r="ULN220" s="73"/>
      <c r="ULO220" s="73"/>
      <c r="ULP220" s="73"/>
      <c r="ULQ220" s="73"/>
      <c r="ULR220" s="73"/>
      <c r="ULS220" s="73"/>
      <c r="ULT220" s="73"/>
      <c r="ULU220" s="73"/>
      <c r="ULV220" s="73"/>
      <c r="ULW220" s="73"/>
      <c r="ULX220" s="73"/>
      <c r="ULY220" s="73"/>
      <c r="ULZ220" s="73"/>
      <c r="UMA220" s="73"/>
      <c r="UMB220" s="73"/>
      <c r="UMC220" s="73"/>
      <c r="UMD220" s="73"/>
      <c r="UME220" s="73"/>
      <c r="UMF220" s="73"/>
      <c r="UMG220" s="73"/>
      <c r="UMH220" s="73"/>
      <c r="UMI220" s="73"/>
      <c r="UMJ220" s="73"/>
      <c r="UMK220" s="73"/>
      <c r="UML220" s="73"/>
      <c r="UMM220" s="73"/>
      <c r="UMN220" s="73"/>
      <c r="UMO220" s="73"/>
      <c r="UMP220" s="73"/>
      <c r="UMQ220" s="73"/>
      <c r="UMR220" s="73"/>
      <c r="UMS220" s="73"/>
      <c r="UMT220" s="73"/>
      <c r="UMU220" s="73"/>
      <c r="UMV220" s="73"/>
      <c r="UMW220" s="73"/>
      <c r="UMX220" s="73"/>
      <c r="UMY220" s="73"/>
      <c r="UMZ220" s="73"/>
      <c r="UNA220" s="73"/>
      <c r="UNB220" s="73"/>
      <c r="UNC220" s="73"/>
      <c r="UND220" s="73"/>
      <c r="UNE220" s="73"/>
      <c r="UNF220" s="73"/>
      <c r="UNG220" s="73"/>
      <c r="UNH220" s="73"/>
      <c r="UNI220" s="73"/>
      <c r="UNJ220" s="73"/>
      <c r="UNK220" s="73"/>
      <c r="UNL220" s="73"/>
      <c r="UNM220" s="73"/>
      <c r="UNN220" s="73"/>
      <c r="UNO220" s="73"/>
      <c r="UNP220" s="73"/>
      <c r="UNQ220" s="73"/>
      <c r="UNR220" s="73"/>
      <c r="UNS220" s="73"/>
      <c r="UNT220" s="73"/>
      <c r="UNU220" s="73"/>
      <c r="UNV220" s="73"/>
      <c r="UNW220" s="73"/>
      <c r="UNX220" s="73"/>
      <c r="UNY220" s="73"/>
      <c r="UNZ220" s="73"/>
      <c r="UOA220" s="73"/>
      <c r="UOB220" s="73"/>
      <c r="UOC220" s="73"/>
      <c r="UOD220" s="73"/>
      <c r="UOE220" s="73"/>
      <c r="UOF220" s="73"/>
      <c r="UOG220" s="73"/>
      <c r="UOH220" s="73"/>
      <c r="UOI220" s="73"/>
      <c r="UOJ220" s="73"/>
      <c r="UOK220" s="73"/>
      <c r="UOL220" s="73"/>
      <c r="UOM220" s="73"/>
      <c r="UON220" s="73"/>
      <c r="UOO220" s="73"/>
      <c r="UOP220" s="73"/>
      <c r="UOQ220" s="73"/>
      <c r="UOR220" s="73"/>
      <c r="UOS220" s="73"/>
      <c r="UOT220" s="73"/>
      <c r="UOU220" s="73"/>
      <c r="UOV220" s="73"/>
      <c r="UOW220" s="73"/>
      <c r="UOX220" s="73"/>
      <c r="UOY220" s="73"/>
      <c r="UOZ220" s="73"/>
      <c r="UPA220" s="73"/>
      <c r="UPB220" s="73"/>
      <c r="UPC220" s="73"/>
      <c r="UPD220" s="73"/>
      <c r="UPE220" s="73"/>
      <c r="UPF220" s="73"/>
      <c r="UPG220" s="73"/>
      <c r="UPH220" s="73"/>
      <c r="UPI220" s="73"/>
      <c r="UPJ220" s="73"/>
      <c r="UPK220" s="73"/>
      <c r="UPL220" s="73"/>
      <c r="UPM220" s="73"/>
      <c r="UPN220" s="73"/>
      <c r="UPO220" s="73"/>
      <c r="UPP220" s="73"/>
      <c r="UPQ220" s="73"/>
      <c r="UPR220" s="73"/>
      <c r="UPS220" s="73"/>
      <c r="UPT220" s="73"/>
      <c r="UPU220" s="73"/>
      <c r="UPV220" s="73"/>
      <c r="UPW220" s="73"/>
      <c r="UPX220" s="73"/>
      <c r="UPY220" s="73"/>
      <c r="UPZ220" s="73"/>
      <c r="UQA220" s="73"/>
      <c r="UQB220" s="73"/>
      <c r="UQC220" s="73"/>
      <c r="UQD220" s="73"/>
      <c r="UQE220" s="73"/>
      <c r="UQF220" s="73"/>
      <c r="UQG220" s="73"/>
      <c r="UQH220" s="73"/>
      <c r="UQI220" s="73"/>
      <c r="UQJ220" s="73"/>
      <c r="UQK220" s="73"/>
      <c r="UQL220" s="73"/>
      <c r="UQM220" s="73"/>
      <c r="UQN220" s="73"/>
      <c r="UQO220" s="73"/>
      <c r="UQP220" s="73"/>
      <c r="UQQ220" s="73"/>
      <c r="UQR220" s="73"/>
      <c r="UQS220" s="73"/>
      <c r="UQT220" s="73"/>
      <c r="UQU220" s="73"/>
      <c r="UQV220" s="73"/>
      <c r="UQW220" s="73"/>
      <c r="UQX220" s="73"/>
      <c r="UQY220" s="73"/>
      <c r="UQZ220" s="73"/>
      <c r="URA220" s="73"/>
      <c r="URB220" s="73"/>
      <c r="URC220" s="73"/>
      <c r="URD220" s="73"/>
      <c r="URE220" s="73"/>
      <c r="URF220" s="73"/>
      <c r="URG220" s="73"/>
      <c r="URH220" s="73"/>
      <c r="URI220" s="73"/>
      <c r="URJ220" s="73"/>
      <c r="URK220" s="73"/>
      <c r="URL220" s="73"/>
      <c r="URM220" s="73"/>
      <c r="URN220" s="73"/>
      <c r="URO220" s="73"/>
      <c r="URP220" s="73"/>
      <c r="URQ220" s="73"/>
      <c r="URR220" s="73"/>
      <c r="URS220" s="73"/>
      <c r="URT220" s="73"/>
      <c r="URU220" s="73"/>
      <c r="URV220" s="73"/>
      <c r="URW220" s="73"/>
      <c r="URX220" s="73"/>
      <c r="URY220" s="73"/>
      <c r="URZ220" s="73"/>
      <c r="USA220" s="73"/>
      <c r="USB220" s="73"/>
      <c r="USC220" s="73"/>
      <c r="USD220" s="73"/>
      <c r="USE220" s="73"/>
      <c r="USF220" s="73"/>
      <c r="USG220" s="73"/>
      <c r="USH220" s="73"/>
      <c r="USI220" s="73"/>
      <c r="USJ220" s="73"/>
      <c r="USK220" s="73"/>
      <c r="USL220" s="73"/>
      <c r="USM220" s="73"/>
      <c r="USN220" s="73"/>
      <c r="USO220" s="73"/>
      <c r="USP220" s="73"/>
      <c r="USQ220" s="73"/>
      <c r="USR220" s="73"/>
      <c r="USS220" s="73"/>
      <c r="UST220" s="73"/>
      <c r="USU220" s="73"/>
      <c r="USV220" s="73"/>
      <c r="USW220" s="73"/>
      <c r="USX220" s="73"/>
      <c r="USY220" s="73"/>
      <c r="USZ220" s="73"/>
      <c r="UTA220" s="73"/>
      <c r="UTB220" s="73"/>
      <c r="UTC220" s="73"/>
      <c r="UTD220" s="73"/>
      <c r="UTE220" s="73"/>
      <c r="UTF220" s="73"/>
      <c r="UTG220" s="73"/>
      <c r="UTH220" s="73"/>
      <c r="UTI220" s="73"/>
      <c r="UTJ220" s="73"/>
      <c r="UTK220" s="73"/>
      <c r="UTL220" s="73"/>
      <c r="UTM220" s="73"/>
      <c r="UTN220" s="73"/>
      <c r="UTO220" s="73"/>
      <c r="UTP220" s="73"/>
      <c r="UTQ220" s="73"/>
      <c r="UTR220" s="73"/>
      <c r="UTS220" s="73"/>
      <c r="UTT220" s="73"/>
      <c r="UTU220" s="73"/>
      <c r="UTV220" s="73"/>
      <c r="UTW220" s="73"/>
      <c r="UTX220" s="73"/>
      <c r="UTY220" s="73"/>
      <c r="UTZ220" s="73"/>
      <c r="UUA220" s="73"/>
      <c r="UUB220" s="73"/>
      <c r="UUC220" s="73"/>
      <c r="UUD220" s="73"/>
      <c r="UUE220" s="73"/>
      <c r="UUF220" s="73"/>
      <c r="UUG220" s="73"/>
      <c r="UUH220" s="73"/>
      <c r="UUI220" s="73"/>
      <c r="UUJ220" s="73"/>
      <c r="UUK220" s="73"/>
      <c r="UUL220" s="73"/>
      <c r="UUM220" s="73"/>
      <c r="UUN220" s="73"/>
      <c r="UUO220" s="73"/>
      <c r="UUP220" s="73"/>
      <c r="UUQ220" s="73"/>
      <c r="UUR220" s="73"/>
      <c r="UUS220" s="73"/>
      <c r="UUT220" s="73"/>
      <c r="UUU220" s="73"/>
      <c r="UUV220" s="73"/>
      <c r="UUW220" s="73"/>
      <c r="UUX220" s="73"/>
      <c r="UUY220" s="73"/>
      <c r="UUZ220" s="73"/>
      <c r="UVA220" s="73"/>
      <c r="UVB220" s="73"/>
      <c r="UVC220" s="73"/>
      <c r="UVD220" s="73"/>
      <c r="UVE220" s="73"/>
      <c r="UVF220" s="73"/>
      <c r="UVG220" s="73"/>
      <c r="UVH220" s="73"/>
      <c r="UVI220" s="73"/>
      <c r="UVJ220" s="73"/>
      <c r="UVK220" s="73"/>
      <c r="UVL220" s="73"/>
      <c r="UVM220" s="73"/>
      <c r="UVN220" s="73"/>
      <c r="UVO220" s="73"/>
      <c r="UVP220" s="73"/>
      <c r="UVQ220" s="73"/>
      <c r="UVR220" s="73"/>
      <c r="UVS220" s="73"/>
      <c r="UVT220" s="73"/>
      <c r="UVU220" s="73"/>
      <c r="UVV220" s="73"/>
      <c r="UVW220" s="73"/>
      <c r="UVX220" s="73"/>
      <c r="UVY220" s="73"/>
      <c r="UVZ220" s="73"/>
      <c r="UWA220" s="73"/>
      <c r="UWB220" s="73"/>
      <c r="UWC220" s="73"/>
      <c r="UWD220" s="73"/>
      <c r="UWE220" s="73"/>
      <c r="UWF220" s="73"/>
      <c r="UWG220" s="73"/>
      <c r="UWH220" s="73"/>
      <c r="UWI220" s="73"/>
      <c r="UWJ220" s="73"/>
      <c r="UWK220" s="73"/>
      <c r="UWL220" s="73"/>
      <c r="UWM220" s="73"/>
      <c r="UWN220" s="73"/>
      <c r="UWO220" s="73"/>
      <c r="UWP220" s="73"/>
      <c r="UWQ220" s="73"/>
      <c r="UWR220" s="73"/>
      <c r="UWS220" s="73"/>
      <c r="UWT220" s="73"/>
      <c r="UWU220" s="73"/>
      <c r="UWV220" s="73"/>
      <c r="UWW220" s="73"/>
      <c r="UWX220" s="73"/>
      <c r="UWY220" s="73"/>
      <c r="UWZ220" s="73"/>
      <c r="UXA220" s="73"/>
      <c r="UXB220" s="73"/>
      <c r="UXC220" s="73"/>
      <c r="UXD220" s="73"/>
      <c r="UXE220" s="73"/>
      <c r="UXF220" s="73"/>
      <c r="UXG220" s="73"/>
      <c r="UXH220" s="73"/>
      <c r="UXI220" s="73"/>
      <c r="UXJ220" s="73"/>
      <c r="UXK220" s="73"/>
      <c r="UXL220" s="73"/>
      <c r="UXM220" s="73"/>
      <c r="UXN220" s="73"/>
      <c r="UXO220" s="73"/>
      <c r="UXP220" s="73"/>
      <c r="UXQ220" s="73"/>
      <c r="UXR220" s="73"/>
      <c r="UXS220" s="73"/>
      <c r="UXT220" s="73"/>
      <c r="UXU220" s="73"/>
      <c r="UXV220" s="73"/>
      <c r="UXW220" s="73"/>
      <c r="UXX220" s="73"/>
      <c r="UXY220" s="73"/>
      <c r="UXZ220" s="73"/>
      <c r="UYA220" s="73"/>
      <c r="UYB220" s="73"/>
      <c r="UYC220" s="73"/>
      <c r="UYD220" s="73"/>
      <c r="UYE220" s="73"/>
      <c r="UYF220" s="73"/>
      <c r="UYG220" s="73"/>
      <c r="UYH220" s="73"/>
      <c r="UYI220" s="73"/>
      <c r="UYJ220" s="73"/>
      <c r="UYK220" s="73"/>
      <c r="UYL220" s="73"/>
      <c r="UYM220" s="73"/>
      <c r="UYN220" s="73"/>
      <c r="UYO220" s="73"/>
      <c r="UYP220" s="73"/>
      <c r="UYQ220" s="73"/>
      <c r="UYR220" s="73"/>
      <c r="UYS220" s="73"/>
      <c r="UYT220" s="73"/>
      <c r="UYU220" s="73"/>
      <c r="UYV220" s="73"/>
      <c r="UYW220" s="73"/>
      <c r="UYX220" s="73"/>
      <c r="UYY220" s="73"/>
      <c r="UYZ220" s="73"/>
      <c r="UZA220" s="73"/>
      <c r="UZB220" s="73"/>
      <c r="UZC220" s="73"/>
      <c r="UZD220" s="73"/>
      <c r="UZE220" s="73"/>
      <c r="UZF220" s="73"/>
      <c r="UZG220" s="73"/>
      <c r="UZH220" s="73"/>
      <c r="UZI220" s="73"/>
      <c r="UZJ220" s="73"/>
      <c r="UZK220" s="73"/>
      <c r="UZL220" s="73"/>
      <c r="UZM220" s="73"/>
      <c r="UZN220" s="73"/>
      <c r="UZO220" s="73"/>
      <c r="UZP220" s="73"/>
      <c r="UZQ220" s="73"/>
      <c r="UZR220" s="73"/>
      <c r="UZS220" s="73"/>
      <c r="UZT220" s="73"/>
      <c r="UZU220" s="73"/>
      <c r="UZV220" s="73"/>
      <c r="UZW220" s="73"/>
      <c r="UZX220" s="73"/>
      <c r="UZY220" s="73"/>
      <c r="UZZ220" s="73"/>
      <c r="VAA220" s="73"/>
      <c r="VAB220" s="73"/>
      <c r="VAC220" s="73"/>
      <c r="VAD220" s="73"/>
      <c r="VAE220" s="73"/>
      <c r="VAF220" s="73"/>
      <c r="VAG220" s="73"/>
      <c r="VAH220" s="73"/>
      <c r="VAI220" s="73"/>
      <c r="VAJ220" s="73"/>
      <c r="VAK220" s="73"/>
      <c r="VAL220" s="73"/>
      <c r="VAM220" s="73"/>
      <c r="VAN220" s="73"/>
      <c r="VAO220" s="73"/>
      <c r="VAP220" s="73"/>
      <c r="VAQ220" s="73"/>
      <c r="VAR220" s="73"/>
      <c r="VAS220" s="73"/>
      <c r="VAT220" s="73"/>
      <c r="VAU220" s="73"/>
      <c r="VAV220" s="73"/>
      <c r="VAW220" s="73"/>
      <c r="VAX220" s="73"/>
      <c r="VAY220" s="73"/>
      <c r="VAZ220" s="73"/>
      <c r="VBA220" s="73"/>
      <c r="VBB220" s="73"/>
      <c r="VBC220" s="73"/>
      <c r="VBD220" s="73"/>
      <c r="VBE220" s="73"/>
      <c r="VBF220" s="73"/>
      <c r="VBG220" s="73"/>
      <c r="VBH220" s="73"/>
      <c r="VBI220" s="73"/>
      <c r="VBJ220" s="73"/>
      <c r="VBK220" s="73"/>
      <c r="VBL220" s="73"/>
      <c r="VBM220" s="73"/>
      <c r="VBN220" s="73"/>
      <c r="VBO220" s="73"/>
      <c r="VBP220" s="73"/>
      <c r="VBQ220" s="73"/>
      <c r="VBR220" s="73"/>
      <c r="VBS220" s="73"/>
      <c r="VBT220" s="73"/>
      <c r="VBU220" s="73"/>
      <c r="VBV220" s="73"/>
      <c r="VBW220" s="73"/>
      <c r="VBX220" s="73"/>
      <c r="VBY220" s="73"/>
      <c r="VBZ220" s="73"/>
      <c r="VCA220" s="73"/>
      <c r="VCB220" s="73"/>
      <c r="VCC220" s="73"/>
      <c r="VCD220" s="73"/>
      <c r="VCE220" s="73"/>
      <c r="VCF220" s="73"/>
      <c r="VCG220" s="73"/>
      <c r="VCH220" s="73"/>
      <c r="VCI220" s="73"/>
      <c r="VCJ220" s="73"/>
      <c r="VCK220" s="73"/>
      <c r="VCL220" s="73"/>
      <c r="VCM220" s="73"/>
      <c r="VCN220" s="73"/>
      <c r="VCO220" s="73"/>
      <c r="VCP220" s="73"/>
      <c r="VCQ220" s="73"/>
      <c r="VCR220" s="73"/>
      <c r="VCS220" s="73"/>
      <c r="VCT220" s="73"/>
      <c r="VCU220" s="73"/>
      <c r="VCV220" s="73"/>
      <c r="VCW220" s="73"/>
      <c r="VCX220" s="73"/>
      <c r="VCY220" s="73"/>
      <c r="VCZ220" s="73"/>
      <c r="VDA220" s="73"/>
      <c r="VDB220" s="73"/>
      <c r="VDC220" s="73"/>
      <c r="VDD220" s="73"/>
      <c r="VDE220" s="73"/>
      <c r="VDF220" s="73"/>
      <c r="VDG220" s="73"/>
      <c r="VDH220" s="73"/>
      <c r="VDI220" s="73"/>
      <c r="VDJ220" s="73"/>
      <c r="VDK220" s="73"/>
      <c r="VDL220" s="73"/>
      <c r="VDM220" s="73"/>
      <c r="VDN220" s="73"/>
      <c r="VDO220" s="73"/>
      <c r="VDP220" s="73"/>
      <c r="VDQ220" s="73"/>
      <c r="VDR220" s="73"/>
      <c r="VDS220" s="73"/>
      <c r="VDT220" s="73"/>
      <c r="VDU220" s="73"/>
      <c r="VDV220" s="73"/>
      <c r="VDW220" s="73"/>
      <c r="VDX220" s="73"/>
      <c r="VDY220" s="73"/>
      <c r="VDZ220" s="73"/>
      <c r="VEA220" s="73"/>
      <c r="VEB220" s="73"/>
      <c r="VEC220" s="73"/>
      <c r="VED220" s="73"/>
      <c r="VEE220" s="73"/>
      <c r="VEF220" s="73"/>
      <c r="VEG220" s="73"/>
      <c r="VEH220" s="73"/>
      <c r="VEI220" s="73"/>
      <c r="VEJ220" s="73"/>
      <c r="VEK220" s="73"/>
      <c r="VEL220" s="73"/>
      <c r="VEM220" s="73"/>
      <c r="VEN220" s="73"/>
      <c r="VEO220" s="73"/>
      <c r="VEP220" s="73"/>
      <c r="VEQ220" s="73"/>
      <c r="VER220" s="73"/>
      <c r="VES220" s="73"/>
      <c r="VET220" s="73"/>
      <c r="VEU220" s="73"/>
      <c r="VEV220" s="73"/>
      <c r="VEW220" s="73"/>
      <c r="VEX220" s="73"/>
      <c r="VEY220" s="73"/>
      <c r="VEZ220" s="73"/>
      <c r="VFA220" s="73"/>
      <c r="VFB220" s="73"/>
      <c r="VFC220" s="73"/>
      <c r="VFD220" s="73"/>
      <c r="VFE220" s="73"/>
      <c r="VFF220" s="73"/>
      <c r="VFG220" s="73"/>
      <c r="VFH220" s="73"/>
      <c r="VFI220" s="73"/>
      <c r="VFJ220" s="73"/>
      <c r="VFK220" s="73"/>
      <c r="VFL220" s="73"/>
      <c r="VFM220" s="73"/>
      <c r="VFN220" s="73"/>
      <c r="VFO220" s="73"/>
      <c r="VFP220" s="73"/>
      <c r="VFQ220" s="73"/>
      <c r="VFR220" s="73"/>
      <c r="VFS220" s="73"/>
      <c r="VFT220" s="73"/>
      <c r="VFU220" s="73"/>
      <c r="VFV220" s="73"/>
      <c r="VFW220" s="73"/>
      <c r="VFX220" s="73"/>
      <c r="VFY220" s="73"/>
      <c r="VFZ220" s="73"/>
      <c r="VGA220" s="73"/>
      <c r="VGB220" s="73"/>
      <c r="VGC220" s="73"/>
      <c r="VGD220" s="73"/>
      <c r="VGE220" s="73"/>
      <c r="VGF220" s="73"/>
      <c r="VGG220" s="73"/>
      <c r="VGH220" s="73"/>
      <c r="VGI220" s="73"/>
      <c r="VGJ220" s="73"/>
      <c r="VGK220" s="73"/>
      <c r="VGL220" s="73"/>
      <c r="VGM220" s="73"/>
      <c r="VGN220" s="73"/>
      <c r="VGO220" s="73"/>
      <c r="VGP220" s="73"/>
      <c r="VGQ220" s="73"/>
      <c r="VGR220" s="73"/>
      <c r="VGS220" s="73"/>
      <c r="VGT220" s="73"/>
      <c r="VGU220" s="73"/>
      <c r="VGV220" s="73"/>
      <c r="VGW220" s="73"/>
      <c r="VGX220" s="73"/>
      <c r="VGY220" s="73"/>
      <c r="VGZ220" s="73"/>
      <c r="VHA220" s="73"/>
      <c r="VHB220" s="73"/>
      <c r="VHC220" s="73"/>
      <c r="VHD220" s="73"/>
      <c r="VHE220" s="73"/>
      <c r="VHF220" s="73"/>
      <c r="VHG220" s="73"/>
      <c r="VHH220" s="73"/>
      <c r="VHI220" s="73"/>
      <c r="VHJ220" s="73"/>
      <c r="VHK220" s="73"/>
      <c r="VHL220" s="73"/>
      <c r="VHM220" s="73"/>
      <c r="VHN220" s="73"/>
      <c r="VHO220" s="73"/>
      <c r="VHP220" s="73"/>
      <c r="VHQ220" s="73"/>
      <c r="VHR220" s="73"/>
      <c r="VHS220" s="73"/>
      <c r="VHT220" s="73"/>
      <c r="VHU220" s="73"/>
      <c r="VHV220" s="73"/>
      <c r="VHW220" s="73"/>
      <c r="VHX220" s="73"/>
      <c r="VHY220" s="73"/>
      <c r="VHZ220" s="73"/>
      <c r="VIA220" s="73"/>
      <c r="VIB220" s="73"/>
      <c r="VIC220" s="73"/>
      <c r="VID220" s="73"/>
      <c r="VIE220" s="73"/>
      <c r="VIF220" s="73"/>
      <c r="VIG220" s="73"/>
      <c r="VIH220" s="73"/>
      <c r="VII220" s="73"/>
      <c r="VIJ220" s="73"/>
      <c r="VIK220" s="73"/>
      <c r="VIL220" s="73"/>
      <c r="VIM220" s="73"/>
      <c r="VIN220" s="73"/>
      <c r="VIO220" s="73"/>
      <c r="VIP220" s="73"/>
      <c r="VIQ220" s="73"/>
      <c r="VIR220" s="73"/>
      <c r="VIS220" s="73"/>
      <c r="VIT220" s="73"/>
      <c r="VIU220" s="73"/>
      <c r="VIV220" s="73"/>
      <c r="VIW220" s="73"/>
      <c r="VIX220" s="73"/>
      <c r="VIY220" s="73"/>
      <c r="VIZ220" s="73"/>
      <c r="VJA220" s="73"/>
      <c r="VJB220" s="73"/>
      <c r="VJC220" s="73"/>
      <c r="VJD220" s="73"/>
      <c r="VJE220" s="73"/>
      <c r="VJF220" s="73"/>
      <c r="VJG220" s="73"/>
      <c r="VJH220" s="73"/>
      <c r="VJI220" s="73"/>
      <c r="VJJ220" s="73"/>
      <c r="VJK220" s="73"/>
      <c r="VJL220" s="73"/>
      <c r="VJM220" s="73"/>
      <c r="VJN220" s="73"/>
      <c r="VJO220" s="73"/>
      <c r="VJP220" s="73"/>
      <c r="VJQ220" s="73"/>
      <c r="VJR220" s="73"/>
      <c r="VJS220" s="73"/>
      <c r="VJT220" s="73"/>
      <c r="VJU220" s="73"/>
      <c r="VJV220" s="73"/>
      <c r="VJW220" s="73"/>
      <c r="VJX220" s="73"/>
      <c r="VJY220" s="73"/>
      <c r="VJZ220" s="73"/>
      <c r="VKA220" s="73"/>
      <c r="VKB220" s="73"/>
      <c r="VKC220" s="73"/>
      <c r="VKD220" s="73"/>
      <c r="VKE220" s="73"/>
      <c r="VKF220" s="73"/>
      <c r="VKG220" s="73"/>
      <c r="VKH220" s="73"/>
      <c r="VKI220" s="73"/>
      <c r="VKJ220" s="73"/>
      <c r="VKK220" s="73"/>
      <c r="VKL220" s="73"/>
      <c r="VKM220" s="73"/>
      <c r="VKN220" s="73"/>
      <c r="VKO220" s="73"/>
      <c r="VKP220" s="73"/>
      <c r="VKQ220" s="73"/>
      <c r="VKR220" s="73"/>
      <c r="VKS220" s="73"/>
      <c r="VKT220" s="73"/>
      <c r="VKU220" s="73"/>
      <c r="VKV220" s="73"/>
      <c r="VKW220" s="73"/>
      <c r="VKX220" s="73"/>
      <c r="VKY220" s="73"/>
      <c r="VKZ220" s="73"/>
      <c r="VLA220" s="73"/>
      <c r="VLB220" s="73"/>
      <c r="VLC220" s="73"/>
      <c r="VLD220" s="73"/>
      <c r="VLE220" s="73"/>
      <c r="VLF220" s="73"/>
      <c r="VLG220" s="73"/>
      <c r="VLH220" s="73"/>
      <c r="VLI220" s="73"/>
      <c r="VLJ220" s="73"/>
      <c r="VLK220" s="73"/>
      <c r="VLL220" s="73"/>
      <c r="VLM220" s="73"/>
      <c r="VLN220" s="73"/>
      <c r="VLO220" s="73"/>
      <c r="VLP220" s="73"/>
      <c r="VLQ220" s="73"/>
      <c r="VLR220" s="73"/>
      <c r="VLS220" s="73"/>
      <c r="VLT220" s="73"/>
      <c r="VLU220" s="73"/>
      <c r="VLV220" s="73"/>
      <c r="VLW220" s="73"/>
      <c r="VLX220" s="73"/>
      <c r="VLY220" s="73"/>
      <c r="VLZ220" s="73"/>
      <c r="VMA220" s="73"/>
      <c r="VMB220" s="73"/>
      <c r="VMC220" s="73"/>
      <c r="VMD220" s="73"/>
      <c r="VME220" s="73"/>
      <c r="VMF220" s="73"/>
      <c r="VMG220" s="73"/>
      <c r="VMH220" s="73"/>
      <c r="VMI220" s="73"/>
      <c r="VMJ220" s="73"/>
      <c r="VMK220" s="73"/>
      <c r="VML220" s="73"/>
      <c r="VMM220" s="73"/>
      <c r="VMN220" s="73"/>
      <c r="VMO220" s="73"/>
      <c r="VMP220" s="73"/>
      <c r="VMQ220" s="73"/>
      <c r="VMR220" s="73"/>
      <c r="VMS220" s="73"/>
      <c r="VMT220" s="73"/>
      <c r="VMU220" s="73"/>
      <c r="VMV220" s="73"/>
      <c r="VMW220" s="73"/>
      <c r="VMX220" s="73"/>
      <c r="VMY220" s="73"/>
      <c r="VMZ220" s="73"/>
      <c r="VNA220" s="73"/>
      <c r="VNB220" s="73"/>
      <c r="VNC220" s="73"/>
      <c r="VND220" s="73"/>
      <c r="VNE220" s="73"/>
      <c r="VNF220" s="73"/>
      <c r="VNG220" s="73"/>
      <c r="VNH220" s="73"/>
      <c r="VNI220" s="73"/>
      <c r="VNJ220" s="73"/>
      <c r="VNK220" s="73"/>
      <c r="VNL220" s="73"/>
      <c r="VNM220" s="73"/>
      <c r="VNN220" s="73"/>
      <c r="VNO220" s="73"/>
      <c r="VNP220" s="73"/>
      <c r="VNQ220" s="73"/>
      <c r="VNR220" s="73"/>
      <c r="VNS220" s="73"/>
      <c r="VNT220" s="73"/>
      <c r="VNU220" s="73"/>
      <c r="VNV220" s="73"/>
      <c r="VNW220" s="73"/>
      <c r="VNX220" s="73"/>
      <c r="VNY220" s="73"/>
      <c r="VNZ220" s="73"/>
      <c r="VOA220" s="73"/>
      <c r="VOB220" s="73"/>
      <c r="VOC220" s="73"/>
      <c r="VOD220" s="73"/>
      <c r="VOE220" s="73"/>
      <c r="VOF220" s="73"/>
      <c r="VOG220" s="73"/>
      <c r="VOH220" s="73"/>
      <c r="VOI220" s="73"/>
      <c r="VOJ220" s="73"/>
      <c r="VOK220" s="73"/>
      <c r="VOL220" s="73"/>
      <c r="VOM220" s="73"/>
      <c r="VON220" s="73"/>
      <c r="VOO220" s="73"/>
      <c r="VOP220" s="73"/>
      <c r="VOQ220" s="73"/>
      <c r="VOR220" s="73"/>
      <c r="VOS220" s="73"/>
      <c r="VOT220" s="73"/>
      <c r="VOU220" s="73"/>
      <c r="VOV220" s="73"/>
      <c r="VOW220" s="73"/>
      <c r="VOX220" s="73"/>
      <c r="VOY220" s="73"/>
      <c r="VOZ220" s="73"/>
      <c r="VPA220" s="73"/>
      <c r="VPB220" s="73"/>
      <c r="VPC220" s="73"/>
      <c r="VPD220" s="73"/>
      <c r="VPE220" s="73"/>
      <c r="VPF220" s="73"/>
      <c r="VPG220" s="73"/>
      <c r="VPH220" s="73"/>
      <c r="VPI220" s="73"/>
      <c r="VPJ220" s="73"/>
      <c r="VPK220" s="73"/>
      <c r="VPL220" s="73"/>
      <c r="VPM220" s="73"/>
      <c r="VPN220" s="73"/>
      <c r="VPO220" s="73"/>
      <c r="VPP220" s="73"/>
      <c r="VPQ220" s="73"/>
      <c r="VPR220" s="73"/>
      <c r="VPS220" s="73"/>
      <c r="VPT220" s="73"/>
      <c r="VPU220" s="73"/>
      <c r="VPV220" s="73"/>
      <c r="VPW220" s="73"/>
      <c r="VPX220" s="73"/>
      <c r="VPY220" s="73"/>
      <c r="VPZ220" s="73"/>
      <c r="VQA220" s="73"/>
      <c r="VQB220" s="73"/>
      <c r="VQC220" s="73"/>
      <c r="VQD220" s="73"/>
      <c r="VQE220" s="73"/>
      <c r="VQF220" s="73"/>
      <c r="VQG220" s="73"/>
      <c r="VQH220" s="73"/>
      <c r="VQI220" s="73"/>
      <c r="VQJ220" s="73"/>
      <c r="VQK220" s="73"/>
      <c r="VQL220" s="73"/>
      <c r="VQM220" s="73"/>
      <c r="VQN220" s="73"/>
      <c r="VQO220" s="73"/>
      <c r="VQP220" s="73"/>
      <c r="VQQ220" s="73"/>
      <c r="VQR220" s="73"/>
      <c r="VQS220" s="73"/>
      <c r="VQT220" s="73"/>
      <c r="VQU220" s="73"/>
      <c r="VQV220" s="73"/>
      <c r="VQW220" s="73"/>
      <c r="VQX220" s="73"/>
      <c r="VQY220" s="73"/>
      <c r="VQZ220" s="73"/>
      <c r="VRA220" s="73"/>
      <c r="VRB220" s="73"/>
      <c r="VRC220" s="73"/>
      <c r="VRD220" s="73"/>
      <c r="VRE220" s="73"/>
      <c r="VRF220" s="73"/>
      <c r="VRG220" s="73"/>
      <c r="VRH220" s="73"/>
      <c r="VRI220" s="73"/>
      <c r="VRJ220" s="73"/>
      <c r="VRK220" s="73"/>
      <c r="VRL220" s="73"/>
      <c r="VRM220" s="73"/>
      <c r="VRN220" s="73"/>
      <c r="VRO220" s="73"/>
      <c r="VRP220" s="73"/>
      <c r="VRQ220" s="73"/>
      <c r="VRR220" s="73"/>
      <c r="VRS220" s="73"/>
      <c r="VRT220" s="73"/>
      <c r="VRU220" s="73"/>
      <c r="VRV220" s="73"/>
      <c r="VRW220" s="73"/>
      <c r="VRX220" s="73"/>
      <c r="VRY220" s="73"/>
      <c r="VRZ220" s="73"/>
      <c r="VSA220" s="73"/>
      <c r="VSB220" s="73"/>
      <c r="VSC220" s="73"/>
      <c r="VSD220" s="73"/>
      <c r="VSE220" s="73"/>
      <c r="VSF220" s="73"/>
      <c r="VSG220" s="73"/>
      <c r="VSH220" s="73"/>
      <c r="VSI220" s="73"/>
      <c r="VSJ220" s="73"/>
      <c r="VSK220" s="73"/>
      <c r="VSL220" s="73"/>
      <c r="VSM220" s="73"/>
      <c r="VSN220" s="73"/>
      <c r="VSO220" s="73"/>
      <c r="VSP220" s="73"/>
      <c r="VSQ220" s="73"/>
      <c r="VSR220" s="73"/>
      <c r="VSS220" s="73"/>
      <c r="VST220" s="73"/>
      <c r="VSU220" s="73"/>
      <c r="VSV220" s="73"/>
      <c r="VSW220" s="73"/>
      <c r="VSX220" s="73"/>
      <c r="VSY220" s="73"/>
      <c r="VSZ220" s="73"/>
      <c r="VTA220" s="73"/>
      <c r="VTB220" s="73"/>
      <c r="VTC220" s="73"/>
      <c r="VTD220" s="73"/>
      <c r="VTE220" s="73"/>
      <c r="VTF220" s="73"/>
      <c r="VTG220" s="73"/>
      <c r="VTH220" s="73"/>
      <c r="VTI220" s="73"/>
      <c r="VTJ220" s="73"/>
      <c r="VTK220" s="73"/>
      <c r="VTL220" s="73"/>
      <c r="VTM220" s="73"/>
      <c r="VTN220" s="73"/>
      <c r="VTO220" s="73"/>
      <c r="VTP220" s="73"/>
      <c r="VTQ220" s="73"/>
      <c r="VTR220" s="73"/>
      <c r="VTS220" s="73"/>
      <c r="VTT220" s="73"/>
      <c r="VTU220" s="73"/>
      <c r="VTV220" s="73"/>
      <c r="VTW220" s="73"/>
      <c r="VTX220" s="73"/>
      <c r="VTY220" s="73"/>
      <c r="VTZ220" s="73"/>
      <c r="VUA220" s="73"/>
      <c r="VUB220" s="73"/>
      <c r="VUC220" s="73"/>
      <c r="VUD220" s="73"/>
      <c r="VUE220" s="73"/>
      <c r="VUF220" s="73"/>
      <c r="VUG220" s="73"/>
      <c r="VUH220" s="73"/>
      <c r="VUI220" s="73"/>
      <c r="VUJ220" s="73"/>
      <c r="VUK220" s="73"/>
      <c r="VUL220" s="73"/>
      <c r="VUM220" s="73"/>
      <c r="VUN220" s="73"/>
      <c r="VUO220" s="73"/>
      <c r="VUP220" s="73"/>
      <c r="VUQ220" s="73"/>
      <c r="VUR220" s="73"/>
      <c r="VUS220" s="73"/>
      <c r="VUT220" s="73"/>
      <c r="VUU220" s="73"/>
      <c r="VUV220" s="73"/>
      <c r="VUW220" s="73"/>
      <c r="VUX220" s="73"/>
      <c r="VUY220" s="73"/>
      <c r="VUZ220" s="73"/>
      <c r="VVA220" s="73"/>
      <c r="VVB220" s="73"/>
      <c r="VVC220" s="73"/>
      <c r="VVD220" s="73"/>
      <c r="VVE220" s="73"/>
      <c r="VVF220" s="73"/>
      <c r="VVG220" s="73"/>
      <c r="VVH220" s="73"/>
      <c r="VVI220" s="73"/>
      <c r="VVJ220" s="73"/>
      <c r="VVK220" s="73"/>
      <c r="VVL220" s="73"/>
      <c r="VVM220" s="73"/>
      <c r="VVN220" s="73"/>
      <c r="VVO220" s="73"/>
      <c r="VVP220" s="73"/>
      <c r="VVQ220" s="73"/>
      <c r="VVR220" s="73"/>
      <c r="VVS220" s="73"/>
      <c r="VVT220" s="73"/>
      <c r="VVU220" s="73"/>
      <c r="VVV220" s="73"/>
      <c r="VVW220" s="73"/>
      <c r="VVX220" s="73"/>
      <c r="VVY220" s="73"/>
      <c r="VVZ220" s="73"/>
      <c r="VWA220" s="73"/>
      <c r="VWB220" s="73"/>
      <c r="VWC220" s="73"/>
      <c r="VWD220" s="73"/>
      <c r="VWE220" s="73"/>
      <c r="VWF220" s="73"/>
      <c r="VWG220" s="73"/>
      <c r="VWH220" s="73"/>
      <c r="VWI220" s="73"/>
      <c r="VWJ220" s="73"/>
      <c r="VWK220" s="73"/>
      <c r="VWL220" s="73"/>
      <c r="VWM220" s="73"/>
      <c r="VWN220" s="73"/>
      <c r="VWO220" s="73"/>
      <c r="VWP220" s="73"/>
      <c r="VWQ220" s="73"/>
      <c r="VWR220" s="73"/>
      <c r="VWS220" s="73"/>
      <c r="VWT220" s="73"/>
      <c r="VWU220" s="73"/>
      <c r="VWV220" s="73"/>
      <c r="VWW220" s="73"/>
      <c r="VWX220" s="73"/>
      <c r="VWY220" s="73"/>
      <c r="VWZ220" s="73"/>
      <c r="VXA220" s="73"/>
      <c r="VXB220" s="73"/>
      <c r="VXC220" s="73"/>
      <c r="VXD220" s="73"/>
      <c r="VXE220" s="73"/>
      <c r="VXF220" s="73"/>
      <c r="VXG220" s="73"/>
      <c r="VXH220" s="73"/>
      <c r="VXI220" s="73"/>
      <c r="VXJ220" s="73"/>
      <c r="VXK220" s="73"/>
      <c r="VXL220" s="73"/>
      <c r="VXM220" s="73"/>
      <c r="VXN220" s="73"/>
      <c r="VXO220" s="73"/>
      <c r="VXP220" s="73"/>
      <c r="VXQ220" s="73"/>
      <c r="VXR220" s="73"/>
      <c r="VXS220" s="73"/>
      <c r="VXT220" s="73"/>
      <c r="VXU220" s="73"/>
      <c r="VXV220" s="73"/>
      <c r="VXW220" s="73"/>
      <c r="VXX220" s="73"/>
      <c r="VXY220" s="73"/>
      <c r="VXZ220" s="73"/>
      <c r="VYA220" s="73"/>
      <c r="VYB220" s="73"/>
      <c r="VYC220" s="73"/>
      <c r="VYD220" s="73"/>
      <c r="VYE220" s="73"/>
      <c r="VYF220" s="73"/>
      <c r="VYG220" s="73"/>
      <c r="VYH220" s="73"/>
      <c r="VYI220" s="73"/>
      <c r="VYJ220" s="73"/>
      <c r="VYK220" s="73"/>
      <c r="VYL220" s="73"/>
      <c r="VYM220" s="73"/>
      <c r="VYN220" s="73"/>
      <c r="VYO220" s="73"/>
      <c r="VYP220" s="73"/>
      <c r="VYQ220" s="73"/>
      <c r="VYR220" s="73"/>
      <c r="VYS220" s="73"/>
      <c r="VYT220" s="73"/>
      <c r="VYU220" s="73"/>
      <c r="VYV220" s="73"/>
      <c r="VYW220" s="73"/>
      <c r="VYX220" s="73"/>
      <c r="VYY220" s="73"/>
      <c r="VYZ220" s="73"/>
      <c r="VZA220" s="73"/>
      <c r="VZB220" s="73"/>
      <c r="VZC220" s="73"/>
      <c r="VZD220" s="73"/>
      <c r="VZE220" s="73"/>
      <c r="VZF220" s="73"/>
      <c r="VZG220" s="73"/>
      <c r="VZH220" s="73"/>
      <c r="VZI220" s="73"/>
      <c r="VZJ220" s="73"/>
      <c r="VZK220" s="73"/>
      <c r="VZL220" s="73"/>
      <c r="VZM220" s="73"/>
      <c r="VZN220" s="73"/>
      <c r="VZO220" s="73"/>
      <c r="VZP220" s="73"/>
      <c r="VZQ220" s="73"/>
      <c r="VZR220" s="73"/>
      <c r="VZS220" s="73"/>
      <c r="VZT220" s="73"/>
      <c r="VZU220" s="73"/>
      <c r="VZV220" s="73"/>
      <c r="VZW220" s="73"/>
      <c r="VZX220" s="73"/>
      <c r="VZY220" s="73"/>
      <c r="VZZ220" s="73"/>
      <c r="WAA220" s="73"/>
      <c r="WAB220" s="73"/>
      <c r="WAC220" s="73"/>
      <c r="WAD220" s="73"/>
      <c r="WAE220" s="73"/>
      <c r="WAF220" s="73"/>
      <c r="WAG220" s="73"/>
      <c r="WAH220" s="73"/>
      <c r="WAI220" s="73"/>
      <c r="WAJ220" s="73"/>
      <c r="WAK220" s="73"/>
      <c r="WAL220" s="73"/>
      <c r="WAM220" s="73"/>
      <c r="WAN220" s="73"/>
      <c r="WAO220" s="73"/>
      <c r="WAP220" s="73"/>
      <c r="WAQ220" s="73"/>
      <c r="WAR220" s="73"/>
      <c r="WAS220" s="73"/>
      <c r="WAT220" s="73"/>
      <c r="WAU220" s="73"/>
      <c r="WAV220" s="73"/>
      <c r="WAW220" s="73"/>
      <c r="WAX220" s="73"/>
      <c r="WAY220" s="73"/>
      <c r="WAZ220" s="73"/>
      <c r="WBA220" s="73"/>
      <c r="WBB220" s="73"/>
      <c r="WBC220" s="73"/>
      <c r="WBD220" s="73"/>
      <c r="WBE220" s="73"/>
      <c r="WBF220" s="73"/>
      <c r="WBG220" s="73"/>
      <c r="WBH220" s="73"/>
      <c r="WBI220" s="73"/>
      <c r="WBJ220" s="73"/>
      <c r="WBK220" s="73"/>
      <c r="WBL220" s="73"/>
      <c r="WBM220" s="73"/>
      <c r="WBN220" s="73"/>
      <c r="WBO220" s="73"/>
      <c r="WBP220" s="73"/>
      <c r="WBQ220" s="73"/>
      <c r="WBR220" s="73"/>
      <c r="WBS220" s="73"/>
      <c r="WBT220" s="73"/>
      <c r="WBU220" s="73"/>
      <c r="WBV220" s="73"/>
      <c r="WBW220" s="73"/>
      <c r="WBX220" s="73"/>
      <c r="WBY220" s="73"/>
      <c r="WBZ220" s="73"/>
      <c r="WCA220" s="73"/>
      <c r="WCB220" s="73"/>
      <c r="WCC220" s="73"/>
      <c r="WCD220" s="73"/>
      <c r="WCE220" s="73"/>
      <c r="WCF220" s="73"/>
      <c r="WCG220" s="73"/>
      <c r="WCH220" s="73"/>
      <c r="WCI220" s="73"/>
      <c r="WCJ220" s="73"/>
      <c r="WCK220" s="73"/>
      <c r="WCL220" s="73"/>
      <c r="WCM220" s="73"/>
      <c r="WCN220" s="73"/>
      <c r="WCO220" s="73"/>
      <c r="WCP220" s="73"/>
      <c r="WCQ220" s="73"/>
      <c r="WCR220" s="73"/>
      <c r="WCS220" s="73"/>
      <c r="WCT220" s="73"/>
      <c r="WCU220" s="73"/>
      <c r="WCV220" s="73"/>
      <c r="WCW220" s="73"/>
      <c r="WCX220" s="73"/>
      <c r="WCY220" s="73"/>
      <c r="WCZ220" s="73"/>
      <c r="WDA220" s="73"/>
      <c r="WDB220" s="73"/>
      <c r="WDC220" s="73"/>
      <c r="WDD220" s="73"/>
      <c r="WDE220" s="73"/>
      <c r="WDF220" s="73"/>
      <c r="WDG220" s="73"/>
      <c r="WDH220" s="73"/>
      <c r="WDI220" s="73"/>
      <c r="WDJ220" s="73"/>
      <c r="WDK220" s="73"/>
      <c r="WDL220" s="73"/>
      <c r="WDM220" s="73"/>
      <c r="WDN220" s="73"/>
      <c r="WDO220" s="73"/>
      <c r="WDP220" s="73"/>
      <c r="WDQ220" s="73"/>
      <c r="WDR220" s="73"/>
      <c r="WDS220" s="73"/>
      <c r="WDT220" s="73"/>
      <c r="WDU220" s="73"/>
      <c r="WDV220" s="73"/>
      <c r="WDW220" s="73"/>
      <c r="WDX220" s="73"/>
      <c r="WDY220" s="73"/>
      <c r="WDZ220" s="73"/>
      <c r="WEA220" s="73"/>
      <c r="WEB220" s="73"/>
      <c r="WEC220" s="73"/>
      <c r="WED220" s="73"/>
      <c r="WEE220" s="73"/>
      <c r="WEF220" s="73"/>
      <c r="WEG220" s="73"/>
      <c r="WEH220" s="73"/>
      <c r="WEI220" s="73"/>
      <c r="WEJ220" s="73"/>
      <c r="WEK220" s="73"/>
      <c r="WEL220" s="73"/>
      <c r="WEM220" s="73"/>
      <c r="WEN220" s="73"/>
      <c r="WEO220" s="73"/>
      <c r="WEP220" s="73"/>
      <c r="WEQ220" s="73"/>
      <c r="WER220" s="73"/>
      <c r="WES220" s="73"/>
      <c r="WET220" s="73"/>
      <c r="WEU220" s="73"/>
      <c r="WEV220" s="73"/>
      <c r="WEW220" s="73"/>
      <c r="WEX220" s="73"/>
      <c r="WEY220" s="73"/>
      <c r="WEZ220" s="73"/>
      <c r="WFA220" s="73"/>
      <c r="WFB220" s="73"/>
      <c r="WFC220" s="73"/>
      <c r="WFD220" s="73"/>
      <c r="WFE220" s="73"/>
      <c r="WFF220" s="73"/>
      <c r="WFG220" s="73"/>
      <c r="WFH220" s="73"/>
      <c r="WFI220" s="73"/>
      <c r="WFJ220" s="73"/>
      <c r="WFK220" s="73"/>
      <c r="WFL220" s="73"/>
      <c r="WFM220" s="73"/>
      <c r="WFN220" s="73"/>
      <c r="WFO220" s="73"/>
      <c r="WFP220" s="73"/>
      <c r="WFQ220" s="73"/>
      <c r="WFR220" s="73"/>
      <c r="WFS220" s="73"/>
      <c r="WFT220" s="73"/>
      <c r="WFU220" s="73"/>
      <c r="WFV220" s="73"/>
      <c r="WFW220" s="73"/>
      <c r="WFX220" s="73"/>
      <c r="WFY220" s="73"/>
      <c r="WFZ220" s="73"/>
      <c r="WGA220" s="73"/>
      <c r="WGB220" s="73"/>
      <c r="WGC220" s="73"/>
      <c r="WGD220" s="73"/>
      <c r="WGE220" s="73"/>
      <c r="WGF220" s="73"/>
      <c r="WGG220" s="73"/>
      <c r="WGH220" s="73"/>
      <c r="WGI220" s="73"/>
      <c r="WGJ220" s="73"/>
      <c r="WGK220" s="73"/>
      <c r="WGL220" s="73"/>
      <c r="WGM220" s="73"/>
      <c r="WGN220" s="73"/>
      <c r="WGO220" s="73"/>
      <c r="WGP220" s="73"/>
      <c r="WGQ220" s="73"/>
      <c r="WGR220" s="73"/>
      <c r="WGS220" s="73"/>
      <c r="WGT220" s="73"/>
      <c r="WGU220" s="73"/>
      <c r="WGV220" s="73"/>
      <c r="WGW220" s="73"/>
      <c r="WGX220" s="73"/>
      <c r="WGY220" s="73"/>
      <c r="WGZ220" s="73"/>
      <c r="WHA220" s="73"/>
      <c r="WHB220" s="73"/>
      <c r="WHC220" s="73"/>
      <c r="WHD220" s="73"/>
      <c r="WHE220" s="73"/>
      <c r="WHF220" s="73"/>
      <c r="WHG220" s="73"/>
      <c r="WHH220" s="73"/>
      <c r="WHI220" s="73"/>
      <c r="WHJ220" s="73"/>
      <c r="WHK220" s="73"/>
      <c r="WHL220" s="73"/>
      <c r="WHM220" s="73"/>
      <c r="WHN220" s="73"/>
      <c r="WHO220" s="73"/>
      <c r="WHP220" s="73"/>
      <c r="WHQ220" s="73"/>
      <c r="WHR220" s="73"/>
      <c r="WHS220" s="73"/>
      <c r="WHT220" s="73"/>
      <c r="WHU220" s="73"/>
      <c r="WHV220" s="73"/>
      <c r="WHW220" s="73"/>
      <c r="WHX220" s="73"/>
      <c r="WHY220" s="73"/>
      <c r="WHZ220" s="73"/>
      <c r="WIA220" s="73"/>
      <c r="WIB220" s="73"/>
      <c r="WIC220" s="73"/>
      <c r="WID220" s="73"/>
      <c r="WIE220" s="73"/>
      <c r="WIF220" s="73"/>
      <c r="WIG220" s="73"/>
      <c r="WIH220" s="73"/>
      <c r="WII220" s="73"/>
      <c r="WIJ220" s="73"/>
      <c r="WIK220" s="73"/>
      <c r="WIL220" s="73"/>
      <c r="WIM220" s="73"/>
      <c r="WIN220" s="73"/>
      <c r="WIO220" s="73"/>
      <c r="WIP220" s="73"/>
      <c r="WIQ220" s="73"/>
      <c r="WIR220" s="73"/>
      <c r="WIS220" s="73"/>
      <c r="WIT220" s="73"/>
      <c r="WIU220" s="73"/>
      <c r="WIV220" s="73"/>
      <c r="WIW220" s="73"/>
      <c r="WIX220" s="73"/>
      <c r="WIY220" s="73"/>
      <c r="WIZ220" s="73"/>
      <c r="WJA220" s="73"/>
      <c r="WJB220" s="73"/>
      <c r="WJC220" s="73"/>
      <c r="WJD220" s="73"/>
      <c r="WJE220" s="73"/>
      <c r="WJF220" s="73"/>
      <c r="WJG220" s="73"/>
      <c r="WJH220" s="73"/>
      <c r="WJI220" s="73"/>
      <c r="WJJ220" s="73"/>
      <c r="WJK220" s="73"/>
      <c r="WJL220" s="73"/>
      <c r="WJM220" s="73"/>
      <c r="WJN220" s="73"/>
      <c r="WJO220" s="73"/>
      <c r="WJP220" s="73"/>
      <c r="WJQ220" s="73"/>
      <c r="WJR220" s="73"/>
      <c r="WJS220" s="73"/>
      <c r="WJT220" s="73"/>
      <c r="WJU220" s="73"/>
      <c r="WJV220" s="73"/>
      <c r="WJW220" s="73"/>
      <c r="WJX220" s="73"/>
      <c r="WJY220" s="73"/>
      <c r="WJZ220" s="73"/>
      <c r="WKA220" s="73"/>
      <c r="WKB220" s="73"/>
      <c r="WKC220" s="73"/>
      <c r="WKD220" s="73"/>
      <c r="WKE220" s="73"/>
      <c r="WKF220" s="73"/>
      <c r="WKG220" s="73"/>
      <c r="WKH220" s="73"/>
      <c r="WKI220" s="73"/>
      <c r="WKJ220" s="73"/>
      <c r="WKK220" s="73"/>
      <c r="WKL220" s="73"/>
      <c r="WKM220" s="73"/>
      <c r="WKN220" s="73"/>
      <c r="WKO220" s="73"/>
      <c r="WKP220" s="73"/>
      <c r="WKQ220" s="73"/>
      <c r="WKR220" s="73"/>
      <c r="WKS220" s="73"/>
      <c r="WKT220" s="73"/>
      <c r="WKU220" s="73"/>
      <c r="WKV220" s="73"/>
      <c r="WKW220" s="73"/>
      <c r="WKX220" s="73"/>
      <c r="WKY220" s="73"/>
      <c r="WKZ220" s="73"/>
      <c r="WLA220" s="73"/>
      <c r="WLB220" s="73"/>
      <c r="WLC220" s="73"/>
      <c r="WLD220" s="73"/>
      <c r="WLE220" s="73"/>
      <c r="WLF220" s="73"/>
      <c r="WLG220" s="73"/>
      <c r="WLH220" s="73"/>
      <c r="WLI220" s="73"/>
      <c r="WLJ220" s="73"/>
      <c r="WLK220" s="73"/>
      <c r="WLL220" s="73"/>
      <c r="WLM220" s="73"/>
      <c r="WLN220" s="73"/>
      <c r="WLO220" s="73"/>
      <c r="WLP220" s="73"/>
      <c r="WLQ220" s="73"/>
      <c r="WLR220" s="73"/>
      <c r="WLS220" s="73"/>
      <c r="WLT220" s="73"/>
      <c r="WLU220" s="73"/>
      <c r="WLV220" s="73"/>
      <c r="WLW220" s="73"/>
      <c r="WLX220" s="73"/>
      <c r="WLY220" s="73"/>
      <c r="WLZ220" s="73"/>
      <c r="WMA220" s="73"/>
      <c r="WMB220" s="73"/>
      <c r="WMC220" s="73"/>
      <c r="WMD220" s="73"/>
      <c r="WME220" s="73"/>
      <c r="WMF220" s="73"/>
      <c r="WMG220" s="73"/>
      <c r="WMH220" s="73"/>
      <c r="WMI220" s="73"/>
      <c r="WMJ220" s="73"/>
      <c r="WMK220" s="73"/>
      <c r="WML220" s="73"/>
      <c r="WMM220" s="73"/>
      <c r="WMN220" s="73"/>
      <c r="WMO220" s="73"/>
      <c r="WMP220" s="73"/>
      <c r="WMQ220" s="73"/>
      <c r="WMR220" s="73"/>
      <c r="WMS220" s="73"/>
      <c r="WMT220" s="73"/>
      <c r="WMU220" s="73"/>
      <c r="WMV220" s="73"/>
      <c r="WMW220" s="73"/>
      <c r="WMX220" s="73"/>
      <c r="WMY220" s="73"/>
      <c r="WMZ220" s="73"/>
      <c r="WNA220" s="73"/>
      <c r="WNB220" s="73"/>
      <c r="WNC220" s="73"/>
      <c r="WND220" s="73"/>
      <c r="WNE220" s="73"/>
      <c r="WNF220" s="73"/>
      <c r="WNG220" s="73"/>
      <c r="WNH220" s="73"/>
      <c r="WNI220" s="73"/>
      <c r="WNJ220" s="73"/>
      <c r="WNK220" s="73"/>
      <c r="WNL220" s="73"/>
      <c r="WNM220" s="73"/>
      <c r="WNN220" s="73"/>
      <c r="WNO220" s="73"/>
      <c r="WNP220" s="73"/>
      <c r="WNQ220" s="73"/>
      <c r="WNR220" s="73"/>
      <c r="WNS220" s="73"/>
      <c r="WNT220" s="73"/>
      <c r="WNU220" s="73"/>
      <c r="WNV220" s="73"/>
      <c r="WNW220" s="73"/>
      <c r="WNX220" s="73"/>
      <c r="WNY220" s="73"/>
      <c r="WNZ220" s="73"/>
      <c r="WOA220" s="73"/>
      <c r="WOB220" s="73"/>
      <c r="WOC220" s="73"/>
      <c r="WOD220" s="73"/>
      <c r="WOE220" s="73"/>
      <c r="WOF220" s="73"/>
      <c r="WOG220" s="73"/>
      <c r="WOH220" s="73"/>
      <c r="WOI220" s="73"/>
      <c r="WOJ220" s="73"/>
      <c r="WOK220" s="73"/>
      <c r="WOL220" s="73"/>
      <c r="WOM220" s="73"/>
      <c r="WON220" s="73"/>
      <c r="WOO220" s="73"/>
      <c r="WOP220" s="73"/>
      <c r="WOQ220" s="73"/>
      <c r="WOR220" s="73"/>
      <c r="WOS220" s="73"/>
      <c r="WOT220" s="73"/>
      <c r="WOU220" s="73"/>
      <c r="WOV220" s="73"/>
      <c r="WOW220" s="73"/>
      <c r="WOX220" s="73"/>
      <c r="WOY220" s="73"/>
      <c r="WOZ220" s="73"/>
      <c r="WPA220" s="73"/>
      <c r="WPB220" s="73"/>
      <c r="WPC220" s="73"/>
      <c r="WPD220" s="73"/>
      <c r="WPE220" s="73"/>
      <c r="WPF220" s="73"/>
      <c r="WPG220" s="73"/>
      <c r="WPH220" s="73"/>
      <c r="WPI220" s="73"/>
      <c r="WPJ220" s="73"/>
      <c r="WPK220" s="73"/>
      <c r="WPL220" s="73"/>
      <c r="WPM220" s="73"/>
      <c r="WPN220" s="73"/>
      <c r="WPO220" s="73"/>
      <c r="WPP220" s="73"/>
      <c r="WPQ220" s="73"/>
      <c r="WPR220" s="73"/>
      <c r="WPS220" s="73"/>
      <c r="WPT220" s="73"/>
      <c r="WPU220" s="73"/>
      <c r="WPV220" s="73"/>
      <c r="WPW220" s="73"/>
      <c r="WPX220" s="73"/>
      <c r="WPY220" s="73"/>
      <c r="WPZ220" s="73"/>
      <c r="WQA220" s="73"/>
      <c r="WQB220" s="73"/>
      <c r="WQC220" s="73"/>
      <c r="WQD220" s="73"/>
      <c r="WQE220" s="73"/>
      <c r="WQF220" s="73"/>
      <c r="WQG220" s="73"/>
      <c r="WQH220" s="73"/>
      <c r="WQI220" s="73"/>
      <c r="WQJ220" s="73"/>
      <c r="WQK220" s="73"/>
      <c r="WQL220" s="73"/>
      <c r="WQM220" s="73"/>
      <c r="WQN220" s="73"/>
      <c r="WQO220" s="73"/>
      <c r="WQP220" s="73"/>
      <c r="WQQ220" s="73"/>
      <c r="WQR220" s="73"/>
      <c r="WQS220" s="73"/>
      <c r="WQT220" s="73"/>
      <c r="WQU220" s="73"/>
      <c r="WQV220" s="73"/>
      <c r="WQW220" s="73"/>
      <c r="WQX220" s="73"/>
      <c r="WQY220" s="73"/>
      <c r="WQZ220" s="73"/>
      <c r="WRA220" s="73"/>
      <c r="WRB220" s="73"/>
      <c r="WRC220" s="73"/>
      <c r="WRD220" s="73"/>
      <c r="WRE220" s="73"/>
      <c r="WRF220" s="73"/>
      <c r="WRG220" s="73"/>
      <c r="WRH220" s="73"/>
      <c r="WRI220" s="73"/>
      <c r="WRJ220" s="73"/>
      <c r="WRK220" s="73"/>
      <c r="WRL220" s="73"/>
      <c r="WRM220" s="73"/>
      <c r="WRN220" s="73"/>
      <c r="WRO220" s="73"/>
      <c r="WRP220" s="73"/>
      <c r="WRQ220" s="73"/>
      <c r="WRR220" s="73"/>
      <c r="WRS220" s="73"/>
      <c r="WRT220" s="73"/>
      <c r="WRU220" s="73"/>
      <c r="WRV220" s="73"/>
      <c r="WRW220" s="73"/>
      <c r="WRX220" s="73"/>
      <c r="WRY220" s="73"/>
      <c r="WRZ220" s="73"/>
      <c r="WSA220" s="73"/>
      <c r="WSB220" s="73"/>
      <c r="WSC220" s="73"/>
      <c r="WSD220" s="73"/>
      <c r="WSE220" s="73"/>
      <c r="WSF220" s="73"/>
      <c r="WSG220" s="73"/>
      <c r="WSH220" s="73"/>
      <c r="WSI220" s="73"/>
      <c r="WSJ220" s="73"/>
      <c r="WSK220" s="73"/>
      <c r="WSL220" s="73"/>
      <c r="WSM220" s="73"/>
      <c r="WSN220" s="73"/>
      <c r="WSO220" s="73"/>
      <c r="WSP220" s="73"/>
      <c r="WSQ220" s="73"/>
      <c r="WSR220" s="73"/>
      <c r="WSS220" s="73"/>
      <c r="WST220" s="73"/>
      <c r="WSU220" s="73"/>
      <c r="WSV220" s="73"/>
      <c r="WSW220" s="73"/>
      <c r="WSX220" s="73"/>
      <c r="WSY220" s="73"/>
      <c r="WSZ220" s="73"/>
      <c r="WTA220" s="73"/>
      <c r="WTB220" s="73"/>
      <c r="WTC220" s="73"/>
      <c r="WTD220" s="73"/>
      <c r="WTE220" s="73"/>
      <c r="WTF220" s="73"/>
      <c r="WTG220" s="73"/>
      <c r="WTH220" s="73"/>
      <c r="WTI220" s="73"/>
      <c r="WTJ220" s="73"/>
      <c r="WTK220" s="73"/>
      <c r="WTL220" s="73"/>
      <c r="WTM220" s="73"/>
      <c r="WTN220" s="73"/>
      <c r="WTO220" s="73"/>
      <c r="WTP220" s="73"/>
      <c r="WTQ220" s="73"/>
      <c r="WTR220" s="73"/>
      <c r="WTS220" s="73"/>
      <c r="WTT220" s="73"/>
      <c r="WTU220" s="73"/>
      <c r="WTV220" s="73"/>
      <c r="WTW220" s="73"/>
      <c r="WTX220" s="73"/>
      <c r="WTY220" s="73"/>
      <c r="WTZ220" s="73"/>
      <c r="WUA220" s="73"/>
      <c r="WUB220" s="73"/>
      <c r="WUC220" s="73"/>
      <c r="WUD220" s="73"/>
      <c r="WUE220" s="73"/>
      <c r="WUF220" s="73"/>
      <c r="WUG220" s="73"/>
      <c r="WUH220" s="73"/>
      <c r="WUI220" s="73"/>
      <c r="WUJ220" s="73"/>
      <c r="WUK220" s="73"/>
      <c r="WUL220" s="73"/>
      <c r="WUM220" s="73"/>
      <c r="WUN220" s="73"/>
      <c r="WUO220" s="73"/>
      <c r="WUP220" s="73"/>
      <c r="WUQ220" s="73"/>
      <c r="WUR220" s="73"/>
      <c r="WUS220" s="73"/>
      <c r="WUT220" s="73"/>
      <c r="WUU220" s="73"/>
      <c r="WUV220" s="73"/>
      <c r="WUW220" s="73"/>
      <c r="WUX220" s="73"/>
      <c r="WUY220" s="73"/>
      <c r="WUZ220" s="73"/>
      <c r="WVA220" s="73"/>
      <c r="WVB220" s="73"/>
      <c r="WVC220" s="73"/>
      <c r="WVD220" s="73"/>
      <c r="WVE220" s="73"/>
      <c r="WVF220" s="73"/>
      <c r="WVG220" s="73"/>
      <c r="WVH220" s="73"/>
      <c r="WVI220" s="73"/>
      <c r="WVJ220" s="73"/>
      <c r="WVK220" s="73"/>
      <c r="WVL220" s="73"/>
      <c r="WVM220" s="73"/>
      <c r="WVN220" s="73"/>
      <c r="WVO220" s="73"/>
      <c r="WVP220" s="73"/>
      <c r="WVQ220" s="73"/>
      <c r="WVR220" s="73"/>
      <c r="WVS220" s="73"/>
      <c r="WVT220" s="73"/>
      <c r="WVU220" s="73"/>
      <c r="WVV220" s="73"/>
      <c r="WVW220" s="73"/>
      <c r="WVX220" s="73"/>
      <c r="WVY220" s="73"/>
      <c r="WVZ220" s="73"/>
      <c r="WWA220" s="73"/>
      <c r="WWB220" s="73"/>
      <c r="WWC220" s="73"/>
      <c r="WWD220" s="73"/>
      <c r="WWE220" s="73"/>
      <c r="WWF220" s="73"/>
      <c r="WWG220" s="73"/>
      <c r="WWH220" s="73"/>
      <c r="WWI220" s="73"/>
      <c r="WWJ220" s="73"/>
      <c r="WWK220" s="73"/>
      <c r="WWL220" s="73"/>
      <c r="WWM220" s="73"/>
      <c r="WWN220" s="73"/>
      <c r="WWO220" s="73"/>
      <c r="WWP220" s="73"/>
      <c r="WWQ220" s="73"/>
      <c r="WWR220" s="73"/>
      <c r="WWS220" s="73"/>
      <c r="WWT220" s="73"/>
      <c r="WWU220" s="73"/>
      <c r="WWV220" s="73"/>
      <c r="WWW220" s="73"/>
      <c r="WWX220" s="73"/>
      <c r="WWY220" s="73"/>
      <c r="WWZ220" s="73"/>
      <c r="WXA220" s="73"/>
      <c r="WXB220" s="73"/>
      <c r="WXC220" s="73"/>
      <c r="WXD220" s="73"/>
      <c r="WXE220" s="73"/>
      <c r="WXF220" s="73"/>
      <c r="WXG220" s="73"/>
      <c r="WXH220" s="73"/>
      <c r="WXI220" s="73"/>
      <c r="WXJ220" s="73"/>
      <c r="WXK220" s="73"/>
      <c r="WXL220" s="73"/>
      <c r="WXM220" s="73"/>
      <c r="WXN220" s="73"/>
      <c r="WXO220" s="73"/>
      <c r="WXP220" s="73"/>
      <c r="WXQ220" s="73"/>
      <c r="WXR220" s="73"/>
      <c r="WXS220" s="73"/>
      <c r="WXT220" s="73"/>
      <c r="WXU220" s="73"/>
      <c r="WXV220" s="73"/>
      <c r="WXW220" s="73"/>
      <c r="WXX220" s="73"/>
      <c r="WXY220" s="73"/>
      <c r="WXZ220" s="73"/>
      <c r="WYA220" s="73"/>
      <c r="WYB220" s="73"/>
      <c r="WYC220" s="73"/>
      <c r="WYD220" s="73"/>
      <c r="WYE220" s="73"/>
      <c r="WYF220" s="73"/>
      <c r="WYG220" s="73"/>
      <c r="WYH220" s="73"/>
      <c r="WYI220" s="73"/>
      <c r="WYJ220" s="73"/>
      <c r="WYK220" s="73"/>
      <c r="WYL220" s="73"/>
      <c r="WYM220" s="73"/>
      <c r="WYN220" s="73"/>
      <c r="WYO220" s="73"/>
      <c r="WYP220" s="73"/>
      <c r="WYQ220" s="73"/>
      <c r="WYR220" s="73"/>
      <c r="WYS220" s="73"/>
      <c r="WYT220" s="73"/>
      <c r="WYU220" s="73"/>
      <c r="WYV220" s="73"/>
      <c r="WYW220" s="73"/>
      <c r="WYX220" s="73"/>
      <c r="WYY220" s="73"/>
      <c r="WYZ220" s="73"/>
      <c r="WZA220" s="73"/>
      <c r="WZB220" s="73"/>
      <c r="WZC220" s="73"/>
      <c r="WZD220" s="73"/>
      <c r="WZE220" s="73"/>
      <c r="WZF220" s="73"/>
      <c r="WZG220" s="73"/>
      <c r="WZH220" s="73"/>
      <c r="WZI220" s="73"/>
      <c r="WZJ220" s="73"/>
      <c r="WZK220" s="73"/>
      <c r="WZL220" s="73"/>
      <c r="WZM220" s="73"/>
      <c r="WZN220" s="73"/>
      <c r="WZO220" s="73"/>
      <c r="WZP220" s="73"/>
      <c r="WZQ220" s="73"/>
      <c r="WZR220" s="73"/>
      <c r="WZS220" s="73"/>
      <c r="WZT220" s="73"/>
      <c r="WZU220" s="73"/>
      <c r="WZV220" s="73"/>
      <c r="WZW220" s="73"/>
      <c r="WZX220" s="73"/>
      <c r="WZY220" s="73"/>
      <c r="WZZ220" s="73"/>
      <c r="XAA220" s="73"/>
      <c r="XAB220" s="73"/>
      <c r="XAC220" s="73"/>
      <c r="XAD220" s="73"/>
      <c r="XAE220" s="73"/>
      <c r="XAF220" s="73"/>
      <c r="XAG220" s="73"/>
      <c r="XAH220" s="73"/>
      <c r="XAI220" s="73"/>
      <c r="XAJ220" s="73"/>
      <c r="XAK220" s="73"/>
      <c r="XAL220" s="73"/>
      <c r="XAM220" s="73"/>
      <c r="XAN220" s="73"/>
      <c r="XAO220" s="73"/>
      <c r="XAP220" s="73"/>
      <c r="XAQ220" s="73"/>
      <c r="XAR220" s="73"/>
      <c r="XAS220" s="73"/>
      <c r="XAT220" s="73"/>
      <c r="XAU220" s="73"/>
      <c r="XAV220" s="73"/>
      <c r="XAW220" s="73"/>
      <c r="XAX220" s="73"/>
      <c r="XAY220" s="73"/>
      <c r="XAZ220" s="73"/>
      <c r="XBA220" s="73"/>
      <c r="XBB220" s="73"/>
      <c r="XBC220" s="73"/>
      <c r="XBD220" s="73"/>
      <c r="XBE220" s="73"/>
      <c r="XBF220" s="73"/>
      <c r="XBG220" s="73"/>
      <c r="XBH220" s="73"/>
      <c r="XBI220" s="73"/>
      <c r="XBJ220" s="73"/>
      <c r="XBK220" s="73"/>
      <c r="XBL220" s="73"/>
      <c r="XBM220" s="73"/>
      <c r="XBN220" s="73"/>
      <c r="XBO220" s="73"/>
      <c r="XBP220" s="73"/>
      <c r="XBQ220" s="73"/>
      <c r="XBR220" s="73"/>
      <c r="XBS220" s="73"/>
      <c r="XBT220" s="73"/>
      <c r="XBU220" s="73"/>
      <c r="XBV220" s="73"/>
      <c r="XBW220" s="73"/>
      <c r="XBX220" s="73"/>
      <c r="XBY220" s="73"/>
      <c r="XBZ220" s="73"/>
      <c r="XCA220" s="73"/>
      <c r="XCB220" s="73"/>
      <c r="XCC220" s="73"/>
      <c r="XCD220" s="73"/>
      <c r="XCE220" s="73"/>
      <c r="XCF220" s="73"/>
      <c r="XCG220" s="73"/>
      <c r="XCH220" s="73"/>
      <c r="XCI220" s="73"/>
      <c r="XCJ220" s="73"/>
      <c r="XCK220" s="73"/>
      <c r="XCL220" s="73"/>
      <c r="XCM220" s="73"/>
      <c r="XCN220" s="73"/>
      <c r="XCO220" s="73"/>
      <c r="XCP220" s="73"/>
      <c r="XCQ220" s="73"/>
      <c r="XCR220" s="73"/>
      <c r="XCS220" s="73"/>
      <c r="XCT220" s="73"/>
      <c r="XCU220" s="73"/>
      <c r="XCV220" s="73"/>
      <c r="XCW220" s="73"/>
      <c r="XCX220" s="73"/>
      <c r="XCY220" s="73"/>
      <c r="XCZ220" s="73"/>
      <c r="XDA220" s="73"/>
      <c r="XDB220" s="73"/>
      <c r="XDC220" s="73"/>
      <c r="XDD220" s="73"/>
      <c r="XDE220" s="73"/>
      <c r="XDF220" s="73"/>
      <c r="XDG220" s="73"/>
      <c r="XDH220" s="73"/>
      <c r="XDI220" s="73"/>
      <c r="XDJ220" s="73"/>
      <c r="XDK220" s="73"/>
      <c r="XDL220" s="73"/>
      <c r="XDM220" s="73"/>
      <c r="XDN220" s="73"/>
      <c r="XDO220" s="73"/>
      <c r="XDP220" s="73"/>
      <c r="XDQ220" s="73"/>
      <c r="XDR220" s="73"/>
      <c r="XDS220" s="73"/>
      <c r="XDT220" s="73"/>
      <c r="XDU220" s="73"/>
      <c r="XDV220" s="73"/>
      <c r="XDW220" s="73"/>
      <c r="XDX220" s="73"/>
      <c r="XDY220" s="73"/>
      <c r="XDZ220" s="73"/>
      <c r="XEA220" s="73"/>
      <c r="XEB220" s="73"/>
      <c r="XEC220" s="73"/>
      <c r="XED220" s="73"/>
      <c r="XEE220" s="73"/>
      <c r="XEF220" s="73"/>
      <c r="XEG220" s="73"/>
      <c r="XEH220" s="73"/>
      <c r="XEI220" s="73"/>
      <c r="XEJ220" s="73"/>
      <c r="XEK220" s="73"/>
      <c r="XEL220" s="73"/>
      <c r="XEM220" s="73"/>
      <c r="XEN220" s="73"/>
      <c r="XEO220" s="73"/>
      <c r="XEP220" s="73"/>
      <c r="XEQ220" s="73"/>
      <c r="XER220" s="73"/>
      <c r="XES220" s="73"/>
      <c r="XET220" s="73"/>
      <c r="XEU220" s="73"/>
      <c r="XEV220" s="73"/>
      <c r="XEW220" s="73"/>
      <c r="XEX220" s="73"/>
      <c r="XEY220" s="73"/>
      <c r="XEZ220" s="73"/>
      <c r="XFA220" s="73"/>
      <c r="XFB220" s="73"/>
      <c r="XFC220" s="73"/>
      <c r="XFD220" s="73"/>
    </row>
    <row r="221" spans="1:16384" s="76" customFormat="1" x14ac:dyDescent="0.35">
      <c r="A221" s="88" t="s">
        <v>351</v>
      </c>
      <c r="B221" s="14" t="s">
        <v>0</v>
      </c>
      <c r="C221" s="14"/>
      <c r="D221" s="39"/>
      <c r="E221" s="39"/>
      <c r="F221" s="14" t="s">
        <v>76</v>
      </c>
      <c r="G221" s="14" t="s">
        <v>99</v>
      </c>
      <c r="H221" s="14" t="s">
        <v>122</v>
      </c>
      <c r="I221" s="14" t="s">
        <v>10</v>
      </c>
      <c r="J221" s="40" t="s">
        <v>11</v>
      </c>
      <c r="K221" s="40"/>
      <c r="L221" s="40"/>
      <c r="M221" s="41"/>
      <c r="N221" s="42">
        <v>1</v>
      </c>
      <c r="O221" s="43">
        <v>1418</v>
      </c>
      <c r="P221" s="44">
        <f>+O221*N221</f>
        <v>1418</v>
      </c>
      <c r="Q221" s="44"/>
      <c r="R221" s="44"/>
      <c r="S221" s="44"/>
      <c r="T221" s="43">
        <f>+P221+Q221+R221+S221</f>
        <v>1418</v>
      </c>
      <c r="U221" s="4"/>
      <c r="V221" s="41"/>
      <c r="W221" s="43" t="s">
        <v>214</v>
      </c>
      <c r="X221" s="41"/>
      <c r="Y221" s="73"/>
      <c r="Z221" s="73"/>
      <c r="AA221" s="72"/>
      <c r="AB221" s="72"/>
      <c r="AC221" s="72"/>
      <c r="AD221" s="72"/>
      <c r="AE221" s="72"/>
      <c r="AF221" s="72"/>
      <c r="AG221" s="72"/>
      <c r="AH221" s="73"/>
      <c r="AI221" s="73"/>
    </row>
    <row r="222" spans="1:16384" s="76" customFormat="1" x14ac:dyDescent="0.35">
      <c r="A222" s="88" t="s">
        <v>351</v>
      </c>
      <c r="B222" s="14" t="s">
        <v>0</v>
      </c>
      <c r="C222" s="14"/>
      <c r="D222" s="39"/>
      <c r="E222" s="39"/>
      <c r="F222" s="14" t="s">
        <v>76</v>
      </c>
      <c r="G222" s="14" t="s">
        <v>99</v>
      </c>
      <c r="H222" s="14" t="s">
        <v>122</v>
      </c>
      <c r="I222" s="14" t="s">
        <v>10</v>
      </c>
      <c r="J222" s="40" t="s">
        <v>11</v>
      </c>
      <c r="K222" s="40"/>
      <c r="L222" s="40"/>
      <c r="M222" s="41"/>
      <c r="N222" s="42">
        <v>1</v>
      </c>
      <c r="O222" s="43">
        <v>1418</v>
      </c>
      <c r="P222" s="44">
        <f>+O222*N222</f>
        <v>1418</v>
      </c>
      <c r="Q222" s="44"/>
      <c r="R222" s="44"/>
      <c r="S222" s="44"/>
      <c r="T222" s="43">
        <f>+P222+Q222+R222+S222</f>
        <v>1418</v>
      </c>
      <c r="U222" s="4"/>
      <c r="V222" s="41"/>
      <c r="W222" s="43" t="s">
        <v>214</v>
      </c>
      <c r="X222" s="41"/>
      <c r="Y222" s="73"/>
      <c r="Z222" s="73"/>
    </row>
    <row r="223" spans="1:16384" s="76" customFormat="1" x14ac:dyDescent="0.35">
      <c r="A223" s="88" t="s">
        <v>381</v>
      </c>
      <c r="B223" s="14" t="s">
        <v>0</v>
      </c>
      <c r="C223" s="14"/>
      <c r="D223" s="39"/>
      <c r="E223" s="39"/>
      <c r="F223" s="14" t="s">
        <v>77</v>
      </c>
      <c r="G223" s="14" t="s">
        <v>99</v>
      </c>
      <c r="H223" s="14" t="s">
        <v>122</v>
      </c>
      <c r="I223" s="14" t="s">
        <v>10</v>
      </c>
      <c r="J223" s="40" t="s">
        <v>11</v>
      </c>
      <c r="K223" s="40"/>
      <c r="L223" s="40"/>
      <c r="M223" s="41"/>
      <c r="N223" s="42">
        <v>1</v>
      </c>
      <c r="O223" s="43">
        <v>1290</v>
      </c>
      <c r="P223" s="44">
        <f>+O223*N223</f>
        <v>1290</v>
      </c>
      <c r="Q223" s="44"/>
      <c r="R223" s="44"/>
      <c r="S223" s="44"/>
      <c r="T223" s="43">
        <f>+P223+Q223+R223+S223</f>
        <v>1290</v>
      </c>
      <c r="U223" s="72"/>
      <c r="V223" s="41"/>
      <c r="W223" s="43" t="s">
        <v>214</v>
      </c>
      <c r="X223" s="41"/>
      <c r="Y223" s="72"/>
      <c r="Z223" s="73"/>
      <c r="AA223" s="73"/>
      <c r="AB223" s="73"/>
      <c r="AC223" s="73"/>
      <c r="AD223" s="73"/>
      <c r="AE223" s="73"/>
      <c r="AF223" s="73"/>
      <c r="AG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/>
      <c r="DX223" s="73"/>
      <c r="DY223" s="73"/>
      <c r="DZ223" s="73"/>
      <c r="EA223" s="73"/>
      <c r="EB223" s="73"/>
      <c r="EC223" s="73"/>
      <c r="ED223" s="73"/>
      <c r="EE223" s="73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73"/>
      <c r="EQ223" s="73"/>
      <c r="ER223" s="73"/>
      <c r="ES223" s="73"/>
      <c r="ET223" s="73"/>
      <c r="EU223" s="73"/>
      <c r="EV223" s="73"/>
      <c r="EW223" s="73"/>
      <c r="EX223" s="73"/>
      <c r="EY223" s="73"/>
      <c r="EZ223" s="73"/>
      <c r="FA223" s="73"/>
      <c r="FB223" s="73"/>
      <c r="FC223" s="73"/>
      <c r="FD223" s="73"/>
      <c r="FE223" s="73"/>
      <c r="FF223" s="73"/>
      <c r="FG223" s="73"/>
      <c r="FH223" s="73"/>
      <c r="FI223" s="73"/>
      <c r="FJ223" s="73"/>
      <c r="FK223" s="73"/>
      <c r="FL223" s="73"/>
      <c r="FM223" s="73"/>
      <c r="FN223" s="73"/>
      <c r="FO223" s="73"/>
      <c r="FP223" s="73"/>
      <c r="FQ223" s="73"/>
      <c r="FR223" s="73"/>
      <c r="FS223" s="73"/>
      <c r="FT223" s="73"/>
      <c r="FU223" s="73"/>
      <c r="FV223" s="73"/>
      <c r="FW223" s="73"/>
      <c r="FX223" s="73"/>
      <c r="FY223" s="73"/>
      <c r="FZ223" s="73"/>
      <c r="GA223" s="73"/>
      <c r="GB223" s="73"/>
      <c r="GC223" s="73"/>
      <c r="GD223" s="73"/>
      <c r="GE223" s="73"/>
      <c r="GF223" s="73"/>
      <c r="GG223" s="73"/>
      <c r="GH223" s="73"/>
      <c r="GI223" s="73"/>
      <c r="GJ223" s="73"/>
      <c r="GK223" s="73"/>
      <c r="GL223" s="73"/>
      <c r="GM223" s="73"/>
      <c r="GN223" s="73"/>
      <c r="GO223" s="73"/>
      <c r="GP223" s="73"/>
      <c r="GQ223" s="73"/>
      <c r="GR223" s="73"/>
      <c r="GS223" s="73"/>
      <c r="GT223" s="73"/>
      <c r="GU223" s="73"/>
      <c r="GV223" s="73"/>
      <c r="GW223" s="73"/>
      <c r="GX223" s="73"/>
      <c r="GY223" s="73"/>
      <c r="GZ223" s="73"/>
      <c r="HA223" s="73"/>
      <c r="HB223" s="73"/>
      <c r="HC223" s="73"/>
      <c r="HD223" s="73"/>
      <c r="HE223" s="73"/>
      <c r="HF223" s="73"/>
      <c r="HG223" s="73"/>
      <c r="HH223" s="73"/>
      <c r="HI223" s="73"/>
      <c r="HJ223" s="73"/>
      <c r="HK223" s="73"/>
      <c r="HL223" s="73"/>
      <c r="HM223" s="73"/>
      <c r="HN223" s="73"/>
      <c r="HO223" s="73"/>
      <c r="HP223" s="73"/>
      <c r="HQ223" s="73"/>
      <c r="HR223" s="73"/>
      <c r="HS223" s="73"/>
      <c r="HT223" s="73"/>
      <c r="HU223" s="73"/>
      <c r="HV223" s="73"/>
      <c r="HW223" s="73"/>
      <c r="HX223" s="73"/>
      <c r="HY223" s="73"/>
      <c r="HZ223" s="73"/>
      <c r="IA223" s="73"/>
      <c r="IB223" s="73"/>
      <c r="IC223" s="73"/>
      <c r="ID223" s="73"/>
      <c r="IE223" s="73"/>
      <c r="IF223" s="73"/>
      <c r="IG223" s="73"/>
      <c r="IH223" s="73"/>
      <c r="II223" s="73"/>
      <c r="IJ223" s="73"/>
      <c r="IK223" s="73"/>
      <c r="IL223" s="73"/>
      <c r="IM223" s="73"/>
      <c r="IN223" s="73"/>
      <c r="IO223" s="73"/>
      <c r="IP223" s="73"/>
      <c r="IQ223" s="73"/>
      <c r="IR223" s="73"/>
      <c r="IS223" s="73"/>
      <c r="IT223" s="73"/>
      <c r="IU223" s="73"/>
      <c r="IV223" s="73"/>
      <c r="IW223" s="73"/>
      <c r="IX223" s="73"/>
      <c r="IY223" s="73"/>
      <c r="IZ223" s="73"/>
      <c r="JA223" s="73"/>
      <c r="JB223" s="73"/>
      <c r="JC223" s="73"/>
      <c r="JD223" s="73"/>
      <c r="JE223" s="73"/>
      <c r="JF223" s="73"/>
      <c r="JG223" s="73"/>
      <c r="JH223" s="73"/>
      <c r="JI223" s="73"/>
      <c r="JJ223" s="73"/>
      <c r="JK223" s="73"/>
      <c r="JL223" s="73"/>
      <c r="JM223" s="73"/>
      <c r="JN223" s="73"/>
      <c r="JO223" s="73"/>
      <c r="JP223" s="73"/>
      <c r="JQ223" s="73"/>
      <c r="JR223" s="73"/>
      <c r="JS223" s="73"/>
      <c r="JT223" s="73"/>
      <c r="JU223" s="73"/>
      <c r="JV223" s="73"/>
      <c r="JW223" s="73"/>
      <c r="JX223" s="73"/>
      <c r="JY223" s="73"/>
      <c r="JZ223" s="73"/>
      <c r="KA223" s="73"/>
      <c r="KB223" s="73"/>
      <c r="KC223" s="73"/>
      <c r="KD223" s="73"/>
      <c r="KE223" s="73"/>
      <c r="KF223" s="73"/>
      <c r="KG223" s="73"/>
      <c r="KH223" s="73"/>
      <c r="KI223" s="73"/>
      <c r="KJ223" s="73"/>
      <c r="KK223" s="73"/>
      <c r="KL223" s="73"/>
      <c r="KM223" s="73"/>
      <c r="KN223" s="73"/>
      <c r="KO223" s="73"/>
      <c r="KP223" s="73"/>
      <c r="KQ223" s="73"/>
      <c r="KR223" s="73"/>
      <c r="KS223" s="73"/>
      <c r="KT223" s="73"/>
      <c r="KU223" s="73"/>
      <c r="KV223" s="73"/>
      <c r="KW223" s="73"/>
      <c r="KX223" s="73"/>
      <c r="KY223" s="73"/>
      <c r="KZ223" s="73"/>
      <c r="LA223" s="73"/>
      <c r="LB223" s="73"/>
      <c r="LC223" s="73"/>
      <c r="LD223" s="73"/>
      <c r="LE223" s="73"/>
      <c r="LF223" s="73"/>
      <c r="LG223" s="73"/>
      <c r="LH223" s="73"/>
      <c r="LI223" s="73"/>
      <c r="LJ223" s="73"/>
      <c r="LK223" s="73"/>
      <c r="LL223" s="73"/>
      <c r="LM223" s="73"/>
      <c r="LN223" s="73"/>
      <c r="LO223" s="73"/>
      <c r="LP223" s="73"/>
      <c r="LQ223" s="73"/>
      <c r="LR223" s="73"/>
      <c r="LS223" s="73"/>
      <c r="LT223" s="73"/>
      <c r="LU223" s="73"/>
      <c r="LV223" s="73"/>
      <c r="LW223" s="73"/>
      <c r="LX223" s="73"/>
      <c r="LY223" s="73"/>
      <c r="LZ223" s="73"/>
      <c r="MA223" s="73"/>
      <c r="MB223" s="73"/>
      <c r="MC223" s="73"/>
      <c r="MD223" s="73"/>
      <c r="ME223" s="73"/>
      <c r="MF223" s="73"/>
      <c r="MG223" s="73"/>
      <c r="MH223" s="73"/>
      <c r="MI223" s="73"/>
      <c r="MJ223" s="73"/>
      <c r="MK223" s="73"/>
      <c r="ML223" s="73"/>
      <c r="MM223" s="73"/>
      <c r="MN223" s="73"/>
      <c r="MO223" s="73"/>
      <c r="MP223" s="73"/>
      <c r="MQ223" s="73"/>
      <c r="MR223" s="73"/>
      <c r="MS223" s="73"/>
      <c r="MT223" s="73"/>
      <c r="MU223" s="73"/>
      <c r="MV223" s="73"/>
      <c r="MW223" s="73"/>
      <c r="MX223" s="73"/>
      <c r="MY223" s="73"/>
      <c r="MZ223" s="73"/>
      <c r="NA223" s="73"/>
      <c r="NB223" s="73"/>
      <c r="NC223" s="73"/>
      <c r="ND223" s="73"/>
      <c r="NE223" s="73"/>
      <c r="NF223" s="73"/>
      <c r="NG223" s="73"/>
      <c r="NH223" s="73"/>
      <c r="NI223" s="73"/>
      <c r="NJ223" s="73"/>
      <c r="NK223" s="73"/>
      <c r="NL223" s="73"/>
      <c r="NM223" s="73"/>
      <c r="NN223" s="73"/>
      <c r="NO223" s="73"/>
      <c r="NP223" s="73"/>
      <c r="NQ223" s="73"/>
      <c r="NR223" s="73"/>
      <c r="NS223" s="73"/>
      <c r="NT223" s="73"/>
      <c r="NU223" s="73"/>
      <c r="NV223" s="73"/>
      <c r="NW223" s="73"/>
      <c r="NX223" s="73"/>
      <c r="NY223" s="73"/>
      <c r="NZ223" s="73"/>
      <c r="OA223" s="73"/>
      <c r="OB223" s="73"/>
      <c r="OC223" s="73"/>
      <c r="OD223" s="73"/>
      <c r="OE223" s="73"/>
      <c r="OF223" s="73"/>
      <c r="OG223" s="73"/>
      <c r="OH223" s="73"/>
      <c r="OI223" s="73"/>
      <c r="OJ223" s="73"/>
      <c r="OK223" s="73"/>
      <c r="OL223" s="73"/>
      <c r="OM223" s="73"/>
      <c r="ON223" s="73"/>
      <c r="OO223" s="73"/>
      <c r="OP223" s="73"/>
      <c r="OQ223" s="73"/>
      <c r="OR223" s="73"/>
      <c r="OS223" s="73"/>
      <c r="OT223" s="73"/>
      <c r="OU223" s="73"/>
      <c r="OV223" s="73"/>
      <c r="OW223" s="73"/>
      <c r="OX223" s="73"/>
      <c r="OY223" s="73"/>
      <c r="OZ223" s="73"/>
      <c r="PA223" s="73"/>
      <c r="PB223" s="73"/>
      <c r="PC223" s="73"/>
      <c r="PD223" s="73"/>
      <c r="PE223" s="73"/>
      <c r="PF223" s="73"/>
      <c r="PG223" s="73"/>
      <c r="PH223" s="73"/>
      <c r="PI223" s="73"/>
      <c r="PJ223" s="73"/>
      <c r="PK223" s="73"/>
      <c r="PL223" s="73"/>
      <c r="PM223" s="73"/>
      <c r="PN223" s="73"/>
      <c r="PO223" s="73"/>
      <c r="PP223" s="73"/>
      <c r="PQ223" s="73"/>
      <c r="PR223" s="73"/>
      <c r="PS223" s="73"/>
      <c r="PT223" s="73"/>
      <c r="PU223" s="73"/>
      <c r="PV223" s="73"/>
      <c r="PW223" s="73"/>
      <c r="PX223" s="73"/>
      <c r="PY223" s="73"/>
      <c r="PZ223" s="73"/>
      <c r="QA223" s="73"/>
      <c r="QB223" s="73"/>
      <c r="QC223" s="73"/>
      <c r="QD223" s="73"/>
      <c r="QE223" s="73"/>
      <c r="QF223" s="73"/>
      <c r="QG223" s="73"/>
      <c r="QH223" s="73"/>
      <c r="QI223" s="73"/>
      <c r="QJ223" s="73"/>
      <c r="QK223" s="73"/>
      <c r="QL223" s="73"/>
      <c r="QM223" s="73"/>
      <c r="QN223" s="73"/>
      <c r="QO223" s="73"/>
      <c r="QP223" s="73"/>
      <c r="QQ223" s="73"/>
      <c r="QR223" s="73"/>
      <c r="QS223" s="73"/>
      <c r="QT223" s="73"/>
      <c r="QU223" s="73"/>
      <c r="QV223" s="73"/>
      <c r="QW223" s="73"/>
      <c r="QX223" s="73"/>
      <c r="QY223" s="73"/>
      <c r="QZ223" s="73"/>
      <c r="RA223" s="73"/>
      <c r="RB223" s="73"/>
      <c r="RC223" s="73"/>
      <c r="RD223" s="73"/>
      <c r="RE223" s="73"/>
      <c r="RF223" s="73"/>
      <c r="RG223" s="73"/>
      <c r="RH223" s="73"/>
      <c r="RI223" s="73"/>
      <c r="RJ223" s="73"/>
      <c r="RK223" s="73"/>
      <c r="RL223" s="73"/>
      <c r="RM223" s="73"/>
      <c r="RN223" s="73"/>
      <c r="RO223" s="73"/>
      <c r="RP223" s="73"/>
      <c r="RQ223" s="73"/>
      <c r="RR223" s="73"/>
      <c r="RS223" s="73"/>
      <c r="RT223" s="73"/>
      <c r="RU223" s="73"/>
      <c r="RV223" s="73"/>
      <c r="RW223" s="73"/>
      <c r="RX223" s="73"/>
      <c r="RY223" s="73"/>
      <c r="RZ223" s="73"/>
      <c r="SA223" s="73"/>
      <c r="SB223" s="73"/>
      <c r="SC223" s="73"/>
      <c r="SD223" s="73"/>
      <c r="SE223" s="73"/>
      <c r="SF223" s="73"/>
      <c r="SG223" s="73"/>
      <c r="SH223" s="73"/>
      <c r="SI223" s="73"/>
      <c r="SJ223" s="73"/>
      <c r="SK223" s="73"/>
      <c r="SL223" s="73"/>
      <c r="SM223" s="73"/>
      <c r="SN223" s="73"/>
      <c r="SO223" s="73"/>
      <c r="SP223" s="73"/>
      <c r="SQ223" s="73"/>
      <c r="SR223" s="73"/>
      <c r="SS223" s="73"/>
      <c r="ST223" s="73"/>
      <c r="SU223" s="73"/>
      <c r="SV223" s="73"/>
      <c r="SW223" s="73"/>
      <c r="SX223" s="73"/>
      <c r="SY223" s="73"/>
      <c r="SZ223" s="73"/>
      <c r="TA223" s="73"/>
      <c r="TB223" s="73"/>
      <c r="TC223" s="73"/>
      <c r="TD223" s="73"/>
      <c r="TE223" s="73"/>
      <c r="TF223" s="73"/>
      <c r="TG223" s="73"/>
      <c r="TH223" s="73"/>
      <c r="TI223" s="73"/>
      <c r="TJ223" s="73"/>
      <c r="TK223" s="73"/>
      <c r="TL223" s="73"/>
      <c r="TM223" s="73"/>
      <c r="TN223" s="73"/>
      <c r="TO223" s="73"/>
      <c r="TP223" s="73"/>
      <c r="TQ223" s="73"/>
      <c r="TR223" s="73"/>
      <c r="TS223" s="73"/>
      <c r="TT223" s="73"/>
      <c r="TU223" s="73"/>
      <c r="TV223" s="73"/>
      <c r="TW223" s="73"/>
      <c r="TX223" s="73"/>
      <c r="TY223" s="73"/>
      <c r="TZ223" s="73"/>
      <c r="UA223" s="73"/>
      <c r="UB223" s="73"/>
      <c r="UC223" s="73"/>
      <c r="UD223" s="73"/>
      <c r="UE223" s="73"/>
      <c r="UF223" s="73"/>
      <c r="UG223" s="73"/>
      <c r="UH223" s="73"/>
      <c r="UI223" s="73"/>
      <c r="UJ223" s="73"/>
      <c r="UK223" s="73"/>
      <c r="UL223" s="73"/>
      <c r="UM223" s="73"/>
      <c r="UN223" s="73"/>
      <c r="UO223" s="73"/>
      <c r="UP223" s="73"/>
      <c r="UQ223" s="73"/>
      <c r="UR223" s="73"/>
      <c r="US223" s="73"/>
      <c r="UT223" s="73"/>
      <c r="UU223" s="73"/>
      <c r="UV223" s="73"/>
      <c r="UW223" s="73"/>
      <c r="UX223" s="73"/>
      <c r="UY223" s="73"/>
      <c r="UZ223" s="73"/>
      <c r="VA223" s="73"/>
      <c r="VB223" s="73"/>
      <c r="VC223" s="73"/>
      <c r="VD223" s="73"/>
      <c r="VE223" s="73"/>
      <c r="VF223" s="73"/>
      <c r="VG223" s="73"/>
      <c r="VH223" s="73"/>
      <c r="VI223" s="73"/>
      <c r="VJ223" s="73"/>
      <c r="VK223" s="73"/>
      <c r="VL223" s="73"/>
      <c r="VM223" s="73"/>
      <c r="VN223" s="73"/>
      <c r="VO223" s="73"/>
      <c r="VP223" s="73"/>
      <c r="VQ223" s="73"/>
      <c r="VR223" s="73"/>
      <c r="VS223" s="73"/>
      <c r="VT223" s="73"/>
      <c r="VU223" s="73"/>
      <c r="VV223" s="73"/>
      <c r="VW223" s="73"/>
      <c r="VX223" s="73"/>
      <c r="VY223" s="73"/>
      <c r="VZ223" s="73"/>
      <c r="WA223" s="73"/>
      <c r="WB223" s="73"/>
      <c r="WC223" s="73"/>
      <c r="WD223" s="73"/>
      <c r="WE223" s="73"/>
      <c r="WF223" s="73"/>
      <c r="WG223" s="73"/>
      <c r="WH223" s="73"/>
      <c r="WI223" s="73"/>
      <c r="WJ223" s="73"/>
      <c r="WK223" s="73"/>
      <c r="WL223" s="73"/>
      <c r="WM223" s="73"/>
      <c r="WN223" s="73"/>
      <c r="WO223" s="73"/>
      <c r="WP223" s="73"/>
      <c r="WQ223" s="73"/>
      <c r="WR223" s="73"/>
      <c r="WS223" s="73"/>
      <c r="WT223" s="73"/>
      <c r="WU223" s="73"/>
      <c r="WV223" s="73"/>
      <c r="WW223" s="73"/>
      <c r="WX223" s="73"/>
      <c r="WY223" s="73"/>
      <c r="WZ223" s="73"/>
      <c r="XA223" s="73"/>
      <c r="XB223" s="73"/>
      <c r="XC223" s="73"/>
      <c r="XD223" s="73"/>
      <c r="XE223" s="73"/>
      <c r="XF223" s="73"/>
      <c r="XG223" s="73"/>
      <c r="XH223" s="73"/>
      <c r="XI223" s="73"/>
      <c r="XJ223" s="73"/>
      <c r="XK223" s="73"/>
      <c r="XL223" s="73"/>
      <c r="XM223" s="73"/>
      <c r="XN223" s="73"/>
      <c r="XO223" s="73"/>
      <c r="XP223" s="73"/>
      <c r="XQ223" s="73"/>
      <c r="XR223" s="73"/>
      <c r="XS223" s="73"/>
      <c r="XT223" s="73"/>
      <c r="XU223" s="73"/>
      <c r="XV223" s="73"/>
      <c r="XW223" s="73"/>
      <c r="XX223" s="73"/>
      <c r="XY223" s="73"/>
      <c r="XZ223" s="73"/>
      <c r="YA223" s="73"/>
      <c r="YB223" s="73"/>
      <c r="YC223" s="73"/>
      <c r="YD223" s="73"/>
      <c r="YE223" s="73"/>
      <c r="YF223" s="73"/>
      <c r="YG223" s="73"/>
      <c r="YH223" s="73"/>
      <c r="YI223" s="73"/>
      <c r="YJ223" s="73"/>
      <c r="YK223" s="73"/>
      <c r="YL223" s="73"/>
      <c r="YM223" s="73"/>
      <c r="YN223" s="73"/>
      <c r="YO223" s="73"/>
      <c r="YP223" s="73"/>
      <c r="YQ223" s="73"/>
      <c r="YR223" s="73"/>
      <c r="YS223" s="73"/>
      <c r="YT223" s="73"/>
      <c r="YU223" s="73"/>
      <c r="YV223" s="73"/>
      <c r="YW223" s="73"/>
      <c r="YX223" s="73"/>
      <c r="YY223" s="73"/>
      <c r="YZ223" s="73"/>
      <c r="ZA223" s="73"/>
      <c r="ZB223" s="73"/>
      <c r="ZC223" s="73"/>
      <c r="ZD223" s="73"/>
      <c r="ZE223" s="73"/>
      <c r="ZF223" s="73"/>
      <c r="ZG223" s="73"/>
      <c r="ZH223" s="73"/>
      <c r="ZI223" s="73"/>
      <c r="ZJ223" s="73"/>
      <c r="ZK223" s="73"/>
      <c r="ZL223" s="73"/>
      <c r="ZM223" s="73"/>
      <c r="ZN223" s="73"/>
      <c r="ZO223" s="73"/>
      <c r="ZP223" s="73"/>
      <c r="ZQ223" s="73"/>
      <c r="ZR223" s="73"/>
      <c r="ZS223" s="73"/>
      <c r="ZT223" s="73"/>
      <c r="ZU223" s="73"/>
      <c r="ZV223" s="73"/>
      <c r="ZW223" s="73"/>
      <c r="ZX223" s="73"/>
      <c r="ZY223" s="73"/>
      <c r="ZZ223" s="73"/>
      <c r="AAA223" s="73"/>
      <c r="AAB223" s="73"/>
      <c r="AAC223" s="73"/>
      <c r="AAD223" s="73"/>
      <c r="AAE223" s="73"/>
      <c r="AAF223" s="73"/>
      <c r="AAG223" s="73"/>
      <c r="AAH223" s="73"/>
      <c r="AAI223" s="73"/>
      <c r="AAJ223" s="73"/>
      <c r="AAK223" s="73"/>
      <c r="AAL223" s="73"/>
      <c r="AAM223" s="73"/>
      <c r="AAN223" s="73"/>
      <c r="AAO223" s="73"/>
      <c r="AAP223" s="73"/>
      <c r="AAQ223" s="73"/>
      <c r="AAR223" s="73"/>
      <c r="AAS223" s="73"/>
      <c r="AAT223" s="73"/>
      <c r="AAU223" s="73"/>
      <c r="AAV223" s="73"/>
      <c r="AAW223" s="73"/>
      <c r="AAX223" s="73"/>
      <c r="AAY223" s="73"/>
      <c r="AAZ223" s="73"/>
      <c r="ABA223" s="73"/>
      <c r="ABB223" s="73"/>
      <c r="ABC223" s="73"/>
      <c r="ABD223" s="73"/>
      <c r="ABE223" s="73"/>
      <c r="ABF223" s="73"/>
      <c r="ABG223" s="73"/>
      <c r="ABH223" s="73"/>
      <c r="ABI223" s="73"/>
      <c r="ABJ223" s="73"/>
      <c r="ABK223" s="73"/>
      <c r="ABL223" s="73"/>
      <c r="ABM223" s="73"/>
      <c r="ABN223" s="73"/>
      <c r="ABO223" s="73"/>
      <c r="ABP223" s="73"/>
      <c r="ABQ223" s="73"/>
      <c r="ABR223" s="73"/>
      <c r="ABS223" s="73"/>
      <c r="ABT223" s="73"/>
      <c r="ABU223" s="73"/>
      <c r="ABV223" s="73"/>
      <c r="ABW223" s="73"/>
      <c r="ABX223" s="73"/>
      <c r="ABY223" s="73"/>
      <c r="ABZ223" s="73"/>
      <c r="ACA223" s="73"/>
      <c r="ACB223" s="73"/>
      <c r="ACC223" s="73"/>
      <c r="ACD223" s="73"/>
      <c r="ACE223" s="73"/>
      <c r="ACF223" s="73"/>
      <c r="ACG223" s="73"/>
      <c r="ACH223" s="73"/>
      <c r="ACI223" s="73"/>
      <c r="ACJ223" s="73"/>
      <c r="ACK223" s="73"/>
      <c r="ACL223" s="73"/>
      <c r="ACM223" s="73"/>
      <c r="ACN223" s="73"/>
      <c r="ACO223" s="73"/>
      <c r="ACP223" s="73"/>
      <c r="ACQ223" s="73"/>
      <c r="ACR223" s="73"/>
      <c r="ACS223" s="73"/>
      <c r="ACT223" s="73"/>
      <c r="ACU223" s="73"/>
      <c r="ACV223" s="73"/>
      <c r="ACW223" s="73"/>
      <c r="ACX223" s="73"/>
      <c r="ACY223" s="73"/>
      <c r="ACZ223" s="73"/>
      <c r="ADA223" s="73"/>
      <c r="ADB223" s="73"/>
      <c r="ADC223" s="73"/>
      <c r="ADD223" s="73"/>
      <c r="ADE223" s="73"/>
      <c r="ADF223" s="73"/>
      <c r="ADG223" s="73"/>
      <c r="ADH223" s="73"/>
      <c r="ADI223" s="73"/>
      <c r="ADJ223" s="73"/>
      <c r="ADK223" s="73"/>
      <c r="ADL223" s="73"/>
      <c r="ADM223" s="73"/>
      <c r="ADN223" s="73"/>
      <c r="ADO223" s="73"/>
      <c r="ADP223" s="73"/>
      <c r="ADQ223" s="73"/>
      <c r="ADR223" s="73"/>
      <c r="ADS223" s="73"/>
      <c r="ADT223" s="73"/>
      <c r="ADU223" s="73"/>
      <c r="ADV223" s="73"/>
      <c r="ADW223" s="73"/>
      <c r="ADX223" s="73"/>
      <c r="ADY223" s="73"/>
      <c r="ADZ223" s="73"/>
      <c r="AEA223" s="73"/>
      <c r="AEB223" s="73"/>
      <c r="AEC223" s="73"/>
      <c r="AED223" s="73"/>
      <c r="AEE223" s="73"/>
      <c r="AEF223" s="73"/>
      <c r="AEG223" s="73"/>
      <c r="AEH223" s="73"/>
      <c r="AEI223" s="73"/>
      <c r="AEJ223" s="73"/>
      <c r="AEK223" s="73"/>
      <c r="AEL223" s="73"/>
      <c r="AEM223" s="73"/>
      <c r="AEN223" s="73"/>
      <c r="AEO223" s="73"/>
      <c r="AEP223" s="73"/>
      <c r="AEQ223" s="73"/>
      <c r="AER223" s="73"/>
      <c r="AES223" s="73"/>
      <c r="AET223" s="73"/>
      <c r="AEU223" s="73"/>
      <c r="AEV223" s="73"/>
      <c r="AEW223" s="73"/>
      <c r="AEX223" s="73"/>
      <c r="AEY223" s="73"/>
      <c r="AEZ223" s="73"/>
      <c r="AFA223" s="73"/>
      <c r="AFB223" s="73"/>
      <c r="AFC223" s="73"/>
      <c r="AFD223" s="73"/>
      <c r="AFE223" s="73"/>
      <c r="AFF223" s="73"/>
      <c r="AFG223" s="73"/>
      <c r="AFH223" s="73"/>
      <c r="AFI223" s="73"/>
      <c r="AFJ223" s="73"/>
      <c r="AFK223" s="73"/>
      <c r="AFL223" s="73"/>
      <c r="AFM223" s="73"/>
      <c r="AFN223" s="73"/>
      <c r="AFO223" s="73"/>
      <c r="AFP223" s="73"/>
      <c r="AFQ223" s="73"/>
      <c r="AFR223" s="73"/>
      <c r="AFS223" s="73"/>
      <c r="AFT223" s="73"/>
      <c r="AFU223" s="73"/>
      <c r="AFV223" s="73"/>
      <c r="AFW223" s="73"/>
      <c r="AFX223" s="73"/>
      <c r="AFY223" s="73"/>
      <c r="AFZ223" s="73"/>
      <c r="AGA223" s="73"/>
      <c r="AGB223" s="73"/>
      <c r="AGC223" s="73"/>
      <c r="AGD223" s="73"/>
      <c r="AGE223" s="73"/>
      <c r="AGF223" s="73"/>
      <c r="AGG223" s="73"/>
      <c r="AGH223" s="73"/>
      <c r="AGI223" s="73"/>
      <c r="AGJ223" s="73"/>
      <c r="AGK223" s="73"/>
      <c r="AGL223" s="73"/>
      <c r="AGM223" s="73"/>
      <c r="AGN223" s="73"/>
      <c r="AGO223" s="73"/>
      <c r="AGP223" s="73"/>
      <c r="AGQ223" s="73"/>
      <c r="AGR223" s="73"/>
      <c r="AGS223" s="73"/>
      <c r="AGT223" s="73"/>
      <c r="AGU223" s="73"/>
      <c r="AGV223" s="73"/>
      <c r="AGW223" s="73"/>
      <c r="AGX223" s="73"/>
      <c r="AGY223" s="73"/>
      <c r="AGZ223" s="73"/>
      <c r="AHA223" s="73"/>
      <c r="AHB223" s="73"/>
      <c r="AHC223" s="73"/>
      <c r="AHD223" s="73"/>
      <c r="AHE223" s="73"/>
      <c r="AHF223" s="73"/>
      <c r="AHG223" s="73"/>
      <c r="AHH223" s="73"/>
      <c r="AHI223" s="73"/>
      <c r="AHJ223" s="73"/>
      <c r="AHK223" s="73"/>
      <c r="AHL223" s="73"/>
      <c r="AHM223" s="73"/>
      <c r="AHN223" s="73"/>
      <c r="AHO223" s="73"/>
      <c r="AHP223" s="73"/>
      <c r="AHQ223" s="73"/>
      <c r="AHR223" s="73"/>
      <c r="AHS223" s="73"/>
      <c r="AHT223" s="73"/>
      <c r="AHU223" s="73"/>
      <c r="AHV223" s="73"/>
      <c r="AHW223" s="73"/>
      <c r="AHX223" s="73"/>
      <c r="AHY223" s="73"/>
      <c r="AHZ223" s="73"/>
      <c r="AIA223" s="73"/>
      <c r="AIB223" s="73"/>
      <c r="AIC223" s="73"/>
      <c r="AID223" s="73"/>
      <c r="AIE223" s="73"/>
      <c r="AIF223" s="73"/>
      <c r="AIG223" s="73"/>
      <c r="AIH223" s="73"/>
      <c r="AII223" s="73"/>
      <c r="AIJ223" s="73"/>
      <c r="AIK223" s="73"/>
      <c r="AIL223" s="73"/>
      <c r="AIM223" s="73"/>
      <c r="AIN223" s="73"/>
      <c r="AIO223" s="73"/>
      <c r="AIP223" s="73"/>
      <c r="AIQ223" s="73"/>
      <c r="AIR223" s="73"/>
      <c r="AIS223" s="73"/>
      <c r="AIT223" s="73"/>
      <c r="AIU223" s="73"/>
      <c r="AIV223" s="73"/>
      <c r="AIW223" s="73"/>
      <c r="AIX223" s="73"/>
      <c r="AIY223" s="73"/>
      <c r="AIZ223" s="73"/>
      <c r="AJA223" s="73"/>
      <c r="AJB223" s="73"/>
      <c r="AJC223" s="73"/>
      <c r="AJD223" s="73"/>
      <c r="AJE223" s="73"/>
      <c r="AJF223" s="73"/>
      <c r="AJG223" s="73"/>
      <c r="AJH223" s="73"/>
      <c r="AJI223" s="73"/>
      <c r="AJJ223" s="73"/>
      <c r="AJK223" s="73"/>
      <c r="AJL223" s="73"/>
      <c r="AJM223" s="73"/>
      <c r="AJN223" s="73"/>
      <c r="AJO223" s="73"/>
      <c r="AJP223" s="73"/>
      <c r="AJQ223" s="73"/>
      <c r="AJR223" s="73"/>
      <c r="AJS223" s="73"/>
      <c r="AJT223" s="73"/>
      <c r="AJU223" s="73"/>
      <c r="AJV223" s="73"/>
      <c r="AJW223" s="73"/>
      <c r="AJX223" s="73"/>
      <c r="AJY223" s="73"/>
      <c r="AJZ223" s="73"/>
      <c r="AKA223" s="73"/>
      <c r="AKB223" s="73"/>
      <c r="AKC223" s="73"/>
      <c r="AKD223" s="73"/>
      <c r="AKE223" s="73"/>
      <c r="AKF223" s="73"/>
      <c r="AKG223" s="73"/>
      <c r="AKH223" s="73"/>
      <c r="AKI223" s="73"/>
      <c r="AKJ223" s="73"/>
      <c r="AKK223" s="73"/>
      <c r="AKL223" s="73"/>
      <c r="AKM223" s="73"/>
      <c r="AKN223" s="73"/>
      <c r="AKO223" s="73"/>
      <c r="AKP223" s="73"/>
      <c r="AKQ223" s="73"/>
      <c r="AKR223" s="73"/>
      <c r="AKS223" s="73"/>
      <c r="AKT223" s="73"/>
      <c r="AKU223" s="73"/>
      <c r="AKV223" s="73"/>
      <c r="AKW223" s="73"/>
      <c r="AKX223" s="73"/>
      <c r="AKY223" s="73"/>
      <c r="AKZ223" s="73"/>
      <c r="ALA223" s="73"/>
      <c r="ALB223" s="73"/>
      <c r="ALC223" s="73"/>
      <c r="ALD223" s="73"/>
      <c r="ALE223" s="73"/>
      <c r="ALF223" s="73"/>
      <c r="ALG223" s="73"/>
      <c r="ALH223" s="73"/>
      <c r="ALI223" s="73"/>
      <c r="ALJ223" s="73"/>
      <c r="ALK223" s="73"/>
      <c r="ALL223" s="73"/>
      <c r="ALM223" s="73"/>
      <c r="ALN223" s="73"/>
      <c r="ALO223" s="73"/>
      <c r="ALP223" s="73"/>
      <c r="ALQ223" s="73"/>
      <c r="ALR223" s="73"/>
      <c r="ALS223" s="73"/>
      <c r="ALT223" s="73"/>
      <c r="ALU223" s="73"/>
      <c r="ALV223" s="73"/>
      <c r="ALW223" s="73"/>
      <c r="ALX223" s="73"/>
      <c r="ALY223" s="73"/>
      <c r="ALZ223" s="73"/>
      <c r="AMA223" s="73"/>
      <c r="AMB223" s="73"/>
      <c r="AMC223" s="73"/>
      <c r="AMD223" s="73"/>
      <c r="AME223" s="73"/>
      <c r="AMF223" s="73"/>
      <c r="AMG223" s="73"/>
      <c r="AMH223" s="73"/>
      <c r="AMI223" s="73"/>
      <c r="AMJ223" s="73"/>
      <c r="AMK223" s="73"/>
      <c r="AML223" s="73"/>
      <c r="AMM223" s="73"/>
      <c r="AMN223" s="73"/>
      <c r="AMO223" s="73"/>
      <c r="AMP223" s="73"/>
      <c r="AMQ223" s="73"/>
      <c r="AMR223" s="73"/>
      <c r="AMS223" s="73"/>
      <c r="AMT223" s="73"/>
      <c r="AMU223" s="73"/>
      <c r="AMV223" s="73"/>
      <c r="AMW223" s="73"/>
      <c r="AMX223" s="73"/>
      <c r="AMY223" s="73"/>
      <c r="AMZ223" s="73"/>
      <c r="ANA223" s="73"/>
      <c r="ANB223" s="73"/>
      <c r="ANC223" s="73"/>
      <c r="AND223" s="73"/>
      <c r="ANE223" s="73"/>
      <c r="ANF223" s="73"/>
      <c r="ANG223" s="73"/>
      <c r="ANH223" s="73"/>
      <c r="ANI223" s="73"/>
      <c r="ANJ223" s="73"/>
      <c r="ANK223" s="73"/>
      <c r="ANL223" s="73"/>
      <c r="ANM223" s="73"/>
      <c r="ANN223" s="73"/>
      <c r="ANO223" s="73"/>
      <c r="ANP223" s="73"/>
      <c r="ANQ223" s="73"/>
      <c r="ANR223" s="73"/>
      <c r="ANS223" s="73"/>
      <c r="ANT223" s="73"/>
      <c r="ANU223" s="73"/>
      <c r="ANV223" s="73"/>
      <c r="ANW223" s="73"/>
      <c r="ANX223" s="73"/>
      <c r="ANY223" s="73"/>
      <c r="ANZ223" s="73"/>
      <c r="AOA223" s="73"/>
      <c r="AOB223" s="73"/>
      <c r="AOC223" s="73"/>
      <c r="AOD223" s="73"/>
      <c r="AOE223" s="73"/>
      <c r="AOF223" s="73"/>
      <c r="AOG223" s="73"/>
      <c r="AOH223" s="73"/>
      <c r="AOI223" s="73"/>
      <c r="AOJ223" s="73"/>
      <c r="AOK223" s="73"/>
      <c r="AOL223" s="73"/>
      <c r="AOM223" s="73"/>
      <c r="AON223" s="73"/>
      <c r="AOO223" s="73"/>
      <c r="AOP223" s="73"/>
      <c r="AOQ223" s="73"/>
      <c r="AOR223" s="73"/>
      <c r="AOS223" s="73"/>
      <c r="AOT223" s="73"/>
      <c r="AOU223" s="73"/>
      <c r="AOV223" s="73"/>
      <c r="AOW223" s="73"/>
      <c r="AOX223" s="73"/>
      <c r="AOY223" s="73"/>
      <c r="AOZ223" s="73"/>
      <c r="APA223" s="73"/>
      <c r="APB223" s="73"/>
      <c r="APC223" s="73"/>
      <c r="APD223" s="73"/>
      <c r="APE223" s="73"/>
      <c r="APF223" s="73"/>
      <c r="APG223" s="73"/>
      <c r="APH223" s="73"/>
      <c r="API223" s="73"/>
      <c r="APJ223" s="73"/>
      <c r="APK223" s="73"/>
      <c r="APL223" s="73"/>
      <c r="APM223" s="73"/>
      <c r="APN223" s="73"/>
      <c r="APO223" s="73"/>
      <c r="APP223" s="73"/>
      <c r="APQ223" s="73"/>
      <c r="APR223" s="73"/>
      <c r="APS223" s="73"/>
      <c r="APT223" s="73"/>
      <c r="APU223" s="73"/>
      <c r="APV223" s="73"/>
      <c r="APW223" s="73"/>
      <c r="APX223" s="73"/>
      <c r="APY223" s="73"/>
      <c r="APZ223" s="73"/>
      <c r="AQA223" s="73"/>
      <c r="AQB223" s="73"/>
      <c r="AQC223" s="73"/>
      <c r="AQD223" s="73"/>
      <c r="AQE223" s="73"/>
      <c r="AQF223" s="73"/>
      <c r="AQG223" s="73"/>
      <c r="AQH223" s="73"/>
      <c r="AQI223" s="73"/>
      <c r="AQJ223" s="73"/>
      <c r="AQK223" s="73"/>
      <c r="AQL223" s="73"/>
      <c r="AQM223" s="73"/>
      <c r="AQN223" s="73"/>
      <c r="AQO223" s="73"/>
      <c r="AQP223" s="73"/>
      <c r="AQQ223" s="73"/>
      <c r="AQR223" s="73"/>
      <c r="AQS223" s="73"/>
      <c r="AQT223" s="73"/>
      <c r="AQU223" s="73"/>
      <c r="AQV223" s="73"/>
      <c r="AQW223" s="73"/>
      <c r="AQX223" s="73"/>
      <c r="AQY223" s="73"/>
      <c r="AQZ223" s="73"/>
      <c r="ARA223" s="73"/>
      <c r="ARB223" s="73"/>
      <c r="ARC223" s="73"/>
      <c r="ARD223" s="73"/>
      <c r="ARE223" s="73"/>
      <c r="ARF223" s="73"/>
      <c r="ARG223" s="73"/>
      <c r="ARH223" s="73"/>
      <c r="ARI223" s="73"/>
      <c r="ARJ223" s="73"/>
      <c r="ARK223" s="73"/>
      <c r="ARL223" s="73"/>
      <c r="ARM223" s="73"/>
      <c r="ARN223" s="73"/>
      <c r="ARO223" s="73"/>
      <c r="ARP223" s="73"/>
      <c r="ARQ223" s="73"/>
      <c r="ARR223" s="73"/>
      <c r="ARS223" s="73"/>
      <c r="ART223" s="73"/>
      <c r="ARU223" s="73"/>
      <c r="ARV223" s="73"/>
      <c r="ARW223" s="73"/>
      <c r="ARX223" s="73"/>
      <c r="ARY223" s="73"/>
      <c r="ARZ223" s="73"/>
      <c r="ASA223" s="73"/>
      <c r="ASB223" s="73"/>
      <c r="ASC223" s="73"/>
      <c r="ASD223" s="73"/>
      <c r="ASE223" s="73"/>
      <c r="ASF223" s="73"/>
      <c r="ASG223" s="73"/>
      <c r="ASH223" s="73"/>
      <c r="ASI223" s="73"/>
      <c r="ASJ223" s="73"/>
      <c r="ASK223" s="73"/>
      <c r="ASL223" s="73"/>
      <c r="ASM223" s="73"/>
      <c r="ASN223" s="73"/>
      <c r="ASO223" s="73"/>
      <c r="ASP223" s="73"/>
      <c r="ASQ223" s="73"/>
      <c r="ASR223" s="73"/>
      <c r="ASS223" s="73"/>
      <c r="AST223" s="73"/>
      <c r="ASU223" s="73"/>
      <c r="ASV223" s="73"/>
      <c r="ASW223" s="73"/>
      <c r="ASX223" s="73"/>
      <c r="ASY223" s="73"/>
      <c r="ASZ223" s="73"/>
      <c r="ATA223" s="73"/>
      <c r="ATB223" s="73"/>
      <c r="ATC223" s="73"/>
      <c r="ATD223" s="73"/>
      <c r="ATE223" s="73"/>
      <c r="ATF223" s="73"/>
      <c r="ATG223" s="73"/>
      <c r="ATH223" s="73"/>
      <c r="ATI223" s="73"/>
      <c r="ATJ223" s="73"/>
      <c r="ATK223" s="73"/>
      <c r="ATL223" s="73"/>
      <c r="ATM223" s="73"/>
      <c r="ATN223" s="73"/>
      <c r="ATO223" s="73"/>
      <c r="ATP223" s="73"/>
      <c r="ATQ223" s="73"/>
      <c r="ATR223" s="73"/>
      <c r="ATS223" s="73"/>
      <c r="ATT223" s="73"/>
      <c r="ATU223" s="73"/>
      <c r="ATV223" s="73"/>
      <c r="ATW223" s="73"/>
      <c r="ATX223" s="73"/>
      <c r="ATY223" s="73"/>
      <c r="ATZ223" s="73"/>
      <c r="AUA223" s="73"/>
      <c r="AUB223" s="73"/>
      <c r="AUC223" s="73"/>
      <c r="AUD223" s="73"/>
      <c r="AUE223" s="73"/>
      <c r="AUF223" s="73"/>
      <c r="AUG223" s="73"/>
      <c r="AUH223" s="73"/>
      <c r="AUI223" s="73"/>
      <c r="AUJ223" s="73"/>
      <c r="AUK223" s="73"/>
      <c r="AUL223" s="73"/>
      <c r="AUM223" s="73"/>
      <c r="AUN223" s="73"/>
      <c r="AUO223" s="73"/>
      <c r="AUP223" s="73"/>
      <c r="AUQ223" s="73"/>
      <c r="AUR223" s="73"/>
      <c r="AUS223" s="73"/>
      <c r="AUT223" s="73"/>
      <c r="AUU223" s="73"/>
      <c r="AUV223" s="73"/>
      <c r="AUW223" s="73"/>
      <c r="AUX223" s="73"/>
      <c r="AUY223" s="73"/>
      <c r="AUZ223" s="73"/>
      <c r="AVA223" s="73"/>
      <c r="AVB223" s="73"/>
      <c r="AVC223" s="73"/>
      <c r="AVD223" s="73"/>
      <c r="AVE223" s="73"/>
      <c r="AVF223" s="73"/>
      <c r="AVG223" s="73"/>
      <c r="AVH223" s="73"/>
      <c r="AVI223" s="73"/>
      <c r="AVJ223" s="73"/>
      <c r="AVK223" s="73"/>
      <c r="AVL223" s="73"/>
      <c r="AVM223" s="73"/>
      <c r="AVN223" s="73"/>
      <c r="AVO223" s="73"/>
      <c r="AVP223" s="73"/>
      <c r="AVQ223" s="73"/>
      <c r="AVR223" s="73"/>
      <c r="AVS223" s="73"/>
      <c r="AVT223" s="73"/>
      <c r="AVU223" s="73"/>
      <c r="AVV223" s="73"/>
      <c r="AVW223" s="73"/>
      <c r="AVX223" s="73"/>
      <c r="AVY223" s="73"/>
      <c r="AVZ223" s="73"/>
      <c r="AWA223" s="73"/>
      <c r="AWB223" s="73"/>
      <c r="AWC223" s="73"/>
      <c r="AWD223" s="73"/>
      <c r="AWE223" s="73"/>
      <c r="AWF223" s="73"/>
      <c r="AWG223" s="73"/>
      <c r="AWH223" s="73"/>
      <c r="AWI223" s="73"/>
      <c r="AWJ223" s="73"/>
      <c r="AWK223" s="73"/>
      <c r="AWL223" s="73"/>
      <c r="AWM223" s="73"/>
      <c r="AWN223" s="73"/>
      <c r="AWO223" s="73"/>
      <c r="AWP223" s="73"/>
      <c r="AWQ223" s="73"/>
      <c r="AWR223" s="73"/>
      <c r="AWS223" s="73"/>
      <c r="AWT223" s="73"/>
      <c r="AWU223" s="73"/>
      <c r="AWV223" s="73"/>
      <c r="AWW223" s="73"/>
      <c r="AWX223" s="73"/>
      <c r="AWY223" s="73"/>
      <c r="AWZ223" s="73"/>
      <c r="AXA223" s="73"/>
      <c r="AXB223" s="73"/>
      <c r="AXC223" s="73"/>
      <c r="AXD223" s="73"/>
      <c r="AXE223" s="73"/>
      <c r="AXF223" s="73"/>
      <c r="AXG223" s="73"/>
      <c r="AXH223" s="73"/>
      <c r="AXI223" s="73"/>
      <c r="AXJ223" s="73"/>
      <c r="AXK223" s="73"/>
      <c r="AXL223" s="73"/>
      <c r="AXM223" s="73"/>
      <c r="AXN223" s="73"/>
      <c r="AXO223" s="73"/>
      <c r="AXP223" s="73"/>
      <c r="AXQ223" s="73"/>
      <c r="AXR223" s="73"/>
      <c r="AXS223" s="73"/>
      <c r="AXT223" s="73"/>
      <c r="AXU223" s="73"/>
      <c r="AXV223" s="73"/>
      <c r="AXW223" s="73"/>
      <c r="AXX223" s="73"/>
      <c r="AXY223" s="73"/>
      <c r="AXZ223" s="73"/>
      <c r="AYA223" s="73"/>
      <c r="AYB223" s="73"/>
      <c r="AYC223" s="73"/>
      <c r="AYD223" s="73"/>
      <c r="AYE223" s="73"/>
      <c r="AYF223" s="73"/>
      <c r="AYG223" s="73"/>
      <c r="AYH223" s="73"/>
      <c r="AYI223" s="73"/>
      <c r="AYJ223" s="73"/>
      <c r="AYK223" s="73"/>
      <c r="AYL223" s="73"/>
      <c r="AYM223" s="73"/>
      <c r="AYN223" s="73"/>
      <c r="AYO223" s="73"/>
      <c r="AYP223" s="73"/>
      <c r="AYQ223" s="73"/>
      <c r="AYR223" s="73"/>
      <c r="AYS223" s="73"/>
      <c r="AYT223" s="73"/>
      <c r="AYU223" s="73"/>
      <c r="AYV223" s="73"/>
      <c r="AYW223" s="73"/>
      <c r="AYX223" s="73"/>
      <c r="AYY223" s="73"/>
      <c r="AYZ223" s="73"/>
      <c r="AZA223" s="73"/>
      <c r="AZB223" s="73"/>
      <c r="AZC223" s="73"/>
      <c r="AZD223" s="73"/>
      <c r="AZE223" s="73"/>
      <c r="AZF223" s="73"/>
      <c r="AZG223" s="73"/>
      <c r="AZH223" s="73"/>
      <c r="AZI223" s="73"/>
      <c r="AZJ223" s="73"/>
      <c r="AZK223" s="73"/>
      <c r="AZL223" s="73"/>
      <c r="AZM223" s="73"/>
      <c r="AZN223" s="73"/>
      <c r="AZO223" s="73"/>
      <c r="AZP223" s="73"/>
      <c r="AZQ223" s="73"/>
      <c r="AZR223" s="73"/>
      <c r="AZS223" s="73"/>
      <c r="AZT223" s="73"/>
      <c r="AZU223" s="73"/>
      <c r="AZV223" s="73"/>
      <c r="AZW223" s="73"/>
      <c r="AZX223" s="73"/>
      <c r="AZY223" s="73"/>
      <c r="AZZ223" s="73"/>
      <c r="BAA223" s="73"/>
      <c r="BAB223" s="73"/>
      <c r="BAC223" s="73"/>
      <c r="BAD223" s="73"/>
      <c r="BAE223" s="73"/>
      <c r="BAF223" s="73"/>
      <c r="BAG223" s="73"/>
      <c r="BAH223" s="73"/>
      <c r="BAI223" s="73"/>
      <c r="BAJ223" s="73"/>
      <c r="BAK223" s="73"/>
      <c r="BAL223" s="73"/>
      <c r="BAM223" s="73"/>
      <c r="BAN223" s="73"/>
      <c r="BAO223" s="73"/>
      <c r="BAP223" s="73"/>
      <c r="BAQ223" s="73"/>
      <c r="BAR223" s="73"/>
      <c r="BAS223" s="73"/>
      <c r="BAT223" s="73"/>
      <c r="BAU223" s="73"/>
      <c r="BAV223" s="73"/>
      <c r="BAW223" s="73"/>
      <c r="BAX223" s="73"/>
      <c r="BAY223" s="73"/>
      <c r="BAZ223" s="73"/>
      <c r="BBA223" s="73"/>
      <c r="BBB223" s="73"/>
      <c r="BBC223" s="73"/>
      <c r="BBD223" s="73"/>
      <c r="BBE223" s="73"/>
      <c r="BBF223" s="73"/>
      <c r="BBG223" s="73"/>
      <c r="BBH223" s="73"/>
      <c r="BBI223" s="73"/>
      <c r="BBJ223" s="73"/>
      <c r="BBK223" s="73"/>
      <c r="BBL223" s="73"/>
      <c r="BBM223" s="73"/>
      <c r="BBN223" s="73"/>
      <c r="BBO223" s="73"/>
      <c r="BBP223" s="73"/>
      <c r="BBQ223" s="73"/>
      <c r="BBR223" s="73"/>
      <c r="BBS223" s="73"/>
      <c r="BBT223" s="73"/>
      <c r="BBU223" s="73"/>
      <c r="BBV223" s="73"/>
      <c r="BBW223" s="73"/>
      <c r="BBX223" s="73"/>
      <c r="BBY223" s="73"/>
      <c r="BBZ223" s="73"/>
      <c r="BCA223" s="73"/>
      <c r="BCB223" s="73"/>
      <c r="BCC223" s="73"/>
      <c r="BCD223" s="73"/>
      <c r="BCE223" s="73"/>
      <c r="BCF223" s="73"/>
      <c r="BCG223" s="73"/>
      <c r="BCH223" s="73"/>
      <c r="BCI223" s="73"/>
      <c r="BCJ223" s="73"/>
      <c r="BCK223" s="73"/>
      <c r="BCL223" s="73"/>
      <c r="BCM223" s="73"/>
      <c r="BCN223" s="73"/>
      <c r="BCO223" s="73"/>
      <c r="BCP223" s="73"/>
      <c r="BCQ223" s="73"/>
      <c r="BCR223" s="73"/>
      <c r="BCS223" s="73"/>
      <c r="BCT223" s="73"/>
      <c r="BCU223" s="73"/>
      <c r="BCV223" s="73"/>
      <c r="BCW223" s="73"/>
      <c r="BCX223" s="73"/>
      <c r="BCY223" s="73"/>
      <c r="BCZ223" s="73"/>
      <c r="BDA223" s="73"/>
      <c r="BDB223" s="73"/>
      <c r="BDC223" s="73"/>
      <c r="BDD223" s="73"/>
      <c r="BDE223" s="73"/>
      <c r="BDF223" s="73"/>
      <c r="BDG223" s="73"/>
      <c r="BDH223" s="73"/>
      <c r="BDI223" s="73"/>
      <c r="BDJ223" s="73"/>
      <c r="BDK223" s="73"/>
      <c r="BDL223" s="73"/>
      <c r="BDM223" s="73"/>
      <c r="BDN223" s="73"/>
      <c r="BDO223" s="73"/>
      <c r="BDP223" s="73"/>
      <c r="BDQ223" s="73"/>
      <c r="BDR223" s="73"/>
      <c r="BDS223" s="73"/>
      <c r="BDT223" s="73"/>
      <c r="BDU223" s="73"/>
      <c r="BDV223" s="73"/>
      <c r="BDW223" s="73"/>
      <c r="BDX223" s="73"/>
      <c r="BDY223" s="73"/>
      <c r="BDZ223" s="73"/>
      <c r="BEA223" s="73"/>
      <c r="BEB223" s="73"/>
      <c r="BEC223" s="73"/>
      <c r="BED223" s="73"/>
      <c r="BEE223" s="73"/>
      <c r="BEF223" s="73"/>
      <c r="BEG223" s="73"/>
      <c r="BEH223" s="73"/>
      <c r="BEI223" s="73"/>
      <c r="BEJ223" s="73"/>
      <c r="BEK223" s="73"/>
      <c r="BEL223" s="73"/>
      <c r="BEM223" s="73"/>
      <c r="BEN223" s="73"/>
      <c r="BEO223" s="73"/>
      <c r="BEP223" s="73"/>
      <c r="BEQ223" s="73"/>
      <c r="BER223" s="73"/>
      <c r="BES223" s="73"/>
      <c r="BET223" s="73"/>
      <c r="BEU223" s="73"/>
      <c r="BEV223" s="73"/>
      <c r="BEW223" s="73"/>
      <c r="BEX223" s="73"/>
      <c r="BEY223" s="73"/>
      <c r="BEZ223" s="73"/>
      <c r="BFA223" s="73"/>
      <c r="BFB223" s="73"/>
      <c r="BFC223" s="73"/>
      <c r="BFD223" s="73"/>
      <c r="BFE223" s="73"/>
      <c r="BFF223" s="73"/>
      <c r="BFG223" s="73"/>
      <c r="BFH223" s="73"/>
      <c r="BFI223" s="73"/>
      <c r="BFJ223" s="73"/>
      <c r="BFK223" s="73"/>
      <c r="BFL223" s="73"/>
      <c r="BFM223" s="73"/>
      <c r="BFN223" s="73"/>
      <c r="BFO223" s="73"/>
      <c r="BFP223" s="73"/>
      <c r="BFQ223" s="73"/>
      <c r="BFR223" s="73"/>
      <c r="BFS223" s="73"/>
      <c r="BFT223" s="73"/>
      <c r="BFU223" s="73"/>
      <c r="BFV223" s="73"/>
      <c r="BFW223" s="73"/>
      <c r="BFX223" s="73"/>
      <c r="BFY223" s="73"/>
      <c r="BFZ223" s="73"/>
      <c r="BGA223" s="73"/>
      <c r="BGB223" s="73"/>
      <c r="BGC223" s="73"/>
      <c r="BGD223" s="73"/>
      <c r="BGE223" s="73"/>
      <c r="BGF223" s="73"/>
      <c r="BGG223" s="73"/>
      <c r="BGH223" s="73"/>
      <c r="BGI223" s="73"/>
      <c r="BGJ223" s="73"/>
      <c r="BGK223" s="73"/>
      <c r="BGL223" s="73"/>
      <c r="BGM223" s="73"/>
      <c r="BGN223" s="73"/>
      <c r="BGO223" s="73"/>
      <c r="BGP223" s="73"/>
      <c r="BGQ223" s="73"/>
      <c r="BGR223" s="73"/>
      <c r="BGS223" s="73"/>
      <c r="BGT223" s="73"/>
      <c r="BGU223" s="73"/>
      <c r="BGV223" s="73"/>
      <c r="BGW223" s="73"/>
      <c r="BGX223" s="73"/>
      <c r="BGY223" s="73"/>
      <c r="BGZ223" s="73"/>
      <c r="BHA223" s="73"/>
      <c r="BHB223" s="73"/>
      <c r="BHC223" s="73"/>
      <c r="BHD223" s="73"/>
      <c r="BHE223" s="73"/>
      <c r="BHF223" s="73"/>
      <c r="BHG223" s="73"/>
      <c r="BHH223" s="73"/>
      <c r="BHI223" s="73"/>
      <c r="BHJ223" s="73"/>
      <c r="BHK223" s="73"/>
      <c r="BHL223" s="73"/>
      <c r="BHM223" s="73"/>
      <c r="BHN223" s="73"/>
      <c r="BHO223" s="73"/>
      <c r="BHP223" s="73"/>
      <c r="BHQ223" s="73"/>
      <c r="BHR223" s="73"/>
      <c r="BHS223" s="73"/>
      <c r="BHT223" s="73"/>
      <c r="BHU223" s="73"/>
      <c r="BHV223" s="73"/>
      <c r="BHW223" s="73"/>
      <c r="BHX223" s="73"/>
      <c r="BHY223" s="73"/>
      <c r="BHZ223" s="73"/>
      <c r="BIA223" s="73"/>
      <c r="BIB223" s="73"/>
      <c r="BIC223" s="73"/>
      <c r="BID223" s="73"/>
      <c r="BIE223" s="73"/>
      <c r="BIF223" s="73"/>
      <c r="BIG223" s="73"/>
      <c r="BIH223" s="73"/>
      <c r="BII223" s="73"/>
      <c r="BIJ223" s="73"/>
      <c r="BIK223" s="73"/>
      <c r="BIL223" s="73"/>
      <c r="BIM223" s="73"/>
      <c r="BIN223" s="73"/>
      <c r="BIO223" s="73"/>
      <c r="BIP223" s="73"/>
      <c r="BIQ223" s="73"/>
      <c r="BIR223" s="73"/>
      <c r="BIS223" s="73"/>
      <c r="BIT223" s="73"/>
      <c r="BIU223" s="73"/>
      <c r="BIV223" s="73"/>
      <c r="BIW223" s="73"/>
      <c r="BIX223" s="73"/>
      <c r="BIY223" s="73"/>
      <c r="BIZ223" s="73"/>
      <c r="BJA223" s="73"/>
      <c r="BJB223" s="73"/>
      <c r="BJC223" s="73"/>
      <c r="BJD223" s="73"/>
      <c r="BJE223" s="73"/>
      <c r="BJF223" s="73"/>
      <c r="BJG223" s="73"/>
      <c r="BJH223" s="73"/>
      <c r="BJI223" s="73"/>
      <c r="BJJ223" s="73"/>
      <c r="BJK223" s="73"/>
      <c r="BJL223" s="73"/>
      <c r="BJM223" s="73"/>
      <c r="BJN223" s="73"/>
      <c r="BJO223" s="73"/>
      <c r="BJP223" s="73"/>
      <c r="BJQ223" s="73"/>
      <c r="BJR223" s="73"/>
      <c r="BJS223" s="73"/>
      <c r="BJT223" s="73"/>
      <c r="BJU223" s="73"/>
      <c r="BJV223" s="73"/>
      <c r="BJW223" s="73"/>
      <c r="BJX223" s="73"/>
      <c r="BJY223" s="73"/>
      <c r="BJZ223" s="73"/>
      <c r="BKA223" s="73"/>
      <c r="BKB223" s="73"/>
      <c r="BKC223" s="73"/>
      <c r="BKD223" s="73"/>
      <c r="BKE223" s="73"/>
      <c r="BKF223" s="73"/>
      <c r="BKG223" s="73"/>
      <c r="BKH223" s="73"/>
      <c r="BKI223" s="73"/>
      <c r="BKJ223" s="73"/>
      <c r="BKK223" s="73"/>
      <c r="BKL223" s="73"/>
      <c r="BKM223" s="73"/>
      <c r="BKN223" s="73"/>
      <c r="BKO223" s="73"/>
      <c r="BKP223" s="73"/>
      <c r="BKQ223" s="73"/>
      <c r="BKR223" s="73"/>
      <c r="BKS223" s="73"/>
      <c r="BKT223" s="73"/>
      <c r="BKU223" s="73"/>
      <c r="BKV223" s="73"/>
      <c r="BKW223" s="73"/>
      <c r="BKX223" s="73"/>
      <c r="BKY223" s="73"/>
      <c r="BKZ223" s="73"/>
      <c r="BLA223" s="73"/>
      <c r="BLB223" s="73"/>
      <c r="BLC223" s="73"/>
      <c r="BLD223" s="73"/>
      <c r="BLE223" s="73"/>
      <c r="BLF223" s="73"/>
      <c r="BLG223" s="73"/>
      <c r="BLH223" s="73"/>
      <c r="BLI223" s="73"/>
      <c r="BLJ223" s="73"/>
      <c r="BLK223" s="73"/>
      <c r="BLL223" s="73"/>
      <c r="BLM223" s="73"/>
      <c r="BLN223" s="73"/>
      <c r="BLO223" s="73"/>
      <c r="BLP223" s="73"/>
      <c r="BLQ223" s="73"/>
      <c r="BLR223" s="73"/>
      <c r="BLS223" s="73"/>
      <c r="BLT223" s="73"/>
      <c r="BLU223" s="73"/>
      <c r="BLV223" s="73"/>
      <c r="BLW223" s="73"/>
      <c r="BLX223" s="73"/>
      <c r="BLY223" s="73"/>
      <c r="BLZ223" s="73"/>
      <c r="BMA223" s="73"/>
      <c r="BMB223" s="73"/>
      <c r="BMC223" s="73"/>
      <c r="BMD223" s="73"/>
      <c r="BME223" s="73"/>
      <c r="BMF223" s="73"/>
      <c r="BMG223" s="73"/>
      <c r="BMH223" s="73"/>
      <c r="BMI223" s="73"/>
      <c r="BMJ223" s="73"/>
      <c r="BMK223" s="73"/>
      <c r="BML223" s="73"/>
      <c r="BMM223" s="73"/>
      <c r="BMN223" s="73"/>
      <c r="BMO223" s="73"/>
      <c r="BMP223" s="73"/>
      <c r="BMQ223" s="73"/>
      <c r="BMR223" s="73"/>
      <c r="BMS223" s="73"/>
      <c r="BMT223" s="73"/>
      <c r="BMU223" s="73"/>
      <c r="BMV223" s="73"/>
      <c r="BMW223" s="73"/>
      <c r="BMX223" s="73"/>
      <c r="BMY223" s="73"/>
      <c r="BMZ223" s="73"/>
      <c r="BNA223" s="73"/>
      <c r="BNB223" s="73"/>
      <c r="BNC223" s="73"/>
      <c r="BND223" s="73"/>
      <c r="BNE223" s="73"/>
      <c r="BNF223" s="73"/>
      <c r="BNG223" s="73"/>
      <c r="BNH223" s="73"/>
      <c r="BNI223" s="73"/>
      <c r="BNJ223" s="73"/>
      <c r="BNK223" s="73"/>
      <c r="BNL223" s="73"/>
      <c r="BNM223" s="73"/>
      <c r="BNN223" s="73"/>
      <c r="BNO223" s="73"/>
      <c r="BNP223" s="73"/>
      <c r="BNQ223" s="73"/>
      <c r="BNR223" s="73"/>
      <c r="BNS223" s="73"/>
      <c r="BNT223" s="73"/>
      <c r="BNU223" s="73"/>
      <c r="BNV223" s="73"/>
      <c r="BNW223" s="73"/>
      <c r="BNX223" s="73"/>
      <c r="BNY223" s="73"/>
      <c r="BNZ223" s="73"/>
      <c r="BOA223" s="73"/>
      <c r="BOB223" s="73"/>
      <c r="BOC223" s="73"/>
      <c r="BOD223" s="73"/>
      <c r="BOE223" s="73"/>
      <c r="BOF223" s="73"/>
      <c r="BOG223" s="73"/>
      <c r="BOH223" s="73"/>
      <c r="BOI223" s="73"/>
      <c r="BOJ223" s="73"/>
      <c r="BOK223" s="73"/>
      <c r="BOL223" s="73"/>
      <c r="BOM223" s="73"/>
      <c r="BON223" s="73"/>
      <c r="BOO223" s="73"/>
      <c r="BOP223" s="73"/>
      <c r="BOQ223" s="73"/>
      <c r="BOR223" s="73"/>
      <c r="BOS223" s="73"/>
      <c r="BOT223" s="73"/>
      <c r="BOU223" s="73"/>
      <c r="BOV223" s="73"/>
      <c r="BOW223" s="73"/>
      <c r="BOX223" s="73"/>
      <c r="BOY223" s="73"/>
      <c r="BOZ223" s="73"/>
      <c r="BPA223" s="73"/>
      <c r="BPB223" s="73"/>
      <c r="BPC223" s="73"/>
      <c r="BPD223" s="73"/>
      <c r="BPE223" s="73"/>
      <c r="BPF223" s="73"/>
      <c r="BPG223" s="73"/>
      <c r="BPH223" s="73"/>
      <c r="BPI223" s="73"/>
      <c r="BPJ223" s="73"/>
      <c r="BPK223" s="73"/>
      <c r="BPL223" s="73"/>
      <c r="BPM223" s="73"/>
      <c r="BPN223" s="73"/>
      <c r="BPO223" s="73"/>
      <c r="BPP223" s="73"/>
      <c r="BPQ223" s="73"/>
      <c r="BPR223" s="73"/>
      <c r="BPS223" s="73"/>
      <c r="BPT223" s="73"/>
      <c r="BPU223" s="73"/>
      <c r="BPV223" s="73"/>
      <c r="BPW223" s="73"/>
      <c r="BPX223" s="73"/>
      <c r="BPY223" s="73"/>
      <c r="BPZ223" s="73"/>
      <c r="BQA223" s="73"/>
      <c r="BQB223" s="73"/>
      <c r="BQC223" s="73"/>
      <c r="BQD223" s="73"/>
      <c r="BQE223" s="73"/>
      <c r="BQF223" s="73"/>
      <c r="BQG223" s="73"/>
      <c r="BQH223" s="73"/>
      <c r="BQI223" s="73"/>
      <c r="BQJ223" s="73"/>
      <c r="BQK223" s="73"/>
      <c r="BQL223" s="73"/>
      <c r="BQM223" s="73"/>
      <c r="BQN223" s="73"/>
      <c r="BQO223" s="73"/>
      <c r="BQP223" s="73"/>
      <c r="BQQ223" s="73"/>
      <c r="BQR223" s="73"/>
      <c r="BQS223" s="73"/>
      <c r="BQT223" s="73"/>
      <c r="BQU223" s="73"/>
      <c r="BQV223" s="73"/>
      <c r="BQW223" s="73"/>
      <c r="BQX223" s="73"/>
      <c r="BQY223" s="73"/>
      <c r="BQZ223" s="73"/>
      <c r="BRA223" s="73"/>
      <c r="BRB223" s="73"/>
      <c r="BRC223" s="73"/>
      <c r="BRD223" s="73"/>
      <c r="BRE223" s="73"/>
      <c r="BRF223" s="73"/>
      <c r="BRG223" s="73"/>
      <c r="BRH223" s="73"/>
      <c r="BRI223" s="73"/>
      <c r="BRJ223" s="73"/>
      <c r="BRK223" s="73"/>
      <c r="BRL223" s="73"/>
      <c r="BRM223" s="73"/>
      <c r="BRN223" s="73"/>
      <c r="BRO223" s="73"/>
      <c r="BRP223" s="73"/>
      <c r="BRQ223" s="73"/>
      <c r="BRR223" s="73"/>
      <c r="BRS223" s="73"/>
      <c r="BRT223" s="73"/>
      <c r="BRU223" s="73"/>
      <c r="BRV223" s="73"/>
      <c r="BRW223" s="73"/>
      <c r="BRX223" s="73"/>
      <c r="BRY223" s="73"/>
      <c r="BRZ223" s="73"/>
      <c r="BSA223" s="73"/>
      <c r="BSB223" s="73"/>
      <c r="BSC223" s="73"/>
      <c r="BSD223" s="73"/>
      <c r="BSE223" s="73"/>
      <c r="BSF223" s="73"/>
      <c r="BSG223" s="73"/>
      <c r="BSH223" s="73"/>
      <c r="BSI223" s="73"/>
      <c r="BSJ223" s="73"/>
      <c r="BSK223" s="73"/>
      <c r="BSL223" s="73"/>
      <c r="BSM223" s="73"/>
      <c r="BSN223" s="73"/>
      <c r="BSO223" s="73"/>
      <c r="BSP223" s="73"/>
      <c r="BSQ223" s="73"/>
      <c r="BSR223" s="73"/>
      <c r="BSS223" s="73"/>
      <c r="BST223" s="73"/>
      <c r="BSU223" s="73"/>
      <c r="BSV223" s="73"/>
      <c r="BSW223" s="73"/>
      <c r="BSX223" s="73"/>
      <c r="BSY223" s="73"/>
      <c r="BSZ223" s="73"/>
      <c r="BTA223" s="73"/>
      <c r="BTB223" s="73"/>
      <c r="BTC223" s="73"/>
      <c r="BTD223" s="73"/>
      <c r="BTE223" s="73"/>
      <c r="BTF223" s="73"/>
      <c r="BTG223" s="73"/>
      <c r="BTH223" s="73"/>
      <c r="BTI223" s="73"/>
      <c r="BTJ223" s="73"/>
      <c r="BTK223" s="73"/>
      <c r="BTL223" s="73"/>
      <c r="BTM223" s="73"/>
      <c r="BTN223" s="73"/>
      <c r="BTO223" s="73"/>
      <c r="BTP223" s="73"/>
      <c r="BTQ223" s="73"/>
      <c r="BTR223" s="73"/>
      <c r="BTS223" s="73"/>
      <c r="BTT223" s="73"/>
      <c r="BTU223" s="73"/>
      <c r="BTV223" s="73"/>
      <c r="BTW223" s="73"/>
      <c r="BTX223" s="73"/>
      <c r="BTY223" s="73"/>
      <c r="BTZ223" s="73"/>
      <c r="BUA223" s="73"/>
      <c r="BUB223" s="73"/>
      <c r="BUC223" s="73"/>
      <c r="BUD223" s="73"/>
      <c r="BUE223" s="73"/>
      <c r="BUF223" s="73"/>
      <c r="BUG223" s="73"/>
      <c r="BUH223" s="73"/>
      <c r="BUI223" s="73"/>
      <c r="BUJ223" s="73"/>
      <c r="BUK223" s="73"/>
      <c r="BUL223" s="73"/>
      <c r="BUM223" s="73"/>
      <c r="BUN223" s="73"/>
      <c r="BUO223" s="73"/>
      <c r="BUP223" s="73"/>
      <c r="BUQ223" s="73"/>
      <c r="BUR223" s="73"/>
      <c r="BUS223" s="73"/>
      <c r="BUT223" s="73"/>
      <c r="BUU223" s="73"/>
      <c r="BUV223" s="73"/>
      <c r="BUW223" s="73"/>
      <c r="BUX223" s="73"/>
      <c r="BUY223" s="73"/>
      <c r="BUZ223" s="73"/>
      <c r="BVA223" s="73"/>
      <c r="BVB223" s="73"/>
      <c r="BVC223" s="73"/>
      <c r="BVD223" s="73"/>
      <c r="BVE223" s="73"/>
      <c r="BVF223" s="73"/>
      <c r="BVG223" s="73"/>
      <c r="BVH223" s="73"/>
      <c r="BVI223" s="73"/>
      <c r="BVJ223" s="73"/>
      <c r="BVK223" s="73"/>
      <c r="BVL223" s="73"/>
      <c r="BVM223" s="73"/>
      <c r="BVN223" s="73"/>
      <c r="BVO223" s="73"/>
      <c r="BVP223" s="73"/>
      <c r="BVQ223" s="73"/>
      <c r="BVR223" s="73"/>
      <c r="BVS223" s="73"/>
      <c r="BVT223" s="73"/>
      <c r="BVU223" s="73"/>
      <c r="BVV223" s="73"/>
      <c r="BVW223" s="73"/>
      <c r="BVX223" s="73"/>
      <c r="BVY223" s="73"/>
      <c r="BVZ223" s="73"/>
      <c r="BWA223" s="73"/>
      <c r="BWB223" s="73"/>
      <c r="BWC223" s="73"/>
      <c r="BWD223" s="73"/>
      <c r="BWE223" s="73"/>
      <c r="BWF223" s="73"/>
      <c r="BWG223" s="73"/>
      <c r="BWH223" s="73"/>
      <c r="BWI223" s="73"/>
      <c r="BWJ223" s="73"/>
      <c r="BWK223" s="73"/>
      <c r="BWL223" s="73"/>
      <c r="BWM223" s="73"/>
      <c r="BWN223" s="73"/>
      <c r="BWO223" s="73"/>
      <c r="BWP223" s="73"/>
      <c r="BWQ223" s="73"/>
      <c r="BWR223" s="73"/>
      <c r="BWS223" s="73"/>
      <c r="BWT223" s="73"/>
      <c r="BWU223" s="73"/>
      <c r="BWV223" s="73"/>
      <c r="BWW223" s="73"/>
      <c r="BWX223" s="73"/>
      <c r="BWY223" s="73"/>
      <c r="BWZ223" s="73"/>
      <c r="BXA223" s="73"/>
      <c r="BXB223" s="73"/>
      <c r="BXC223" s="73"/>
      <c r="BXD223" s="73"/>
      <c r="BXE223" s="73"/>
      <c r="BXF223" s="73"/>
      <c r="BXG223" s="73"/>
      <c r="BXH223" s="73"/>
      <c r="BXI223" s="73"/>
      <c r="BXJ223" s="73"/>
      <c r="BXK223" s="73"/>
      <c r="BXL223" s="73"/>
      <c r="BXM223" s="73"/>
      <c r="BXN223" s="73"/>
      <c r="BXO223" s="73"/>
      <c r="BXP223" s="73"/>
      <c r="BXQ223" s="73"/>
      <c r="BXR223" s="73"/>
      <c r="BXS223" s="73"/>
      <c r="BXT223" s="73"/>
      <c r="BXU223" s="73"/>
      <c r="BXV223" s="73"/>
      <c r="BXW223" s="73"/>
      <c r="BXX223" s="73"/>
      <c r="BXY223" s="73"/>
      <c r="BXZ223" s="73"/>
      <c r="BYA223" s="73"/>
      <c r="BYB223" s="73"/>
      <c r="BYC223" s="73"/>
      <c r="BYD223" s="73"/>
      <c r="BYE223" s="73"/>
      <c r="BYF223" s="73"/>
      <c r="BYG223" s="73"/>
      <c r="BYH223" s="73"/>
      <c r="BYI223" s="73"/>
      <c r="BYJ223" s="73"/>
      <c r="BYK223" s="73"/>
      <c r="BYL223" s="73"/>
      <c r="BYM223" s="73"/>
      <c r="BYN223" s="73"/>
      <c r="BYO223" s="73"/>
      <c r="BYP223" s="73"/>
      <c r="BYQ223" s="73"/>
      <c r="BYR223" s="73"/>
      <c r="BYS223" s="73"/>
      <c r="BYT223" s="73"/>
      <c r="BYU223" s="73"/>
      <c r="BYV223" s="73"/>
      <c r="BYW223" s="73"/>
      <c r="BYX223" s="73"/>
      <c r="BYY223" s="73"/>
      <c r="BYZ223" s="73"/>
      <c r="BZA223" s="73"/>
      <c r="BZB223" s="73"/>
      <c r="BZC223" s="73"/>
      <c r="BZD223" s="73"/>
      <c r="BZE223" s="73"/>
      <c r="BZF223" s="73"/>
      <c r="BZG223" s="73"/>
      <c r="BZH223" s="73"/>
      <c r="BZI223" s="73"/>
      <c r="BZJ223" s="73"/>
      <c r="BZK223" s="73"/>
      <c r="BZL223" s="73"/>
      <c r="BZM223" s="73"/>
      <c r="BZN223" s="73"/>
      <c r="BZO223" s="73"/>
      <c r="BZP223" s="73"/>
      <c r="BZQ223" s="73"/>
      <c r="BZR223" s="73"/>
      <c r="BZS223" s="73"/>
      <c r="BZT223" s="73"/>
      <c r="BZU223" s="73"/>
      <c r="BZV223" s="73"/>
      <c r="BZW223" s="73"/>
      <c r="BZX223" s="73"/>
      <c r="BZY223" s="73"/>
      <c r="BZZ223" s="73"/>
      <c r="CAA223" s="73"/>
      <c r="CAB223" s="73"/>
      <c r="CAC223" s="73"/>
      <c r="CAD223" s="73"/>
      <c r="CAE223" s="73"/>
      <c r="CAF223" s="73"/>
      <c r="CAG223" s="73"/>
      <c r="CAH223" s="73"/>
      <c r="CAI223" s="73"/>
      <c r="CAJ223" s="73"/>
      <c r="CAK223" s="73"/>
      <c r="CAL223" s="73"/>
      <c r="CAM223" s="73"/>
      <c r="CAN223" s="73"/>
      <c r="CAO223" s="73"/>
      <c r="CAP223" s="73"/>
      <c r="CAQ223" s="73"/>
      <c r="CAR223" s="73"/>
      <c r="CAS223" s="73"/>
      <c r="CAT223" s="73"/>
      <c r="CAU223" s="73"/>
      <c r="CAV223" s="73"/>
      <c r="CAW223" s="73"/>
      <c r="CAX223" s="73"/>
      <c r="CAY223" s="73"/>
      <c r="CAZ223" s="73"/>
      <c r="CBA223" s="73"/>
      <c r="CBB223" s="73"/>
      <c r="CBC223" s="73"/>
      <c r="CBD223" s="73"/>
      <c r="CBE223" s="73"/>
      <c r="CBF223" s="73"/>
      <c r="CBG223" s="73"/>
      <c r="CBH223" s="73"/>
      <c r="CBI223" s="73"/>
      <c r="CBJ223" s="73"/>
      <c r="CBK223" s="73"/>
      <c r="CBL223" s="73"/>
      <c r="CBM223" s="73"/>
      <c r="CBN223" s="73"/>
      <c r="CBO223" s="73"/>
      <c r="CBP223" s="73"/>
      <c r="CBQ223" s="73"/>
      <c r="CBR223" s="73"/>
      <c r="CBS223" s="73"/>
      <c r="CBT223" s="73"/>
      <c r="CBU223" s="73"/>
      <c r="CBV223" s="73"/>
      <c r="CBW223" s="73"/>
      <c r="CBX223" s="73"/>
      <c r="CBY223" s="73"/>
      <c r="CBZ223" s="73"/>
      <c r="CCA223" s="73"/>
      <c r="CCB223" s="73"/>
      <c r="CCC223" s="73"/>
      <c r="CCD223" s="73"/>
      <c r="CCE223" s="73"/>
      <c r="CCF223" s="73"/>
      <c r="CCG223" s="73"/>
      <c r="CCH223" s="73"/>
      <c r="CCI223" s="73"/>
      <c r="CCJ223" s="73"/>
      <c r="CCK223" s="73"/>
      <c r="CCL223" s="73"/>
      <c r="CCM223" s="73"/>
      <c r="CCN223" s="73"/>
      <c r="CCO223" s="73"/>
      <c r="CCP223" s="73"/>
      <c r="CCQ223" s="73"/>
      <c r="CCR223" s="73"/>
      <c r="CCS223" s="73"/>
      <c r="CCT223" s="73"/>
      <c r="CCU223" s="73"/>
      <c r="CCV223" s="73"/>
      <c r="CCW223" s="73"/>
      <c r="CCX223" s="73"/>
      <c r="CCY223" s="73"/>
      <c r="CCZ223" s="73"/>
      <c r="CDA223" s="73"/>
      <c r="CDB223" s="73"/>
      <c r="CDC223" s="73"/>
      <c r="CDD223" s="73"/>
      <c r="CDE223" s="73"/>
      <c r="CDF223" s="73"/>
      <c r="CDG223" s="73"/>
      <c r="CDH223" s="73"/>
      <c r="CDI223" s="73"/>
      <c r="CDJ223" s="73"/>
      <c r="CDK223" s="73"/>
      <c r="CDL223" s="73"/>
      <c r="CDM223" s="73"/>
      <c r="CDN223" s="73"/>
      <c r="CDO223" s="73"/>
      <c r="CDP223" s="73"/>
      <c r="CDQ223" s="73"/>
      <c r="CDR223" s="73"/>
      <c r="CDS223" s="73"/>
      <c r="CDT223" s="73"/>
      <c r="CDU223" s="73"/>
      <c r="CDV223" s="73"/>
      <c r="CDW223" s="73"/>
      <c r="CDX223" s="73"/>
      <c r="CDY223" s="73"/>
      <c r="CDZ223" s="73"/>
      <c r="CEA223" s="73"/>
      <c r="CEB223" s="73"/>
      <c r="CEC223" s="73"/>
      <c r="CED223" s="73"/>
      <c r="CEE223" s="73"/>
      <c r="CEF223" s="73"/>
      <c r="CEG223" s="73"/>
      <c r="CEH223" s="73"/>
      <c r="CEI223" s="73"/>
      <c r="CEJ223" s="73"/>
      <c r="CEK223" s="73"/>
      <c r="CEL223" s="73"/>
      <c r="CEM223" s="73"/>
      <c r="CEN223" s="73"/>
      <c r="CEO223" s="73"/>
      <c r="CEP223" s="73"/>
      <c r="CEQ223" s="73"/>
      <c r="CER223" s="73"/>
      <c r="CES223" s="73"/>
      <c r="CET223" s="73"/>
      <c r="CEU223" s="73"/>
      <c r="CEV223" s="73"/>
      <c r="CEW223" s="73"/>
      <c r="CEX223" s="73"/>
      <c r="CEY223" s="73"/>
      <c r="CEZ223" s="73"/>
      <c r="CFA223" s="73"/>
      <c r="CFB223" s="73"/>
      <c r="CFC223" s="73"/>
      <c r="CFD223" s="73"/>
      <c r="CFE223" s="73"/>
      <c r="CFF223" s="73"/>
      <c r="CFG223" s="73"/>
      <c r="CFH223" s="73"/>
      <c r="CFI223" s="73"/>
      <c r="CFJ223" s="73"/>
      <c r="CFK223" s="73"/>
      <c r="CFL223" s="73"/>
      <c r="CFM223" s="73"/>
      <c r="CFN223" s="73"/>
      <c r="CFO223" s="73"/>
      <c r="CFP223" s="73"/>
      <c r="CFQ223" s="73"/>
      <c r="CFR223" s="73"/>
      <c r="CFS223" s="73"/>
      <c r="CFT223" s="73"/>
      <c r="CFU223" s="73"/>
      <c r="CFV223" s="73"/>
      <c r="CFW223" s="73"/>
      <c r="CFX223" s="73"/>
      <c r="CFY223" s="73"/>
      <c r="CFZ223" s="73"/>
      <c r="CGA223" s="73"/>
      <c r="CGB223" s="73"/>
      <c r="CGC223" s="73"/>
      <c r="CGD223" s="73"/>
      <c r="CGE223" s="73"/>
      <c r="CGF223" s="73"/>
      <c r="CGG223" s="73"/>
      <c r="CGH223" s="73"/>
      <c r="CGI223" s="73"/>
      <c r="CGJ223" s="73"/>
      <c r="CGK223" s="73"/>
      <c r="CGL223" s="73"/>
      <c r="CGM223" s="73"/>
      <c r="CGN223" s="73"/>
      <c r="CGO223" s="73"/>
      <c r="CGP223" s="73"/>
      <c r="CGQ223" s="73"/>
      <c r="CGR223" s="73"/>
      <c r="CGS223" s="73"/>
      <c r="CGT223" s="73"/>
      <c r="CGU223" s="73"/>
      <c r="CGV223" s="73"/>
      <c r="CGW223" s="73"/>
      <c r="CGX223" s="73"/>
      <c r="CGY223" s="73"/>
      <c r="CGZ223" s="73"/>
      <c r="CHA223" s="73"/>
      <c r="CHB223" s="73"/>
      <c r="CHC223" s="73"/>
      <c r="CHD223" s="73"/>
      <c r="CHE223" s="73"/>
      <c r="CHF223" s="73"/>
      <c r="CHG223" s="73"/>
      <c r="CHH223" s="73"/>
      <c r="CHI223" s="73"/>
      <c r="CHJ223" s="73"/>
      <c r="CHK223" s="73"/>
      <c r="CHL223" s="73"/>
      <c r="CHM223" s="73"/>
      <c r="CHN223" s="73"/>
      <c r="CHO223" s="73"/>
      <c r="CHP223" s="73"/>
      <c r="CHQ223" s="73"/>
      <c r="CHR223" s="73"/>
      <c r="CHS223" s="73"/>
      <c r="CHT223" s="73"/>
      <c r="CHU223" s="73"/>
      <c r="CHV223" s="73"/>
      <c r="CHW223" s="73"/>
      <c r="CHX223" s="73"/>
      <c r="CHY223" s="73"/>
      <c r="CHZ223" s="73"/>
      <c r="CIA223" s="73"/>
      <c r="CIB223" s="73"/>
      <c r="CIC223" s="73"/>
      <c r="CID223" s="73"/>
      <c r="CIE223" s="73"/>
      <c r="CIF223" s="73"/>
      <c r="CIG223" s="73"/>
      <c r="CIH223" s="73"/>
      <c r="CII223" s="73"/>
      <c r="CIJ223" s="73"/>
      <c r="CIK223" s="73"/>
      <c r="CIL223" s="73"/>
      <c r="CIM223" s="73"/>
      <c r="CIN223" s="73"/>
      <c r="CIO223" s="73"/>
      <c r="CIP223" s="73"/>
      <c r="CIQ223" s="73"/>
      <c r="CIR223" s="73"/>
      <c r="CIS223" s="73"/>
      <c r="CIT223" s="73"/>
      <c r="CIU223" s="73"/>
      <c r="CIV223" s="73"/>
      <c r="CIW223" s="73"/>
      <c r="CIX223" s="73"/>
      <c r="CIY223" s="73"/>
      <c r="CIZ223" s="73"/>
      <c r="CJA223" s="73"/>
      <c r="CJB223" s="73"/>
      <c r="CJC223" s="73"/>
      <c r="CJD223" s="73"/>
      <c r="CJE223" s="73"/>
      <c r="CJF223" s="73"/>
      <c r="CJG223" s="73"/>
      <c r="CJH223" s="73"/>
      <c r="CJI223" s="73"/>
      <c r="CJJ223" s="73"/>
      <c r="CJK223" s="73"/>
      <c r="CJL223" s="73"/>
      <c r="CJM223" s="73"/>
      <c r="CJN223" s="73"/>
      <c r="CJO223" s="73"/>
      <c r="CJP223" s="73"/>
      <c r="CJQ223" s="73"/>
      <c r="CJR223" s="73"/>
      <c r="CJS223" s="73"/>
      <c r="CJT223" s="73"/>
      <c r="CJU223" s="73"/>
      <c r="CJV223" s="73"/>
      <c r="CJW223" s="73"/>
      <c r="CJX223" s="73"/>
      <c r="CJY223" s="73"/>
      <c r="CJZ223" s="73"/>
      <c r="CKA223" s="73"/>
      <c r="CKB223" s="73"/>
      <c r="CKC223" s="73"/>
      <c r="CKD223" s="73"/>
      <c r="CKE223" s="73"/>
      <c r="CKF223" s="73"/>
      <c r="CKG223" s="73"/>
      <c r="CKH223" s="73"/>
      <c r="CKI223" s="73"/>
      <c r="CKJ223" s="73"/>
      <c r="CKK223" s="73"/>
      <c r="CKL223" s="73"/>
      <c r="CKM223" s="73"/>
      <c r="CKN223" s="73"/>
      <c r="CKO223" s="73"/>
      <c r="CKP223" s="73"/>
      <c r="CKQ223" s="73"/>
      <c r="CKR223" s="73"/>
      <c r="CKS223" s="73"/>
      <c r="CKT223" s="73"/>
      <c r="CKU223" s="73"/>
      <c r="CKV223" s="73"/>
      <c r="CKW223" s="73"/>
      <c r="CKX223" s="73"/>
      <c r="CKY223" s="73"/>
      <c r="CKZ223" s="73"/>
      <c r="CLA223" s="73"/>
      <c r="CLB223" s="73"/>
      <c r="CLC223" s="73"/>
      <c r="CLD223" s="73"/>
      <c r="CLE223" s="73"/>
      <c r="CLF223" s="73"/>
      <c r="CLG223" s="73"/>
      <c r="CLH223" s="73"/>
      <c r="CLI223" s="73"/>
      <c r="CLJ223" s="73"/>
      <c r="CLK223" s="73"/>
      <c r="CLL223" s="73"/>
      <c r="CLM223" s="73"/>
      <c r="CLN223" s="73"/>
      <c r="CLO223" s="73"/>
      <c r="CLP223" s="73"/>
      <c r="CLQ223" s="73"/>
      <c r="CLR223" s="73"/>
      <c r="CLS223" s="73"/>
      <c r="CLT223" s="73"/>
      <c r="CLU223" s="73"/>
      <c r="CLV223" s="73"/>
      <c r="CLW223" s="73"/>
      <c r="CLX223" s="73"/>
      <c r="CLY223" s="73"/>
      <c r="CLZ223" s="73"/>
      <c r="CMA223" s="73"/>
      <c r="CMB223" s="73"/>
      <c r="CMC223" s="73"/>
      <c r="CMD223" s="73"/>
      <c r="CME223" s="73"/>
      <c r="CMF223" s="73"/>
      <c r="CMG223" s="73"/>
      <c r="CMH223" s="73"/>
      <c r="CMI223" s="73"/>
      <c r="CMJ223" s="73"/>
      <c r="CMK223" s="73"/>
      <c r="CML223" s="73"/>
      <c r="CMM223" s="73"/>
      <c r="CMN223" s="73"/>
      <c r="CMO223" s="73"/>
      <c r="CMP223" s="73"/>
      <c r="CMQ223" s="73"/>
      <c r="CMR223" s="73"/>
      <c r="CMS223" s="73"/>
      <c r="CMT223" s="73"/>
      <c r="CMU223" s="73"/>
      <c r="CMV223" s="73"/>
      <c r="CMW223" s="73"/>
      <c r="CMX223" s="73"/>
      <c r="CMY223" s="73"/>
      <c r="CMZ223" s="73"/>
      <c r="CNA223" s="73"/>
      <c r="CNB223" s="73"/>
      <c r="CNC223" s="73"/>
      <c r="CND223" s="73"/>
      <c r="CNE223" s="73"/>
      <c r="CNF223" s="73"/>
      <c r="CNG223" s="73"/>
      <c r="CNH223" s="73"/>
      <c r="CNI223" s="73"/>
      <c r="CNJ223" s="73"/>
      <c r="CNK223" s="73"/>
      <c r="CNL223" s="73"/>
      <c r="CNM223" s="73"/>
      <c r="CNN223" s="73"/>
      <c r="CNO223" s="73"/>
      <c r="CNP223" s="73"/>
      <c r="CNQ223" s="73"/>
      <c r="CNR223" s="73"/>
      <c r="CNS223" s="73"/>
      <c r="CNT223" s="73"/>
      <c r="CNU223" s="73"/>
      <c r="CNV223" s="73"/>
      <c r="CNW223" s="73"/>
      <c r="CNX223" s="73"/>
      <c r="CNY223" s="73"/>
      <c r="CNZ223" s="73"/>
      <c r="COA223" s="73"/>
      <c r="COB223" s="73"/>
      <c r="COC223" s="73"/>
      <c r="COD223" s="73"/>
      <c r="COE223" s="73"/>
      <c r="COF223" s="73"/>
      <c r="COG223" s="73"/>
      <c r="COH223" s="73"/>
      <c r="COI223" s="73"/>
      <c r="COJ223" s="73"/>
      <c r="COK223" s="73"/>
      <c r="COL223" s="73"/>
      <c r="COM223" s="73"/>
      <c r="CON223" s="73"/>
      <c r="COO223" s="73"/>
      <c r="COP223" s="73"/>
      <c r="COQ223" s="73"/>
      <c r="COR223" s="73"/>
      <c r="COS223" s="73"/>
      <c r="COT223" s="73"/>
      <c r="COU223" s="73"/>
      <c r="COV223" s="73"/>
      <c r="COW223" s="73"/>
      <c r="COX223" s="73"/>
      <c r="COY223" s="73"/>
      <c r="COZ223" s="73"/>
      <c r="CPA223" s="73"/>
      <c r="CPB223" s="73"/>
      <c r="CPC223" s="73"/>
      <c r="CPD223" s="73"/>
      <c r="CPE223" s="73"/>
      <c r="CPF223" s="73"/>
      <c r="CPG223" s="73"/>
      <c r="CPH223" s="73"/>
      <c r="CPI223" s="73"/>
      <c r="CPJ223" s="73"/>
      <c r="CPK223" s="73"/>
      <c r="CPL223" s="73"/>
      <c r="CPM223" s="73"/>
      <c r="CPN223" s="73"/>
      <c r="CPO223" s="73"/>
      <c r="CPP223" s="73"/>
      <c r="CPQ223" s="73"/>
      <c r="CPR223" s="73"/>
      <c r="CPS223" s="73"/>
      <c r="CPT223" s="73"/>
      <c r="CPU223" s="73"/>
      <c r="CPV223" s="73"/>
      <c r="CPW223" s="73"/>
      <c r="CPX223" s="73"/>
      <c r="CPY223" s="73"/>
      <c r="CPZ223" s="73"/>
      <c r="CQA223" s="73"/>
      <c r="CQB223" s="73"/>
      <c r="CQC223" s="73"/>
      <c r="CQD223" s="73"/>
      <c r="CQE223" s="73"/>
      <c r="CQF223" s="73"/>
      <c r="CQG223" s="73"/>
      <c r="CQH223" s="73"/>
      <c r="CQI223" s="73"/>
      <c r="CQJ223" s="73"/>
      <c r="CQK223" s="73"/>
      <c r="CQL223" s="73"/>
      <c r="CQM223" s="73"/>
      <c r="CQN223" s="73"/>
      <c r="CQO223" s="73"/>
      <c r="CQP223" s="73"/>
      <c r="CQQ223" s="73"/>
      <c r="CQR223" s="73"/>
      <c r="CQS223" s="73"/>
      <c r="CQT223" s="73"/>
      <c r="CQU223" s="73"/>
      <c r="CQV223" s="73"/>
      <c r="CQW223" s="73"/>
      <c r="CQX223" s="73"/>
      <c r="CQY223" s="73"/>
      <c r="CQZ223" s="73"/>
      <c r="CRA223" s="73"/>
      <c r="CRB223" s="73"/>
      <c r="CRC223" s="73"/>
      <c r="CRD223" s="73"/>
      <c r="CRE223" s="73"/>
      <c r="CRF223" s="73"/>
      <c r="CRG223" s="73"/>
      <c r="CRH223" s="73"/>
      <c r="CRI223" s="73"/>
      <c r="CRJ223" s="73"/>
      <c r="CRK223" s="73"/>
      <c r="CRL223" s="73"/>
      <c r="CRM223" s="73"/>
      <c r="CRN223" s="73"/>
      <c r="CRO223" s="73"/>
      <c r="CRP223" s="73"/>
      <c r="CRQ223" s="73"/>
      <c r="CRR223" s="73"/>
      <c r="CRS223" s="73"/>
      <c r="CRT223" s="73"/>
      <c r="CRU223" s="73"/>
      <c r="CRV223" s="73"/>
      <c r="CRW223" s="73"/>
      <c r="CRX223" s="73"/>
      <c r="CRY223" s="73"/>
      <c r="CRZ223" s="73"/>
      <c r="CSA223" s="73"/>
      <c r="CSB223" s="73"/>
      <c r="CSC223" s="73"/>
      <c r="CSD223" s="73"/>
      <c r="CSE223" s="73"/>
      <c r="CSF223" s="73"/>
      <c r="CSG223" s="73"/>
      <c r="CSH223" s="73"/>
      <c r="CSI223" s="73"/>
      <c r="CSJ223" s="73"/>
      <c r="CSK223" s="73"/>
      <c r="CSL223" s="73"/>
      <c r="CSM223" s="73"/>
      <c r="CSN223" s="73"/>
      <c r="CSO223" s="73"/>
      <c r="CSP223" s="73"/>
      <c r="CSQ223" s="73"/>
      <c r="CSR223" s="73"/>
      <c r="CSS223" s="73"/>
      <c r="CST223" s="73"/>
      <c r="CSU223" s="73"/>
      <c r="CSV223" s="73"/>
      <c r="CSW223" s="73"/>
      <c r="CSX223" s="73"/>
      <c r="CSY223" s="73"/>
      <c r="CSZ223" s="73"/>
      <c r="CTA223" s="73"/>
      <c r="CTB223" s="73"/>
      <c r="CTC223" s="73"/>
      <c r="CTD223" s="73"/>
      <c r="CTE223" s="73"/>
      <c r="CTF223" s="73"/>
      <c r="CTG223" s="73"/>
      <c r="CTH223" s="73"/>
      <c r="CTI223" s="73"/>
      <c r="CTJ223" s="73"/>
      <c r="CTK223" s="73"/>
      <c r="CTL223" s="73"/>
      <c r="CTM223" s="73"/>
      <c r="CTN223" s="73"/>
      <c r="CTO223" s="73"/>
      <c r="CTP223" s="73"/>
      <c r="CTQ223" s="73"/>
      <c r="CTR223" s="73"/>
      <c r="CTS223" s="73"/>
      <c r="CTT223" s="73"/>
      <c r="CTU223" s="73"/>
      <c r="CTV223" s="73"/>
      <c r="CTW223" s="73"/>
      <c r="CTX223" s="73"/>
      <c r="CTY223" s="73"/>
      <c r="CTZ223" s="73"/>
      <c r="CUA223" s="73"/>
      <c r="CUB223" s="73"/>
      <c r="CUC223" s="73"/>
      <c r="CUD223" s="73"/>
      <c r="CUE223" s="73"/>
      <c r="CUF223" s="73"/>
      <c r="CUG223" s="73"/>
      <c r="CUH223" s="73"/>
      <c r="CUI223" s="73"/>
      <c r="CUJ223" s="73"/>
      <c r="CUK223" s="73"/>
      <c r="CUL223" s="73"/>
      <c r="CUM223" s="73"/>
      <c r="CUN223" s="73"/>
      <c r="CUO223" s="73"/>
      <c r="CUP223" s="73"/>
      <c r="CUQ223" s="73"/>
      <c r="CUR223" s="73"/>
      <c r="CUS223" s="73"/>
      <c r="CUT223" s="73"/>
      <c r="CUU223" s="73"/>
      <c r="CUV223" s="73"/>
      <c r="CUW223" s="73"/>
      <c r="CUX223" s="73"/>
      <c r="CUY223" s="73"/>
      <c r="CUZ223" s="73"/>
      <c r="CVA223" s="73"/>
      <c r="CVB223" s="73"/>
      <c r="CVC223" s="73"/>
      <c r="CVD223" s="73"/>
      <c r="CVE223" s="73"/>
      <c r="CVF223" s="73"/>
      <c r="CVG223" s="73"/>
      <c r="CVH223" s="73"/>
      <c r="CVI223" s="73"/>
      <c r="CVJ223" s="73"/>
      <c r="CVK223" s="73"/>
      <c r="CVL223" s="73"/>
      <c r="CVM223" s="73"/>
      <c r="CVN223" s="73"/>
      <c r="CVO223" s="73"/>
      <c r="CVP223" s="73"/>
      <c r="CVQ223" s="73"/>
      <c r="CVR223" s="73"/>
      <c r="CVS223" s="73"/>
      <c r="CVT223" s="73"/>
      <c r="CVU223" s="73"/>
      <c r="CVV223" s="73"/>
      <c r="CVW223" s="73"/>
      <c r="CVX223" s="73"/>
      <c r="CVY223" s="73"/>
      <c r="CVZ223" s="73"/>
      <c r="CWA223" s="73"/>
      <c r="CWB223" s="73"/>
      <c r="CWC223" s="73"/>
      <c r="CWD223" s="73"/>
      <c r="CWE223" s="73"/>
      <c r="CWF223" s="73"/>
      <c r="CWG223" s="73"/>
      <c r="CWH223" s="73"/>
      <c r="CWI223" s="73"/>
      <c r="CWJ223" s="73"/>
      <c r="CWK223" s="73"/>
      <c r="CWL223" s="73"/>
      <c r="CWM223" s="73"/>
      <c r="CWN223" s="73"/>
      <c r="CWO223" s="73"/>
      <c r="CWP223" s="73"/>
      <c r="CWQ223" s="73"/>
      <c r="CWR223" s="73"/>
      <c r="CWS223" s="73"/>
      <c r="CWT223" s="73"/>
      <c r="CWU223" s="73"/>
      <c r="CWV223" s="73"/>
      <c r="CWW223" s="73"/>
      <c r="CWX223" s="73"/>
      <c r="CWY223" s="73"/>
      <c r="CWZ223" s="73"/>
      <c r="CXA223" s="73"/>
      <c r="CXB223" s="73"/>
      <c r="CXC223" s="73"/>
      <c r="CXD223" s="73"/>
      <c r="CXE223" s="73"/>
      <c r="CXF223" s="73"/>
      <c r="CXG223" s="73"/>
      <c r="CXH223" s="73"/>
      <c r="CXI223" s="73"/>
      <c r="CXJ223" s="73"/>
      <c r="CXK223" s="73"/>
      <c r="CXL223" s="73"/>
      <c r="CXM223" s="73"/>
      <c r="CXN223" s="73"/>
      <c r="CXO223" s="73"/>
      <c r="CXP223" s="73"/>
      <c r="CXQ223" s="73"/>
      <c r="CXR223" s="73"/>
      <c r="CXS223" s="73"/>
      <c r="CXT223" s="73"/>
      <c r="CXU223" s="73"/>
      <c r="CXV223" s="73"/>
      <c r="CXW223" s="73"/>
      <c r="CXX223" s="73"/>
      <c r="CXY223" s="73"/>
      <c r="CXZ223" s="73"/>
      <c r="CYA223" s="73"/>
      <c r="CYB223" s="73"/>
      <c r="CYC223" s="73"/>
      <c r="CYD223" s="73"/>
      <c r="CYE223" s="73"/>
      <c r="CYF223" s="73"/>
      <c r="CYG223" s="73"/>
      <c r="CYH223" s="73"/>
      <c r="CYI223" s="73"/>
      <c r="CYJ223" s="73"/>
      <c r="CYK223" s="73"/>
      <c r="CYL223" s="73"/>
      <c r="CYM223" s="73"/>
      <c r="CYN223" s="73"/>
      <c r="CYO223" s="73"/>
      <c r="CYP223" s="73"/>
      <c r="CYQ223" s="73"/>
      <c r="CYR223" s="73"/>
      <c r="CYS223" s="73"/>
      <c r="CYT223" s="73"/>
      <c r="CYU223" s="73"/>
      <c r="CYV223" s="73"/>
      <c r="CYW223" s="73"/>
      <c r="CYX223" s="73"/>
      <c r="CYY223" s="73"/>
      <c r="CYZ223" s="73"/>
      <c r="CZA223" s="73"/>
      <c r="CZB223" s="73"/>
      <c r="CZC223" s="73"/>
      <c r="CZD223" s="73"/>
      <c r="CZE223" s="73"/>
      <c r="CZF223" s="73"/>
      <c r="CZG223" s="73"/>
      <c r="CZH223" s="73"/>
      <c r="CZI223" s="73"/>
      <c r="CZJ223" s="73"/>
      <c r="CZK223" s="73"/>
      <c r="CZL223" s="73"/>
      <c r="CZM223" s="73"/>
      <c r="CZN223" s="73"/>
      <c r="CZO223" s="73"/>
      <c r="CZP223" s="73"/>
      <c r="CZQ223" s="73"/>
      <c r="CZR223" s="73"/>
      <c r="CZS223" s="73"/>
      <c r="CZT223" s="73"/>
      <c r="CZU223" s="73"/>
      <c r="CZV223" s="73"/>
      <c r="CZW223" s="73"/>
      <c r="CZX223" s="73"/>
      <c r="CZY223" s="73"/>
      <c r="CZZ223" s="73"/>
      <c r="DAA223" s="73"/>
      <c r="DAB223" s="73"/>
      <c r="DAC223" s="73"/>
      <c r="DAD223" s="73"/>
      <c r="DAE223" s="73"/>
      <c r="DAF223" s="73"/>
      <c r="DAG223" s="73"/>
      <c r="DAH223" s="73"/>
      <c r="DAI223" s="73"/>
      <c r="DAJ223" s="73"/>
      <c r="DAK223" s="73"/>
      <c r="DAL223" s="73"/>
      <c r="DAM223" s="73"/>
      <c r="DAN223" s="73"/>
      <c r="DAO223" s="73"/>
      <c r="DAP223" s="73"/>
      <c r="DAQ223" s="73"/>
      <c r="DAR223" s="73"/>
      <c r="DAS223" s="73"/>
      <c r="DAT223" s="73"/>
      <c r="DAU223" s="73"/>
      <c r="DAV223" s="73"/>
      <c r="DAW223" s="73"/>
      <c r="DAX223" s="73"/>
      <c r="DAY223" s="73"/>
      <c r="DAZ223" s="73"/>
      <c r="DBA223" s="73"/>
      <c r="DBB223" s="73"/>
      <c r="DBC223" s="73"/>
      <c r="DBD223" s="73"/>
      <c r="DBE223" s="73"/>
      <c r="DBF223" s="73"/>
      <c r="DBG223" s="73"/>
      <c r="DBH223" s="73"/>
      <c r="DBI223" s="73"/>
      <c r="DBJ223" s="73"/>
      <c r="DBK223" s="73"/>
      <c r="DBL223" s="73"/>
      <c r="DBM223" s="73"/>
      <c r="DBN223" s="73"/>
      <c r="DBO223" s="73"/>
      <c r="DBP223" s="73"/>
      <c r="DBQ223" s="73"/>
      <c r="DBR223" s="73"/>
      <c r="DBS223" s="73"/>
      <c r="DBT223" s="73"/>
      <c r="DBU223" s="73"/>
      <c r="DBV223" s="73"/>
      <c r="DBW223" s="73"/>
      <c r="DBX223" s="73"/>
      <c r="DBY223" s="73"/>
      <c r="DBZ223" s="73"/>
      <c r="DCA223" s="73"/>
      <c r="DCB223" s="73"/>
      <c r="DCC223" s="73"/>
      <c r="DCD223" s="73"/>
      <c r="DCE223" s="73"/>
      <c r="DCF223" s="73"/>
      <c r="DCG223" s="73"/>
      <c r="DCH223" s="73"/>
      <c r="DCI223" s="73"/>
      <c r="DCJ223" s="73"/>
      <c r="DCK223" s="73"/>
      <c r="DCL223" s="73"/>
      <c r="DCM223" s="73"/>
      <c r="DCN223" s="73"/>
      <c r="DCO223" s="73"/>
      <c r="DCP223" s="73"/>
      <c r="DCQ223" s="73"/>
      <c r="DCR223" s="73"/>
      <c r="DCS223" s="73"/>
      <c r="DCT223" s="73"/>
      <c r="DCU223" s="73"/>
      <c r="DCV223" s="73"/>
      <c r="DCW223" s="73"/>
      <c r="DCX223" s="73"/>
      <c r="DCY223" s="73"/>
      <c r="DCZ223" s="73"/>
      <c r="DDA223" s="73"/>
      <c r="DDB223" s="73"/>
      <c r="DDC223" s="73"/>
      <c r="DDD223" s="73"/>
      <c r="DDE223" s="73"/>
      <c r="DDF223" s="73"/>
      <c r="DDG223" s="73"/>
      <c r="DDH223" s="73"/>
      <c r="DDI223" s="73"/>
      <c r="DDJ223" s="73"/>
      <c r="DDK223" s="73"/>
      <c r="DDL223" s="73"/>
      <c r="DDM223" s="73"/>
      <c r="DDN223" s="73"/>
      <c r="DDO223" s="73"/>
      <c r="DDP223" s="73"/>
      <c r="DDQ223" s="73"/>
      <c r="DDR223" s="73"/>
      <c r="DDS223" s="73"/>
      <c r="DDT223" s="73"/>
      <c r="DDU223" s="73"/>
      <c r="DDV223" s="73"/>
      <c r="DDW223" s="73"/>
      <c r="DDX223" s="73"/>
      <c r="DDY223" s="73"/>
      <c r="DDZ223" s="73"/>
      <c r="DEA223" s="73"/>
      <c r="DEB223" s="73"/>
      <c r="DEC223" s="73"/>
      <c r="DED223" s="73"/>
      <c r="DEE223" s="73"/>
      <c r="DEF223" s="73"/>
      <c r="DEG223" s="73"/>
      <c r="DEH223" s="73"/>
      <c r="DEI223" s="73"/>
      <c r="DEJ223" s="73"/>
      <c r="DEK223" s="73"/>
      <c r="DEL223" s="73"/>
      <c r="DEM223" s="73"/>
      <c r="DEN223" s="73"/>
      <c r="DEO223" s="73"/>
      <c r="DEP223" s="73"/>
      <c r="DEQ223" s="73"/>
      <c r="DER223" s="73"/>
      <c r="DES223" s="73"/>
      <c r="DET223" s="73"/>
      <c r="DEU223" s="73"/>
      <c r="DEV223" s="73"/>
      <c r="DEW223" s="73"/>
      <c r="DEX223" s="73"/>
      <c r="DEY223" s="73"/>
      <c r="DEZ223" s="73"/>
      <c r="DFA223" s="73"/>
      <c r="DFB223" s="73"/>
      <c r="DFC223" s="73"/>
      <c r="DFD223" s="73"/>
      <c r="DFE223" s="73"/>
      <c r="DFF223" s="73"/>
      <c r="DFG223" s="73"/>
      <c r="DFH223" s="73"/>
      <c r="DFI223" s="73"/>
      <c r="DFJ223" s="73"/>
      <c r="DFK223" s="73"/>
      <c r="DFL223" s="73"/>
      <c r="DFM223" s="73"/>
      <c r="DFN223" s="73"/>
      <c r="DFO223" s="73"/>
      <c r="DFP223" s="73"/>
      <c r="DFQ223" s="73"/>
      <c r="DFR223" s="73"/>
      <c r="DFS223" s="73"/>
      <c r="DFT223" s="73"/>
      <c r="DFU223" s="73"/>
      <c r="DFV223" s="73"/>
      <c r="DFW223" s="73"/>
      <c r="DFX223" s="73"/>
      <c r="DFY223" s="73"/>
      <c r="DFZ223" s="73"/>
      <c r="DGA223" s="73"/>
      <c r="DGB223" s="73"/>
      <c r="DGC223" s="73"/>
      <c r="DGD223" s="73"/>
      <c r="DGE223" s="73"/>
      <c r="DGF223" s="73"/>
      <c r="DGG223" s="73"/>
      <c r="DGH223" s="73"/>
      <c r="DGI223" s="73"/>
      <c r="DGJ223" s="73"/>
      <c r="DGK223" s="73"/>
      <c r="DGL223" s="73"/>
      <c r="DGM223" s="73"/>
      <c r="DGN223" s="73"/>
      <c r="DGO223" s="73"/>
      <c r="DGP223" s="73"/>
      <c r="DGQ223" s="73"/>
      <c r="DGR223" s="73"/>
      <c r="DGS223" s="73"/>
      <c r="DGT223" s="73"/>
      <c r="DGU223" s="73"/>
      <c r="DGV223" s="73"/>
      <c r="DGW223" s="73"/>
      <c r="DGX223" s="73"/>
      <c r="DGY223" s="73"/>
      <c r="DGZ223" s="73"/>
      <c r="DHA223" s="73"/>
      <c r="DHB223" s="73"/>
      <c r="DHC223" s="73"/>
      <c r="DHD223" s="73"/>
      <c r="DHE223" s="73"/>
      <c r="DHF223" s="73"/>
      <c r="DHG223" s="73"/>
      <c r="DHH223" s="73"/>
      <c r="DHI223" s="73"/>
      <c r="DHJ223" s="73"/>
      <c r="DHK223" s="73"/>
      <c r="DHL223" s="73"/>
      <c r="DHM223" s="73"/>
      <c r="DHN223" s="73"/>
      <c r="DHO223" s="73"/>
      <c r="DHP223" s="73"/>
      <c r="DHQ223" s="73"/>
      <c r="DHR223" s="73"/>
      <c r="DHS223" s="73"/>
      <c r="DHT223" s="73"/>
      <c r="DHU223" s="73"/>
      <c r="DHV223" s="73"/>
      <c r="DHW223" s="73"/>
      <c r="DHX223" s="73"/>
      <c r="DHY223" s="73"/>
      <c r="DHZ223" s="73"/>
      <c r="DIA223" s="73"/>
      <c r="DIB223" s="73"/>
      <c r="DIC223" s="73"/>
      <c r="DID223" s="73"/>
      <c r="DIE223" s="73"/>
      <c r="DIF223" s="73"/>
      <c r="DIG223" s="73"/>
      <c r="DIH223" s="73"/>
      <c r="DII223" s="73"/>
      <c r="DIJ223" s="73"/>
      <c r="DIK223" s="73"/>
      <c r="DIL223" s="73"/>
      <c r="DIM223" s="73"/>
      <c r="DIN223" s="73"/>
      <c r="DIO223" s="73"/>
      <c r="DIP223" s="73"/>
      <c r="DIQ223" s="73"/>
      <c r="DIR223" s="73"/>
      <c r="DIS223" s="73"/>
      <c r="DIT223" s="73"/>
      <c r="DIU223" s="73"/>
      <c r="DIV223" s="73"/>
      <c r="DIW223" s="73"/>
      <c r="DIX223" s="73"/>
      <c r="DIY223" s="73"/>
      <c r="DIZ223" s="73"/>
      <c r="DJA223" s="73"/>
      <c r="DJB223" s="73"/>
      <c r="DJC223" s="73"/>
      <c r="DJD223" s="73"/>
      <c r="DJE223" s="73"/>
      <c r="DJF223" s="73"/>
      <c r="DJG223" s="73"/>
      <c r="DJH223" s="73"/>
      <c r="DJI223" s="73"/>
      <c r="DJJ223" s="73"/>
      <c r="DJK223" s="73"/>
      <c r="DJL223" s="73"/>
      <c r="DJM223" s="73"/>
      <c r="DJN223" s="73"/>
      <c r="DJO223" s="73"/>
      <c r="DJP223" s="73"/>
      <c r="DJQ223" s="73"/>
      <c r="DJR223" s="73"/>
      <c r="DJS223" s="73"/>
      <c r="DJT223" s="73"/>
      <c r="DJU223" s="73"/>
      <c r="DJV223" s="73"/>
      <c r="DJW223" s="73"/>
      <c r="DJX223" s="73"/>
      <c r="DJY223" s="73"/>
      <c r="DJZ223" s="73"/>
      <c r="DKA223" s="73"/>
      <c r="DKB223" s="73"/>
      <c r="DKC223" s="73"/>
      <c r="DKD223" s="73"/>
      <c r="DKE223" s="73"/>
      <c r="DKF223" s="73"/>
      <c r="DKG223" s="73"/>
      <c r="DKH223" s="73"/>
      <c r="DKI223" s="73"/>
      <c r="DKJ223" s="73"/>
      <c r="DKK223" s="73"/>
      <c r="DKL223" s="73"/>
      <c r="DKM223" s="73"/>
      <c r="DKN223" s="73"/>
      <c r="DKO223" s="73"/>
      <c r="DKP223" s="73"/>
      <c r="DKQ223" s="73"/>
      <c r="DKR223" s="73"/>
      <c r="DKS223" s="73"/>
      <c r="DKT223" s="73"/>
      <c r="DKU223" s="73"/>
      <c r="DKV223" s="73"/>
      <c r="DKW223" s="73"/>
      <c r="DKX223" s="73"/>
      <c r="DKY223" s="73"/>
      <c r="DKZ223" s="73"/>
      <c r="DLA223" s="73"/>
      <c r="DLB223" s="73"/>
      <c r="DLC223" s="73"/>
      <c r="DLD223" s="73"/>
      <c r="DLE223" s="73"/>
      <c r="DLF223" s="73"/>
      <c r="DLG223" s="73"/>
      <c r="DLH223" s="73"/>
      <c r="DLI223" s="73"/>
      <c r="DLJ223" s="73"/>
      <c r="DLK223" s="73"/>
      <c r="DLL223" s="73"/>
      <c r="DLM223" s="73"/>
      <c r="DLN223" s="73"/>
      <c r="DLO223" s="73"/>
      <c r="DLP223" s="73"/>
      <c r="DLQ223" s="73"/>
      <c r="DLR223" s="73"/>
      <c r="DLS223" s="73"/>
      <c r="DLT223" s="73"/>
      <c r="DLU223" s="73"/>
      <c r="DLV223" s="73"/>
      <c r="DLW223" s="73"/>
      <c r="DLX223" s="73"/>
      <c r="DLY223" s="73"/>
      <c r="DLZ223" s="73"/>
      <c r="DMA223" s="73"/>
      <c r="DMB223" s="73"/>
      <c r="DMC223" s="73"/>
      <c r="DMD223" s="73"/>
      <c r="DME223" s="73"/>
      <c r="DMF223" s="73"/>
      <c r="DMG223" s="73"/>
      <c r="DMH223" s="73"/>
      <c r="DMI223" s="73"/>
      <c r="DMJ223" s="73"/>
      <c r="DMK223" s="73"/>
      <c r="DML223" s="73"/>
      <c r="DMM223" s="73"/>
      <c r="DMN223" s="73"/>
      <c r="DMO223" s="73"/>
      <c r="DMP223" s="73"/>
      <c r="DMQ223" s="73"/>
      <c r="DMR223" s="73"/>
      <c r="DMS223" s="73"/>
      <c r="DMT223" s="73"/>
      <c r="DMU223" s="73"/>
      <c r="DMV223" s="73"/>
      <c r="DMW223" s="73"/>
      <c r="DMX223" s="73"/>
      <c r="DMY223" s="73"/>
      <c r="DMZ223" s="73"/>
      <c r="DNA223" s="73"/>
      <c r="DNB223" s="73"/>
      <c r="DNC223" s="73"/>
      <c r="DND223" s="73"/>
      <c r="DNE223" s="73"/>
      <c r="DNF223" s="73"/>
      <c r="DNG223" s="73"/>
      <c r="DNH223" s="73"/>
      <c r="DNI223" s="73"/>
      <c r="DNJ223" s="73"/>
      <c r="DNK223" s="73"/>
      <c r="DNL223" s="73"/>
      <c r="DNM223" s="73"/>
      <c r="DNN223" s="73"/>
      <c r="DNO223" s="73"/>
      <c r="DNP223" s="73"/>
      <c r="DNQ223" s="73"/>
      <c r="DNR223" s="73"/>
      <c r="DNS223" s="73"/>
      <c r="DNT223" s="73"/>
      <c r="DNU223" s="73"/>
      <c r="DNV223" s="73"/>
      <c r="DNW223" s="73"/>
      <c r="DNX223" s="73"/>
      <c r="DNY223" s="73"/>
      <c r="DNZ223" s="73"/>
      <c r="DOA223" s="73"/>
      <c r="DOB223" s="73"/>
      <c r="DOC223" s="73"/>
      <c r="DOD223" s="73"/>
      <c r="DOE223" s="73"/>
      <c r="DOF223" s="73"/>
      <c r="DOG223" s="73"/>
      <c r="DOH223" s="73"/>
      <c r="DOI223" s="73"/>
      <c r="DOJ223" s="73"/>
      <c r="DOK223" s="73"/>
      <c r="DOL223" s="73"/>
      <c r="DOM223" s="73"/>
      <c r="DON223" s="73"/>
      <c r="DOO223" s="73"/>
      <c r="DOP223" s="73"/>
      <c r="DOQ223" s="73"/>
      <c r="DOR223" s="73"/>
      <c r="DOS223" s="73"/>
      <c r="DOT223" s="73"/>
      <c r="DOU223" s="73"/>
      <c r="DOV223" s="73"/>
      <c r="DOW223" s="73"/>
      <c r="DOX223" s="73"/>
      <c r="DOY223" s="73"/>
      <c r="DOZ223" s="73"/>
      <c r="DPA223" s="73"/>
      <c r="DPB223" s="73"/>
      <c r="DPC223" s="73"/>
      <c r="DPD223" s="73"/>
      <c r="DPE223" s="73"/>
      <c r="DPF223" s="73"/>
      <c r="DPG223" s="73"/>
      <c r="DPH223" s="73"/>
      <c r="DPI223" s="73"/>
      <c r="DPJ223" s="73"/>
      <c r="DPK223" s="73"/>
      <c r="DPL223" s="73"/>
      <c r="DPM223" s="73"/>
      <c r="DPN223" s="73"/>
      <c r="DPO223" s="73"/>
      <c r="DPP223" s="73"/>
      <c r="DPQ223" s="73"/>
      <c r="DPR223" s="73"/>
      <c r="DPS223" s="73"/>
      <c r="DPT223" s="73"/>
      <c r="DPU223" s="73"/>
      <c r="DPV223" s="73"/>
      <c r="DPW223" s="73"/>
      <c r="DPX223" s="73"/>
      <c r="DPY223" s="73"/>
      <c r="DPZ223" s="73"/>
      <c r="DQA223" s="73"/>
      <c r="DQB223" s="73"/>
      <c r="DQC223" s="73"/>
      <c r="DQD223" s="73"/>
      <c r="DQE223" s="73"/>
      <c r="DQF223" s="73"/>
      <c r="DQG223" s="73"/>
      <c r="DQH223" s="73"/>
      <c r="DQI223" s="73"/>
      <c r="DQJ223" s="73"/>
      <c r="DQK223" s="73"/>
      <c r="DQL223" s="73"/>
      <c r="DQM223" s="73"/>
      <c r="DQN223" s="73"/>
      <c r="DQO223" s="73"/>
      <c r="DQP223" s="73"/>
      <c r="DQQ223" s="73"/>
      <c r="DQR223" s="73"/>
      <c r="DQS223" s="73"/>
      <c r="DQT223" s="73"/>
      <c r="DQU223" s="73"/>
      <c r="DQV223" s="73"/>
      <c r="DQW223" s="73"/>
      <c r="DQX223" s="73"/>
      <c r="DQY223" s="73"/>
      <c r="DQZ223" s="73"/>
      <c r="DRA223" s="73"/>
      <c r="DRB223" s="73"/>
      <c r="DRC223" s="73"/>
      <c r="DRD223" s="73"/>
      <c r="DRE223" s="73"/>
      <c r="DRF223" s="73"/>
      <c r="DRG223" s="73"/>
      <c r="DRH223" s="73"/>
      <c r="DRI223" s="73"/>
      <c r="DRJ223" s="73"/>
      <c r="DRK223" s="73"/>
      <c r="DRL223" s="73"/>
      <c r="DRM223" s="73"/>
      <c r="DRN223" s="73"/>
      <c r="DRO223" s="73"/>
      <c r="DRP223" s="73"/>
      <c r="DRQ223" s="73"/>
      <c r="DRR223" s="73"/>
      <c r="DRS223" s="73"/>
      <c r="DRT223" s="73"/>
      <c r="DRU223" s="73"/>
      <c r="DRV223" s="73"/>
      <c r="DRW223" s="73"/>
      <c r="DRX223" s="73"/>
      <c r="DRY223" s="73"/>
      <c r="DRZ223" s="73"/>
      <c r="DSA223" s="73"/>
      <c r="DSB223" s="73"/>
      <c r="DSC223" s="73"/>
      <c r="DSD223" s="73"/>
      <c r="DSE223" s="73"/>
      <c r="DSF223" s="73"/>
      <c r="DSG223" s="73"/>
      <c r="DSH223" s="73"/>
      <c r="DSI223" s="73"/>
      <c r="DSJ223" s="73"/>
      <c r="DSK223" s="73"/>
      <c r="DSL223" s="73"/>
      <c r="DSM223" s="73"/>
      <c r="DSN223" s="73"/>
      <c r="DSO223" s="73"/>
      <c r="DSP223" s="73"/>
      <c r="DSQ223" s="73"/>
      <c r="DSR223" s="73"/>
      <c r="DSS223" s="73"/>
      <c r="DST223" s="73"/>
      <c r="DSU223" s="73"/>
      <c r="DSV223" s="73"/>
      <c r="DSW223" s="73"/>
      <c r="DSX223" s="73"/>
      <c r="DSY223" s="73"/>
      <c r="DSZ223" s="73"/>
      <c r="DTA223" s="73"/>
      <c r="DTB223" s="73"/>
      <c r="DTC223" s="73"/>
      <c r="DTD223" s="73"/>
      <c r="DTE223" s="73"/>
      <c r="DTF223" s="73"/>
      <c r="DTG223" s="73"/>
      <c r="DTH223" s="73"/>
      <c r="DTI223" s="73"/>
      <c r="DTJ223" s="73"/>
      <c r="DTK223" s="73"/>
      <c r="DTL223" s="73"/>
      <c r="DTM223" s="73"/>
      <c r="DTN223" s="73"/>
      <c r="DTO223" s="73"/>
      <c r="DTP223" s="73"/>
      <c r="DTQ223" s="73"/>
      <c r="DTR223" s="73"/>
      <c r="DTS223" s="73"/>
      <c r="DTT223" s="73"/>
      <c r="DTU223" s="73"/>
      <c r="DTV223" s="73"/>
      <c r="DTW223" s="73"/>
      <c r="DTX223" s="73"/>
      <c r="DTY223" s="73"/>
      <c r="DTZ223" s="73"/>
      <c r="DUA223" s="73"/>
      <c r="DUB223" s="73"/>
      <c r="DUC223" s="73"/>
      <c r="DUD223" s="73"/>
      <c r="DUE223" s="73"/>
      <c r="DUF223" s="73"/>
      <c r="DUG223" s="73"/>
      <c r="DUH223" s="73"/>
      <c r="DUI223" s="73"/>
      <c r="DUJ223" s="73"/>
      <c r="DUK223" s="73"/>
      <c r="DUL223" s="73"/>
      <c r="DUM223" s="73"/>
      <c r="DUN223" s="73"/>
      <c r="DUO223" s="73"/>
      <c r="DUP223" s="73"/>
      <c r="DUQ223" s="73"/>
      <c r="DUR223" s="73"/>
      <c r="DUS223" s="73"/>
      <c r="DUT223" s="73"/>
      <c r="DUU223" s="73"/>
      <c r="DUV223" s="73"/>
      <c r="DUW223" s="73"/>
      <c r="DUX223" s="73"/>
      <c r="DUY223" s="73"/>
      <c r="DUZ223" s="73"/>
      <c r="DVA223" s="73"/>
      <c r="DVB223" s="73"/>
      <c r="DVC223" s="73"/>
      <c r="DVD223" s="73"/>
      <c r="DVE223" s="73"/>
      <c r="DVF223" s="73"/>
      <c r="DVG223" s="73"/>
      <c r="DVH223" s="73"/>
      <c r="DVI223" s="73"/>
      <c r="DVJ223" s="73"/>
      <c r="DVK223" s="73"/>
      <c r="DVL223" s="73"/>
      <c r="DVM223" s="73"/>
      <c r="DVN223" s="73"/>
      <c r="DVO223" s="73"/>
      <c r="DVP223" s="73"/>
      <c r="DVQ223" s="73"/>
      <c r="DVR223" s="73"/>
      <c r="DVS223" s="73"/>
      <c r="DVT223" s="73"/>
      <c r="DVU223" s="73"/>
      <c r="DVV223" s="73"/>
      <c r="DVW223" s="73"/>
      <c r="DVX223" s="73"/>
      <c r="DVY223" s="73"/>
      <c r="DVZ223" s="73"/>
      <c r="DWA223" s="73"/>
      <c r="DWB223" s="73"/>
      <c r="DWC223" s="73"/>
      <c r="DWD223" s="73"/>
      <c r="DWE223" s="73"/>
      <c r="DWF223" s="73"/>
      <c r="DWG223" s="73"/>
      <c r="DWH223" s="73"/>
      <c r="DWI223" s="73"/>
      <c r="DWJ223" s="73"/>
      <c r="DWK223" s="73"/>
      <c r="DWL223" s="73"/>
      <c r="DWM223" s="73"/>
      <c r="DWN223" s="73"/>
      <c r="DWO223" s="73"/>
      <c r="DWP223" s="73"/>
      <c r="DWQ223" s="73"/>
      <c r="DWR223" s="73"/>
      <c r="DWS223" s="73"/>
      <c r="DWT223" s="73"/>
      <c r="DWU223" s="73"/>
      <c r="DWV223" s="73"/>
      <c r="DWW223" s="73"/>
      <c r="DWX223" s="73"/>
      <c r="DWY223" s="73"/>
      <c r="DWZ223" s="73"/>
      <c r="DXA223" s="73"/>
      <c r="DXB223" s="73"/>
      <c r="DXC223" s="73"/>
      <c r="DXD223" s="73"/>
      <c r="DXE223" s="73"/>
      <c r="DXF223" s="73"/>
      <c r="DXG223" s="73"/>
      <c r="DXH223" s="73"/>
      <c r="DXI223" s="73"/>
      <c r="DXJ223" s="73"/>
      <c r="DXK223" s="73"/>
      <c r="DXL223" s="73"/>
      <c r="DXM223" s="73"/>
      <c r="DXN223" s="73"/>
      <c r="DXO223" s="73"/>
      <c r="DXP223" s="73"/>
      <c r="DXQ223" s="73"/>
      <c r="DXR223" s="73"/>
      <c r="DXS223" s="73"/>
      <c r="DXT223" s="73"/>
      <c r="DXU223" s="73"/>
      <c r="DXV223" s="73"/>
      <c r="DXW223" s="73"/>
      <c r="DXX223" s="73"/>
      <c r="DXY223" s="73"/>
      <c r="DXZ223" s="73"/>
      <c r="DYA223" s="73"/>
      <c r="DYB223" s="73"/>
      <c r="DYC223" s="73"/>
      <c r="DYD223" s="73"/>
      <c r="DYE223" s="73"/>
      <c r="DYF223" s="73"/>
      <c r="DYG223" s="73"/>
      <c r="DYH223" s="73"/>
      <c r="DYI223" s="73"/>
      <c r="DYJ223" s="73"/>
      <c r="DYK223" s="73"/>
      <c r="DYL223" s="73"/>
      <c r="DYM223" s="73"/>
      <c r="DYN223" s="73"/>
      <c r="DYO223" s="73"/>
      <c r="DYP223" s="73"/>
      <c r="DYQ223" s="73"/>
      <c r="DYR223" s="73"/>
      <c r="DYS223" s="73"/>
      <c r="DYT223" s="73"/>
      <c r="DYU223" s="73"/>
      <c r="DYV223" s="73"/>
      <c r="DYW223" s="73"/>
      <c r="DYX223" s="73"/>
      <c r="DYY223" s="73"/>
      <c r="DYZ223" s="73"/>
      <c r="DZA223" s="73"/>
      <c r="DZB223" s="73"/>
      <c r="DZC223" s="73"/>
      <c r="DZD223" s="73"/>
      <c r="DZE223" s="73"/>
      <c r="DZF223" s="73"/>
      <c r="DZG223" s="73"/>
      <c r="DZH223" s="73"/>
      <c r="DZI223" s="73"/>
      <c r="DZJ223" s="73"/>
      <c r="DZK223" s="73"/>
      <c r="DZL223" s="73"/>
      <c r="DZM223" s="73"/>
      <c r="DZN223" s="73"/>
      <c r="DZO223" s="73"/>
      <c r="DZP223" s="73"/>
      <c r="DZQ223" s="73"/>
      <c r="DZR223" s="73"/>
      <c r="DZS223" s="73"/>
      <c r="DZT223" s="73"/>
      <c r="DZU223" s="73"/>
      <c r="DZV223" s="73"/>
      <c r="DZW223" s="73"/>
      <c r="DZX223" s="73"/>
      <c r="DZY223" s="73"/>
      <c r="DZZ223" s="73"/>
      <c r="EAA223" s="73"/>
      <c r="EAB223" s="73"/>
      <c r="EAC223" s="73"/>
      <c r="EAD223" s="73"/>
      <c r="EAE223" s="73"/>
      <c r="EAF223" s="73"/>
      <c r="EAG223" s="73"/>
      <c r="EAH223" s="73"/>
      <c r="EAI223" s="73"/>
      <c r="EAJ223" s="73"/>
      <c r="EAK223" s="73"/>
      <c r="EAL223" s="73"/>
      <c r="EAM223" s="73"/>
      <c r="EAN223" s="73"/>
      <c r="EAO223" s="73"/>
      <c r="EAP223" s="73"/>
      <c r="EAQ223" s="73"/>
      <c r="EAR223" s="73"/>
      <c r="EAS223" s="73"/>
      <c r="EAT223" s="73"/>
      <c r="EAU223" s="73"/>
      <c r="EAV223" s="73"/>
      <c r="EAW223" s="73"/>
      <c r="EAX223" s="73"/>
      <c r="EAY223" s="73"/>
      <c r="EAZ223" s="73"/>
      <c r="EBA223" s="73"/>
      <c r="EBB223" s="73"/>
      <c r="EBC223" s="73"/>
      <c r="EBD223" s="73"/>
      <c r="EBE223" s="73"/>
      <c r="EBF223" s="73"/>
      <c r="EBG223" s="73"/>
      <c r="EBH223" s="73"/>
      <c r="EBI223" s="73"/>
      <c r="EBJ223" s="73"/>
      <c r="EBK223" s="73"/>
      <c r="EBL223" s="73"/>
      <c r="EBM223" s="73"/>
      <c r="EBN223" s="73"/>
      <c r="EBO223" s="73"/>
      <c r="EBP223" s="73"/>
      <c r="EBQ223" s="73"/>
      <c r="EBR223" s="73"/>
      <c r="EBS223" s="73"/>
      <c r="EBT223" s="73"/>
      <c r="EBU223" s="73"/>
      <c r="EBV223" s="73"/>
      <c r="EBW223" s="73"/>
      <c r="EBX223" s="73"/>
      <c r="EBY223" s="73"/>
      <c r="EBZ223" s="73"/>
      <c r="ECA223" s="73"/>
      <c r="ECB223" s="73"/>
      <c r="ECC223" s="73"/>
      <c r="ECD223" s="73"/>
      <c r="ECE223" s="73"/>
      <c r="ECF223" s="73"/>
      <c r="ECG223" s="73"/>
      <c r="ECH223" s="73"/>
      <c r="ECI223" s="73"/>
      <c r="ECJ223" s="73"/>
      <c r="ECK223" s="73"/>
      <c r="ECL223" s="73"/>
      <c r="ECM223" s="73"/>
      <c r="ECN223" s="73"/>
      <c r="ECO223" s="73"/>
      <c r="ECP223" s="73"/>
      <c r="ECQ223" s="73"/>
      <c r="ECR223" s="73"/>
      <c r="ECS223" s="73"/>
      <c r="ECT223" s="73"/>
      <c r="ECU223" s="73"/>
      <c r="ECV223" s="73"/>
      <c r="ECW223" s="73"/>
      <c r="ECX223" s="73"/>
      <c r="ECY223" s="73"/>
      <c r="ECZ223" s="73"/>
      <c r="EDA223" s="73"/>
      <c r="EDB223" s="73"/>
      <c r="EDC223" s="73"/>
      <c r="EDD223" s="73"/>
      <c r="EDE223" s="73"/>
      <c r="EDF223" s="73"/>
      <c r="EDG223" s="73"/>
      <c r="EDH223" s="73"/>
      <c r="EDI223" s="73"/>
      <c r="EDJ223" s="73"/>
      <c r="EDK223" s="73"/>
      <c r="EDL223" s="73"/>
      <c r="EDM223" s="73"/>
      <c r="EDN223" s="73"/>
      <c r="EDO223" s="73"/>
      <c r="EDP223" s="73"/>
      <c r="EDQ223" s="73"/>
      <c r="EDR223" s="73"/>
      <c r="EDS223" s="73"/>
      <c r="EDT223" s="73"/>
      <c r="EDU223" s="73"/>
      <c r="EDV223" s="73"/>
      <c r="EDW223" s="73"/>
      <c r="EDX223" s="73"/>
      <c r="EDY223" s="73"/>
      <c r="EDZ223" s="73"/>
      <c r="EEA223" s="73"/>
      <c r="EEB223" s="73"/>
      <c r="EEC223" s="73"/>
      <c r="EED223" s="73"/>
      <c r="EEE223" s="73"/>
      <c r="EEF223" s="73"/>
      <c r="EEG223" s="73"/>
      <c r="EEH223" s="73"/>
      <c r="EEI223" s="73"/>
      <c r="EEJ223" s="73"/>
      <c r="EEK223" s="73"/>
      <c r="EEL223" s="73"/>
      <c r="EEM223" s="73"/>
      <c r="EEN223" s="73"/>
      <c r="EEO223" s="73"/>
      <c r="EEP223" s="73"/>
      <c r="EEQ223" s="73"/>
      <c r="EER223" s="73"/>
      <c r="EES223" s="73"/>
      <c r="EET223" s="73"/>
      <c r="EEU223" s="73"/>
      <c r="EEV223" s="73"/>
      <c r="EEW223" s="73"/>
      <c r="EEX223" s="73"/>
      <c r="EEY223" s="73"/>
      <c r="EEZ223" s="73"/>
      <c r="EFA223" s="73"/>
      <c r="EFB223" s="73"/>
      <c r="EFC223" s="73"/>
      <c r="EFD223" s="73"/>
      <c r="EFE223" s="73"/>
      <c r="EFF223" s="73"/>
      <c r="EFG223" s="73"/>
      <c r="EFH223" s="73"/>
      <c r="EFI223" s="73"/>
      <c r="EFJ223" s="73"/>
      <c r="EFK223" s="73"/>
      <c r="EFL223" s="73"/>
      <c r="EFM223" s="73"/>
      <c r="EFN223" s="73"/>
      <c r="EFO223" s="73"/>
      <c r="EFP223" s="73"/>
      <c r="EFQ223" s="73"/>
      <c r="EFR223" s="73"/>
      <c r="EFS223" s="73"/>
      <c r="EFT223" s="73"/>
      <c r="EFU223" s="73"/>
      <c r="EFV223" s="73"/>
      <c r="EFW223" s="73"/>
      <c r="EFX223" s="73"/>
      <c r="EFY223" s="73"/>
      <c r="EFZ223" s="73"/>
      <c r="EGA223" s="73"/>
      <c r="EGB223" s="73"/>
      <c r="EGC223" s="73"/>
      <c r="EGD223" s="73"/>
      <c r="EGE223" s="73"/>
      <c r="EGF223" s="73"/>
      <c r="EGG223" s="73"/>
      <c r="EGH223" s="73"/>
      <c r="EGI223" s="73"/>
      <c r="EGJ223" s="73"/>
      <c r="EGK223" s="73"/>
      <c r="EGL223" s="73"/>
      <c r="EGM223" s="73"/>
      <c r="EGN223" s="73"/>
      <c r="EGO223" s="73"/>
      <c r="EGP223" s="73"/>
      <c r="EGQ223" s="73"/>
      <c r="EGR223" s="73"/>
      <c r="EGS223" s="73"/>
      <c r="EGT223" s="73"/>
      <c r="EGU223" s="73"/>
      <c r="EGV223" s="73"/>
      <c r="EGW223" s="73"/>
      <c r="EGX223" s="73"/>
      <c r="EGY223" s="73"/>
      <c r="EGZ223" s="73"/>
      <c r="EHA223" s="73"/>
      <c r="EHB223" s="73"/>
      <c r="EHC223" s="73"/>
      <c r="EHD223" s="73"/>
      <c r="EHE223" s="73"/>
      <c r="EHF223" s="73"/>
      <c r="EHG223" s="73"/>
      <c r="EHH223" s="73"/>
      <c r="EHI223" s="73"/>
      <c r="EHJ223" s="73"/>
      <c r="EHK223" s="73"/>
      <c r="EHL223" s="73"/>
      <c r="EHM223" s="73"/>
      <c r="EHN223" s="73"/>
      <c r="EHO223" s="73"/>
      <c r="EHP223" s="73"/>
      <c r="EHQ223" s="73"/>
      <c r="EHR223" s="73"/>
      <c r="EHS223" s="73"/>
      <c r="EHT223" s="73"/>
      <c r="EHU223" s="73"/>
      <c r="EHV223" s="73"/>
      <c r="EHW223" s="73"/>
      <c r="EHX223" s="73"/>
      <c r="EHY223" s="73"/>
      <c r="EHZ223" s="73"/>
      <c r="EIA223" s="73"/>
      <c r="EIB223" s="73"/>
      <c r="EIC223" s="73"/>
      <c r="EID223" s="73"/>
      <c r="EIE223" s="73"/>
      <c r="EIF223" s="73"/>
      <c r="EIG223" s="73"/>
      <c r="EIH223" s="73"/>
      <c r="EII223" s="73"/>
      <c r="EIJ223" s="73"/>
      <c r="EIK223" s="73"/>
      <c r="EIL223" s="73"/>
      <c r="EIM223" s="73"/>
      <c r="EIN223" s="73"/>
      <c r="EIO223" s="73"/>
      <c r="EIP223" s="73"/>
      <c r="EIQ223" s="73"/>
      <c r="EIR223" s="73"/>
      <c r="EIS223" s="73"/>
      <c r="EIT223" s="73"/>
      <c r="EIU223" s="73"/>
      <c r="EIV223" s="73"/>
      <c r="EIW223" s="73"/>
      <c r="EIX223" s="73"/>
      <c r="EIY223" s="73"/>
      <c r="EIZ223" s="73"/>
      <c r="EJA223" s="73"/>
      <c r="EJB223" s="73"/>
      <c r="EJC223" s="73"/>
      <c r="EJD223" s="73"/>
      <c r="EJE223" s="73"/>
      <c r="EJF223" s="73"/>
      <c r="EJG223" s="73"/>
      <c r="EJH223" s="73"/>
      <c r="EJI223" s="73"/>
      <c r="EJJ223" s="73"/>
      <c r="EJK223" s="73"/>
      <c r="EJL223" s="73"/>
      <c r="EJM223" s="73"/>
      <c r="EJN223" s="73"/>
      <c r="EJO223" s="73"/>
      <c r="EJP223" s="73"/>
      <c r="EJQ223" s="73"/>
      <c r="EJR223" s="73"/>
      <c r="EJS223" s="73"/>
      <c r="EJT223" s="73"/>
      <c r="EJU223" s="73"/>
      <c r="EJV223" s="73"/>
      <c r="EJW223" s="73"/>
      <c r="EJX223" s="73"/>
      <c r="EJY223" s="73"/>
      <c r="EJZ223" s="73"/>
      <c r="EKA223" s="73"/>
      <c r="EKB223" s="73"/>
      <c r="EKC223" s="73"/>
      <c r="EKD223" s="73"/>
      <c r="EKE223" s="73"/>
      <c r="EKF223" s="73"/>
      <c r="EKG223" s="73"/>
      <c r="EKH223" s="73"/>
      <c r="EKI223" s="73"/>
      <c r="EKJ223" s="73"/>
      <c r="EKK223" s="73"/>
      <c r="EKL223" s="73"/>
      <c r="EKM223" s="73"/>
      <c r="EKN223" s="73"/>
      <c r="EKO223" s="73"/>
      <c r="EKP223" s="73"/>
      <c r="EKQ223" s="73"/>
      <c r="EKR223" s="73"/>
      <c r="EKS223" s="73"/>
      <c r="EKT223" s="73"/>
      <c r="EKU223" s="73"/>
      <c r="EKV223" s="73"/>
      <c r="EKW223" s="73"/>
      <c r="EKX223" s="73"/>
      <c r="EKY223" s="73"/>
      <c r="EKZ223" s="73"/>
      <c r="ELA223" s="73"/>
      <c r="ELB223" s="73"/>
      <c r="ELC223" s="73"/>
      <c r="ELD223" s="73"/>
      <c r="ELE223" s="73"/>
      <c r="ELF223" s="73"/>
      <c r="ELG223" s="73"/>
      <c r="ELH223" s="73"/>
      <c r="ELI223" s="73"/>
      <c r="ELJ223" s="73"/>
      <c r="ELK223" s="73"/>
      <c r="ELL223" s="73"/>
      <c r="ELM223" s="73"/>
      <c r="ELN223" s="73"/>
      <c r="ELO223" s="73"/>
      <c r="ELP223" s="73"/>
      <c r="ELQ223" s="73"/>
      <c r="ELR223" s="73"/>
      <c r="ELS223" s="73"/>
      <c r="ELT223" s="73"/>
      <c r="ELU223" s="73"/>
      <c r="ELV223" s="73"/>
      <c r="ELW223" s="73"/>
      <c r="ELX223" s="73"/>
      <c r="ELY223" s="73"/>
      <c r="ELZ223" s="73"/>
      <c r="EMA223" s="73"/>
      <c r="EMB223" s="73"/>
      <c r="EMC223" s="73"/>
      <c r="EMD223" s="73"/>
      <c r="EME223" s="73"/>
      <c r="EMF223" s="73"/>
      <c r="EMG223" s="73"/>
      <c r="EMH223" s="73"/>
      <c r="EMI223" s="73"/>
      <c r="EMJ223" s="73"/>
      <c r="EMK223" s="73"/>
      <c r="EML223" s="73"/>
      <c r="EMM223" s="73"/>
      <c r="EMN223" s="73"/>
      <c r="EMO223" s="73"/>
      <c r="EMP223" s="73"/>
      <c r="EMQ223" s="73"/>
      <c r="EMR223" s="73"/>
      <c r="EMS223" s="73"/>
      <c r="EMT223" s="73"/>
      <c r="EMU223" s="73"/>
      <c r="EMV223" s="73"/>
      <c r="EMW223" s="73"/>
      <c r="EMX223" s="73"/>
      <c r="EMY223" s="73"/>
      <c r="EMZ223" s="73"/>
      <c r="ENA223" s="73"/>
      <c r="ENB223" s="73"/>
      <c r="ENC223" s="73"/>
      <c r="END223" s="73"/>
      <c r="ENE223" s="73"/>
      <c r="ENF223" s="73"/>
      <c r="ENG223" s="73"/>
      <c r="ENH223" s="73"/>
      <c r="ENI223" s="73"/>
      <c r="ENJ223" s="73"/>
      <c r="ENK223" s="73"/>
      <c r="ENL223" s="73"/>
      <c r="ENM223" s="73"/>
      <c r="ENN223" s="73"/>
      <c r="ENO223" s="73"/>
      <c r="ENP223" s="73"/>
      <c r="ENQ223" s="73"/>
      <c r="ENR223" s="73"/>
      <c r="ENS223" s="73"/>
      <c r="ENT223" s="73"/>
      <c r="ENU223" s="73"/>
      <c r="ENV223" s="73"/>
      <c r="ENW223" s="73"/>
      <c r="ENX223" s="73"/>
      <c r="ENY223" s="73"/>
      <c r="ENZ223" s="73"/>
      <c r="EOA223" s="73"/>
      <c r="EOB223" s="73"/>
      <c r="EOC223" s="73"/>
      <c r="EOD223" s="73"/>
      <c r="EOE223" s="73"/>
      <c r="EOF223" s="73"/>
      <c r="EOG223" s="73"/>
      <c r="EOH223" s="73"/>
      <c r="EOI223" s="73"/>
      <c r="EOJ223" s="73"/>
      <c r="EOK223" s="73"/>
      <c r="EOL223" s="73"/>
      <c r="EOM223" s="73"/>
      <c r="EON223" s="73"/>
      <c r="EOO223" s="73"/>
      <c r="EOP223" s="73"/>
      <c r="EOQ223" s="73"/>
      <c r="EOR223" s="73"/>
      <c r="EOS223" s="73"/>
      <c r="EOT223" s="73"/>
      <c r="EOU223" s="73"/>
      <c r="EOV223" s="73"/>
      <c r="EOW223" s="73"/>
      <c r="EOX223" s="73"/>
      <c r="EOY223" s="73"/>
      <c r="EOZ223" s="73"/>
      <c r="EPA223" s="73"/>
      <c r="EPB223" s="73"/>
      <c r="EPC223" s="73"/>
      <c r="EPD223" s="73"/>
      <c r="EPE223" s="73"/>
      <c r="EPF223" s="73"/>
      <c r="EPG223" s="73"/>
      <c r="EPH223" s="73"/>
      <c r="EPI223" s="73"/>
      <c r="EPJ223" s="73"/>
      <c r="EPK223" s="73"/>
      <c r="EPL223" s="73"/>
      <c r="EPM223" s="73"/>
      <c r="EPN223" s="73"/>
      <c r="EPO223" s="73"/>
      <c r="EPP223" s="73"/>
      <c r="EPQ223" s="73"/>
      <c r="EPR223" s="73"/>
      <c r="EPS223" s="73"/>
      <c r="EPT223" s="73"/>
      <c r="EPU223" s="73"/>
      <c r="EPV223" s="73"/>
      <c r="EPW223" s="73"/>
      <c r="EPX223" s="73"/>
      <c r="EPY223" s="73"/>
      <c r="EPZ223" s="73"/>
      <c r="EQA223" s="73"/>
      <c r="EQB223" s="73"/>
      <c r="EQC223" s="73"/>
      <c r="EQD223" s="73"/>
      <c r="EQE223" s="73"/>
      <c r="EQF223" s="73"/>
      <c r="EQG223" s="73"/>
      <c r="EQH223" s="73"/>
      <c r="EQI223" s="73"/>
      <c r="EQJ223" s="73"/>
      <c r="EQK223" s="73"/>
      <c r="EQL223" s="73"/>
      <c r="EQM223" s="73"/>
      <c r="EQN223" s="73"/>
      <c r="EQO223" s="73"/>
      <c r="EQP223" s="73"/>
      <c r="EQQ223" s="73"/>
      <c r="EQR223" s="73"/>
      <c r="EQS223" s="73"/>
      <c r="EQT223" s="73"/>
      <c r="EQU223" s="73"/>
      <c r="EQV223" s="73"/>
      <c r="EQW223" s="73"/>
      <c r="EQX223" s="73"/>
      <c r="EQY223" s="73"/>
      <c r="EQZ223" s="73"/>
      <c r="ERA223" s="73"/>
      <c r="ERB223" s="73"/>
      <c r="ERC223" s="73"/>
      <c r="ERD223" s="73"/>
      <c r="ERE223" s="73"/>
      <c r="ERF223" s="73"/>
      <c r="ERG223" s="73"/>
      <c r="ERH223" s="73"/>
      <c r="ERI223" s="73"/>
      <c r="ERJ223" s="73"/>
      <c r="ERK223" s="73"/>
      <c r="ERL223" s="73"/>
      <c r="ERM223" s="73"/>
      <c r="ERN223" s="73"/>
      <c r="ERO223" s="73"/>
      <c r="ERP223" s="73"/>
      <c r="ERQ223" s="73"/>
      <c r="ERR223" s="73"/>
      <c r="ERS223" s="73"/>
      <c r="ERT223" s="73"/>
      <c r="ERU223" s="73"/>
      <c r="ERV223" s="73"/>
      <c r="ERW223" s="73"/>
      <c r="ERX223" s="73"/>
      <c r="ERY223" s="73"/>
      <c r="ERZ223" s="73"/>
      <c r="ESA223" s="73"/>
      <c r="ESB223" s="73"/>
      <c r="ESC223" s="73"/>
      <c r="ESD223" s="73"/>
      <c r="ESE223" s="73"/>
      <c r="ESF223" s="73"/>
      <c r="ESG223" s="73"/>
      <c r="ESH223" s="73"/>
      <c r="ESI223" s="73"/>
      <c r="ESJ223" s="73"/>
      <c r="ESK223" s="73"/>
      <c r="ESL223" s="73"/>
      <c r="ESM223" s="73"/>
      <c r="ESN223" s="73"/>
      <c r="ESO223" s="73"/>
      <c r="ESP223" s="73"/>
      <c r="ESQ223" s="73"/>
      <c r="ESR223" s="73"/>
      <c r="ESS223" s="73"/>
      <c r="EST223" s="73"/>
      <c r="ESU223" s="73"/>
      <c r="ESV223" s="73"/>
      <c r="ESW223" s="73"/>
      <c r="ESX223" s="73"/>
      <c r="ESY223" s="73"/>
      <c r="ESZ223" s="73"/>
      <c r="ETA223" s="73"/>
      <c r="ETB223" s="73"/>
      <c r="ETC223" s="73"/>
      <c r="ETD223" s="73"/>
      <c r="ETE223" s="73"/>
      <c r="ETF223" s="73"/>
      <c r="ETG223" s="73"/>
      <c r="ETH223" s="73"/>
      <c r="ETI223" s="73"/>
      <c r="ETJ223" s="73"/>
      <c r="ETK223" s="73"/>
      <c r="ETL223" s="73"/>
      <c r="ETM223" s="73"/>
      <c r="ETN223" s="73"/>
      <c r="ETO223" s="73"/>
      <c r="ETP223" s="73"/>
      <c r="ETQ223" s="73"/>
      <c r="ETR223" s="73"/>
      <c r="ETS223" s="73"/>
      <c r="ETT223" s="73"/>
      <c r="ETU223" s="73"/>
      <c r="ETV223" s="73"/>
      <c r="ETW223" s="73"/>
      <c r="ETX223" s="73"/>
      <c r="ETY223" s="73"/>
      <c r="ETZ223" s="73"/>
      <c r="EUA223" s="73"/>
      <c r="EUB223" s="73"/>
      <c r="EUC223" s="73"/>
      <c r="EUD223" s="73"/>
      <c r="EUE223" s="73"/>
      <c r="EUF223" s="73"/>
      <c r="EUG223" s="73"/>
      <c r="EUH223" s="73"/>
      <c r="EUI223" s="73"/>
      <c r="EUJ223" s="73"/>
      <c r="EUK223" s="73"/>
      <c r="EUL223" s="73"/>
      <c r="EUM223" s="73"/>
      <c r="EUN223" s="73"/>
      <c r="EUO223" s="73"/>
      <c r="EUP223" s="73"/>
      <c r="EUQ223" s="73"/>
      <c r="EUR223" s="73"/>
      <c r="EUS223" s="73"/>
      <c r="EUT223" s="73"/>
      <c r="EUU223" s="73"/>
      <c r="EUV223" s="73"/>
      <c r="EUW223" s="73"/>
      <c r="EUX223" s="73"/>
      <c r="EUY223" s="73"/>
      <c r="EUZ223" s="73"/>
      <c r="EVA223" s="73"/>
      <c r="EVB223" s="73"/>
      <c r="EVC223" s="73"/>
      <c r="EVD223" s="73"/>
      <c r="EVE223" s="73"/>
      <c r="EVF223" s="73"/>
      <c r="EVG223" s="73"/>
      <c r="EVH223" s="73"/>
      <c r="EVI223" s="73"/>
      <c r="EVJ223" s="73"/>
      <c r="EVK223" s="73"/>
      <c r="EVL223" s="73"/>
      <c r="EVM223" s="73"/>
      <c r="EVN223" s="73"/>
      <c r="EVO223" s="73"/>
      <c r="EVP223" s="73"/>
      <c r="EVQ223" s="73"/>
      <c r="EVR223" s="73"/>
      <c r="EVS223" s="73"/>
      <c r="EVT223" s="73"/>
      <c r="EVU223" s="73"/>
      <c r="EVV223" s="73"/>
      <c r="EVW223" s="73"/>
      <c r="EVX223" s="73"/>
      <c r="EVY223" s="73"/>
      <c r="EVZ223" s="73"/>
      <c r="EWA223" s="73"/>
      <c r="EWB223" s="73"/>
      <c r="EWC223" s="73"/>
      <c r="EWD223" s="73"/>
      <c r="EWE223" s="73"/>
      <c r="EWF223" s="73"/>
      <c r="EWG223" s="73"/>
      <c r="EWH223" s="73"/>
      <c r="EWI223" s="73"/>
      <c r="EWJ223" s="73"/>
      <c r="EWK223" s="73"/>
      <c r="EWL223" s="73"/>
      <c r="EWM223" s="73"/>
      <c r="EWN223" s="73"/>
      <c r="EWO223" s="73"/>
      <c r="EWP223" s="73"/>
      <c r="EWQ223" s="73"/>
      <c r="EWR223" s="73"/>
      <c r="EWS223" s="73"/>
      <c r="EWT223" s="73"/>
      <c r="EWU223" s="73"/>
      <c r="EWV223" s="73"/>
      <c r="EWW223" s="73"/>
      <c r="EWX223" s="73"/>
      <c r="EWY223" s="73"/>
      <c r="EWZ223" s="73"/>
      <c r="EXA223" s="73"/>
      <c r="EXB223" s="73"/>
      <c r="EXC223" s="73"/>
      <c r="EXD223" s="73"/>
      <c r="EXE223" s="73"/>
      <c r="EXF223" s="73"/>
      <c r="EXG223" s="73"/>
      <c r="EXH223" s="73"/>
      <c r="EXI223" s="73"/>
      <c r="EXJ223" s="73"/>
      <c r="EXK223" s="73"/>
      <c r="EXL223" s="73"/>
      <c r="EXM223" s="73"/>
      <c r="EXN223" s="73"/>
      <c r="EXO223" s="73"/>
      <c r="EXP223" s="73"/>
      <c r="EXQ223" s="73"/>
      <c r="EXR223" s="73"/>
      <c r="EXS223" s="73"/>
      <c r="EXT223" s="73"/>
      <c r="EXU223" s="73"/>
      <c r="EXV223" s="73"/>
      <c r="EXW223" s="73"/>
      <c r="EXX223" s="73"/>
      <c r="EXY223" s="73"/>
      <c r="EXZ223" s="73"/>
      <c r="EYA223" s="73"/>
      <c r="EYB223" s="73"/>
      <c r="EYC223" s="73"/>
      <c r="EYD223" s="73"/>
      <c r="EYE223" s="73"/>
      <c r="EYF223" s="73"/>
      <c r="EYG223" s="73"/>
      <c r="EYH223" s="73"/>
      <c r="EYI223" s="73"/>
      <c r="EYJ223" s="73"/>
      <c r="EYK223" s="73"/>
      <c r="EYL223" s="73"/>
      <c r="EYM223" s="73"/>
      <c r="EYN223" s="73"/>
      <c r="EYO223" s="73"/>
      <c r="EYP223" s="73"/>
      <c r="EYQ223" s="73"/>
      <c r="EYR223" s="73"/>
      <c r="EYS223" s="73"/>
      <c r="EYT223" s="73"/>
      <c r="EYU223" s="73"/>
      <c r="EYV223" s="73"/>
      <c r="EYW223" s="73"/>
      <c r="EYX223" s="73"/>
      <c r="EYY223" s="73"/>
      <c r="EYZ223" s="73"/>
      <c r="EZA223" s="73"/>
      <c r="EZB223" s="73"/>
      <c r="EZC223" s="73"/>
      <c r="EZD223" s="73"/>
      <c r="EZE223" s="73"/>
      <c r="EZF223" s="73"/>
      <c r="EZG223" s="73"/>
      <c r="EZH223" s="73"/>
      <c r="EZI223" s="73"/>
      <c r="EZJ223" s="73"/>
      <c r="EZK223" s="73"/>
      <c r="EZL223" s="73"/>
      <c r="EZM223" s="73"/>
      <c r="EZN223" s="73"/>
      <c r="EZO223" s="73"/>
      <c r="EZP223" s="73"/>
      <c r="EZQ223" s="73"/>
      <c r="EZR223" s="73"/>
      <c r="EZS223" s="73"/>
      <c r="EZT223" s="73"/>
      <c r="EZU223" s="73"/>
      <c r="EZV223" s="73"/>
      <c r="EZW223" s="73"/>
      <c r="EZX223" s="73"/>
      <c r="EZY223" s="73"/>
      <c r="EZZ223" s="73"/>
      <c r="FAA223" s="73"/>
      <c r="FAB223" s="73"/>
      <c r="FAC223" s="73"/>
      <c r="FAD223" s="73"/>
      <c r="FAE223" s="73"/>
      <c r="FAF223" s="73"/>
      <c r="FAG223" s="73"/>
      <c r="FAH223" s="73"/>
      <c r="FAI223" s="73"/>
      <c r="FAJ223" s="73"/>
      <c r="FAK223" s="73"/>
      <c r="FAL223" s="73"/>
      <c r="FAM223" s="73"/>
      <c r="FAN223" s="73"/>
      <c r="FAO223" s="73"/>
      <c r="FAP223" s="73"/>
      <c r="FAQ223" s="73"/>
      <c r="FAR223" s="73"/>
      <c r="FAS223" s="73"/>
      <c r="FAT223" s="73"/>
      <c r="FAU223" s="73"/>
      <c r="FAV223" s="73"/>
      <c r="FAW223" s="73"/>
      <c r="FAX223" s="73"/>
      <c r="FAY223" s="73"/>
      <c r="FAZ223" s="73"/>
      <c r="FBA223" s="73"/>
      <c r="FBB223" s="73"/>
      <c r="FBC223" s="73"/>
      <c r="FBD223" s="73"/>
      <c r="FBE223" s="73"/>
      <c r="FBF223" s="73"/>
      <c r="FBG223" s="73"/>
      <c r="FBH223" s="73"/>
      <c r="FBI223" s="73"/>
      <c r="FBJ223" s="73"/>
      <c r="FBK223" s="73"/>
      <c r="FBL223" s="73"/>
      <c r="FBM223" s="73"/>
      <c r="FBN223" s="73"/>
      <c r="FBO223" s="73"/>
      <c r="FBP223" s="73"/>
      <c r="FBQ223" s="73"/>
      <c r="FBR223" s="73"/>
      <c r="FBS223" s="73"/>
      <c r="FBT223" s="73"/>
      <c r="FBU223" s="73"/>
      <c r="FBV223" s="73"/>
      <c r="FBW223" s="73"/>
      <c r="FBX223" s="73"/>
      <c r="FBY223" s="73"/>
      <c r="FBZ223" s="73"/>
      <c r="FCA223" s="73"/>
      <c r="FCB223" s="73"/>
      <c r="FCC223" s="73"/>
      <c r="FCD223" s="73"/>
      <c r="FCE223" s="73"/>
      <c r="FCF223" s="73"/>
      <c r="FCG223" s="73"/>
      <c r="FCH223" s="73"/>
      <c r="FCI223" s="73"/>
      <c r="FCJ223" s="73"/>
      <c r="FCK223" s="73"/>
      <c r="FCL223" s="73"/>
      <c r="FCM223" s="73"/>
      <c r="FCN223" s="73"/>
      <c r="FCO223" s="73"/>
      <c r="FCP223" s="73"/>
      <c r="FCQ223" s="73"/>
      <c r="FCR223" s="73"/>
      <c r="FCS223" s="73"/>
      <c r="FCT223" s="73"/>
      <c r="FCU223" s="73"/>
      <c r="FCV223" s="73"/>
      <c r="FCW223" s="73"/>
      <c r="FCX223" s="73"/>
      <c r="FCY223" s="73"/>
      <c r="FCZ223" s="73"/>
      <c r="FDA223" s="73"/>
      <c r="FDB223" s="73"/>
      <c r="FDC223" s="73"/>
      <c r="FDD223" s="73"/>
      <c r="FDE223" s="73"/>
      <c r="FDF223" s="73"/>
      <c r="FDG223" s="73"/>
      <c r="FDH223" s="73"/>
      <c r="FDI223" s="73"/>
      <c r="FDJ223" s="73"/>
      <c r="FDK223" s="73"/>
      <c r="FDL223" s="73"/>
      <c r="FDM223" s="73"/>
      <c r="FDN223" s="73"/>
      <c r="FDO223" s="73"/>
      <c r="FDP223" s="73"/>
      <c r="FDQ223" s="73"/>
      <c r="FDR223" s="73"/>
      <c r="FDS223" s="73"/>
      <c r="FDT223" s="73"/>
      <c r="FDU223" s="73"/>
      <c r="FDV223" s="73"/>
      <c r="FDW223" s="73"/>
      <c r="FDX223" s="73"/>
      <c r="FDY223" s="73"/>
      <c r="FDZ223" s="73"/>
      <c r="FEA223" s="73"/>
      <c r="FEB223" s="73"/>
      <c r="FEC223" s="73"/>
      <c r="FED223" s="73"/>
      <c r="FEE223" s="73"/>
      <c r="FEF223" s="73"/>
      <c r="FEG223" s="73"/>
      <c r="FEH223" s="73"/>
      <c r="FEI223" s="73"/>
      <c r="FEJ223" s="73"/>
      <c r="FEK223" s="73"/>
      <c r="FEL223" s="73"/>
      <c r="FEM223" s="73"/>
      <c r="FEN223" s="73"/>
      <c r="FEO223" s="73"/>
      <c r="FEP223" s="73"/>
      <c r="FEQ223" s="73"/>
      <c r="FER223" s="73"/>
      <c r="FES223" s="73"/>
      <c r="FET223" s="73"/>
      <c r="FEU223" s="73"/>
      <c r="FEV223" s="73"/>
      <c r="FEW223" s="73"/>
      <c r="FEX223" s="73"/>
      <c r="FEY223" s="73"/>
      <c r="FEZ223" s="73"/>
      <c r="FFA223" s="73"/>
      <c r="FFB223" s="73"/>
      <c r="FFC223" s="73"/>
      <c r="FFD223" s="73"/>
      <c r="FFE223" s="73"/>
      <c r="FFF223" s="73"/>
      <c r="FFG223" s="73"/>
      <c r="FFH223" s="73"/>
      <c r="FFI223" s="73"/>
      <c r="FFJ223" s="73"/>
      <c r="FFK223" s="73"/>
      <c r="FFL223" s="73"/>
      <c r="FFM223" s="73"/>
      <c r="FFN223" s="73"/>
      <c r="FFO223" s="73"/>
      <c r="FFP223" s="73"/>
      <c r="FFQ223" s="73"/>
      <c r="FFR223" s="73"/>
      <c r="FFS223" s="73"/>
      <c r="FFT223" s="73"/>
      <c r="FFU223" s="73"/>
      <c r="FFV223" s="73"/>
      <c r="FFW223" s="73"/>
      <c r="FFX223" s="73"/>
      <c r="FFY223" s="73"/>
      <c r="FFZ223" s="73"/>
      <c r="FGA223" s="73"/>
      <c r="FGB223" s="73"/>
      <c r="FGC223" s="73"/>
      <c r="FGD223" s="73"/>
      <c r="FGE223" s="73"/>
      <c r="FGF223" s="73"/>
      <c r="FGG223" s="73"/>
      <c r="FGH223" s="73"/>
      <c r="FGI223" s="73"/>
      <c r="FGJ223" s="73"/>
      <c r="FGK223" s="73"/>
      <c r="FGL223" s="73"/>
      <c r="FGM223" s="73"/>
      <c r="FGN223" s="73"/>
      <c r="FGO223" s="73"/>
      <c r="FGP223" s="73"/>
      <c r="FGQ223" s="73"/>
      <c r="FGR223" s="73"/>
      <c r="FGS223" s="73"/>
      <c r="FGT223" s="73"/>
      <c r="FGU223" s="73"/>
      <c r="FGV223" s="73"/>
      <c r="FGW223" s="73"/>
      <c r="FGX223" s="73"/>
      <c r="FGY223" s="73"/>
      <c r="FGZ223" s="73"/>
      <c r="FHA223" s="73"/>
      <c r="FHB223" s="73"/>
      <c r="FHC223" s="73"/>
      <c r="FHD223" s="73"/>
      <c r="FHE223" s="73"/>
      <c r="FHF223" s="73"/>
      <c r="FHG223" s="73"/>
      <c r="FHH223" s="73"/>
      <c r="FHI223" s="73"/>
      <c r="FHJ223" s="73"/>
      <c r="FHK223" s="73"/>
      <c r="FHL223" s="73"/>
      <c r="FHM223" s="73"/>
      <c r="FHN223" s="73"/>
      <c r="FHO223" s="73"/>
      <c r="FHP223" s="73"/>
      <c r="FHQ223" s="73"/>
      <c r="FHR223" s="73"/>
      <c r="FHS223" s="73"/>
      <c r="FHT223" s="73"/>
      <c r="FHU223" s="73"/>
      <c r="FHV223" s="73"/>
      <c r="FHW223" s="73"/>
      <c r="FHX223" s="73"/>
      <c r="FHY223" s="73"/>
      <c r="FHZ223" s="73"/>
      <c r="FIA223" s="73"/>
      <c r="FIB223" s="73"/>
      <c r="FIC223" s="73"/>
      <c r="FID223" s="73"/>
      <c r="FIE223" s="73"/>
      <c r="FIF223" s="73"/>
      <c r="FIG223" s="73"/>
      <c r="FIH223" s="73"/>
      <c r="FII223" s="73"/>
      <c r="FIJ223" s="73"/>
      <c r="FIK223" s="73"/>
      <c r="FIL223" s="73"/>
      <c r="FIM223" s="73"/>
      <c r="FIN223" s="73"/>
      <c r="FIO223" s="73"/>
      <c r="FIP223" s="73"/>
      <c r="FIQ223" s="73"/>
      <c r="FIR223" s="73"/>
      <c r="FIS223" s="73"/>
      <c r="FIT223" s="73"/>
      <c r="FIU223" s="73"/>
      <c r="FIV223" s="73"/>
      <c r="FIW223" s="73"/>
      <c r="FIX223" s="73"/>
      <c r="FIY223" s="73"/>
      <c r="FIZ223" s="73"/>
      <c r="FJA223" s="73"/>
      <c r="FJB223" s="73"/>
      <c r="FJC223" s="73"/>
      <c r="FJD223" s="73"/>
      <c r="FJE223" s="73"/>
      <c r="FJF223" s="73"/>
      <c r="FJG223" s="73"/>
      <c r="FJH223" s="73"/>
      <c r="FJI223" s="73"/>
      <c r="FJJ223" s="73"/>
      <c r="FJK223" s="73"/>
      <c r="FJL223" s="73"/>
      <c r="FJM223" s="73"/>
      <c r="FJN223" s="73"/>
      <c r="FJO223" s="73"/>
      <c r="FJP223" s="73"/>
      <c r="FJQ223" s="73"/>
      <c r="FJR223" s="73"/>
      <c r="FJS223" s="73"/>
      <c r="FJT223" s="73"/>
      <c r="FJU223" s="73"/>
      <c r="FJV223" s="73"/>
      <c r="FJW223" s="73"/>
      <c r="FJX223" s="73"/>
      <c r="FJY223" s="73"/>
      <c r="FJZ223" s="73"/>
      <c r="FKA223" s="73"/>
      <c r="FKB223" s="73"/>
      <c r="FKC223" s="73"/>
      <c r="FKD223" s="73"/>
      <c r="FKE223" s="73"/>
      <c r="FKF223" s="73"/>
      <c r="FKG223" s="73"/>
      <c r="FKH223" s="73"/>
      <c r="FKI223" s="73"/>
      <c r="FKJ223" s="73"/>
      <c r="FKK223" s="73"/>
      <c r="FKL223" s="73"/>
      <c r="FKM223" s="73"/>
      <c r="FKN223" s="73"/>
      <c r="FKO223" s="73"/>
      <c r="FKP223" s="73"/>
      <c r="FKQ223" s="73"/>
      <c r="FKR223" s="73"/>
      <c r="FKS223" s="73"/>
      <c r="FKT223" s="73"/>
      <c r="FKU223" s="73"/>
      <c r="FKV223" s="73"/>
      <c r="FKW223" s="73"/>
      <c r="FKX223" s="73"/>
      <c r="FKY223" s="73"/>
      <c r="FKZ223" s="73"/>
      <c r="FLA223" s="73"/>
      <c r="FLB223" s="73"/>
      <c r="FLC223" s="73"/>
      <c r="FLD223" s="73"/>
      <c r="FLE223" s="73"/>
      <c r="FLF223" s="73"/>
      <c r="FLG223" s="73"/>
      <c r="FLH223" s="73"/>
      <c r="FLI223" s="73"/>
      <c r="FLJ223" s="73"/>
      <c r="FLK223" s="73"/>
      <c r="FLL223" s="73"/>
      <c r="FLM223" s="73"/>
      <c r="FLN223" s="73"/>
      <c r="FLO223" s="73"/>
      <c r="FLP223" s="73"/>
      <c r="FLQ223" s="73"/>
      <c r="FLR223" s="73"/>
      <c r="FLS223" s="73"/>
      <c r="FLT223" s="73"/>
      <c r="FLU223" s="73"/>
      <c r="FLV223" s="73"/>
      <c r="FLW223" s="73"/>
      <c r="FLX223" s="73"/>
      <c r="FLY223" s="73"/>
      <c r="FLZ223" s="73"/>
      <c r="FMA223" s="73"/>
      <c r="FMB223" s="73"/>
      <c r="FMC223" s="73"/>
      <c r="FMD223" s="73"/>
      <c r="FME223" s="73"/>
      <c r="FMF223" s="73"/>
      <c r="FMG223" s="73"/>
      <c r="FMH223" s="73"/>
      <c r="FMI223" s="73"/>
      <c r="FMJ223" s="73"/>
      <c r="FMK223" s="73"/>
      <c r="FML223" s="73"/>
      <c r="FMM223" s="73"/>
      <c r="FMN223" s="73"/>
      <c r="FMO223" s="73"/>
      <c r="FMP223" s="73"/>
      <c r="FMQ223" s="73"/>
      <c r="FMR223" s="73"/>
      <c r="FMS223" s="73"/>
      <c r="FMT223" s="73"/>
      <c r="FMU223" s="73"/>
      <c r="FMV223" s="73"/>
      <c r="FMW223" s="73"/>
      <c r="FMX223" s="73"/>
      <c r="FMY223" s="73"/>
      <c r="FMZ223" s="73"/>
      <c r="FNA223" s="73"/>
      <c r="FNB223" s="73"/>
      <c r="FNC223" s="73"/>
      <c r="FND223" s="73"/>
      <c r="FNE223" s="73"/>
      <c r="FNF223" s="73"/>
      <c r="FNG223" s="73"/>
      <c r="FNH223" s="73"/>
      <c r="FNI223" s="73"/>
      <c r="FNJ223" s="73"/>
      <c r="FNK223" s="73"/>
      <c r="FNL223" s="73"/>
      <c r="FNM223" s="73"/>
      <c r="FNN223" s="73"/>
      <c r="FNO223" s="73"/>
      <c r="FNP223" s="73"/>
      <c r="FNQ223" s="73"/>
      <c r="FNR223" s="73"/>
      <c r="FNS223" s="73"/>
      <c r="FNT223" s="73"/>
      <c r="FNU223" s="73"/>
      <c r="FNV223" s="73"/>
      <c r="FNW223" s="73"/>
      <c r="FNX223" s="73"/>
      <c r="FNY223" s="73"/>
      <c r="FNZ223" s="73"/>
      <c r="FOA223" s="73"/>
      <c r="FOB223" s="73"/>
      <c r="FOC223" s="73"/>
      <c r="FOD223" s="73"/>
      <c r="FOE223" s="73"/>
      <c r="FOF223" s="73"/>
      <c r="FOG223" s="73"/>
      <c r="FOH223" s="73"/>
      <c r="FOI223" s="73"/>
      <c r="FOJ223" s="73"/>
      <c r="FOK223" s="73"/>
      <c r="FOL223" s="73"/>
      <c r="FOM223" s="73"/>
      <c r="FON223" s="73"/>
      <c r="FOO223" s="73"/>
      <c r="FOP223" s="73"/>
      <c r="FOQ223" s="73"/>
      <c r="FOR223" s="73"/>
      <c r="FOS223" s="73"/>
      <c r="FOT223" s="73"/>
      <c r="FOU223" s="73"/>
      <c r="FOV223" s="73"/>
      <c r="FOW223" s="73"/>
      <c r="FOX223" s="73"/>
      <c r="FOY223" s="73"/>
      <c r="FOZ223" s="73"/>
      <c r="FPA223" s="73"/>
      <c r="FPB223" s="73"/>
      <c r="FPC223" s="73"/>
      <c r="FPD223" s="73"/>
      <c r="FPE223" s="73"/>
      <c r="FPF223" s="73"/>
      <c r="FPG223" s="73"/>
      <c r="FPH223" s="73"/>
      <c r="FPI223" s="73"/>
      <c r="FPJ223" s="73"/>
      <c r="FPK223" s="73"/>
      <c r="FPL223" s="73"/>
      <c r="FPM223" s="73"/>
      <c r="FPN223" s="73"/>
      <c r="FPO223" s="73"/>
      <c r="FPP223" s="73"/>
      <c r="FPQ223" s="73"/>
      <c r="FPR223" s="73"/>
      <c r="FPS223" s="73"/>
      <c r="FPT223" s="73"/>
      <c r="FPU223" s="73"/>
      <c r="FPV223" s="73"/>
      <c r="FPW223" s="73"/>
      <c r="FPX223" s="73"/>
      <c r="FPY223" s="73"/>
      <c r="FPZ223" s="73"/>
      <c r="FQA223" s="73"/>
      <c r="FQB223" s="73"/>
      <c r="FQC223" s="73"/>
      <c r="FQD223" s="73"/>
      <c r="FQE223" s="73"/>
      <c r="FQF223" s="73"/>
      <c r="FQG223" s="73"/>
      <c r="FQH223" s="73"/>
      <c r="FQI223" s="73"/>
      <c r="FQJ223" s="73"/>
      <c r="FQK223" s="73"/>
      <c r="FQL223" s="73"/>
      <c r="FQM223" s="73"/>
      <c r="FQN223" s="73"/>
      <c r="FQO223" s="73"/>
      <c r="FQP223" s="73"/>
      <c r="FQQ223" s="73"/>
      <c r="FQR223" s="73"/>
      <c r="FQS223" s="73"/>
      <c r="FQT223" s="73"/>
      <c r="FQU223" s="73"/>
      <c r="FQV223" s="73"/>
      <c r="FQW223" s="73"/>
      <c r="FQX223" s="73"/>
      <c r="FQY223" s="73"/>
      <c r="FQZ223" s="73"/>
      <c r="FRA223" s="73"/>
      <c r="FRB223" s="73"/>
      <c r="FRC223" s="73"/>
      <c r="FRD223" s="73"/>
      <c r="FRE223" s="73"/>
      <c r="FRF223" s="73"/>
      <c r="FRG223" s="73"/>
      <c r="FRH223" s="73"/>
      <c r="FRI223" s="73"/>
      <c r="FRJ223" s="73"/>
      <c r="FRK223" s="73"/>
      <c r="FRL223" s="73"/>
      <c r="FRM223" s="73"/>
      <c r="FRN223" s="73"/>
      <c r="FRO223" s="73"/>
      <c r="FRP223" s="73"/>
      <c r="FRQ223" s="73"/>
      <c r="FRR223" s="73"/>
      <c r="FRS223" s="73"/>
      <c r="FRT223" s="73"/>
      <c r="FRU223" s="73"/>
      <c r="FRV223" s="73"/>
      <c r="FRW223" s="73"/>
      <c r="FRX223" s="73"/>
      <c r="FRY223" s="73"/>
      <c r="FRZ223" s="73"/>
      <c r="FSA223" s="73"/>
      <c r="FSB223" s="73"/>
      <c r="FSC223" s="73"/>
      <c r="FSD223" s="73"/>
      <c r="FSE223" s="73"/>
      <c r="FSF223" s="73"/>
      <c r="FSG223" s="73"/>
      <c r="FSH223" s="73"/>
      <c r="FSI223" s="73"/>
      <c r="FSJ223" s="73"/>
      <c r="FSK223" s="73"/>
      <c r="FSL223" s="73"/>
      <c r="FSM223" s="73"/>
      <c r="FSN223" s="73"/>
      <c r="FSO223" s="73"/>
      <c r="FSP223" s="73"/>
      <c r="FSQ223" s="73"/>
      <c r="FSR223" s="73"/>
      <c r="FSS223" s="73"/>
      <c r="FST223" s="73"/>
      <c r="FSU223" s="73"/>
      <c r="FSV223" s="73"/>
      <c r="FSW223" s="73"/>
      <c r="FSX223" s="73"/>
      <c r="FSY223" s="73"/>
      <c r="FSZ223" s="73"/>
      <c r="FTA223" s="73"/>
      <c r="FTB223" s="73"/>
      <c r="FTC223" s="73"/>
      <c r="FTD223" s="73"/>
      <c r="FTE223" s="73"/>
      <c r="FTF223" s="73"/>
      <c r="FTG223" s="73"/>
      <c r="FTH223" s="73"/>
      <c r="FTI223" s="73"/>
      <c r="FTJ223" s="73"/>
      <c r="FTK223" s="73"/>
      <c r="FTL223" s="73"/>
      <c r="FTM223" s="73"/>
      <c r="FTN223" s="73"/>
      <c r="FTO223" s="73"/>
      <c r="FTP223" s="73"/>
      <c r="FTQ223" s="73"/>
      <c r="FTR223" s="73"/>
      <c r="FTS223" s="73"/>
      <c r="FTT223" s="73"/>
      <c r="FTU223" s="73"/>
      <c r="FTV223" s="73"/>
      <c r="FTW223" s="73"/>
      <c r="FTX223" s="73"/>
      <c r="FTY223" s="73"/>
      <c r="FTZ223" s="73"/>
      <c r="FUA223" s="73"/>
      <c r="FUB223" s="73"/>
      <c r="FUC223" s="73"/>
      <c r="FUD223" s="73"/>
      <c r="FUE223" s="73"/>
      <c r="FUF223" s="73"/>
      <c r="FUG223" s="73"/>
      <c r="FUH223" s="73"/>
      <c r="FUI223" s="73"/>
      <c r="FUJ223" s="73"/>
      <c r="FUK223" s="73"/>
      <c r="FUL223" s="73"/>
      <c r="FUM223" s="73"/>
      <c r="FUN223" s="73"/>
      <c r="FUO223" s="73"/>
      <c r="FUP223" s="73"/>
      <c r="FUQ223" s="73"/>
      <c r="FUR223" s="73"/>
      <c r="FUS223" s="73"/>
      <c r="FUT223" s="73"/>
      <c r="FUU223" s="73"/>
      <c r="FUV223" s="73"/>
      <c r="FUW223" s="73"/>
      <c r="FUX223" s="73"/>
      <c r="FUY223" s="73"/>
      <c r="FUZ223" s="73"/>
      <c r="FVA223" s="73"/>
      <c r="FVB223" s="73"/>
      <c r="FVC223" s="73"/>
      <c r="FVD223" s="73"/>
      <c r="FVE223" s="73"/>
      <c r="FVF223" s="73"/>
      <c r="FVG223" s="73"/>
      <c r="FVH223" s="73"/>
      <c r="FVI223" s="73"/>
      <c r="FVJ223" s="73"/>
      <c r="FVK223" s="73"/>
      <c r="FVL223" s="73"/>
      <c r="FVM223" s="73"/>
      <c r="FVN223" s="73"/>
      <c r="FVO223" s="73"/>
      <c r="FVP223" s="73"/>
      <c r="FVQ223" s="73"/>
      <c r="FVR223" s="73"/>
      <c r="FVS223" s="73"/>
      <c r="FVT223" s="73"/>
      <c r="FVU223" s="73"/>
      <c r="FVV223" s="73"/>
      <c r="FVW223" s="73"/>
      <c r="FVX223" s="73"/>
      <c r="FVY223" s="73"/>
      <c r="FVZ223" s="73"/>
      <c r="FWA223" s="73"/>
      <c r="FWB223" s="73"/>
      <c r="FWC223" s="73"/>
      <c r="FWD223" s="73"/>
      <c r="FWE223" s="73"/>
      <c r="FWF223" s="73"/>
      <c r="FWG223" s="73"/>
      <c r="FWH223" s="73"/>
      <c r="FWI223" s="73"/>
      <c r="FWJ223" s="73"/>
      <c r="FWK223" s="73"/>
      <c r="FWL223" s="73"/>
      <c r="FWM223" s="73"/>
      <c r="FWN223" s="73"/>
      <c r="FWO223" s="73"/>
      <c r="FWP223" s="73"/>
      <c r="FWQ223" s="73"/>
      <c r="FWR223" s="73"/>
      <c r="FWS223" s="73"/>
      <c r="FWT223" s="73"/>
      <c r="FWU223" s="73"/>
      <c r="FWV223" s="73"/>
      <c r="FWW223" s="73"/>
      <c r="FWX223" s="73"/>
      <c r="FWY223" s="73"/>
      <c r="FWZ223" s="73"/>
      <c r="FXA223" s="73"/>
      <c r="FXB223" s="73"/>
      <c r="FXC223" s="73"/>
      <c r="FXD223" s="73"/>
      <c r="FXE223" s="73"/>
      <c r="FXF223" s="73"/>
      <c r="FXG223" s="73"/>
      <c r="FXH223" s="73"/>
      <c r="FXI223" s="73"/>
      <c r="FXJ223" s="73"/>
      <c r="FXK223" s="73"/>
      <c r="FXL223" s="73"/>
      <c r="FXM223" s="73"/>
      <c r="FXN223" s="73"/>
      <c r="FXO223" s="73"/>
      <c r="FXP223" s="73"/>
      <c r="FXQ223" s="73"/>
      <c r="FXR223" s="73"/>
      <c r="FXS223" s="73"/>
      <c r="FXT223" s="73"/>
      <c r="FXU223" s="73"/>
      <c r="FXV223" s="73"/>
      <c r="FXW223" s="73"/>
      <c r="FXX223" s="73"/>
      <c r="FXY223" s="73"/>
      <c r="FXZ223" s="73"/>
      <c r="FYA223" s="73"/>
      <c r="FYB223" s="73"/>
      <c r="FYC223" s="73"/>
      <c r="FYD223" s="73"/>
      <c r="FYE223" s="73"/>
      <c r="FYF223" s="73"/>
      <c r="FYG223" s="73"/>
      <c r="FYH223" s="73"/>
      <c r="FYI223" s="73"/>
      <c r="FYJ223" s="73"/>
      <c r="FYK223" s="73"/>
      <c r="FYL223" s="73"/>
      <c r="FYM223" s="73"/>
      <c r="FYN223" s="73"/>
      <c r="FYO223" s="73"/>
      <c r="FYP223" s="73"/>
      <c r="FYQ223" s="73"/>
      <c r="FYR223" s="73"/>
      <c r="FYS223" s="73"/>
      <c r="FYT223" s="73"/>
      <c r="FYU223" s="73"/>
      <c r="FYV223" s="73"/>
      <c r="FYW223" s="73"/>
      <c r="FYX223" s="73"/>
      <c r="FYY223" s="73"/>
      <c r="FYZ223" s="73"/>
      <c r="FZA223" s="73"/>
      <c r="FZB223" s="73"/>
      <c r="FZC223" s="73"/>
      <c r="FZD223" s="73"/>
      <c r="FZE223" s="73"/>
      <c r="FZF223" s="73"/>
      <c r="FZG223" s="73"/>
      <c r="FZH223" s="73"/>
      <c r="FZI223" s="73"/>
      <c r="FZJ223" s="73"/>
      <c r="FZK223" s="73"/>
      <c r="FZL223" s="73"/>
      <c r="FZM223" s="73"/>
      <c r="FZN223" s="73"/>
      <c r="FZO223" s="73"/>
      <c r="FZP223" s="73"/>
      <c r="FZQ223" s="73"/>
      <c r="FZR223" s="73"/>
      <c r="FZS223" s="73"/>
      <c r="FZT223" s="73"/>
      <c r="FZU223" s="73"/>
      <c r="FZV223" s="73"/>
      <c r="FZW223" s="73"/>
      <c r="FZX223" s="73"/>
      <c r="FZY223" s="73"/>
      <c r="FZZ223" s="73"/>
      <c r="GAA223" s="73"/>
      <c r="GAB223" s="73"/>
      <c r="GAC223" s="73"/>
      <c r="GAD223" s="73"/>
      <c r="GAE223" s="73"/>
      <c r="GAF223" s="73"/>
      <c r="GAG223" s="73"/>
      <c r="GAH223" s="73"/>
      <c r="GAI223" s="73"/>
      <c r="GAJ223" s="73"/>
      <c r="GAK223" s="73"/>
      <c r="GAL223" s="73"/>
      <c r="GAM223" s="73"/>
      <c r="GAN223" s="73"/>
      <c r="GAO223" s="73"/>
      <c r="GAP223" s="73"/>
      <c r="GAQ223" s="73"/>
      <c r="GAR223" s="73"/>
      <c r="GAS223" s="73"/>
      <c r="GAT223" s="73"/>
      <c r="GAU223" s="73"/>
      <c r="GAV223" s="73"/>
      <c r="GAW223" s="73"/>
      <c r="GAX223" s="73"/>
      <c r="GAY223" s="73"/>
      <c r="GAZ223" s="73"/>
      <c r="GBA223" s="73"/>
      <c r="GBB223" s="73"/>
      <c r="GBC223" s="73"/>
      <c r="GBD223" s="73"/>
      <c r="GBE223" s="73"/>
      <c r="GBF223" s="73"/>
      <c r="GBG223" s="73"/>
      <c r="GBH223" s="73"/>
      <c r="GBI223" s="73"/>
      <c r="GBJ223" s="73"/>
      <c r="GBK223" s="73"/>
      <c r="GBL223" s="73"/>
      <c r="GBM223" s="73"/>
      <c r="GBN223" s="73"/>
      <c r="GBO223" s="73"/>
      <c r="GBP223" s="73"/>
      <c r="GBQ223" s="73"/>
      <c r="GBR223" s="73"/>
      <c r="GBS223" s="73"/>
      <c r="GBT223" s="73"/>
      <c r="GBU223" s="73"/>
      <c r="GBV223" s="73"/>
      <c r="GBW223" s="73"/>
      <c r="GBX223" s="73"/>
      <c r="GBY223" s="73"/>
      <c r="GBZ223" s="73"/>
      <c r="GCA223" s="73"/>
      <c r="GCB223" s="73"/>
      <c r="GCC223" s="73"/>
      <c r="GCD223" s="73"/>
      <c r="GCE223" s="73"/>
      <c r="GCF223" s="73"/>
      <c r="GCG223" s="73"/>
      <c r="GCH223" s="73"/>
      <c r="GCI223" s="73"/>
      <c r="GCJ223" s="73"/>
      <c r="GCK223" s="73"/>
      <c r="GCL223" s="73"/>
      <c r="GCM223" s="73"/>
      <c r="GCN223" s="73"/>
      <c r="GCO223" s="73"/>
      <c r="GCP223" s="73"/>
      <c r="GCQ223" s="73"/>
      <c r="GCR223" s="73"/>
      <c r="GCS223" s="73"/>
      <c r="GCT223" s="73"/>
      <c r="GCU223" s="73"/>
      <c r="GCV223" s="73"/>
      <c r="GCW223" s="73"/>
      <c r="GCX223" s="73"/>
      <c r="GCY223" s="73"/>
      <c r="GCZ223" s="73"/>
      <c r="GDA223" s="73"/>
      <c r="GDB223" s="73"/>
      <c r="GDC223" s="73"/>
      <c r="GDD223" s="73"/>
      <c r="GDE223" s="73"/>
      <c r="GDF223" s="73"/>
      <c r="GDG223" s="73"/>
      <c r="GDH223" s="73"/>
      <c r="GDI223" s="73"/>
      <c r="GDJ223" s="73"/>
      <c r="GDK223" s="73"/>
      <c r="GDL223" s="73"/>
      <c r="GDM223" s="73"/>
      <c r="GDN223" s="73"/>
      <c r="GDO223" s="73"/>
      <c r="GDP223" s="73"/>
      <c r="GDQ223" s="73"/>
      <c r="GDR223" s="73"/>
      <c r="GDS223" s="73"/>
      <c r="GDT223" s="73"/>
      <c r="GDU223" s="73"/>
      <c r="GDV223" s="73"/>
      <c r="GDW223" s="73"/>
      <c r="GDX223" s="73"/>
      <c r="GDY223" s="73"/>
      <c r="GDZ223" s="73"/>
      <c r="GEA223" s="73"/>
      <c r="GEB223" s="73"/>
      <c r="GEC223" s="73"/>
      <c r="GED223" s="73"/>
      <c r="GEE223" s="73"/>
      <c r="GEF223" s="73"/>
      <c r="GEG223" s="73"/>
      <c r="GEH223" s="73"/>
      <c r="GEI223" s="73"/>
      <c r="GEJ223" s="73"/>
      <c r="GEK223" s="73"/>
      <c r="GEL223" s="73"/>
      <c r="GEM223" s="73"/>
      <c r="GEN223" s="73"/>
      <c r="GEO223" s="73"/>
      <c r="GEP223" s="73"/>
      <c r="GEQ223" s="73"/>
      <c r="GER223" s="73"/>
      <c r="GES223" s="73"/>
      <c r="GET223" s="73"/>
      <c r="GEU223" s="73"/>
      <c r="GEV223" s="73"/>
      <c r="GEW223" s="73"/>
      <c r="GEX223" s="73"/>
      <c r="GEY223" s="73"/>
      <c r="GEZ223" s="73"/>
      <c r="GFA223" s="73"/>
      <c r="GFB223" s="73"/>
      <c r="GFC223" s="73"/>
      <c r="GFD223" s="73"/>
      <c r="GFE223" s="73"/>
      <c r="GFF223" s="73"/>
      <c r="GFG223" s="73"/>
      <c r="GFH223" s="73"/>
      <c r="GFI223" s="73"/>
      <c r="GFJ223" s="73"/>
      <c r="GFK223" s="73"/>
      <c r="GFL223" s="73"/>
      <c r="GFM223" s="73"/>
      <c r="GFN223" s="73"/>
      <c r="GFO223" s="73"/>
      <c r="GFP223" s="73"/>
      <c r="GFQ223" s="73"/>
      <c r="GFR223" s="73"/>
      <c r="GFS223" s="73"/>
      <c r="GFT223" s="73"/>
      <c r="GFU223" s="73"/>
      <c r="GFV223" s="73"/>
      <c r="GFW223" s="73"/>
      <c r="GFX223" s="73"/>
      <c r="GFY223" s="73"/>
      <c r="GFZ223" s="73"/>
      <c r="GGA223" s="73"/>
      <c r="GGB223" s="73"/>
      <c r="GGC223" s="73"/>
      <c r="GGD223" s="73"/>
      <c r="GGE223" s="73"/>
      <c r="GGF223" s="73"/>
      <c r="GGG223" s="73"/>
      <c r="GGH223" s="73"/>
      <c r="GGI223" s="73"/>
      <c r="GGJ223" s="73"/>
      <c r="GGK223" s="73"/>
      <c r="GGL223" s="73"/>
      <c r="GGM223" s="73"/>
      <c r="GGN223" s="73"/>
      <c r="GGO223" s="73"/>
      <c r="GGP223" s="73"/>
      <c r="GGQ223" s="73"/>
      <c r="GGR223" s="73"/>
      <c r="GGS223" s="73"/>
      <c r="GGT223" s="73"/>
      <c r="GGU223" s="73"/>
      <c r="GGV223" s="73"/>
      <c r="GGW223" s="73"/>
      <c r="GGX223" s="73"/>
      <c r="GGY223" s="73"/>
      <c r="GGZ223" s="73"/>
      <c r="GHA223" s="73"/>
      <c r="GHB223" s="73"/>
      <c r="GHC223" s="73"/>
      <c r="GHD223" s="73"/>
      <c r="GHE223" s="73"/>
      <c r="GHF223" s="73"/>
      <c r="GHG223" s="73"/>
      <c r="GHH223" s="73"/>
      <c r="GHI223" s="73"/>
      <c r="GHJ223" s="73"/>
      <c r="GHK223" s="73"/>
      <c r="GHL223" s="73"/>
      <c r="GHM223" s="73"/>
      <c r="GHN223" s="73"/>
      <c r="GHO223" s="73"/>
      <c r="GHP223" s="73"/>
      <c r="GHQ223" s="73"/>
      <c r="GHR223" s="73"/>
      <c r="GHS223" s="73"/>
      <c r="GHT223" s="73"/>
      <c r="GHU223" s="73"/>
      <c r="GHV223" s="73"/>
      <c r="GHW223" s="73"/>
      <c r="GHX223" s="73"/>
      <c r="GHY223" s="73"/>
      <c r="GHZ223" s="73"/>
      <c r="GIA223" s="73"/>
      <c r="GIB223" s="73"/>
      <c r="GIC223" s="73"/>
      <c r="GID223" s="73"/>
      <c r="GIE223" s="73"/>
      <c r="GIF223" s="73"/>
      <c r="GIG223" s="73"/>
      <c r="GIH223" s="73"/>
      <c r="GII223" s="73"/>
      <c r="GIJ223" s="73"/>
      <c r="GIK223" s="73"/>
      <c r="GIL223" s="73"/>
      <c r="GIM223" s="73"/>
      <c r="GIN223" s="73"/>
      <c r="GIO223" s="73"/>
      <c r="GIP223" s="73"/>
      <c r="GIQ223" s="73"/>
      <c r="GIR223" s="73"/>
      <c r="GIS223" s="73"/>
      <c r="GIT223" s="73"/>
      <c r="GIU223" s="73"/>
      <c r="GIV223" s="73"/>
      <c r="GIW223" s="73"/>
      <c r="GIX223" s="73"/>
      <c r="GIY223" s="73"/>
      <c r="GIZ223" s="73"/>
      <c r="GJA223" s="73"/>
      <c r="GJB223" s="73"/>
      <c r="GJC223" s="73"/>
      <c r="GJD223" s="73"/>
      <c r="GJE223" s="73"/>
      <c r="GJF223" s="73"/>
      <c r="GJG223" s="73"/>
      <c r="GJH223" s="73"/>
      <c r="GJI223" s="73"/>
      <c r="GJJ223" s="73"/>
      <c r="GJK223" s="73"/>
      <c r="GJL223" s="73"/>
      <c r="GJM223" s="73"/>
      <c r="GJN223" s="73"/>
      <c r="GJO223" s="73"/>
      <c r="GJP223" s="73"/>
      <c r="GJQ223" s="73"/>
      <c r="GJR223" s="73"/>
      <c r="GJS223" s="73"/>
      <c r="GJT223" s="73"/>
      <c r="GJU223" s="73"/>
      <c r="GJV223" s="73"/>
      <c r="GJW223" s="73"/>
      <c r="GJX223" s="73"/>
      <c r="GJY223" s="73"/>
      <c r="GJZ223" s="73"/>
      <c r="GKA223" s="73"/>
      <c r="GKB223" s="73"/>
      <c r="GKC223" s="73"/>
      <c r="GKD223" s="73"/>
      <c r="GKE223" s="73"/>
      <c r="GKF223" s="73"/>
      <c r="GKG223" s="73"/>
      <c r="GKH223" s="73"/>
      <c r="GKI223" s="73"/>
      <c r="GKJ223" s="73"/>
      <c r="GKK223" s="73"/>
      <c r="GKL223" s="73"/>
      <c r="GKM223" s="73"/>
      <c r="GKN223" s="73"/>
      <c r="GKO223" s="73"/>
      <c r="GKP223" s="73"/>
      <c r="GKQ223" s="73"/>
      <c r="GKR223" s="73"/>
      <c r="GKS223" s="73"/>
      <c r="GKT223" s="73"/>
      <c r="GKU223" s="73"/>
      <c r="GKV223" s="73"/>
      <c r="GKW223" s="73"/>
      <c r="GKX223" s="73"/>
      <c r="GKY223" s="73"/>
      <c r="GKZ223" s="73"/>
      <c r="GLA223" s="73"/>
      <c r="GLB223" s="73"/>
      <c r="GLC223" s="73"/>
      <c r="GLD223" s="73"/>
      <c r="GLE223" s="73"/>
      <c r="GLF223" s="73"/>
      <c r="GLG223" s="73"/>
      <c r="GLH223" s="73"/>
      <c r="GLI223" s="73"/>
      <c r="GLJ223" s="73"/>
      <c r="GLK223" s="73"/>
      <c r="GLL223" s="73"/>
      <c r="GLM223" s="73"/>
      <c r="GLN223" s="73"/>
      <c r="GLO223" s="73"/>
      <c r="GLP223" s="73"/>
      <c r="GLQ223" s="73"/>
      <c r="GLR223" s="73"/>
      <c r="GLS223" s="73"/>
      <c r="GLT223" s="73"/>
      <c r="GLU223" s="73"/>
      <c r="GLV223" s="73"/>
      <c r="GLW223" s="73"/>
      <c r="GLX223" s="73"/>
      <c r="GLY223" s="73"/>
      <c r="GLZ223" s="73"/>
      <c r="GMA223" s="73"/>
      <c r="GMB223" s="73"/>
      <c r="GMC223" s="73"/>
      <c r="GMD223" s="73"/>
      <c r="GME223" s="73"/>
      <c r="GMF223" s="73"/>
      <c r="GMG223" s="73"/>
      <c r="GMH223" s="73"/>
      <c r="GMI223" s="73"/>
      <c r="GMJ223" s="73"/>
      <c r="GMK223" s="73"/>
      <c r="GML223" s="73"/>
      <c r="GMM223" s="73"/>
      <c r="GMN223" s="73"/>
      <c r="GMO223" s="73"/>
      <c r="GMP223" s="73"/>
      <c r="GMQ223" s="73"/>
      <c r="GMR223" s="73"/>
      <c r="GMS223" s="73"/>
      <c r="GMT223" s="73"/>
      <c r="GMU223" s="73"/>
      <c r="GMV223" s="73"/>
      <c r="GMW223" s="73"/>
      <c r="GMX223" s="73"/>
      <c r="GMY223" s="73"/>
      <c r="GMZ223" s="73"/>
      <c r="GNA223" s="73"/>
      <c r="GNB223" s="73"/>
      <c r="GNC223" s="73"/>
      <c r="GND223" s="73"/>
      <c r="GNE223" s="73"/>
      <c r="GNF223" s="73"/>
      <c r="GNG223" s="73"/>
      <c r="GNH223" s="73"/>
      <c r="GNI223" s="73"/>
      <c r="GNJ223" s="73"/>
      <c r="GNK223" s="73"/>
      <c r="GNL223" s="73"/>
      <c r="GNM223" s="73"/>
      <c r="GNN223" s="73"/>
      <c r="GNO223" s="73"/>
      <c r="GNP223" s="73"/>
      <c r="GNQ223" s="73"/>
      <c r="GNR223" s="73"/>
      <c r="GNS223" s="73"/>
      <c r="GNT223" s="73"/>
      <c r="GNU223" s="73"/>
      <c r="GNV223" s="73"/>
      <c r="GNW223" s="73"/>
      <c r="GNX223" s="73"/>
      <c r="GNY223" s="73"/>
      <c r="GNZ223" s="73"/>
      <c r="GOA223" s="73"/>
      <c r="GOB223" s="73"/>
      <c r="GOC223" s="73"/>
      <c r="GOD223" s="73"/>
      <c r="GOE223" s="73"/>
      <c r="GOF223" s="73"/>
      <c r="GOG223" s="73"/>
      <c r="GOH223" s="73"/>
      <c r="GOI223" s="73"/>
      <c r="GOJ223" s="73"/>
      <c r="GOK223" s="73"/>
      <c r="GOL223" s="73"/>
      <c r="GOM223" s="73"/>
      <c r="GON223" s="73"/>
      <c r="GOO223" s="73"/>
      <c r="GOP223" s="73"/>
      <c r="GOQ223" s="73"/>
      <c r="GOR223" s="73"/>
      <c r="GOS223" s="73"/>
      <c r="GOT223" s="73"/>
      <c r="GOU223" s="73"/>
      <c r="GOV223" s="73"/>
      <c r="GOW223" s="73"/>
      <c r="GOX223" s="73"/>
      <c r="GOY223" s="73"/>
      <c r="GOZ223" s="73"/>
      <c r="GPA223" s="73"/>
      <c r="GPB223" s="73"/>
      <c r="GPC223" s="73"/>
      <c r="GPD223" s="73"/>
      <c r="GPE223" s="73"/>
      <c r="GPF223" s="73"/>
      <c r="GPG223" s="73"/>
      <c r="GPH223" s="73"/>
      <c r="GPI223" s="73"/>
      <c r="GPJ223" s="73"/>
      <c r="GPK223" s="73"/>
      <c r="GPL223" s="73"/>
      <c r="GPM223" s="73"/>
      <c r="GPN223" s="73"/>
      <c r="GPO223" s="73"/>
      <c r="GPP223" s="73"/>
      <c r="GPQ223" s="73"/>
      <c r="GPR223" s="73"/>
      <c r="GPS223" s="73"/>
      <c r="GPT223" s="73"/>
      <c r="GPU223" s="73"/>
      <c r="GPV223" s="73"/>
      <c r="GPW223" s="73"/>
      <c r="GPX223" s="73"/>
      <c r="GPY223" s="73"/>
      <c r="GPZ223" s="73"/>
      <c r="GQA223" s="73"/>
      <c r="GQB223" s="73"/>
      <c r="GQC223" s="73"/>
      <c r="GQD223" s="73"/>
      <c r="GQE223" s="73"/>
      <c r="GQF223" s="73"/>
      <c r="GQG223" s="73"/>
      <c r="GQH223" s="73"/>
      <c r="GQI223" s="73"/>
      <c r="GQJ223" s="73"/>
      <c r="GQK223" s="73"/>
      <c r="GQL223" s="73"/>
      <c r="GQM223" s="73"/>
      <c r="GQN223" s="73"/>
      <c r="GQO223" s="73"/>
      <c r="GQP223" s="73"/>
      <c r="GQQ223" s="73"/>
      <c r="GQR223" s="73"/>
      <c r="GQS223" s="73"/>
      <c r="GQT223" s="73"/>
      <c r="GQU223" s="73"/>
      <c r="GQV223" s="73"/>
      <c r="GQW223" s="73"/>
      <c r="GQX223" s="73"/>
      <c r="GQY223" s="73"/>
      <c r="GQZ223" s="73"/>
      <c r="GRA223" s="73"/>
      <c r="GRB223" s="73"/>
      <c r="GRC223" s="73"/>
      <c r="GRD223" s="73"/>
      <c r="GRE223" s="73"/>
      <c r="GRF223" s="73"/>
      <c r="GRG223" s="73"/>
      <c r="GRH223" s="73"/>
      <c r="GRI223" s="73"/>
      <c r="GRJ223" s="73"/>
      <c r="GRK223" s="73"/>
      <c r="GRL223" s="73"/>
      <c r="GRM223" s="73"/>
      <c r="GRN223" s="73"/>
      <c r="GRO223" s="73"/>
      <c r="GRP223" s="73"/>
      <c r="GRQ223" s="73"/>
      <c r="GRR223" s="73"/>
      <c r="GRS223" s="73"/>
      <c r="GRT223" s="73"/>
      <c r="GRU223" s="73"/>
      <c r="GRV223" s="73"/>
      <c r="GRW223" s="73"/>
      <c r="GRX223" s="73"/>
      <c r="GRY223" s="73"/>
      <c r="GRZ223" s="73"/>
      <c r="GSA223" s="73"/>
      <c r="GSB223" s="73"/>
      <c r="GSC223" s="73"/>
      <c r="GSD223" s="73"/>
      <c r="GSE223" s="73"/>
      <c r="GSF223" s="73"/>
      <c r="GSG223" s="73"/>
      <c r="GSH223" s="73"/>
      <c r="GSI223" s="73"/>
      <c r="GSJ223" s="73"/>
      <c r="GSK223" s="73"/>
      <c r="GSL223" s="73"/>
      <c r="GSM223" s="73"/>
      <c r="GSN223" s="73"/>
      <c r="GSO223" s="73"/>
      <c r="GSP223" s="73"/>
      <c r="GSQ223" s="73"/>
      <c r="GSR223" s="73"/>
      <c r="GSS223" s="73"/>
      <c r="GST223" s="73"/>
      <c r="GSU223" s="73"/>
      <c r="GSV223" s="73"/>
      <c r="GSW223" s="73"/>
      <c r="GSX223" s="73"/>
      <c r="GSY223" s="73"/>
      <c r="GSZ223" s="73"/>
      <c r="GTA223" s="73"/>
      <c r="GTB223" s="73"/>
      <c r="GTC223" s="73"/>
      <c r="GTD223" s="73"/>
      <c r="GTE223" s="73"/>
      <c r="GTF223" s="73"/>
      <c r="GTG223" s="73"/>
      <c r="GTH223" s="73"/>
      <c r="GTI223" s="73"/>
      <c r="GTJ223" s="73"/>
      <c r="GTK223" s="73"/>
      <c r="GTL223" s="73"/>
      <c r="GTM223" s="73"/>
      <c r="GTN223" s="73"/>
      <c r="GTO223" s="73"/>
      <c r="GTP223" s="73"/>
      <c r="GTQ223" s="73"/>
      <c r="GTR223" s="73"/>
      <c r="GTS223" s="73"/>
      <c r="GTT223" s="73"/>
      <c r="GTU223" s="73"/>
      <c r="GTV223" s="73"/>
      <c r="GTW223" s="73"/>
      <c r="GTX223" s="73"/>
      <c r="GTY223" s="73"/>
      <c r="GTZ223" s="73"/>
      <c r="GUA223" s="73"/>
      <c r="GUB223" s="73"/>
      <c r="GUC223" s="73"/>
      <c r="GUD223" s="73"/>
      <c r="GUE223" s="73"/>
      <c r="GUF223" s="73"/>
      <c r="GUG223" s="73"/>
      <c r="GUH223" s="73"/>
      <c r="GUI223" s="73"/>
      <c r="GUJ223" s="73"/>
      <c r="GUK223" s="73"/>
      <c r="GUL223" s="73"/>
      <c r="GUM223" s="73"/>
      <c r="GUN223" s="73"/>
      <c r="GUO223" s="73"/>
      <c r="GUP223" s="73"/>
      <c r="GUQ223" s="73"/>
      <c r="GUR223" s="73"/>
      <c r="GUS223" s="73"/>
      <c r="GUT223" s="73"/>
      <c r="GUU223" s="73"/>
      <c r="GUV223" s="73"/>
      <c r="GUW223" s="73"/>
      <c r="GUX223" s="73"/>
      <c r="GUY223" s="73"/>
      <c r="GUZ223" s="73"/>
      <c r="GVA223" s="73"/>
      <c r="GVB223" s="73"/>
      <c r="GVC223" s="73"/>
      <c r="GVD223" s="73"/>
      <c r="GVE223" s="73"/>
      <c r="GVF223" s="73"/>
      <c r="GVG223" s="73"/>
      <c r="GVH223" s="73"/>
      <c r="GVI223" s="73"/>
      <c r="GVJ223" s="73"/>
      <c r="GVK223" s="73"/>
      <c r="GVL223" s="73"/>
      <c r="GVM223" s="73"/>
      <c r="GVN223" s="73"/>
      <c r="GVO223" s="73"/>
      <c r="GVP223" s="73"/>
      <c r="GVQ223" s="73"/>
      <c r="GVR223" s="73"/>
      <c r="GVS223" s="73"/>
      <c r="GVT223" s="73"/>
      <c r="GVU223" s="73"/>
      <c r="GVV223" s="73"/>
      <c r="GVW223" s="73"/>
      <c r="GVX223" s="73"/>
      <c r="GVY223" s="73"/>
      <c r="GVZ223" s="73"/>
      <c r="GWA223" s="73"/>
      <c r="GWB223" s="73"/>
      <c r="GWC223" s="73"/>
      <c r="GWD223" s="73"/>
      <c r="GWE223" s="73"/>
      <c r="GWF223" s="73"/>
      <c r="GWG223" s="73"/>
      <c r="GWH223" s="73"/>
      <c r="GWI223" s="73"/>
      <c r="GWJ223" s="73"/>
      <c r="GWK223" s="73"/>
      <c r="GWL223" s="73"/>
      <c r="GWM223" s="73"/>
      <c r="GWN223" s="73"/>
      <c r="GWO223" s="73"/>
      <c r="GWP223" s="73"/>
      <c r="GWQ223" s="73"/>
      <c r="GWR223" s="73"/>
      <c r="GWS223" s="73"/>
      <c r="GWT223" s="73"/>
      <c r="GWU223" s="73"/>
      <c r="GWV223" s="73"/>
      <c r="GWW223" s="73"/>
      <c r="GWX223" s="73"/>
      <c r="GWY223" s="73"/>
      <c r="GWZ223" s="73"/>
      <c r="GXA223" s="73"/>
      <c r="GXB223" s="73"/>
      <c r="GXC223" s="73"/>
      <c r="GXD223" s="73"/>
      <c r="GXE223" s="73"/>
      <c r="GXF223" s="73"/>
      <c r="GXG223" s="73"/>
      <c r="GXH223" s="73"/>
      <c r="GXI223" s="73"/>
      <c r="GXJ223" s="73"/>
      <c r="GXK223" s="73"/>
      <c r="GXL223" s="73"/>
      <c r="GXM223" s="73"/>
      <c r="GXN223" s="73"/>
      <c r="GXO223" s="73"/>
      <c r="GXP223" s="73"/>
      <c r="GXQ223" s="73"/>
      <c r="GXR223" s="73"/>
      <c r="GXS223" s="73"/>
      <c r="GXT223" s="73"/>
      <c r="GXU223" s="73"/>
      <c r="GXV223" s="73"/>
      <c r="GXW223" s="73"/>
      <c r="GXX223" s="73"/>
      <c r="GXY223" s="73"/>
      <c r="GXZ223" s="73"/>
      <c r="GYA223" s="73"/>
      <c r="GYB223" s="73"/>
      <c r="GYC223" s="73"/>
      <c r="GYD223" s="73"/>
      <c r="GYE223" s="73"/>
      <c r="GYF223" s="73"/>
      <c r="GYG223" s="73"/>
      <c r="GYH223" s="73"/>
      <c r="GYI223" s="73"/>
      <c r="GYJ223" s="73"/>
      <c r="GYK223" s="73"/>
      <c r="GYL223" s="73"/>
      <c r="GYM223" s="73"/>
      <c r="GYN223" s="73"/>
      <c r="GYO223" s="73"/>
      <c r="GYP223" s="73"/>
      <c r="GYQ223" s="73"/>
      <c r="GYR223" s="73"/>
      <c r="GYS223" s="73"/>
      <c r="GYT223" s="73"/>
      <c r="GYU223" s="73"/>
      <c r="GYV223" s="73"/>
      <c r="GYW223" s="73"/>
      <c r="GYX223" s="73"/>
      <c r="GYY223" s="73"/>
      <c r="GYZ223" s="73"/>
      <c r="GZA223" s="73"/>
      <c r="GZB223" s="73"/>
      <c r="GZC223" s="73"/>
      <c r="GZD223" s="73"/>
      <c r="GZE223" s="73"/>
      <c r="GZF223" s="73"/>
      <c r="GZG223" s="73"/>
      <c r="GZH223" s="73"/>
      <c r="GZI223" s="73"/>
      <c r="GZJ223" s="73"/>
      <c r="GZK223" s="73"/>
      <c r="GZL223" s="73"/>
      <c r="GZM223" s="73"/>
      <c r="GZN223" s="73"/>
      <c r="GZO223" s="73"/>
      <c r="GZP223" s="73"/>
      <c r="GZQ223" s="73"/>
      <c r="GZR223" s="73"/>
      <c r="GZS223" s="73"/>
      <c r="GZT223" s="73"/>
      <c r="GZU223" s="73"/>
      <c r="GZV223" s="73"/>
      <c r="GZW223" s="73"/>
      <c r="GZX223" s="73"/>
      <c r="GZY223" s="73"/>
      <c r="GZZ223" s="73"/>
      <c r="HAA223" s="73"/>
      <c r="HAB223" s="73"/>
      <c r="HAC223" s="73"/>
      <c r="HAD223" s="73"/>
      <c r="HAE223" s="73"/>
      <c r="HAF223" s="73"/>
      <c r="HAG223" s="73"/>
      <c r="HAH223" s="73"/>
      <c r="HAI223" s="73"/>
      <c r="HAJ223" s="73"/>
      <c r="HAK223" s="73"/>
      <c r="HAL223" s="73"/>
      <c r="HAM223" s="73"/>
      <c r="HAN223" s="73"/>
      <c r="HAO223" s="73"/>
      <c r="HAP223" s="73"/>
      <c r="HAQ223" s="73"/>
      <c r="HAR223" s="73"/>
      <c r="HAS223" s="73"/>
      <c r="HAT223" s="73"/>
      <c r="HAU223" s="73"/>
      <c r="HAV223" s="73"/>
      <c r="HAW223" s="73"/>
      <c r="HAX223" s="73"/>
      <c r="HAY223" s="73"/>
      <c r="HAZ223" s="73"/>
      <c r="HBA223" s="73"/>
      <c r="HBB223" s="73"/>
      <c r="HBC223" s="73"/>
      <c r="HBD223" s="73"/>
      <c r="HBE223" s="73"/>
      <c r="HBF223" s="73"/>
      <c r="HBG223" s="73"/>
      <c r="HBH223" s="73"/>
      <c r="HBI223" s="73"/>
      <c r="HBJ223" s="73"/>
      <c r="HBK223" s="73"/>
      <c r="HBL223" s="73"/>
      <c r="HBM223" s="73"/>
      <c r="HBN223" s="73"/>
      <c r="HBO223" s="73"/>
      <c r="HBP223" s="73"/>
      <c r="HBQ223" s="73"/>
      <c r="HBR223" s="73"/>
      <c r="HBS223" s="73"/>
      <c r="HBT223" s="73"/>
      <c r="HBU223" s="73"/>
      <c r="HBV223" s="73"/>
      <c r="HBW223" s="73"/>
      <c r="HBX223" s="73"/>
      <c r="HBY223" s="73"/>
      <c r="HBZ223" s="73"/>
      <c r="HCA223" s="73"/>
      <c r="HCB223" s="73"/>
      <c r="HCC223" s="73"/>
      <c r="HCD223" s="73"/>
      <c r="HCE223" s="73"/>
      <c r="HCF223" s="73"/>
      <c r="HCG223" s="73"/>
      <c r="HCH223" s="73"/>
      <c r="HCI223" s="73"/>
      <c r="HCJ223" s="73"/>
      <c r="HCK223" s="73"/>
      <c r="HCL223" s="73"/>
      <c r="HCM223" s="73"/>
      <c r="HCN223" s="73"/>
      <c r="HCO223" s="73"/>
      <c r="HCP223" s="73"/>
      <c r="HCQ223" s="73"/>
      <c r="HCR223" s="73"/>
      <c r="HCS223" s="73"/>
      <c r="HCT223" s="73"/>
      <c r="HCU223" s="73"/>
      <c r="HCV223" s="73"/>
      <c r="HCW223" s="73"/>
      <c r="HCX223" s="73"/>
      <c r="HCY223" s="73"/>
      <c r="HCZ223" s="73"/>
      <c r="HDA223" s="73"/>
      <c r="HDB223" s="73"/>
      <c r="HDC223" s="73"/>
      <c r="HDD223" s="73"/>
      <c r="HDE223" s="73"/>
      <c r="HDF223" s="73"/>
      <c r="HDG223" s="73"/>
      <c r="HDH223" s="73"/>
      <c r="HDI223" s="73"/>
      <c r="HDJ223" s="73"/>
      <c r="HDK223" s="73"/>
      <c r="HDL223" s="73"/>
      <c r="HDM223" s="73"/>
      <c r="HDN223" s="73"/>
      <c r="HDO223" s="73"/>
      <c r="HDP223" s="73"/>
      <c r="HDQ223" s="73"/>
      <c r="HDR223" s="73"/>
      <c r="HDS223" s="73"/>
      <c r="HDT223" s="73"/>
      <c r="HDU223" s="73"/>
      <c r="HDV223" s="73"/>
      <c r="HDW223" s="73"/>
      <c r="HDX223" s="73"/>
      <c r="HDY223" s="73"/>
      <c r="HDZ223" s="73"/>
      <c r="HEA223" s="73"/>
      <c r="HEB223" s="73"/>
      <c r="HEC223" s="73"/>
      <c r="HED223" s="73"/>
      <c r="HEE223" s="73"/>
      <c r="HEF223" s="73"/>
      <c r="HEG223" s="73"/>
      <c r="HEH223" s="73"/>
      <c r="HEI223" s="73"/>
      <c r="HEJ223" s="73"/>
      <c r="HEK223" s="73"/>
      <c r="HEL223" s="73"/>
      <c r="HEM223" s="73"/>
      <c r="HEN223" s="73"/>
      <c r="HEO223" s="73"/>
      <c r="HEP223" s="73"/>
      <c r="HEQ223" s="73"/>
      <c r="HER223" s="73"/>
      <c r="HES223" s="73"/>
      <c r="HET223" s="73"/>
      <c r="HEU223" s="73"/>
      <c r="HEV223" s="73"/>
      <c r="HEW223" s="73"/>
      <c r="HEX223" s="73"/>
      <c r="HEY223" s="73"/>
      <c r="HEZ223" s="73"/>
      <c r="HFA223" s="73"/>
      <c r="HFB223" s="73"/>
      <c r="HFC223" s="73"/>
      <c r="HFD223" s="73"/>
      <c r="HFE223" s="73"/>
      <c r="HFF223" s="73"/>
      <c r="HFG223" s="73"/>
      <c r="HFH223" s="73"/>
      <c r="HFI223" s="73"/>
      <c r="HFJ223" s="73"/>
      <c r="HFK223" s="73"/>
      <c r="HFL223" s="73"/>
      <c r="HFM223" s="73"/>
      <c r="HFN223" s="73"/>
      <c r="HFO223" s="73"/>
      <c r="HFP223" s="73"/>
      <c r="HFQ223" s="73"/>
      <c r="HFR223" s="73"/>
      <c r="HFS223" s="73"/>
      <c r="HFT223" s="73"/>
      <c r="HFU223" s="73"/>
      <c r="HFV223" s="73"/>
      <c r="HFW223" s="73"/>
      <c r="HFX223" s="73"/>
      <c r="HFY223" s="73"/>
      <c r="HFZ223" s="73"/>
      <c r="HGA223" s="73"/>
      <c r="HGB223" s="73"/>
      <c r="HGC223" s="73"/>
      <c r="HGD223" s="73"/>
      <c r="HGE223" s="73"/>
      <c r="HGF223" s="73"/>
      <c r="HGG223" s="73"/>
      <c r="HGH223" s="73"/>
      <c r="HGI223" s="73"/>
      <c r="HGJ223" s="73"/>
      <c r="HGK223" s="73"/>
      <c r="HGL223" s="73"/>
      <c r="HGM223" s="73"/>
      <c r="HGN223" s="73"/>
      <c r="HGO223" s="73"/>
      <c r="HGP223" s="73"/>
      <c r="HGQ223" s="73"/>
      <c r="HGR223" s="73"/>
      <c r="HGS223" s="73"/>
      <c r="HGT223" s="73"/>
      <c r="HGU223" s="73"/>
      <c r="HGV223" s="73"/>
      <c r="HGW223" s="73"/>
      <c r="HGX223" s="73"/>
      <c r="HGY223" s="73"/>
      <c r="HGZ223" s="73"/>
      <c r="HHA223" s="73"/>
      <c r="HHB223" s="73"/>
      <c r="HHC223" s="73"/>
      <c r="HHD223" s="73"/>
      <c r="HHE223" s="73"/>
      <c r="HHF223" s="73"/>
      <c r="HHG223" s="73"/>
      <c r="HHH223" s="73"/>
      <c r="HHI223" s="73"/>
      <c r="HHJ223" s="73"/>
      <c r="HHK223" s="73"/>
      <c r="HHL223" s="73"/>
      <c r="HHM223" s="73"/>
      <c r="HHN223" s="73"/>
      <c r="HHO223" s="73"/>
      <c r="HHP223" s="73"/>
      <c r="HHQ223" s="73"/>
      <c r="HHR223" s="73"/>
      <c r="HHS223" s="73"/>
      <c r="HHT223" s="73"/>
      <c r="HHU223" s="73"/>
      <c r="HHV223" s="73"/>
      <c r="HHW223" s="73"/>
      <c r="HHX223" s="73"/>
      <c r="HHY223" s="73"/>
      <c r="HHZ223" s="73"/>
      <c r="HIA223" s="73"/>
      <c r="HIB223" s="73"/>
      <c r="HIC223" s="73"/>
      <c r="HID223" s="73"/>
      <c r="HIE223" s="73"/>
      <c r="HIF223" s="73"/>
      <c r="HIG223" s="73"/>
      <c r="HIH223" s="73"/>
      <c r="HII223" s="73"/>
      <c r="HIJ223" s="73"/>
      <c r="HIK223" s="73"/>
      <c r="HIL223" s="73"/>
      <c r="HIM223" s="73"/>
      <c r="HIN223" s="73"/>
      <c r="HIO223" s="73"/>
      <c r="HIP223" s="73"/>
      <c r="HIQ223" s="73"/>
      <c r="HIR223" s="73"/>
      <c r="HIS223" s="73"/>
      <c r="HIT223" s="73"/>
      <c r="HIU223" s="73"/>
      <c r="HIV223" s="73"/>
      <c r="HIW223" s="73"/>
      <c r="HIX223" s="73"/>
      <c r="HIY223" s="73"/>
      <c r="HIZ223" s="73"/>
      <c r="HJA223" s="73"/>
      <c r="HJB223" s="73"/>
      <c r="HJC223" s="73"/>
      <c r="HJD223" s="73"/>
      <c r="HJE223" s="73"/>
      <c r="HJF223" s="73"/>
      <c r="HJG223" s="73"/>
      <c r="HJH223" s="73"/>
      <c r="HJI223" s="73"/>
      <c r="HJJ223" s="73"/>
      <c r="HJK223" s="73"/>
      <c r="HJL223" s="73"/>
      <c r="HJM223" s="73"/>
      <c r="HJN223" s="73"/>
      <c r="HJO223" s="73"/>
      <c r="HJP223" s="73"/>
      <c r="HJQ223" s="73"/>
      <c r="HJR223" s="73"/>
      <c r="HJS223" s="73"/>
      <c r="HJT223" s="73"/>
      <c r="HJU223" s="73"/>
      <c r="HJV223" s="73"/>
      <c r="HJW223" s="73"/>
      <c r="HJX223" s="73"/>
      <c r="HJY223" s="73"/>
      <c r="HJZ223" s="73"/>
      <c r="HKA223" s="73"/>
      <c r="HKB223" s="73"/>
      <c r="HKC223" s="73"/>
      <c r="HKD223" s="73"/>
      <c r="HKE223" s="73"/>
      <c r="HKF223" s="73"/>
      <c r="HKG223" s="73"/>
      <c r="HKH223" s="73"/>
      <c r="HKI223" s="73"/>
      <c r="HKJ223" s="73"/>
      <c r="HKK223" s="73"/>
      <c r="HKL223" s="73"/>
      <c r="HKM223" s="73"/>
      <c r="HKN223" s="73"/>
      <c r="HKO223" s="73"/>
      <c r="HKP223" s="73"/>
      <c r="HKQ223" s="73"/>
      <c r="HKR223" s="73"/>
      <c r="HKS223" s="73"/>
      <c r="HKT223" s="73"/>
      <c r="HKU223" s="73"/>
      <c r="HKV223" s="73"/>
      <c r="HKW223" s="73"/>
      <c r="HKX223" s="73"/>
      <c r="HKY223" s="73"/>
      <c r="HKZ223" s="73"/>
      <c r="HLA223" s="73"/>
      <c r="HLB223" s="73"/>
      <c r="HLC223" s="73"/>
      <c r="HLD223" s="73"/>
      <c r="HLE223" s="73"/>
      <c r="HLF223" s="73"/>
      <c r="HLG223" s="73"/>
      <c r="HLH223" s="73"/>
      <c r="HLI223" s="73"/>
      <c r="HLJ223" s="73"/>
      <c r="HLK223" s="73"/>
      <c r="HLL223" s="73"/>
      <c r="HLM223" s="73"/>
      <c r="HLN223" s="73"/>
      <c r="HLO223" s="73"/>
      <c r="HLP223" s="73"/>
      <c r="HLQ223" s="73"/>
      <c r="HLR223" s="73"/>
      <c r="HLS223" s="73"/>
      <c r="HLT223" s="73"/>
      <c r="HLU223" s="73"/>
      <c r="HLV223" s="73"/>
      <c r="HLW223" s="73"/>
      <c r="HLX223" s="73"/>
      <c r="HLY223" s="73"/>
      <c r="HLZ223" s="73"/>
      <c r="HMA223" s="73"/>
      <c r="HMB223" s="73"/>
      <c r="HMC223" s="73"/>
      <c r="HMD223" s="73"/>
      <c r="HME223" s="73"/>
      <c r="HMF223" s="73"/>
      <c r="HMG223" s="73"/>
      <c r="HMH223" s="73"/>
      <c r="HMI223" s="73"/>
      <c r="HMJ223" s="73"/>
      <c r="HMK223" s="73"/>
      <c r="HML223" s="73"/>
      <c r="HMM223" s="73"/>
      <c r="HMN223" s="73"/>
      <c r="HMO223" s="73"/>
      <c r="HMP223" s="73"/>
      <c r="HMQ223" s="73"/>
      <c r="HMR223" s="73"/>
      <c r="HMS223" s="73"/>
      <c r="HMT223" s="73"/>
      <c r="HMU223" s="73"/>
      <c r="HMV223" s="73"/>
      <c r="HMW223" s="73"/>
      <c r="HMX223" s="73"/>
      <c r="HMY223" s="73"/>
      <c r="HMZ223" s="73"/>
      <c r="HNA223" s="73"/>
      <c r="HNB223" s="73"/>
      <c r="HNC223" s="73"/>
      <c r="HND223" s="73"/>
      <c r="HNE223" s="73"/>
      <c r="HNF223" s="73"/>
      <c r="HNG223" s="73"/>
      <c r="HNH223" s="73"/>
      <c r="HNI223" s="73"/>
      <c r="HNJ223" s="73"/>
      <c r="HNK223" s="73"/>
      <c r="HNL223" s="73"/>
      <c r="HNM223" s="73"/>
      <c r="HNN223" s="73"/>
      <c r="HNO223" s="73"/>
      <c r="HNP223" s="73"/>
      <c r="HNQ223" s="73"/>
      <c r="HNR223" s="73"/>
      <c r="HNS223" s="73"/>
      <c r="HNT223" s="73"/>
      <c r="HNU223" s="73"/>
      <c r="HNV223" s="73"/>
      <c r="HNW223" s="73"/>
      <c r="HNX223" s="73"/>
      <c r="HNY223" s="73"/>
      <c r="HNZ223" s="73"/>
      <c r="HOA223" s="73"/>
      <c r="HOB223" s="73"/>
      <c r="HOC223" s="73"/>
      <c r="HOD223" s="73"/>
      <c r="HOE223" s="73"/>
      <c r="HOF223" s="73"/>
      <c r="HOG223" s="73"/>
      <c r="HOH223" s="73"/>
      <c r="HOI223" s="73"/>
      <c r="HOJ223" s="73"/>
      <c r="HOK223" s="73"/>
      <c r="HOL223" s="73"/>
      <c r="HOM223" s="73"/>
      <c r="HON223" s="73"/>
      <c r="HOO223" s="73"/>
      <c r="HOP223" s="73"/>
      <c r="HOQ223" s="73"/>
      <c r="HOR223" s="73"/>
      <c r="HOS223" s="73"/>
      <c r="HOT223" s="73"/>
      <c r="HOU223" s="73"/>
      <c r="HOV223" s="73"/>
      <c r="HOW223" s="73"/>
      <c r="HOX223" s="73"/>
      <c r="HOY223" s="73"/>
      <c r="HOZ223" s="73"/>
      <c r="HPA223" s="73"/>
      <c r="HPB223" s="73"/>
      <c r="HPC223" s="73"/>
      <c r="HPD223" s="73"/>
      <c r="HPE223" s="73"/>
      <c r="HPF223" s="73"/>
      <c r="HPG223" s="73"/>
      <c r="HPH223" s="73"/>
      <c r="HPI223" s="73"/>
      <c r="HPJ223" s="73"/>
      <c r="HPK223" s="73"/>
      <c r="HPL223" s="73"/>
      <c r="HPM223" s="73"/>
      <c r="HPN223" s="73"/>
      <c r="HPO223" s="73"/>
      <c r="HPP223" s="73"/>
      <c r="HPQ223" s="73"/>
      <c r="HPR223" s="73"/>
      <c r="HPS223" s="73"/>
      <c r="HPT223" s="73"/>
      <c r="HPU223" s="73"/>
      <c r="HPV223" s="73"/>
      <c r="HPW223" s="73"/>
      <c r="HPX223" s="73"/>
      <c r="HPY223" s="73"/>
      <c r="HPZ223" s="73"/>
      <c r="HQA223" s="73"/>
      <c r="HQB223" s="73"/>
      <c r="HQC223" s="73"/>
      <c r="HQD223" s="73"/>
      <c r="HQE223" s="73"/>
      <c r="HQF223" s="73"/>
      <c r="HQG223" s="73"/>
      <c r="HQH223" s="73"/>
      <c r="HQI223" s="73"/>
      <c r="HQJ223" s="73"/>
      <c r="HQK223" s="73"/>
      <c r="HQL223" s="73"/>
      <c r="HQM223" s="73"/>
      <c r="HQN223" s="73"/>
      <c r="HQO223" s="73"/>
      <c r="HQP223" s="73"/>
      <c r="HQQ223" s="73"/>
      <c r="HQR223" s="73"/>
      <c r="HQS223" s="73"/>
      <c r="HQT223" s="73"/>
      <c r="HQU223" s="73"/>
      <c r="HQV223" s="73"/>
      <c r="HQW223" s="73"/>
      <c r="HQX223" s="73"/>
      <c r="HQY223" s="73"/>
      <c r="HQZ223" s="73"/>
      <c r="HRA223" s="73"/>
      <c r="HRB223" s="73"/>
      <c r="HRC223" s="73"/>
      <c r="HRD223" s="73"/>
      <c r="HRE223" s="73"/>
      <c r="HRF223" s="73"/>
      <c r="HRG223" s="73"/>
      <c r="HRH223" s="73"/>
      <c r="HRI223" s="73"/>
      <c r="HRJ223" s="73"/>
      <c r="HRK223" s="73"/>
      <c r="HRL223" s="73"/>
      <c r="HRM223" s="73"/>
      <c r="HRN223" s="73"/>
      <c r="HRO223" s="73"/>
      <c r="HRP223" s="73"/>
      <c r="HRQ223" s="73"/>
      <c r="HRR223" s="73"/>
      <c r="HRS223" s="73"/>
      <c r="HRT223" s="73"/>
      <c r="HRU223" s="73"/>
      <c r="HRV223" s="73"/>
      <c r="HRW223" s="73"/>
      <c r="HRX223" s="73"/>
      <c r="HRY223" s="73"/>
      <c r="HRZ223" s="73"/>
      <c r="HSA223" s="73"/>
      <c r="HSB223" s="73"/>
      <c r="HSC223" s="73"/>
      <c r="HSD223" s="73"/>
      <c r="HSE223" s="73"/>
      <c r="HSF223" s="73"/>
      <c r="HSG223" s="73"/>
      <c r="HSH223" s="73"/>
      <c r="HSI223" s="73"/>
      <c r="HSJ223" s="73"/>
      <c r="HSK223" s="73"/>
      <c r="HSL223" s="73"/>
      <c r="HSM223" s="73"/>
      <c r="HSN223" s="73"/>
      <c r="HSO223" s="73"/>
      <c r="HSP223" s="73"/>
      <c r="HSQ223" s="73"/>
      <c r="HSR223" s="73"/>
      <c r="HSS223" s="73"/>
      <c r="HST223" s="73"/>
      <c r="HSU223" s="73"/>
      <c r="HSV223" s="73"/>
      <c r="HSW223" s="73"/>
      <c r="HSX223" s="73"/>
      <c r="HSY223" s="73"/>
      <c r="HSZ223" s="73"/>
      <c r="HTA223" s="73"/>
      <c r="HTB223" s="73"/>
      <c r="HTC223" s="73"/>
      <c r="HTD223" s="73"/>
      <c r="HTE223" s="73"/>
      <c r="HTF223" s="73"/>
      <c r="HTG223" s="73"/>
      <c r="HTH223" s="73"/>
      <c r="HTI223" s="73"/>
      <c r="HTJ223" s="73"/>
      <c r="HTK223" s="73"/>
      <c r="HTL223" s="73"/>
      <c r="HTM223" s="73"/>
      <c r="HTN223" s="73"/>
      <c r="HTO223" s="73"/>
      <c r="HTP223" s="73"/>
      <c r="HTQ223" s="73"/>
      <c r="HTR223" s="73"/>
      <c r="HTS223" s="73"/>
      <c r="HTT223" s="73"/>
      <c r="HTU223" s="73"/>
      <c r="HTV223" s="73"/>
      <c r="HTW223" s="73"/>
      <c r="HTX223" s="73"/>
      <c r="HTY223" s="73"/>
      <c r="HTZ223" s="73"/>
      <c r="HUA223" s="73"/>
      <c r="HUB223" s="73"/>
      <c r="HUC223" s="73"/>
      <c r="HUD223" s="73"/>
      <c r="HUE223" s="73"/>
      <c r="HUF223" s="73"/>
      <c r="HUG223" s="73"/>
      <c r="HUH223" s="73"/>
      <c r="HUI223" s="73"/>
      <c r="HUJ223" s="73"/>
      <c r="HUK223" s="73"/>
      <c r="HUL223" s="73"/>
      <c r="HUM223" s="73"/>
      <c r="HUN223" s="73"/>
      <c r="HUO223" s="73"/>
      <c r="HUP223" s="73"/>
      <c r="HUQ223" s="73"/>
      <c r="HUR223" s="73"/>
      <c r="HUS223" s="73"/>
      <c r="HUT223" s="73"/>
      <c r="HUU223" s="73"/>
      <c r="HUV223" s="73"/>
      <c r="HUW223" s="73"/>
      <c r="HUX223" s="73"/>
      <c r="HUY223" s="73"/>
      <c r="HUZ223" s="73"/>
      <c r="HVA223" s="73"/>
      <c r="HVB223" s="73"/>
      <c r="HVC223" s="73"/>
      <c r="HVD223" s="73"/>
      <c r="HVE223" s="73"/>
      <c r="HVF223" s="73"/>
      <c r="HVG223" s="73"/>
      <c r="HVH223" s="73"/>
      <c r="HVI223" s="73"/>
      <c r="HVJ223" s="73"/>
      <c r="HVK223" s="73"/>
      <c r="HVL223" s="73"/>
      <c r="HVM223" s="73"/>
      <c r="HVN223" s="73"/>
      <c r="HVO223" s="73"/>
      <c r="HVP223" s="73"/>
      <c r="HVQ223" s="73"/>
      <c r="HVR223" s="73"/>
      <c r="HVS223" s="73"/>
      <c r="HVT223" s="73"/>
      <c r="HVU223" s="73"/>
      <c r="HVV223" s="73"/>
      <c r="HVW223" s="73"/>
      <c r="HVX223" s="73"/>
      <c r="HVY223" s="73"/>
      <c r="HVZ223" s="73"/>
      <c r="HWA223" s="73"/>
      <c r="HWB223" s="73"/>
      <c r="HWC223" s="73"/>
      <c r="HWD223" s="73"/>
      <c r="HWE223" s="73"/>
      <c r="HWF223" s="73"/>
      <c r="HWG223" s="73"/>
      <c r="HWH223" s="73"/>
      <c r="HWI223" s="73"/>
      <c r="HWJ223" s="73"/>
      <c r="HWK223" s="73"/>
      <c r="HWL223" s="73"/>
      <c r="HWM223" s="73"/>
      <c r="HWN223" s="73"/>
      <c r="HWO223" s="73"/>
      <c r="HWP223" s="73"/>
      <c r="HWQ223" s="73"/>
      <c r="HWR223" s="73"/>
      <c r="HWS223" s="73"/>
      <c r="HWT223" s="73"/>
      <c r="HWU223" s="73"/>
      <c r="HWV223" s="73"/>
      <c r="HWW223" s="73"/>
      <c r="HWX223" s="73"/>
      <c r="HWY223" s="73"/>
      <c r="HWZ223" s="73"/>
      <c r="HXA223" s="73"/>
      <c r="HXB223" s="73"/>
      <c r="HXC223" s="73"/>
      <c r="HXD223" s="73"/>
      <c r="HXE223" s="73"/>
      <c r="HXF223" s="73"/>
      <c r="HXG223" s="73"/>
      <c r="HXH223" s="73"/>
      <c r="HXI223" s="73"/>
      <c r="HXJ223" s="73"/>
      <c r="HXK223" s="73"/>
      <c r="HXL223" s="73"/>
      <c r="HXM223" s="73"/>
      <c r="HXN223" s="73"/>
      <c r="HXO223" s="73"/>
      <c r="HXP223" s="73"/>
      <c r="HXQ223" s="73"/>
      <c r="HXR223" s="73"/>
      <c r="HXS223" s="73"/>
      <c r="HXT223" s="73"/>
      <c r="HXU223" s="73"/>
      <c r="HXV223" s="73"/>
      <c r="HXW223" s="73"/>
      <c r="HXX223" s="73"/>
      <c r="HXY223" s="73"/>
      <c r="HXZ223" s="73"/>
      <c r="HYA223" s="73"/>
      <c r="HYB223" s="73"/>
      <c r="HYC223" s="73"/>
      <c r="HYD223" s="73"/>
      <c r="HYE223" s="73"/>
      <c r="HYF223" s="73"/>
      <c r="HYG223" s="73"/>
      <c r="HYH223" s="73"/>
      <c r="HYI223" s="73"/>
      <c r="HYJ223" s="73"/>
      <c r="HYK223" s="73"/>
      <c r="HYL223" s="73"/>
      <c r="HYM223" s="73"/>
      <c r="HYN223" s="73"/>
      <c r="HYO223" s="73"/>
      <c r="HYP223" s="73"/>
      <c r="HYQ223" s="73"/>
      <c r="HYR223" s="73"/>
      <c r="HYS223" s="73"/>
      <c r="HYT223" s="73"/>
      <c r="HYU223" s="73"/>
      <c r="HYV223" s="73"/>
      <c r="HYW223" s="73"/>
      <c r="HYX223" s="73"/>
      <c r="HYY223" s="73"/>
      <c r="HYZ223" s="73"/>
      <c r="HZA223" s="73"/>
      <c r="HZB223" s="73"/>
      <c r="HZC223" s="73"/>
      <c r="HZD223" s="73"/>
      <c r="HZE223" s="73"/>
      <c r="HZF223" s="73"/>
      <c r="HZG223" s="73"/>
      <c r="HZH223" s="73"/>
      <c r="HZI223" s="73"/>
      <c r="HZJ223" s="73"/>
      <c r="HZK223" s="73"/>
      <c r="HZL223" s="73"/>
      <c r="HZM223" s="73"/>
      <c r="HZN223" s="73"/>
      <c r="HZO223" s="73"/>
      <c r="HZP223" s="73"/>
      <c r="HZQ223" s="73"/>
      <c r="HZR223" s="73"/>
      <c r="HZS223" s="73"/>
      <c r="HZT223" s="73"/>
      <c r="HZU223" s="73"/>
      <c r="HZV223" s="73"/>
      <c r="HZW223" s="73"/>
      <c r="HZX223" s="73"/>
      <c r="HZY223" s="73"/>
      <c r="HZZ223" s="73"/>
      <c r="IAA223" s="73"/>
      <c r="IAB223" s="73"/>
      <c r="IAC223" s="73"/>
      <c r="IAD223" s="73"/>
      <c r="IAE223" s="73"/>
      <c r="IAF223" s="73"/>
      <c r="IAG223" s="73"/>
      <c r="IAH223" s="73"/>
      <c r="IAI223" s="73"/>
      <c r="IAJ223" s="73"/>
      <c r="IAK223" s="73"/>
      <c r="IAL223" s="73"/>
      <c r="IAM223" s="73"/>
      <c r="IAN223" s="73"/>
      <c r="IAO223" s="73"/>
      <c r="IAP223" s="73"/>
      <c r="IAQ223" s="73"/>
      <c r="IAR223" s="73"/>
      <c r="IAS223" s="73"/>
      <c r="IAT223" s="73"/>
      <c r="IAU223" s="73"/>
      <c r="IAV223" s="73"/>
      <c r="IAW223" s="73"/>
      <c r="IAX223" s="73"/>
      <c r="IAY223" s="73"/>
      <c r="IAZ223" s="73"/>
      <c r="IBA223" s="73"/>
      <c r="IBB223" s="73"/>
      <c r="IBC223" s="73"/>
      <c r="IBD223" s="73"/>
      <c r="IBE223" s="73"/>
      <c r="IBF223" s="73"/>
      <c r="IBG223" s="73"/>
      <c r="IBH223" s="73"/>
      <c r="IBI223" s="73"/>
      <c r="IBJ223" s="73"/>
      <c r="IBK223" s="73"/>
      <c r="IBL223" s="73"/>
      <c r="IBM223" s="73"/>
      <c r="IBN223" s="73"/>
      <c r="IBO223" s="73"/>
      <c r="IBP223" s="73"/>
      <c r="IBQ223" s="73"/>
      <c r="IBR223" s="73"/>
      <c r="IBS223" s="73"/>
      <c r="IBT223" s="73"/>
      <c r="IBU223" s="73"/>
      <c r="IBV223" s="73"/>
      <c r="IBW223" s="73"/>
      <c r="IBX223" s="73"/>
      <c r="IBY223" s="73"/>
      <c r="IBZ223" s="73"/>
      <c r="ICA223" s="73"/>
      <c r="ICB223" s="73"/>
      <c r="ICC223" s="73"/>
      <c r="ICD223" s="73"/>
      <c r="ICE223" s="73"/>
      <c r="ICF223" s="73"/>
      <c r="ICG223" s="73"/>
      <c r="ICH223" s="73"/>
      <c r="ICI223" s="73"/>
      <c r="ICJ223" s="73"/>
      <c r="ICK223" s="73"/>
      <c r="ICL223" s="73"/>
      <c r="ICM223" s="73"/>
      <c r="ICN223" s="73"/>
      <c r="ICO223" s="73"/>
      <c r="ICP223" s="73"/>
      <c r="ICQ223" s="73"/>
      <c r="ICR223" s="73"/>
      <c r="ICS223" s="73"/>
      <c r="ICT223" s="73"/>
      <c r="ICU223" s="73"/>
      <c r="ICV223" s="73"/>
      <c r="ICW223" s="73"/>
      <c r="ICX223" s="73"/>
      <c r="ICY223" s="73"/>
      <c r="ICZ223" s="73"/>
      <c r="IDA223" s="73"/>
      <c r="IDB223" s="73"/>
      <c r="IDC223" s="73"/>
      <c r="IDD223" s="73"/>
      <c r="IDE223" s="73"/>
      <c r="IDF223" s="73"/>
      <c r="IDG223" s="73"/>
      <c r="IDH223" s="73"/>
      <c r="IDI223" s="73"/>
      <c r="IDJ223" s="73"/>
      <c r="IDK223" s="73"/>
      <c r="IDL223" s="73"/>
      <c r="IDM223" s="73"/>
      <c r="IDN223" s="73"/>
      <c r="IDO223" s="73"/>
      <c r="IDP223" s="73"/>
      <c r="IDQ223" s="73"/>
      <c r="IDR223" s="73"/>
      <c r="IDS223" s="73"/>
      <c r="IDT223" s="73"/>
      <c r="IDU223" s="73"/>
      <c r="IDV223" s="73"/>
      <c r="IDW223" s="73"/>
      <c r="IDX223" s="73"/>
      <c r="IDY223" s="73"/>
      <c r="IDZ223" s="73"/>
      <c r="IEA223" s="73"/>
      <c r="IEB223" s="73"/>
      <c r="IEC223" s="73"/>
      <c r="IED223" s="73"/>
      <c r="IEE223" s="73"/>
      <c r="IEF223" s="73"/>
      <c r="IEG223" s="73"/>
      <c r="IEH223" s="73"/>
      <c r="IEI223" s="73"/>
      <c r="IEJ223" s="73"/>
      <c r="IEK223" s="73"/>
      <c r="IEL223" s="73"/>
      <c r="IEM223" s="73"/>
      <c r="IEN223" s="73"/>
      <c r="IEO223" s="73"/>
      <c r="IEP223" s="73"/>
      <c r="IEQ223" s="73"/>
      <c r="IER223" s="73"/>
      <c r="IES223" s="73"/>
      <c r="IET223" s="73"/>
      <c r="IEU223" s="73"/>
      <c r="IEV223" s="73"/>
      <c r="IEW223" s="73"/>
      <c r="IEX223" s="73"/>
      <c r="IEY223" s="73"/>
      <c r="IEZ223" s="73"/>
      <c r="IFA223" s="73"/>
      <c r="IFB223" s="73"/>
      <c r="IFC223" s="73"/>
      <c r="IFD223" s="73"/>
      <c r="IFE223" s="73"/>
      <c r="IFF223" s="73"/>
      <c r="IFG223" s="73"/>
      <c r="IFH223" s="73"/>
      <c r="IFI223" s="73"/>
      <c r="IFJ223" s="73"/>
      <c r="IFK223" s="73"/>
      <c r="IFL223" s="73"/>
      <c r="IFM223" s="73"/>
      <c r="IFN223" s="73"/>
      <c r="IFO223" s="73"/>
      <c r="IFP223" s="73"/>
      <c r="IFQ223" s="73"/>
      <c r="IFR223" s="73"/>
      <c r="IFS223" s="73"/>
      <c r="IFT223" s="73"/>
      <c r="IFU223" s="73"/>
      <c r="IFV223" s="73"/>
      <c r="IFW223" s="73"/>
      <c r="IFX223" s="73"/>
      <c r="IFY223" s="73"/>
      <c r="IFZ223" s="73"/>
      <c r="IGA223" s="73"/>
      <c r="IGB223" s="73"/>
      <c r="IGC223" s="73"/>
      <c r="IGD223" s="73"/>
      <c r="IGE223" s="73"/>
      <c r="IGF223" s="73"/>
      <c r="IGG223" s="73"/>
      <c r="IGH223" s="73"/>
      <c r="IGI223" s="73"/>
      <c r="IGJ223" s="73"/>
      <c r="IGK223" s="73"/>
      <c r="IGL223" s="73"/>
      <c r="IGM223" s="73"/>
      <c r="IGN223" s="73"/>
      <c r="IGO223" s="73"/>
      <c r="IGP223" s="73"/>
      <c r="IGQ223" s="73"/>
      <c r="IGR223" s="73"/>
      <c r="IGS223" s="73"/>
      <c r="IGT223" s="73"/>
      <c r="IGU223" s="73"/>
      <c r="IGV223" s="73"/>
      <c r="IGW223" s="73"/>
      <c r="IGX223" s="73"/>
      <c r="IGY223" s="73"/>
      <c r="IGZ223" s="73"/>
      <c r="IHA223" s="73"/>
      <c r="IHB223" s="73"/>
      <c r="IHC223" s="73"/>
      <c r="IHD223" s="73"/>
      <c r="IHE223" s="73"/>
      <c r="IHF223" s="73"/>
      <c r="IHG223" s="73"/>
      <c r="IHH223" s="73"/>
      <c r="IHI223" s="73"/>
      <c r="IHJ223" s="73"/>
      <c r="IHK223" s="73"/>
      <c r="IHL223" s="73"/>
      <c r="IHM223" s="73"/>
      <c r="IHN223" s="73"/>
      <c r="IHO223" s="73"/>
      <c r="IHP223" s="73"/>
      <c r="IHQ223" s="73"/>
      <c r="IHR223" s="73"/>
      <c r="IHS223" s="73"/>
      <c r="IHT223" s="73"/>
      <c r="IHU223" s="73"/>
      <c r="IHV223" s="73"/>
      <c r="IHW223" s="73"/>
      <c r="IHX223" s="73"/>
      <c r="IHY223" s="73"/>
      <c r="IHZ223" s="73"/>
      <c r="IIA223" s="73"/>
      <c r="IIB223" s="73"/>
      <c r="IIC223" s="73"/>
      <c r="IID223" s="73"/>
      <c r="IIE223" s="73"/>
      <c r="IIF223" s="73"/>
      <c r="IIG223" s="73"/>
      <c r="IIH223" s="73"/>
      <c r="III223" s="73"/>
      <c r="IIJ223" s="73"/>
      <c r="IIK223" s="73"/>
      <c r="IIL223" s="73"/>
      <c r="IIM223" s="73"/>
      <c r="IIN223" s="73"/>
      <c r="IIO223" s="73"/>
      <c r="IIP223" s="73"/>
      <c r="IIQ223" s="73"/>
      <c r="IIR223" s="73"/>
      <c r="IIS223" s="73"/>
      <c r="IIT223" s="73"/>
      <c r="IIU223" s="73"/>
      <c r="IIV223" s="73"/>
      <c r="IIW223" s="73"/>
      <c r="IIX223" s="73"/>
      <c r="IIY223" s="73"/>
      <c r="IIZ223" s="73"/>
      <c r="IJA223" s="73"/>
      <c r="IJB223" s="73"/>
      <c r="IJC223" s="73"/>
      <c r="IJD223" s="73"/>
      <c r="IJE223" s="73"/>
      <c r="IJF223" s="73"/>
      <c r="IJG223" s="73"/>
      <c r="IJH223" s="73"/>
      <c r="IJI223" s="73"/>
      <c r="IJJ223" s="73"/>
      <c r="IJK223" s="73"/>
      <c r="IJL223" s="73"/>
      <c r="IJM223" s="73"/>
      <c r="IJN223" s="73"/>
      <c r="IJO223" s="73"/>
      <c r="IJP223" s="73"/>
      <c r="IJQ223" s="73"/>
      <c r="IJR223" s="73"/>
      <c r="IJS223" s="73"/>
      <c r="IJT223" s="73"/>
      <c r="IJU223" s="73"/>
      <c r="IJV223" s="73"/>
      <c r="IJW223" s="73"/>
      <c r="IJX223" s="73"/>
      <c r="IJY223" s="73"/>
      <c r="IJZ223" s="73"/>
      <c r="IKA223" s="73"/>
      <c r="IKB223" s="73"/>
      <c r="IKC223" s="73"/>
      <c r="IKD223" s="73"/>
      <c r="IKE223" s="73"/>
      <c r="IKF223" s="73"/>
      <c r="IKG223" s="73"/>
      <c r="IKH223" s="73"/>
      <c r="IKI223" s="73"/>
      <c r="IKJ223" s="73"/>
      <c r="IKK223" s="73"/>
      <c r="IKL223" s="73"/>
      <c r="IKM223" s="73"/>
      <c r="IKN223" s="73"/>
      <c r="IKO223" s="73"/>
      <c r="IKP223" s="73"/>
      <c r="IKQ223" s="73"/>
      <c r="IKR223" s="73"/>
      <c r="IKS223" s="73"/>
      <c r="IKT223" s="73"/>
      <c r="IKU223" s="73"/>
      <c r="IKV223" s="73"/>
      <c r="IKW223" s="73"/>
      <c r="IKX223" s="73"/>
      <c r="IKY223" s="73"/>
      <c r="IKZ223" s="73"/>
      <c r="ILA223" s="73"/>
      <c r="ILB223" s="73"/>
      <c r="ILC223" s="73"/>
      <c r="ILD223" s="73"/>
      <c r="ILE223" s="73"/>
      <c r="ILF223" s="73"/>
      <c r="ILG223" s="73"/>
      <c r="ILH223" s="73"/>
      <c r="ILI223" s="73"/>
      <c r="ILJ223" s="73"/>
      <c r="ILK223" s="73"/>
      <c r="ILL223" s="73"/>
      <c r="ILM223" s="73"/>
      <c r="ILN223" s="73"/>
      <c r="ILO223" s="73"/>
      <c r="ILP223" s="73"/>
      <c r="ILQ223" s="73"/>
      <c r="ILR223" s="73"/>
      <c r="ILS223" s="73"/>
      <c r="ILT223" s="73"/>
      <c r="ILU223" s="73"/>
      <c r="ILV223" s="73"/>
      <c r="ILW223" s="73"/>
      <c r="ILX223" s="73"/>
      <c r="ILY223" s="73"/>
      <c r="ILZ223" s="73"/>
      <c r="IMA223" s="73"/>
      <c r="IMB223" s="73"/>
      <c r="IMC223" s="73"/>
      <c r="IMD223" s="73"/>
      <c r="IME223" s="73"/>
      <c r="IMF223" s="73"/>
      <c r="IMG223" s="73"/>
      <c r="IMH223" s="73"/>
      <c r="IMI223" s="73"/>
      <c r="IMJ223" s="73"/>
      <c r="IMK223" s="73"/>
      <c r="IML223" s="73"/>
      <c r="IMM223" s="73"/>
      <c r="IMN223" s="73"/>
      <c r="IMO223" s="73"/>
      <c r="IMP223" s="73"/>
      <c r="IMQ223" s="73"/>
      <c r="IMR223" s="73"/>
      <c r="IMS223" s="73"/>
      <c r="IMT223" s="73"/>
      <c r="IMU223" s="73"/>
      <c r="IMV223" s="73"/>
      <c r="IMW223" s="73"/>
      <c r="IMX223" s="73"/>
      <c r="IMY223" s="73"/>
      <c r="IMZ223" s="73"/>
      <c r="INA223" s="73"/>
      <c r="INB223" s="73"/>
      <c r="INC223" s="73"/>
      <c r="IND223" s="73"/>
      <c r="INE223" s="73"/>
      <c r="INF223" s="73"/>
      <c r="ING223" s="73"/>
      <c r="INH223" s="73"/>
      <c r="INI223" s="73"/>
      <c r="INJ223" s="73"/>
      <c r="INK223" s="73"/>
      <c r="INL223" s="73"/>
      <c r="INM223" s="73"/>
      <c r="INN223" s="73"/>
      <c r="INO223" s="73"/>
      <c r="INP223" s="73"/>
      <c r="INQ223" s="73"/>
      <c r="INR223" s="73"/>
      <c r="INS223" s="73"/>
      <c r="INT223" s="73"/>
      <c r="INU223" s="73"/>
      <c r="INV223" s="73"/>
      <c r="INW223" s="73"/>
      <c r="INX223" s="73"/>
      <c r="INY223" s="73"/>
      <c r="INZ223" s="73"/>
      <c r="IOA223" s="73"/>
      <c r="IOB223" s="73"/>
      <c r="IOC223" s="73"/>
      <c r="IOD223" s="73"/>
      <c r="IOE223" s="73"/>
      <c r="IOF223" s="73"/>
      <c r="IOG223" s="73"/>
      <c r="IOH223" s="73"/>
      <c r="IOI223" s="73"/>
      <c r="IOJ223" s="73"/>
      <c r="IOK223" s="73"/>
      <c r="IOL223" s="73"/>
      <c r="IOM223" s="73"/>
      <c r="ION223" s="73"/>
      <c r="IOO223" s="73"/>
      <c r="IOP223" s="73"/>
      <c r="IOQ223" s="73"/>
      <c r="IOR223" s="73"/>
      <c r="IOS223" s="73"/>
      <c r="IOT223" s="73"/>
      <c r="IOU223" s="73"/>
      <c r="IOV223" s="73"/>
      <c r="IOW223" s="73"/>
      <c r="IOX223" s="73"/>
      <c r="IOY223" s="73"/>
      <c r="IOZ223" s="73"/>
      <c r="IPA223" s="73"/>
      <c r="IPB223" s="73"/>
      <c r="IPC223" s="73"/>
      <c r="IPD223" s="73"/>
      <c r="IPE223" s="73"/>
      <c r="IPF223" s="73"/>
      <c r="IPG223" s="73"/>
      <c r="IPH223" s="73"/>
      <c r="IPI223" s="73"/>
      <c r="IPJ223" s="73"/>
      <c r="IPK223" s="73"/>
      <c r="IPL223" s="73"/>
      <c r="IPM223" s="73"/>
      <c r="IPN223" s="73"/>
      <c r="IPO223" s="73"/>
      <c r="IPP223" s="73"/>
      <c r="IPQ223" s="73"/>
      <c r="IPR223" s="73"/>
      <c r="IPS223" s="73"/>
      <c r="IPT223" s="73"/>
      <c r="IPU223" s="73"/>
      <c r="IPV223" s="73"/>
      <c r="IPW223" s="73"/>
      <c r="IPX223" s="73"/>
      <c r="IPY223" s="73"/>
      <c r="IPZ223" s="73"/>
      <c r="IQA223" s="73"/>
      <c r="IQB223" s="73"/>
      <c r="IQC223" s="73"/>
      <c r="IQD223" s="73"/>
      <c r="IQE223" s="73"/>
      <c r="IQF223" s="73"/>
      <c r="IQG223" s="73"/>
      <c r="IQH223" s="73"/>
      <c r="IQI223" s="73"/>
      <c r="IQJ223" s="73"/>
      <c r="IQK223" s="73"/>
      <c r="IQL223" s="73"/>
      <c r="IQM223" s="73"/>
      <c r="IQN223" s="73"/>
      <c r="IQO223" s="73"/>
      <c r="IQP223" s="73"/>
      <c r="IQQ223" s="73"/>
      <c r="IQR223" s="73"/>
      <c r="IQS223" s="73"/>
      <c r="IQT223" s="73"/>
      <c r="IQU223" s="73"/>
      <c r="IQV223" s="73"/>
      <c r="IQW223" s="73"/>
      <c r="IQX223" s="73"/>
      <c r="IQY223" s="73"/>
      <c r="IQZ223" s="73"/>
      <c r="IRA223" s="73"/>
      <c r="IRB223" s="73"/>
      <c r="IRC223" s="73"/>
      <c r="IRD223" s="73"/>
      <c r="IRE223" s="73"/>
      <c r="IRF223" s="73"/>
      <c r="IRG223" s="73"/>
      <c r="IRH223" s="73"/>
      <c r="IRI223" s="73"/>
      <c r="IRJ223" s="73"/>
      <c r="IRK223" s="73"/>
      <c r="IRL223" s="73"/>
      <c r="IRM223" s="73"/>
      <c r="IRN223" s="73"/>
      <c r="IRO223" s="73"/>
      <c r="IRP223" s="73"/>
      <c r="IRQ223" s="73"/>
      <c r="IRR223" s="73"/>
      <c r="IRS223" s="73"/>
      <c r="IRT223" s="73"/>
      <c r="IRU223" s="73"/>
      <c r="IRV223" s="73"/>
      <c r="IRW223" s="73"/>
      <c r="IRX223" s="73"/>
      <c r="IRY223" s="73"/>
      <c r="IRZ223" s="73"/>
      <c r="ISA223" s="73"/>
      <c r="ISB223" s="73"/>
      <c r="ISC223" s="73"/>
      <c r="ISD223" s="73"/>
      <c r="ISE223" s="73"/>
      <c r="ISF223" s="73"/>
      <c r="ISG223" s="73"/>
      <c r="ISH223" s="73"/>
      <c r="ISI223" s="73"/>
      <c r="ISJ223" s="73"/>
      <c r="ISK223" s="73"/>
      <c r="ISL223" s="73"/>
      <c r="ISM223" s="73"/>
      <c r="ISN223" s="73"/>
      <c r="ISO223" s="73"/>
      <c r="ISP223" s="73"/>
      <c r="ISQ223" s="73"/>
      <c r="ISR223" s="73"/>
      <c r="ISS223" s="73"/>
      <c r="IST223" s="73"/>
      <c r="ISU223" s="73"/>
      <c r="ISV223" s="73"/>
      <c r="ISW223" s="73"/>
      <c r="ISX223" s="73"/>
      <c r="ISY223" s="73"/>
      <c r="ISZ223" s="73"/>
      <c r="ITA223" s="73"/>
      <c r="ITB223" s="73"/>
      <c r="ITC223" s="73"/>
      <c r="ITD223" s="73"/>
      <c r="ITE223" s="73"/>
      <c r="ITF223" s="73"/>
      <c r="ITG223" s="73"/>
      <c r="ITH223" s="73"/>
      <c r="ITI223" s="73"/>
      <c r="ITJ223" s="73"/>
      <c r="ITK223" s="73"/>
      <c r="ITL223" s="73"/>
      <c r="ITM223" s="73"/>
      <c r="ITN223" s="73"/>
      <c r="ITO223" s="73"/>
      <c r="ITP223" s="73"/>
      <c r="ITQ223" s="73"/>
      <c r="ITR223" s="73"/>
      <c r="ITS223" s="73"/>
      <c r="ITT223" s="73"/>
      <c r="ITU223" s="73"/>
      <c r="ITV223" s="73"/>
      <c r="ITW223" s="73"/>
      <c r="ITX223" s="73"/>
      <c r="ITY223" s="73"/>
      <c r="ITZ223" s="73"/>
      <c r="IUA223" s="73"/>
      <c r="IUB223" s="73"/>
      <c r="IUC223" s="73"/>
      <c r="IUD223" s="73"/>
      <c r="IUE223" s="73"/>
      <c r="IUF223" s="73"/>
      <c r="IUG223" s="73"/>
      <c r="IUH223" s="73"/>
      <c r="IUI223" s="73"/>
      <c r="IUJ223" s="73"/>
      <c r="IUK223" s="73"/>
      <c r="IUL223" s="73"/>
      <c r="IUM223" s="73"/>
      <c r="IUN223" s="73"/>
      <c r="IUO223" s="73"/>
      <c r="IUP223" s="73"/>
      <c r="IUQ223" s="73"/>
      <c r="IUR223" s="73"/>
      <c r="IUS223" s="73"/>
      <c r="IUT223" s="73"/>
      <c r="IUU223" s="73"/>
      <c r="IUV223" s="73"/>
      <c r="IUW223" s="73"/>
      <c r="IUX223" s="73"/>
      <c r="IUY223" s="73"/>
      <c r="IUZ223" s="73"/>
      <c r="IVA223" s="73"/>
      <c r="IVB223" s="73"/>
      <c r="IVC223" s="73"/>
      <c r="IVD223" s="73"/>
      <c r="IVE223" s="73"/>
      <c r="IVF223" s="73"/>
      <c r="IVG223" s="73"/>
      <c r="IVH223" s="73"/>
      <c r="IVI223" s="73"/>
      <c r="IVJ223" s="73"/>
      <c r="IVK223" s="73"/>
      <c r="IVL223" s="73"/>
      <c r="IVM223" s="73"/>
      <c r="IVN223" s="73"/>
      <c r="IVO223" s="73"/>
      <c r="IVP223" s="73"/>
      <c r="IVQ223" s="73"/>
      <c r="IVR223" s="73"/>
      <c r="IVS223" s="73"/>
      <c r="IVT223" s="73"/>
      <c r="IVU223" s="73"/>
      <c r="IVV223" s="73"/>
      <c r="IVW223" s="73"/>
      <c r="IVX223" s="73"/>
      <c r="IVY223" s="73"/>
      <c r="IVZ223" s="73"/>
      <c r="IWA223" s="73"/>
      <c r="IWB223" s="73"/>
      <c r="IWC223" s="73"/>
      <c r="IWD223" s="73"/>
      <c r="IWE223" s="73"/>
      <c r="IWF223" s="73"/>
      <c r="IWG223" s="73"/>
      <c r="IWH223" s="73"/>
      <c r="IWI223" s="73"/>
      <c r="IWJ223" s="73"/>
      <c r="IWK223" s="73"/>
      <c r="IWL223" s="73"/>
      <c r="IWM223" s="73"/>
      <c r="IWN223" s="73"/>
      <c r="IWO223" s="73"/>
      <c r="IWP223" s="73"/>
      <c r="IWQ223" s="73"/>
      <c r="IWR223" s="73"/>
      <c r="IWS223" s="73"/>
      <c r="IWT223" s="73"/>
      <c r="IWU223" s="73"/>
      <c r="IWV223" s="73"/>
      <c r="IWW223" s="73"/>
      <c r="IWX223" s="73"/>
      <c r="IWY223" s="73"/>
      <c r="IWZ223" s="73"/>
      <c r="IXA223" s="73"/>
      <c r="IXB223" s="73"/>
      <c r="IXC223" s="73"/>
      <c r="IXD223" s="73"/>
      <c r="IXE223" s="73"/>
      <c r="IXF223" s="73"/>
      <c r="IXG223" s="73"/>
      <c r="IXH223" s="73"/>
      <c r="IXI223" s="73"/>
      <c r="IXJ223" s="73"/>
      <c r="IXK223" s="73"/>
      <c r="IXL223" s="73"/>
      <c r="IXM223" s="73"/>
      <c r="IXN223" s="73"/>
      <c r="IXO223" s="73"/>
      <c r="IXP223" s="73"/>
      <c r="IXQ223" s="73"/>
      <c r="IXR223" s="73"/>
      <c r="IXS223" s="73"/>
      <c r="IXT223" s="73"/>
      <c r="IXU223" s="73"/>
      <c r="IXV223" s="73"/>
      <c r="IXW223" s="73"/>
      <c r="IXX223" s="73"/>
      <c r="IXY223" s="73"/>
      <c r="IXZ223" s="73"/>
      <c r="IYA223" s="73"/>
      <c r="IYB223" s="73"/>
      <c r="IYC223" s="73"/>
      <c r="IYD223" s="73"/>
      <c r="IYE223" s="73"/>
      <c r="IYF223" s="73"/>
      <c r="IYG223" s="73"/>
      <c r="IYH223" s="73"/>
      <c r="IYI223" s="73"/>
      <c r="IYJ223" s="73"/>
      <c r="IYK223" s="73"/>
      <c r="IYL223" s="73"/>
      <c r="IYM223" s="73"/>
      <c r="IYN223" s="73"/>
      <c r="IYO223" s="73"/>
      <c r="IYP223" s="73"/>
      <c r="IYQ223" s="73"/>
      <c r="IYR223" s="73"/>
      <c r="IYS223" s="73"/>
      <c r="IYT223" s="73"/>
      <c r="IYU223" s="73"/>
      <c r="IYV223" s="73"/>
      <c r="IYW223" s="73"/>
      <c r="IYX223" s="73"/>
      <c r="IYY223" s="73"/>
      <c r="IYZ223" s="73"/>
      <c r="IZA223" s="73"/>
      <c r="IZB223" s="73"/>
      <c r="IZC223" s="73"/>
      <c r="IZD223" s="73"/>
      <c r="IZE223" s="73"/>
      <c r="IZF223" s="73"/>
      <c r="IZG223" s="73"/>
      <c r="IZH223" s="73"/>
      <c r="IZI223" s="73"/>
      <c r="IZJ223" s="73"/>
      <c r="IZK223" s="73"/>
      <c r="IZL223" s="73"/>
      <c r="IZM223" s="73"/>
      <c r="IZN223" s="73"/>
      <c r="IZO223" s="73"/>
      <c r="IZP223" s="73"/>
      <c r="IZQ223" s="73"/>
      <c r="IZR223" s="73"/>
      <c r="IZS223" s="73"/>
      <c r="IZT223" s="73"/>
      <c r="IZU223" s="73"/>
      <c r="IZV223" s="73"/>
      <c r="IZW223" s="73"/>
      <c r="IZX223" s="73"/>
      <c r="IZY223" s="73"/>
      <c r="IZZ223" s="73"/>
      <c r="JAA223" s="73"/>
      <c r="JAB223" s="73"/>
      <c r="JAC223" s="73"/>
      <c r="JAD223" s="73"/>
      <c r="JAE223" s="73"/>
      <c r="JAF223" s="73"/>
      <c r="JAG223" s="73"/>
      <c r="JAH223" s="73"/>
      <c r="JAI223" s="73"/>
      <c r="JAJ223" s="73"/>
      <c r="JAK223" s="73"/>
      <c r="JAL223" s="73"/>
      <c r="JAM223" s="73"/>
      <c r="JAN223" s="73"/>
      <c r="JAO223" s="73"/>
      <c r="JAP223" s="73"/>
      <c r="JAQ223" s="73"/>
      <c r="JAR223" s="73"/>
      <c r="JAS223" s="73"/>
      <c r="JAT223" s="73"/>
      <c r="JAU223" s="73"/>
      <c r="JAV223" s="73"/>
      <c r="JAW223" s="73"/>
      <c r="JAX223" s="73"/>
      <c r="JAY223" s="73"/>
      <c r="JAZ223" s="73"/>
      <c r="JBA223" s="73"/>
      <c r="JBB223" s="73"/>
      <c r="JBC223" s="73"/>
      <c r="JBD223" s="73"/>
      <c r="JBE223" s="73"/>
      <c r="JBF223" s="73"/>
      <c r="JBG223" s="73"/>
      <c r="JBH223" s="73"/>
      <c r="JBI223" s="73"/>
      <c r="JBJ223" s="73"/>
      <c r="JBK223" s="73"/>
      <c r="JBL223" s="73"/>
      <c r="JBM223" s="73"/>
      <c r="JBN223" s="73"/>
      <c r="JBO223" s="73"/>
      <c r="JBP223" s="73"/>
      <c r="JBQ223" s="73"/>
      <c r="JBR223" s="73"/>
      <c r="JBS223" s="73"/>
      <c r="JBT223" s="73"/>
      <c r="JBU223" s="73"/>
      <c r="JBV223" s="73"/>
      <c r="JBW223" s="73"/>
      <c r="JBX223" s="73"/>
      <c r="JBY223" s="73"/>
      <c r="JBZ223" s="73"/>
      <c r="JCA223" s="73"/>
      <c r="JCB223" s="73"/>
      <c r="JCC223" s="73"/>
      <c r="JCD223" s="73"/>
      <c r="JCE223" s="73"/>
      <c r="JCF223" s="73"/>
      <c r="JCG223" s="73"/>
      <c r="JCH223" s="73"/>
      <c r="JCI223" s="73"/>
      <c r="JCJ223" s="73"/>
      <c r="JCK223" s="73"/>
      <c r="JCL223" s="73"/>
      <c r="JCM223" s="73"/>
      <c r="JCN223" s="73"/>
      <c r="JCO223" s="73"/>
      <c r="JCP223" s="73"/>
      <c r="JCQ223" s="73"/>
      <c r="JCR223" s="73"/>
      <c r="JCS223" s="73"/>
      <c r="JCT223" s="73"/>
      <c r="JCU223" s="73"/>
      <c r="JCV223" s="73"/>
      <c r="JCW223" s="73"/>
      <c r="JCX223" s="73"/>
      <c r="JCY223" s="73"/>
      <c r="JCZ223" s="73"/>
      <c r="JDA223" s="73"/>
      <c r="JDB223" s="73"/>
      <c r="JDC223" s="73"/>
      <c r="JDD223" s="73"/>
      <c r="JDE223" s="73"/>
      <c r="JDF223" s="73"/>
      <c r="JDG223" s="73"/>
      <c r="JDH223" s="73"/>
      <c r="JDI223" s="73"/>
      <c r="JDJ223" s="73"/>
      <c r="JDK223" s="73"/>
      <c r="JDL223" s="73"/>
      <c r="JDM223" s="73"/>
      <c r="JDN223" s="73"/>
      <c r="JDO223" s="73"/>
      <c r="JDP223" s="73"/>
      <c r="JDQ223" s="73"/>
      <c r="JDR223" s="73"/>
      <c r="JDS223" s="73"/>
      <c r="JDT223" s="73"/>
      <c r="JDU223" s="73"/>
      <c r="JDV223" s="73"/>
      <c r="JDW223" s="73"/>
      <c r="JDX223" s="73"/>
      <c r="JDY223" s="73"/>
      <c r="JDZ223" s="73"/>
      <c r="JEA223" s="73"/>
      <c r="JEB223" s="73"/>
      <c r="JEC223" s="73"/>
      <c r="JED223" s="73"/>
      <c r="JEE223" s="73"/>
      <c r="JEF223" s="73"/>
      <c r="JEG223" s="73"/>
      <c r="JEH223" s="73"/>
      <c r="JEI223" s="73"/>
      <c r="JEJ223" s="73"/>
      <c r="JEK223" s="73"/>
      <c r="JEL223" s="73"/>
      <c r="JEM223" s="73"/>
      <c r="JEN223" s="73"/>
      <c r="JEO223" s="73"/>
      <c r="JEP223" s="73"/>
      <c r="JEQ223" s="73"/>
      <c r="JER223" s="73"/>
      <c r="JES223" s="73"/>
      <c r="JET223" s="73"/>
      <c r="JEU223" s="73"/>
      <c r="JEV223" s="73"/>
      <c r="JEW223" s="73"/>
      <c r="JEX223" s="73"/>
      <c r="JEY223" s="73"/>
      <c r="JEZ223" s="73"/>
      <c r="JFA223" s="73"/>
      <c r="JFB223" s="73"/>
      <c r="JFC223" s="73"/>
      <c r="JFD223" s="73"/>
      <c r="JFE223" s="73"/>
      <c r="JFF223" s="73"/>
      <c r="JFG223" s="73"/>
      <c r="JFH223" s="73"/>
      <c r="JFI223" s="73"/>
      <c r="JFJ223" s="73"/>
      <c r="JFK223" s="73"/>
      <c r="JFL223" s="73"/>
      <c r="JFM223" s="73"/>
      <c r="JFN223" s="73"/>
      <c r="JFO223" s="73"/>
      <c r="JFP223" s="73"/>
      <c r="JFQ223" s="73"/>
      <c r="JFR223" s="73"/>
      <c r="JFS223" s="73"/>
      <c r="JFT223" s="73"/>
      <c r="JFU223" s="73"/>
      <c r="JFV223" s="73"/>
      <c r="JFW223" s="73"/>
      <c r="JFX223" s="73"/>
      <c r="JFY223" s="73"/>
      <c r="JFZ223" s="73"/>
      <c r="JGA223" s="73"/>
      <c r="JGB223" s="73"/>
      <c r="JGC223" s="73"/>
      <c r="JGD223" s="73"/>
      <c r="JGE223" s="73"/>
      <c r="JGF223" s="73"/>
      <c r="JGG223" s="73"/>
      <c r="JGH223" s="73"/>
      <c r="JGI223" s="73"/>
      <c r="JGJ223" s="73"/>
      <c r="JGK223" s="73"/>
      <c r="JGL223" s="73"/>
      <c r="JGM223" s="73"/>
      <c r="JGN223" s="73"/>
      <c r="JGO223" s="73"/>
      <c r="JGP223" s="73"/>
      <c r="JGQ223" s="73"/>
      <c r="JGR223" s="73"/>
      <c r="JGS223" s="73"/>
      <c r="JGT223" s="73"/>
      <c r="JGU223" s="73"/>
      <c r="JGV223" s="73"/>
      <c r="JGW223" s="73"/>
      <c r="JGX223" s="73"/>
      <c r="JGY223" s="73"/>
      <c r="JGZ223" s="73"/>
      <c r="JHA223" s="73"/>
      <c r="JHB223" s="73"/>
      <c r="JHC223" s="73"/>
      <c r="JHD223" s="73"/>
      <c r="JHE223" s="73"/>
      <c r="JHF223" s="73"/>
      <c r="JHG223" s="73"/>
      <c r="JHH223" s="73"/>
      <c r="JHI223" s="73"/>
      <c r="JHJ223" s="73"/>
      <c r="JHK223" s="73"/>
      <c r="JHL223" s="73"/>
      <c r="JHM223" s="73"/>
      <c r="JHN223" s="73"/>
      <c r="JHO223" s="73"/>
      <c r="JHP223" s="73"/>
      <c r="JHQ223" s="73"/>
      <c r="JHR223" s="73"/>
      <c r="JHS223" s="73"/>
      <c r="JHT223" s="73"/>
      <c r="JHU223" s="73"/>
      <c r="JHV223" s="73"/>
      <c r="JHW223" s="73"/>
      <c r="JHX223" s="73"/>
      <c r="JHY223" s="73"/>
      <c r="JHZ223" s="73"/>
      <c r="JIA223" s="73"/>
      <c r="JIB223" s="73"/>
      <c r="JIC223" s="73"/>
      <c r="JID223" s="73"/>
      <c r="JIE223" s="73"/>
      <c r="JIF223" s="73"/>
      <c r="JIG223" s="73"/>
      <c r="JIH223" s="73"/>
      <c r="JII223" s="73"/>
      <c r="JIJ223" s="73"/>
      <c r="JIK223" s="73"/>
      <c r="JIL223" s="73"/>
      <c r="JIM223" s="73"/>
      <c r="JIN223" s="73"/>
      <c r="JIO223" s="73"/>
      <c r="JIP223" s="73"/>
      <c r="JIQ223" s="73"/>
      <c r="JIR223" s="73"/>
      <c r="JIS223" s="73"/>
      <c r="JIT223" s="73"/>
      <c r="JIU223" s="73"/>
      <c r="JIV223" s="73"/>
      <c r="JIW223" s="73"/>
      <c r="JIX223" s="73"/>
      <c r="JIY223" s="73"/>
      <c r="JIZ223" s="73"/>
      <c r="JJA223" s="73"/>
      <c r="JJB223" s="73"/>
      <c r="JJC223" s="73"/>
      <c r="JJD223" s="73"/>
      <c r="JJE223" s="73"/>
      <c r="JJF223" s="73"/>
      <c r="JJG223" s="73"/>
      <c r="JJH223" s="73"/>
      <c r="JJI223" s="73"/>
      <c r="JJJ223" s="73"/>
      <c r="JJK223" s="73"/>
      <c r="JJL223" s="73"/>
      <c r="JJM223" s="73"/>
      <c r="JJN223" s="73"/>
      <c r="JJO223" s="73"/>
      <c r="JJP223" s="73"/>
      <c r="JJQ223" s="73"/>
      <c r="JJR223" s="73"/>
      <c r="JJS223" s="73"/>
      <c r="JJT223" s="73"/>
      <c r="JJU223" s="73"/>
      <c r="JJV223" s="73"/>
      <c r="JJW223" s="73"/>
      <c r="JJX223" s="73"/>
      <c r="JJY223" s="73"/>
      <c r="JJZ223" s="73"/>
      <c r="JKA223" s="73"/>
      <c r="JKB223" s="73"/>
      <c r="JKC223" s="73"/>
      <c r="JKD223" s="73"/>
      <c r="JKE223" s="73"/>
      <c r="JKF223" s="73"/>
      <c r="JKG223" s="73"/>
      <c r="JKH223" s="73"/>
      <c r="JKI223" s="73"/>
      <c r="JKJ223" s="73"/>
      <c r="JKK223" s="73"/>
      <c r="JKL223" s="73"/>
      <c r="JKM223" s="73"/>
      <c r="JKN223" s="73"/>
      <c r="JKO223" s="73"/>
      <c r="JKP223" s="73"/>
      <c r="JKQ223" s="73"/>
      <c r="JKR223" s="73"/>
      <c r="JKS223" s="73"/>
      <c r="JKT223" s="73"/>
      <c r="JKU223" s="73"/>
      <c r="JKV223" s="73"/>
      <c r="JKW223" s="73"/>
      <c r="JKX223" s="73"/>
      <c r="JKY223" s="73"/>
      <c r="JKZ223" s="73"/>
      <c r="JLA223" s="73"/>
      <c r="JLB223" s="73"/>
      <c r="JLC223" s="73"/>
      <c r="JLD223" s="73"/>
      <c r="JLE223" s="73"/>
      <c r="JLF223" s="73"/>
      <c r="JLG223" s="73"/>
      <c r="JLH223" s="73"/>
      <c r="JLI223" s="73"/>
      <c r="JLJ223" s="73"/>
      <c r="JLK223" s="73"/>
      <c r="JLL223" s="73"/>
      <c r="JLM223" s="73"/>
      <c r="JLN223" s="73"/>
      <c r="JLO223" s="73"/>
      <c r="JLP223" s="73"/>
      <c r="JLQ223" s="73"/>
      <c r="JLR223" s="73"/>
      <c r="JLS223" s="73"/>
      <c r="JLT223" s="73"/>
      <c r="JLU223" s="73"/>
      <c r="JLV223" s="73"/>
      <c r="JLW223" s="73"/>
      <c r="JLX223" s="73"/>
      <c r="JLY223" s="73"/>
      <c r="JLZ223" s="73"/>
      <c r="JMA223" s="73"/>
      <c r="JMB223" s="73"/>
      <c r="JMC223" s="73"/>
      <c r="JMD223" s="73"/>
      <c r="JME223" s="73"/>
      <c r="JMF223" s="73"/>
      <c r="JMG223" s="73"/>
      <c r="JMH223" s="73"/>
      <c r="JMI223" s="73"/>
      <c r="JMJ223" s="73"/>
      <c r="JMK223" s="73"/>
      <c r="JML223" s="73"/>
      <c r="JMM223" s="73"/>
      <c r="JMN223" s="73"/>
      <c r="JMO223" s="73"/>
      <c r="JMP223" s="73"/>
      <c r="JMQ223" s="73"/>
      <c r="JMR223" s="73"/>
      <c r="JMS223" s="73"/>
      <c r="JMT223" s="73"/>
      <c r="JMU223" s="73"/>
      <c r="JMV223" s="73"/>
      <c r="JMW223" s="73"/>
      <c r="JMX223" s="73"/>
      <c r="JMY223" s="73"/>
      <c r="JMZ223" s="73"/>
      <c r="JNA223" s="73"/>
      <c r="JNB223" s="73"/>
      <c r="JNC223" s="73"/>
      <c r="JND223" s="73"/>
      <c r="JNE223" s="73"/>
      <c r="JNF223" s="73"/>
      <c r="JNG223" s="73"/>
      <c r="JNH223" s="73"/>
      <c r="JNI223" s="73"/>
      <c r="JNJ223" s="73"/>
      <c r="JNK223" s="73"/>
      <c r="JNL223" s="73"/>
      <c r="JNM223" s="73"/>
      <c r="JNN223" s="73"/>
      <c r="JNO223" s="73"/>
      <c r="JNP223" s="73"/>
      <c r="JNQ223" s="73"/>
      <c r="JNR223" s="73"/>
      <c r="JNS223" s="73"/>
      <c r="JNT223" s="73"/>
      <c r="JNU223" s="73"/>
      <c r="JNV223" s="73"/>
      <c r="JNW223" s="73"/>
      <c r="JNX223" s="73"/>
      <c r="JNY223" s="73"/>
      <c r="JNZ223" s="73"/>
      <c r="JOA223" s="73"/>
      <c r="JOB223" s="73"/>
      <c r="JOC223" s="73"/>
      <c r="JOD223" s="73"/>
      <c r="JOE223" s="73"/>
      <c r="JOF223" s="73"/>
      <c r="JOG223" s="73"/>
      <c r="JOH223" s="73"/>
      <c r="JOI223" s="73"/>
      <c r="JOJ223" s="73"/>
      <c r="JOK223" s="73"/>
      <c r="JOL223" s="73"/>
      <c r="JOM223" s="73"/>
      <c r="JON223" s="73"/>
      <c r="JOO223" s="73"/>
      <c r="JOP223" s="73"/>
      <c r="JOQ223" s="73"/>
      <c r="JOR223" s="73"/>
      <c r="JOS223" s="73"/>
      <c r="JOT223" s="73"/>
      <c r="JOU223" s="73"/>
      <c r="JOV223" s="73"/>
      <c r="JOW223" s="73"/>
      <c r="JOX223" s="73"/>
      <c r="JOY223" s="73"/>
      <c r="JOZ223" s="73"/>
      <c r="JPA223" s="73"/>
      <c r="JPB223" s="73"/>
      <c r="JPC223" s="73"/>
      <c r="JPD223" s="73"/>
      <c r="JPE223" s="73"/>
      <c r="JPF223" s="73"/>
      <c r="JPG223" s="73"/>
      <c r="JPH223" s="73"/>
      <c r="JPI223" s="73"/>
      <c r="JPJ223" s="73"/>
      <c r="JPK223" s="73"/>
      <c r="JPL223" s="73"/>
      <c r="JPM223" s="73"/>
      <c r="JPN223" s="73"/>
      <c r="JPO223" s="73"/>
      <c r="JPP223" s="73"/>
      <c r="JPQ223" s="73"/>
      <c r="JPR223" s="73"/>
      <c r="JPS223" s="73"/>
      <c r="JPT223" s="73"/>
      <c r="JPU223" s="73"/>
      <c r="JPV223" s="73"/>
      <c r="JPW223" s="73"/>
      <c r="JPX223" s="73"/>
      <c r="JPY223" s="73"/>
      <c r="JPZ223" s="73"/>
      <c r="JQA223" s="73"/>
      <c r="JQB223" s="73"/>
      <c r="JQC223" s="73"/>
      <c r="JQD223" s="73"/>
      <c r="JQE223" s="73"/>
      <c r="JQF223" s="73"/>
      <c r="JQG223" s="73"/>
      <c r="JQH223" s="73"/>
      <c r="JQI223" s="73"/>
      <c r="JQJ223" s="73"/>
      <c r="JQK223" s="73"/>
      <c r="JQL223" s="73"/>
      <c r="JQM223" s="73"/>
      <c r="JQN223" s="73"/>
      <c r="JQO223" s="73"/>
      <c r="JQP223" s="73"/>
      <c r="JQQ223" s="73"/>
      <c r="JQR223" s="73"/>
      <c r="JQS223" s="73"/>
      <c r="JQT223" s="73"/>
      <c r="JQU223" s="73"/>
      <c r="JQV223" s="73"/>
      <c r="JQW223" s="73"/>
      <c r="JQX223" s="73"/>
      <c r="JQY223" s="73"/>
      <c r="JQZ223" s="73"/>
      <c r="JRA223" s="73"/>
      <c r="JRB223" s="73"/>
      <c r="JRC223" s="73"/>
      <c r="JRD223" s="73"/>
      <c r="JRE223" s="73"/>
      <c r="JRF223" s="73"/>
      <c r="JRG223" s="73"/>
      <c r="JRH223" s="73"/>
      <c r="JRI223" s="73"/>
      <c r="JRJ223" s="73"/>
      <c r="JRK223" s="73"/>
      <c r="JRL223" s="73"/>
      <c r="JRM223" s="73"/>
      <c r="JRN223" s="73"/>
      <c r="JRO223" s="73"/>
      <c r="JRP223" s="73"/>
      <c r="JRQ223" s="73"/>
      <c r="JRR223" s="73"/>
      <c r="JRS223" s="73"/>
      <c r="JRT223" s="73"/>
      <c r="JRU223" s="73"/>
      <c r="JRV223" s="73"/>
      <c r="JRW223" s="73"/>
      <c r="JRX223" s="73"/>
      <c r="JRY223" s="73"/>
      <c r="JRZ223" s="73"/>
      <c r="JSA223" s="73"/>
      <c r="JSB223" s="73"/>
      <c r="JSC223" s="73"/>
      <c r="JSD223" s="73"/>
      <c r="JSE223" s="73"/>
      <c r="JSF223" s="73"/>
      <c r="JSG223" s="73"/>
      <c r="JSH223" s="73"/>
      <c r="JSI223" s="73"/>
      <c r="JSJ223" s="73"/>
      <c r="JSK223" s="73"/>
      <c r="JSL223" s="73"/>
      <c r="JSM223" s="73"/>
      <c r="JSN223" s="73"/>
      <c r="JSO223" s="73"/>
      <c r="JSP223" s="73"/>
      <c r="JSQ223" s="73"/>
      <c r="JSR223" s="73"/>
      <c r="JSS223" s="73"/>
      <c r="JST223" s="73"/>
      <c r="JSU223" s="73"/>
      <c r="JSV223" s="73"/>
      <c r="JSW223" s="73"/>
      <c r="JSX223" s="73"/>
      <c r="JSY223" s="73"/>
      <c r="JSZ223" s="73"/>
      <c r="JTA223" s="73"/>
      <c r="JTB223" s="73"/>
      <c r="JTC223" s="73"/>
      <c r="JTD223" s="73"/>
      <c r="JTE223" s="73"/>
      <c r="JTF223" s="73"/>
      <c r="JTG223" s="73"/>
      <c r="JTH223" s="73"/>
      <c r="JTI223" s="73"/>
      <c r="JTJ223" s="73"/>
      <c r="JTK223" s="73"/>
      <c r="JTL223" s="73"/>
      <c r="JTM223" s="73"/>
      <c r="JTN223" s="73"/>
      <c r="JTO223" s="73"/>
      <c r="JTP223" s="73"/>
      <c r="JTQ223" s="73"/>
      <c r="JTR223" s="73"/>
      <c r="JTS223" s="73"/>
      <c r="JTT223" s="73"/>
      <c r="JTU223" s="73"/>
      <c r="JTV223" s="73"/>
      <c r="JTW223" s="73"/>
      <c r="JTX223" s="73"/>
      <c r="JTY223" s="73"/>
      <c r="JTZ223" s="73"/>
      <c r="JUA223" s="73"/>
      <c r="JUB223" s="73"/>
      <c r="JUC223" s="73"/>
      <c r="JUD223" s="73"/>
      <c r="JUE223" s="73"/>
      <c r="JUF223" s="73"/>
      <c r="JUG223" s="73"/>
      <c r="JUH223" s="73"/>
      <c r="JUI223" s="73"/>
      <c r="JUJ223" s="73"/>
      <c r="JUK223" s="73"/>
      <c r="JUL223" s="73"/>
      <c r="JUM223" s="73"/>
      <c r="JUN223" s="73"/>
      <c r="JUO223" s="73"/>
      <c r="JUP223" s="73"/>
      <c r="JUQ223" s="73"/>
      <c r="JUR223" s="73"/>
      <c r="JUS223" s="73"/>
      <c r="JUT223" s="73"/>
      <c r="JUU223" s="73"/>
      <c r="JUV223" s="73"/>
      <c r="JUW223" s="73"/>
      <c r="JUX223" s="73"/>
      <c r="JUY223" s="73"/>
      <c r="JUZ223" s="73"/>
      <c r="JVA223" s="73"/>
      <c r="JVB223" s="73"/>
      <c r="JVC223" s="73"/>
      <c r="JVD223" s="73"/>
      <c r="JVE223" s="73"/>
      <c r="JVF223" s="73"/>
      <c r="JVG223" s="73"/>
      <c r="JVH223" s="73"/>
      <c r="JVI223" s="73"/>
      <c r="JVJ223" s="73"/>
      <c r="JVK223" s="73"/>
      <c r="JVL223" s="73"/>
      <c r="JVM223" s="73"/>
      <c r="JVN223" s="73"/>
      <c r="JVO223" s="73"/>
      <c r="JVP223" s="73"/>
      <c r="JVQ223" s="73"/>
      <c r="JVR223" s="73"/>
      <c r="JVS223" s="73"/>
      <c r="JVT223" s="73"/>
      <c r="JVU223" s="73"/>
      <c r="JVV223" s="73"/>
      <c r="JVW223" s="73"/>
      <c r="JVX223" s="73"/>
      <c r="JVY223" s="73"/>
      <c r="JVZ223" s="73"/>
      <c r="JWA223" s="73"/>
      <c r="JWB223" s="73"/>
      <c r="JWC223" s="73"/>
      <c r="JWD223" s="73"/>
      <c r="JWE223" s="73"/>
      <c r="JWF223" s="73"/>
      <c r="JWG223" s="73"/>
      <c r="JWH223" s="73"/>
      <c r="JWI223" s="73"/>
      <c r="JWJ223" s="73"/>
      <c r="JWK223" s="73"/>
      <c r="JWL223" s="73"/>
      <c r="JWM223" s="73"/>
      <c r="JWN223" s="73"/>
      <c r="JWO223" s="73"/>
      <c r="JWP223" s="73"/>
      <c r="JWQ223" s="73"/>
      <c r="JWR223" s="73"/>
      <c r="JWS223" s="73"/>
      <c r="JWT223" s="73"/>
      <c r="JWU223" s="73"/>
      <c r="JWV223" s="73"/>
      <c r="JWW223" s="73"/>
      <c r="JWX223" s="73"/>
      <c r="JWY223" s="73"/>
      <c r="JWZ223" s="73"/>
      <c r="JXA223" s="73"/>
      <c r="JXB223" s="73"/>
      <c r="JXC223" s="73"/>
      <c r="JXD223" s="73"/>
      <c r="JXE223" s="73"/>
      <c r="JXF223" s="73"/>
      <c r="JXG223" s="73"/>
      <c r="JXH223" s="73"/>
      <c r="JXI223" s="73"/>
      <c r="JXJ223" s="73"/>
      <c r="JXK223" s="73"/>
      <c r="JXL223" s="73"/>
      <c r="JXM223" s="73"/>
      <c r="JXN223" s="73"/>
      <c r="JXO223" s="73"/>
      <c r="JXP223" s="73"/>
      <c r="JXQ223" s="73"/>
      <c r="JXR223" s="73"/>
      <c r="JXS223" s="73"/>
      <c r="JXT223" s="73"/>
      <c r="JXU223" s="73"/>
      <c r="JXV223" s="73"/>
      <c r="JXW223" s="73"/>
      <c r="JXX223" s="73"/>
      <c r="JXY223" s="73"/>
      <c r="JXZ223" s="73"/>
      <c r="JYA223" s="73"/>
      <c r="JYB223" s="73"/>
      <c r="JYC223" s="73"/>
      <c r="JYD223" s="73"/>
      <c r="JYE223" s="73"/>
      <c r="JYF223" s="73"/>
      <c r="JYG223" s="73"/>
      <c r="JYH223" s="73"/>
      <c r="JYI223" s="73"/>
      <c r="JYJ223" s="73"/>
      <c r="JYK223" s="73"/>
      <c r="JYL223" s="73"/>
      <c r="JYM223" s="73"/>
      <c r="JYN223" s="73"/>
      <c r="JYO223" s="73"/>
      <c r="JYP223" s="73"/>
      <c r="JYQ223" s="73"/>
      <c r="JYR223" s="73"/>
      <c r="JYS223" s="73"/>
      <c r="JYT223" s="73"/>
      <c r="JYU223" s="73"/>
      <c r="JYV223" s="73"/>
      <c r="JYW223" s="73"/>
      <c r="JYX223" s="73"/>
      <c r="JYY223" s="73"/>
      <c r="JYZ223" s="73"/>
      <c r="JZA223" s="73"/>
      <c r="JZB223" s="73"/>
      <c r="JZC223" s="73"/>
      <c r="JZD223" s="73"/>
      <c r="JZE223" s="73"/>
      <c r="JZF223" s="73"/>
      <c r="JZG223" s="73"/>
      <c r="JZH223" s="73"/>
      <c r="JZI223" s="73"/>
      <c r="JZJ223" s="73"/>
      <c r="JZK223" s="73"/>
      <c r="JZL223" s="73"/>
      <c r="JZM223" s="73"/>
      <c r="JZN223" s="73"/>
      <c r="JZO223" s="73"/>
      <c r="JZP223" s="73"/>
      <c r="JZQ223" s="73"/>
      <c r="JZR223" s="73"/>
      <c r="JZS223" s="73"/>
      <c r="JZT223" s="73"/>
      <c r="JZU223" s="73"/>
      <c r="JZV223" s="73"/>
      <c r="JZW223" s="73"/>
      <c r="JZX223" s="73"/>
      <c r="JZY223" s="73"/>
      <c r="JZZ223" s="73"/>
      <c r="KAA223" s="73"/>
      <c r="KAB223" s="73"/>
      <c r="KAC223" s="73"/>
      <c r="KAD223" s="73"/>
      <c r="KAE223" s="73"/>
      <c r="KAF223" s="73"/>
      <c r="KAG223" s="73"/>
      <c r="KAH223" s="73"/>
      <c r="KAI223" s="73"/>
      <c r="KAJ223" s="73"/>
      <c r="KAK223" s="73"/>
      <c r="KAL223" s="73"/>
      <c r="KAM223" s="73"/>
      <c r="KAN223" s="73"/>
      <c r="KAO223" s="73"/>
      <c r="KAP223" s="73"/>
      <c r="KAQ223" s="73"/>
      <c r="KAR223" s="73"/>
      <c r="KAS223" s="73"/>
      <c r="KAT223" s="73"/>
      <c r="KAU223" s="73"/>
      <c r="KAV223" s="73"/>
      <c r="KAW223" s="73"/>
      <c r="KAX223" s="73"/>
      <c r="KAY223" s="73"/>
      <c r="KAZ223" s="73"/>
      <c r="KBA223" s="73"/>
      <c r="KBB223" s="73"/>
      <c r="KBC223" s="73"/>
      <c r="KBD223" s="73"/>
      <c r="KBE223" s="73"/>
      <c r="KBF223" s="73"/>
      <c r="KBG223" s="73"/>
      <c r="KBH223" s="73"/>
      <c r="KBI223" s="73"/>
      <c r="KBJ223" s="73"/>
      <c r="KBK223" s="73"/>
      <c r="KBL223" s="73"/>
      <c r="KBM223" s="73"/>
      <c r="KBN223" s="73"/>
      <c r="KBO223" s="73"/>
      <c r="KBP223" s="73"/>
      <c r="KBQ223" s="73"/>
      <c r="KBR223" s="73"/>
      <c r="KBS223" s="73"/>
      <c r="KBT223" s="73"/>
      <c r="KBU223" s="73"/>
      <c r="KBV223" s="73"/>
      <c r="KBW223" s="73"/>
      <c r="KBX223" s="73"/>
      <c r="KBY223" s="73"/>
      <c r="KBZ223" s="73"/>
      <c r="KCA223" s="73"/>
      <c r="KCB223" s="73"/>
      <c r="KCC223" s="73"/>
      <c r="KCD223" s="73"/>
      <c r="KCE223" s="73"/>
      <c r="KCF223" s="73"/>
      <c r="KCG223" s="73"/>
      <c r="KCH223" s="73"/>
      <c r="KCI223" s="73"/>
      <c r="KCJ223" s="73"/>
      <c r="KCK223" s="73"/>
      <c r="KCL223" s="73"/>
      <c r="KCM223" s="73"/>
      <c r="KCN223" s="73"/>
      <c r="KCO223" s="73"/>
      <c r="KCP223" s="73"/>
      <c r="KCQ223" s="73"/>
      <c r="KCR223" s="73"/>
      <c r="KCS223" s="73"/>
      <c r="KCT223" s="73"/>
      <c r="KCU223" s="73"/>
      <c r="KCV223" s="73"/>
      <c r="KCW223" s="73"/>
      <c r="KCX223" s="73"/>
      <c r="KCY223" s="73"/>
      <c r="KCZ223" s="73"/>
      <c r="KDA223" s="73"/>
      <c r="KDB223" s="73"/>
      <c r="KDC223" s="73"/>
      <c r="KDD223" s="73"/>
      <c r="KDE223" s="73"/>
      <c r="KDF223" s="73"/>
      <c r="KDG223" s="73"/>
      <c r="KDH223" s="73"/>
      <c r="KDI223" s="73"/>
      <c r="KDJ223" s="73"/>
      <c r="KDK223" s="73"/>
      <c r="KDL223" s="73"/>
      <c r="KDM223" s="73"/>
      <c r="KDN223" s="73"/>
      <c r="KDO223" s="73"/>
      <c r="KDP223" s="73"/>
      <c r="KDQ223" s="73"/>
      <c r="KDR223" s="73"/>
      <c r="KDS223" s="73"/>
      <c r="KDT223" s="73"/>
      <c r="KDU223" s="73"/>
      <c r="KDV223" s="73"/>
      <c r="KDW223" s="73"/>
      <c r="KDX223" s="73"/>
      <c r="KDY223" s="73"/>
      <c r="KDZ223" s="73"/>
      <c r="KEA223" s="73"/>
      <c r="KEB223" s="73"/>
      <c r="KEC223" s="73"/>
      <c r="KED223" s="73"/>
      <c r="KEE223" s="73"/>
      <c r="KEF223" s="73"/>
      <c r="KEG223" s="73"/>
      <c r="KEH223" s="73"/>
      <c r="KEI223" s="73"/>
      <c r="KEJ223" s="73"/>
      <c r="KEK223" s="73"/>
      <c r="KEL223" s="73"/>
      <c r="KEM223" s="73"/>
      <c r="KEN223" s="73"/>
      <c r="KEO223" s="73"/>
      <c r="KEP223" s="73"/>
      <c r="KEQ223" s="73"/>
      <c r="KER223" s="73"/>
      <c r="KES223" s="73"/>
      <c r="KET223" s="73"/>
      <c r="KEU223" s="73"/>
      <c r="KEV223" s="73"/>
      <c r="KEW223" s="73"/>
      <c r="KEX223" s="73"/>
      <c r="KEY223" s="73"/>
      <c r="KEZ223" s="73"/>
      <c r="KFA223" s="73"/>
      <c r="KFB223" s="73"/>
      <c r="KFC223" s="73"/>
      <c r="KFD223" s="73"/>
      <c r="KFE223" s="73"/>
      <c r="KFF223" s="73"/>
      <c r="KFG223" s="73"/>
      <c r="KFH223" s="73"/>
      <c r="KFI223" s="73"/>
      <c r="KFJ223" s="73"/>
      <c r="KFK223" s="73"/>
      <c r="KFL223" s="73"/>
      <c r="KFM223" s="73"/>
      <c r="KFN223" s="73"/>
      <c r="KFO223" s="73"/>
      <c r="KFP223" s="73"/>
      <c r="KFQ223" s="73"/>
      <c r="KFR223" s="73"/>
      <c r="KFS223" s="73"/>
      <c r="KFT223" s="73"/>
      <c r="KFU223" s="73"/>
      <c r="KFV223" s="73"/>
      <c r="KFW223" s="73"/>
      <c r="KFX223" s="73"/>
      <c r="KFY223" s="73"/>
      <c r="KFZ223" s="73"/>
      <c r="KGA223" s="73"/>
      <c r="KGB223" s="73"/>
      <c r="KGC223" s="73"/>
      <c r="KGD223" s="73"/>
      <c r="KGE223" s="73"/>
      <c r="KGF223" s="73"/>
      <c r="KGG223" s="73"/>
      <c r="KGH223" s="73"/>
      <c r="KGI223" s="73"/>
      <c r="KGJ223" s="73"/>
      <c r="KGK223" s="73"/>
      <c r="KGL223" s="73"/>
      <c r="KGM223" s="73"/>
      <c r="KGN223" s="73"/>
      <c r="KGO223" s="73"/>
      <c r="KGP223" s="73"/>
      <c r="KGQ223" s="73"/>
      <c r="KGR223" s="73"/>
      <c r="KGS223" s="73"/>
      <c r="KGT223" s="73"/>
      <c r="KGU223" s="73"/>
      <c r="KGV223" s="73"/>
      <c r="KGW223" s="73"/>
      <c r="KGX223" s="73"/>
      <c r="KGY223" s="73"/>
      <c r="KGZ223" s="73"/>
      <c r="KHA223" s="73"/>
      <c r="KHB223" s="73"/>
      <c r="KHC223" s="73"/>
      <c r="KHD223" s="73"/>
      <c r="KHE223" s="73"/>
      <c r="KHF223" s="73"/>
      <c r="KHG223" s="73"/>
      <c r="KHH223" s="73"/>
      <c r="KHI223" s="73"/>
      <c r="KHJ223" s="73"/>
      <c r="KHK223" s="73"/>
      <c r="KHL223" s="73"/>
      <c r="KHM223" s="73"/>
      <c r="KHN223" s="73"/>
      <c r="KHO223" s="73"/>
      <c r="KHP223" s="73"/>
      <c r="KHQ223" s="73"/>
      <c r="KHR223" s="73"/>
      <c r="KHS223" s="73"/>
      <c r="KHT223" s="73"/>
      <c r="KHU223" s="73"/>
      <c r="KHV223" s="73"/>
      <c r="KHW223" s="73"/>
      <c r="KHX223" s="73"/>
      <c r="KHY223" s="73"/>
      <c r="KHZ223" s="73"/>
      <c r="KIA223" s="73"/>
      <c r="KIB223" s="73"/>
      <c r="KIC223" s="73"/>
      <c r="KID223" s="73"/>
      <c r="KIE223" s="73"/>
      <c r="KIF223" s="73"/>
      <c r="KIG223" s="73"/>
      <c r="KIH223" s="73"/>
      <c r="KII223" s="73"/>
      <c r="KIJ223" s="73"/>
      <c r="KIK223" s="73"/>
      <c r="KIL223" s="73"/>
      <c r="KIM223" s="73"/>
      <c r="KIN223" s="73"/>
      <c r="KIO223" s="73"/>
      <c r="KIP223" s="73"/>
      <c r="KIQ223" s="73"/>
      <c r="KIR223" s="73"/>
      <c r="KIS223" s="73"/>
      <c r="KIT223" s="73"/>
      <c r="KIU223" s="73"/>
      <c r="KIV223" s="73"/>
      <c r="KIW223" s="73"/>
      <c r="KIX223" s="73"/>
      <c r="KIY223" s="73"/>
      <c r="KIZ223" s="73"/>
      <c r="KJA223" s="73"/>
      <c r="KJB223" s="73"/>
      <c r="KJC223" s="73"/>
      <c r="KJD223" s="73"/>
      <c r="KJE223" s="73"/>
      <c r="KJF223" s="73"/>
      <c r="KJG223" s="73"/>
      <c r="KJH223" s="73"/>
      <c r="KJI223" s="73"/>
      <c r="KJJ223" s="73"/>
      <c r="KJK223" s="73"/>
      <c r="KJL223" s="73"/>
      <c r="KJM223" s="73"/>
      <c r="KJN223" s="73"/>
      <c r="KJO223" s="73"/>
      <c r="KJP223" s="73"/>
      <c r="KJQ223" s="73"/>
      <c r="KJR223" s="73"/>
      <c r="KJS223" s="73"/>
      <c r="KJT223" s="73"/>
      <c r="KJU223" s="73"/>
      <c r="KJV223" s="73"/>
      <c r="KJW223" s="73"/>
      <c r="KJX223" s="73"/>
      <c r="KJY223" s="73"/>
      <c r="KJZ223" s="73"/>
      <c r="KKA223" s="73"/>
      <c r="KKB223" s="73"/>
      <c r="KKC223" s="73"/>
      <c r="KKD223" s="73"/>
      <c r="KKE223" s="73"/>
      <c r="KKF223" s="73"/>
      <c r="KKG223" s="73"/>
      <c r="KKH223" s="73"/>
      <c r="KKI223" s="73"/>
      <c r="KKJ223" s="73"/>
      <c r="KKK223" s="73"/>
      <c r="KKL223" s="73"/>
      <c r="KKM223" s="73"/>
      <c r="KKN223" s="73"/>
      <c r="KKO223" s="73"/>
      <c r="KKP223" s="73"/>
      <c r="KKQ223" s="73"/>
      <c r="KKR223" s="73"/>
      <c r="KKS223" s="73"/>
      <c r="KKT223" s="73"/>
      <c r="KKU223" s="73"/>
      <c r="KKV223" s="73"/>
      <c r="KKW223" s="73"/>
      <c r="KKX223" s="73"/>
      <c r="KKY223" s="73"/>
      <c r="KKZ223" s="73"/>
      <c r="KLA223" s="73"/>
      <c r="KLB223" s="73"/>
      <c r="KLC223" s="73"/>
      <c r="KLD223" s="73"/>
      <c r="KLE223" s="73"/>
      <c r="KLF223" s="73"/>
      <c r="KLG223" s="73"/>
      <c r="KLH223" s="73"/>
      <c r="KLI223" s="73"/>
      <c r="KLJ223" s="73"/>
      <c r="KLK223" s="73"/>
      <c r="KLL223" s="73"/>
      <c r="KLM223" s="73"/>
      <c r="KLN223" s="73"/>
      <c r="KLO223" s="73"/>
      <c r="KLP223" s="73"/>
      <c r="KLQ223" s="73"/>
      <c r="KLR223" s="73"/>
      <c r="KLS223" s="73"/>
      <c r="KLT223" s="73"/>
      <c r="KLU223" s="73"/>
      <c r="KLV223" s="73"/>
      <c r="KLW223" s="73"/>
      <c r="KLX223" s="73"/>
      <c r="KLY223" s="73"/>
      <c r="KLZ223" s="73"/>
      <c r="KMA223" s="73"/>
      <c r="KMB223" s="73"/>
      <c r="KMC223" s="73"/>
      <c r="KMD223" s="73"/>
      <c r="KME223" s="73"/>
      <c r="KMF223" s="73"/>
      <c r="KMG223" s="73"/>
      <c r="KMH223" s="73"/>
      <c r="KMI223" s="73"/>
      <c r="KMJ223" s="73"/>
      <c r="KMK223" s="73"/>
      <c r="KML223" s="73"/>
      <c r="KMM223" s="73"/>
      <c r="KMN223" s="73"/>
      <c r="KMO223" s="73"/>
      <c r="KMP223" s="73"/>
      <c r="KMQ223" s="73"/>
      <c r="KMR223" s="73"/>
      <c r="KMS223" s="73"/>
      <c r="KMT223" s="73"/>
      <c r="KMU223" s="73"/>
      <c r="KMV223" s="73"/>
      <c r="KMW223" s="73"/>
      <c r="KMX223" s="73"/>
      <c r="KMY223" s="73"/>
      <c r="KMZ223" s="73"/>
      <c r="KNA223" s="73"/>
      <c r="KNB223" s="73"/>
      <c r="KNC223" s="73"/>
      <c r="KND223" s="73"/>
      <c r="KNE223" s="73"/>
      <c r="KNF223" s="73"/>
      <c r="KNG223" s="73"/>
      <c r="KNH223" s="73"/>
      <c r="KNI223" s="73"/>
      <c r="KNJ223" s="73"/>
      <c r="KNK223" s="73"/>
      <c r="KNL223" s="73"/>
      <c r="KNM223" s="73"/>
      <c r="KNN223" s="73"/>
      <c r="KNO223" s="73"/>
      <c r="KNP223" s="73"/>
      <c r="KNQ223" s="73"/>
      <c r="KNR223" s="73"/>
      <c r="KNS223" s="73"/>
      <c r="KNT223" s="73"/>
      <c r="KNU223" s="73"/>
      <c r="KNV223" s="73"/>
      <c r="KNW223" s="73"/>
      <c r="KNX223" s="73"/>
      <c r="KNY223" s="73"/>
      <c r="KNZ223" s="73"/>
      <c r="KOA223" s="73"/>
      <c r="KOB223" s="73"/>
      <c r="KOC223" s="73"/>
      <c r="KOD223" s="73"/>
      <c r="KOE223" s="73"/>
      <c r="KOF223" s="73"/>
      <c r="KOG223" s="73"/>
      <c r="KOH223" s="73"/>
      <c r="KOI223" s="73"/>
      <c r="KOJ223" s="73"/>
      <c r="KOK223" s="73"/>
      <c r="KOL223" s="73"/>
      <c r="KOM223" s="73"/>
      <c r="KON223" s="73"/>
      <c r="KOO223" s="73"/>
      <c r="KOP223" s="73"/>
      <c r="KOQ223" s="73"/>
      <c r="KOR223" s="73"/>
      <c r="KOS223" s="73"/>
      <c r="KOT223" s="73"/>
      <c r="KOU223" s="73"/>
      <c r="KOV223" s="73"/>
      <c r="KOW223" s="73"/>
      <c r="KOX223" s="73"/>
      <c r="KOY223" s="73"/>
      <c r="KOZ223" s="73"/>
      <c r="KPA223" s="73"/>
      <c r="KPB223" s="73"/>
      <c r="KPC223" s="73"/>
      <c r="KPD223" s="73"/>
      <c r="KPE223" s="73"/>
      <c r="KPF223" s="73"/>
      <c r="KPG223" s="73"/>
      <c r="KPH223" s="73"/>
      <c r="KPI223" s="73"/>
      <c r="KPJ223" s="73"/>
      <c r="KPK223" s="73"/>
      <c r="KPL223" s="73"/>
      <c r="KPM223" s="73"/>
      <c r="KPN223" s="73"/>
      <c r="KPO223" s="73"/>
      <c r="KPP223" s="73"/>
      <c r="KPQ223" s="73"/>
      <c r="KPR223" s="73"/>
      <c r="KPS223" s="73"/>
      <c r="KPT223" s="73"/>
      <c r="KPU223" s="73"/>
      <c r="KPV223" s="73"/>
      <c r="KPW223" s="73"/>
      <c r="KPX223" s="73"/>
      <c r="KPY223" s="73"/>
      <c r="KPZ223" s="73"/>
      <c r="KQA223" s="73"/>
      <c r="KQB223" s="73"/>
      <c r="KQC223" s="73"/>
      <c r="KQD223" s="73"/>
      <c r="KQE223" s="73"/>
      <c r="KQF223" s="73"/>
      <c r="KQG223" s="73"/>
      <c r="KQH223" s="73"/>
      <c r="KQI223" s="73"/>
      <c r="KQJ223" s="73"/>
      <c r="KQK223" s="73"/>
      <c r="KQL223" s="73"/>
      <c r="KQM223" s="73"/>
      <c r="KQN223" s="73"/>
      <c r="KQO223" s="73"/>
      <c r="KQP223" s="73"/>
      <c r="KQQ223" s="73"/>
      <c r="KQR223" s="73"/>
      <c r="KQS223" s="73"/>
      <c r="KQT223" s="73"/>
      <c r="KQU223" s="73"/>
      <c r="KQV223" s="73"/>
      <c r="KQW223" s="73"/>
      <c r="KQX223" s="73"/>
      <c r="KQY223" s="73"/>
      <c r="KQZ223" s="73"/>
      <c r="KRA223" s="73"/>
      <c r="KRB223" s="73"/>
      <c r="KRC223" s="73"/>
      <c r="KRD223" s="73"/>
      <c r="KRE223" s="73"/>
      <c r="KRF223" s="73"/>
      <c r="KRG223" s="73"/>
      <c r="KRH223" s="73"/>
      <c r="KRI223" s="73"/>
      <c r="KRJ223" s="73"/>
      <c r="KRK223" s="73"/>
      <c r="KRL223" s="73"/>
      <c r="KRM223" s="73"/>
      <c r="KRN223" s="73"/>
      <c r="KRO223" s="73"/>
      <c r="KRP223" s="73"/>
      <c r="KRQ223" s="73"/>
      <c r="KRR223" s="73"/>
      <c r="KRS223" s="73"/>
      <c r="KRT223" s="73"/>
      <c r="KRU223" s="73"/>
      <c r="KRV223" s="73"/>
      <c r="KRW223" s="73"/>
      <c r="KRX223" s="73"/>
      <c r="KRY223" s="73"/>
      <c r="KRZ223" s="73"/>
      <c r="KSA223" s="73"/>
      <c r="KSB223" s="73"/>
      <c r="KSC223" s="73"/>
      <c r="KSD223" s="73"/>
      <c r="KSE223" s="73"/>
      <c r="KSF223" s="73"/>
      <c r="KSG223" s="73"/>
      <c r="KSH223" s="73"/>
      <c r="KSI223" s="73"/>
      <c r="KSJ223" s="73"/>
      <c r="KSK223" s="73"/>
      <c r="KSL223" s="73"/>
      <c r="KSM223" s="73"/>
      <c r="KSN223" s="73"/>
      <c r="KSO223" s="73"/>
      <c r="KSP223" s="73"/>
      <c r="KSQ223" s="73"/>
      <c r="KSR223" s="73"/>
      <c r="KSS223" s="73"/>
      <c r="KST223" s="73"/>
      <c r="KSU223" s="73"/>
      <c r="KSV223" s="73"/>
      <c r="KSW223" s="73"/>
      <c r="KSX223" s="73"/>
      <c r="KSY223" s="73"/>
      <c r="KSZ223" s="73"/>
      <c r="KTA223" s="73"/>
      <c r="KTB223" s="73"/>
      <c r="KTC223" s="73"/>
      <c r="KTD223" s="73"/>
      <c r="KTE223" s="73"/>
      <c r="KTF223" s="73"/>
      <c r="KTG223" s="73"/>
      <c r="KTH223" s="73"/>
      <c r="KTI223" s="73"/>
      <c r="KTJ223" s="73"/>
      <c r="KTK223" s="73"/>
      <c r="KTL223" s="73"/>
      <c r="KTM223" s="73"/>
      <c r="KTN223" s="73"/>
      <c r="KTO223" s="73"/>
      <c r="KTP223" s="73"/>
      <c r="KTQ223" s="73"/>
      <c r="KTR223" s="73"/>
      <c r="KTS223" s="73"/>
      <c r="KTT223" s="73"/>
      <c r="KTU223" s="73"/>
      <c r="KTV223" s="73"/>
      <c r="KTW223" s="73"/>
      <c r="KTX223" s="73"/>
      <c r="KTY223" s="73"/>
      <c r="KTZ223" s="73"/>
      <c r="KUA223" s="73"/>
      <c r="KUB223" s="73"/>
      <c r="KUC223" s="73"/>
      <c r="KUD223" s="73"/>
      <c r="KUE223" s="73"/>
      <c r="KUF223" s="73"/>
      <c r="KUG223" s="73"/>
      <c r="KUH223" s="73"/>
      <c r="KUI223" s="73"/>
      <c r="KUJ223" s="73"/>
      <c r="KUK223" s="73"/>
      <c r="KUL223" s="73"/>
      <c r="KUM223" s="73"/>
      <c r="KUN223" s="73"/>
      <c r="KUO223" s="73"/>
      <c r="KUP223" s="73"/>
      <c r="KUQ223" s="73"/>
      <c r="KUR223" s="73"/>
      <c r="KUS223" s="73"/>
      <c r="KUT223" s="73"/>
      <c r="KUU223" s="73"/>
      <c r="KUV223" s="73"/>
      <c r="KUW223" s="73"/>
      <c r="KUX223" s="73"/>
      <c r="KUY223" s="73"/>
      <c r="KUZ223" s="73"/>
      <c r="KVA223" s="73"/>
      <c r="KVB223" s="73"/>
      <c r="KVC223" s="73"/>
      <c r="KVD223" s="73"/>
      <c r="KVE223" s="73"/>
      <c r="KVF223" s="73"/>
      <c r="KVG223" s="73"/>
      <c r="KVH223" s="73"/>
      <c r="KVI223" s="73"/>
      <c r="KVJ223" s="73"/>
      <c r="KVK223" s="73"/>
      <c r="KVL223" s="73"/>
      <c r="KVM223" s="73"/>
      <c r="KVN223" s="73"/>
      <c r="KVO223" s="73"/>
      <c r="KVP223" s="73"/>
      <c r="KVQ223" s="73"/>
      <c r="KVR223" s="73"/>
      <c r="KVS223" s="73"/>
      <c r="KVT223" s="73"/>
      <c r="KVU223" s="73"/>
      <c r="KVV223" s="73"/>
      <c r="KVW223" s="73"/>
      <c r="KVX223" s="73"/>
      <c r="KVY223" s="73"/>
      <c r="KVZ223" s="73"/>
      <c r="KWA223" s="73"/>
      <c r="KWB223" s="73"/>
      <c r="KWC223" s="73"/>
      <c r="KWD223" s="73"/>
      <c r="KWE223" s="73"/>
      <c r="KWF223" s="73"/>
      <c r="KWG223" s="73"/>
      <c r="KWH223" s="73"/>
      <c r="KWI223" s="73"/>
      <c r="KWJ223" s="73"/>
      <c r="KWK223" s="73"/>
      <c r="KWL223" s="73"/>
      <c r="KWM223" s="73"/>
      <c r="KWN223" s="73"/>
      <c r="KWO223" s="73"/>
      <c r="KWP223" s="73"/>
      <c r="KWQ223" s="73"/>
      <c r="KWR223" s="73"/>
      <c r="KWS223" s="73"/>
      <c r="KWT223" s="73"/>
      <c r="KWU223" s="73"/>
      <c r="KWV223" s="73"/>
      <c r="KWW223" s="73"/>
      <c r="KWX223" s="73"/>
      <c r="KWY223" s="73"/>
      <c r="KWZ223" s="73"/>
      <c r="KXA223" s="73"/>
      <c r="KXB223" s="73"/>
      <c r="KXC223" s="73"/>
      <c r="KXD223" s="73"/>
      <c r="KXE223" s="73"/>
      <c r="KXF223" s="73"/>
      <c r="KXG223" s="73"/>
      <c r="KXH223" s="73"/>
      <c r="KXI223" s="73"/>
      <c r="KXJ223" s="73"/>
      <c r="KXK223" s="73"/>
      <c r="KXL223" s="73"/>
      <c r="KXM223" s="73"/>
      <c r="KXN223" s="73"/>
      <c r="KXO223" s="73"/>
      <c r="KXP223" s="73"/>
      <c r="KXQ223" s="73"/>
      <c r="KXR223" s="73"/>
      <c r="KXS223" s="73"/>
      <c r="KXT223" s="73"/>
      <c r="KXU223" s="73"/>
      <c r="KXV223" s="73"/>
      <c r="KXW223" s="73"/>
      <c r="KXX223" s="73"/>
      <c r="KXY223" s="73"/>
      <c r="KXZ223" s="73"/>
      <c r="KYA223" s="73"/>
      <c r="KYB223" s="73"/>
      <c r="KYC223" s="73"/>
      <c r="KYD223" s="73"/>
      <c r="KYE223" s="73"/>
      <c r="KYF223" s="73"/>
      <c r="KYG223" s="73"/>
      <c r="KYH223" s="73"/>
      <c r="KYI223" s="73"/>
      <c r="KYJ223" s="73"/>
      <c r="KYK223" s="73"/>
      <c r="KYL223" s="73"/>
      <c r="KYM223" s="73"/>
      <c r="KYN223" s="73"/>
      <c r="KYO223" s="73"/>
      <c r="KYP223" s="73"/>
      <c r="KYQ223" s="73"/>
      <c r="KYR223" s="73"/>
      <c r="KYS223" s="73"/>
      <c r="KYT223" s="73"/>
      <c r="KYU223" s="73"/>
      <c r="KYV223" s="73"/>
      <c r="KYW223" s="73"/>
      <c r="KYX223" s="73"/>
      <c r="KYY223" s="73"/>
      <c r="KYZ223" s="73"/>
      <c r="KZA223" s="73"/>
      <c r="KZB223" s="73"/>
      <c r="KZC223" s="73"/>
      <c r="KZD223" s="73"/>
      <c r="KZE223" s="73"/>
      <c r="KZF223" s="73"/>
      <c r="KZG223" s="73"/>
      <c r="KZH223" s="73"/>
      <c r="KZI223" s="73"/>
      <c r="KZJ223" s="73"/>
      <c r="KZK223" s="73"/>
      <c r="KZL223" s="73"/>
      <c r="KZM223" s="73"/>
      <c r="KZN223" s="73"/>
      <c r="KZO223" s="73"/>
      <c r="KZP223" s="73"/>
      <c r="KZQ223" s="73"/>
      <c r="KZR223" s="73"/>
      <c r="KZS223" s="73"/>
      <c r="KZT223" s="73"/>
      <c r="KZU223" s="73"/>
      <c r="KZV223" s="73"/>
      <c r="KZW223" s="73"/>
      <c r="KZX223" s="73"/>
      <c r="KZY223" s="73"/>
      <c r="KZZ223" s="73"/>
      <c r="LAA223" s="73"/>
      <c r="LAB223" s="73"/>
      <c r="LAC223" s="73"/>
      <c r="LAD223" s="73"/>
      <c r="LAE223" s="73"/>
      <c r="LAF223" s="73"/>
      <c r="LAG223" s="73"/>
      <c r="LAH223" s="73"/>
      <c r="LAI223" s="73"/>
      <c r="LAJ223" s="73"/>
      <c r="LAK223" s="73"/>
      <c r="LAL223" s="73"/>
      <c r="LAM223" s="73"/>
      <c r="LAN223" s="73"/>
      <c r="LAO223" s="73"/>
      <c r="LAP223" s="73"/>
      <c r="LAQ223" s="73"/>
      <c r="LAR223" s="73"/>
      <c r="LAS223" s="73"/>
      <c r="LAT223" s="73"/>
      <c r="LAU223" s="73"/>
      <c r="LAV223" s="73"/>
      <c r="LAW223" s="73"/>
      <c r="LAX223" s="73"/>
      <c r="LAY223" s="73"/>
      <c r="LAZ223" s="73"/>
      <c r="LBA223" s="73"/>
      <c r="LBB223" s="73"/>
      <c r="LBC223" s="73"/>
      <c r="LBD223" s="73"/>
      <c r="LBE223" s="73"/>
      <c r="LBF223" s="73"/>
      <c r="LBG223" s="73"/>
      <c r="LBH223" s="73"/>
      <c r="LBI223" s="73"/>
      <c r="LBJ223" s="73"/>
      <c r="LBK223" s="73"/>
      <c r="LBL223" s="73"/>
      <c r="LBM223" s="73"/>
      <c r="LBN223" s="73"/>
      <c r="LBO223" s="73"/>
      <c r="LBP223" s="73"/>
      <c r="LBQ223" s="73"/>
      <c r="LBR223" s="73"/>
      <c r="LBS223" s="73"/>
      <c r="LBT223" s="73"/>
      <c r="LBU223" s="73"/>
      <c r="LBV223" s="73"/>
      <c r="LBW223" s="73"/>
      <c r="LBX223" s="73"/>
      <c r="LBY223" s="73"/>
      <c r="LBZ223" s="73"/>
      <c r="LCA223" s="73"/>
      <c r="LCB223" s="73"/>
      <c r="LCC223" s="73"/>
      <c r="LCD223" s="73"/>
      <c r="LCE223" s="73"/>
      <c r="LCF223" s="73"/>
      <c r="LCG223" s="73"/>
      <c r="LCH223" s="73"/>
      <c r="LCI223" s="73"/>
      <c r="LCJ223" s="73"/>
      <c r="LCK223" s="73"/>
      <c r="LCL223" s="73"/>
      <c r="LCM223" s="73"/>
      <c r="LCN223" s="73"/>
      <c r="LCO223" s="73"/>
      <c r="LCP223" s="73"/>
      <c r="LCQ223" s="73"/>
      <c r="LCR223" s="73"/>
      <c r="LCS223" s="73"/>
      <c r="LCT223" s="73"/>
      <c r="LCU223" s="73"/>
      <c r="LCV223" s="73"/>
      <c r="LCW223" s="73"/>
      <c r="LCX223" s="73"/>
      <c r="LCY223" s="73"/>
      <c r="LCZ223" s="73"/>
      <c r="LDA223" s="73"/>
      <c r="LDB223" s="73"/>
      <c r="LDC223" s="73"/>
      <c r="LDD223" s="73"/>
      <c r="LDE223" s="73"/>
      <c r="LDF223" s="73"/>
      <c r="LDG223" s="73"/>
      <c r="LDH223" s="73"/>
      <c r="LDI223" s="73"/>
      <c r="LDJ223" s="73"/>
      <c r="LDK223" s="73"/>
      <c r="LDL223" s="73"/>
      <c r="LDM223" s="73"/>
      <c r="LDN223" s="73"/>
      <c r="LDO223" s="73"/>
      <c r="LDP223" s="73"/>
      <c r="LDQ223" s="73"/>
      <c r="LDR223" s="73"/>
      <c r="LDS223" s="73"/>
      <c r="LDT223" s="73"/>
      <c r="LDU223" s="73"/>
      <c r="LDV223" s="73"/>
      <c r="LDW223" s="73"/>
      <c r="LDX223" s="73"/>
      <c r="LDY223" s="73"/>
      <c r="LDZ223" s="73"/>
      <c r="LEA223" s="73"/>
      <c r="LEB223" s="73"/>
      <c r="LEC223" s="73"/>
      <c r="LED223" s="73"/>
      <c r="LEE223" s="73"/>
      <c r="LEF223" s="73"/>
      <c r="LEG223" s="73"/>
      <c r="LEH223" s="73"/>
      <c r="LEI223" s="73"/>
      <c r="LEJ223" s="73"/>
      <c r="LEK223" s="73"/>
      <c r="LEL223" s="73"/>
      <c r="LEM223" s="73"/>
      <c r="LEN223" s="73"/>
      <c r="LEO223" s="73"/>
      <c r="LEP223" s="73"/>
      <c r="LEQ223" s="73"/>
      <c r="LER223" s="73"/>
      <c r="LES223" s="73"/>
      <c r="LET223" s="73"/>
      <c r="LEU223" s="73"/>
      <c r="LEV223" s="73"/>
      <c r="LEW223" s="73"/>
      <c r="LEX223" s="73"/>
      <c r="LEY223" s="73"/>
      <c r="LEZ223" s="73"/>
      <c r="LFA223" s="73"/>
      <c r="LFB223" s="73"/>
      <c r="LFC223" s="73"/>
      <c r="LFD223" s="73"/>
      <c r="LFE223" s="73"/>
      <c r="LFF223" s="73"/>
      <c r="LFG223" s="73"/>
      <c r="LFH223" s="73"/>
      <c r="LFI223" s="73"/>
      <c r="LFJ223" s="73"/>
      <c r="LFK223" s="73"/>
      <c r="LFL223" s="73"/>
      <c r="LFM223" s="73"/>
      <c r="LFN223" s="73"/>
      <c r="LFO223" s="73"/>
      <c r="LFP223" s="73"/>
      <c r="LFQ223" s="73"/>
      <c r="LFR223" s="73"/>
      <c r="LFS223" s="73"/>
      <c r="LFT223" s="73"/>
      <c r="LFU223" s="73"/>
      <c r="LFV223" s="73"/>
      <c r="LFW223" s="73"/>
      <c r="LFX223" s="73"/>
      <c r="LFY223" s="73"/>
      <c r="LFZ223" s="73"/>
      <c r="LGA223" s="73"/>
      <c r="LGB223" s="73"/>
      <c r="LGC223" s="73"/>
      <c r="LGD223" s="73"/>
      <c r="LGE223" s="73"/>
      <c r="LGF223" s="73"/>
      <c r="LGG223" s="73"/>
      <c r="LGH223" s="73"/>
      <c r="LGI223" s="73"/>
      <c r="LGJ223" s="73"/>
      <c r="LGK223" s="73"/>
      <c r="LGL223" s="73"/>
      <c r="LGM223" s="73"/>
      <c r="LGN223" s="73"/>
      <c r="LGO223" s="73"/>
      <c r="LGP223" s="73"/>
      <c r="LGQ223" s="73"/>
      <c r="LGR223" s="73"/>
      <c r="LGS223" s="73"/>
      <c r="LGT223" s="73"/>
      <c r="LGU223" s="73"/>
      <c r="LGV223" s="73"/>
      <c r="LGW223" s="73"/>
      <c r="LGX223" s="73"/>
      <c r="LGY223" s="73"/>
      <c r="LGZ223" s="73"/>
      <c r="LHA223" s="73"/>
      <c r="LHB223" s="73"/>
      <c r="LHC223" s="73"/>
      <c r="LHD223" s="73"/>
      <c r="LHE223" s="73"/>
      <c r="LHF223" s="73"/>
      <c r="LHG223" s="73"/>
      <c r="LHH223" s="73"/>
      <c r="LHI223" s="73"/>
      <c r="LHJ223" s="73"/>
      <c r="LHK223" s="73"/>
      <c r="LHL223" s="73"/>
      <c r="LHM223" s="73"/>
      <c r="LHN223" s="73"/>
      <c r="LHO223" s="73"/>
      <c r="LHP223" s="73"/>
      <c r="LHQ223" s="73"/>
      <c r="LHR223" s="73"/>
      <c r="LHS223" s="73"/>
      <c r="LHT223" s="73"/>
      <c r="LHU223" s="73"/>
      <c r="LHV223" s="73"/>
      <c r="LHW223" s="73"/>
      <c r="LHX223" s="73"/>
      <c r="LHY223" s="73"/>
      <c r="LHZ223" s="73"/>
      <c r="LIA223" s="73"/>
      <c r="LIB223" s="73"/>
      <c r="LIC223" s="73"/>
      <c r="LID223" s="73"/>
      <c r="LIE223" s="73"/>
      <c r="LIF223" s="73"/>
      <c r="LIG223" s="73"/>
      <c r="LIH223" s="73"/>
      <c r="LII223" s="73"/>
      <c r="LIJ223" s="73"/>
      <c r="LIK223" s="73"/>
      <c r="LIL223" s="73"/>
      <c r="LIM223" s="73"/>
      <c r="LIN223" s="73"/>
      <c r="LIO223" s="73"/>
      <c r="LIP223" s="73"/>
      <c r="LIQ223" s="73"/>
      <c r="LIR223" s="73"/>
      <c r="LIS223" s="73"/>
      <c r="LIT223" s="73"/>
      <c r="LIU223" s="73"/>
      <c r="LIV223" s="73"/>
      <c r="LIW223" s="73"/>
      <c r="LIX223" s="73"/>
      <c r="LIY223" s="73"/>
      <c r="LIZ223" s="73"/>
      <c r="LJA223" s="73"/>
      <c r="LJB223" s="73"/>
      <c r="LJC223" s="73"/>
      <c r="LJD223" s="73"/>
      <c r="LJE223" s="73"/>
      <c r="LJF223" s="73"/>
      <c r="LJG223" s="73"/>
      <c r="LJH223" s="73"/>
      <c r="LJI223" s="73"/>
      <c r="LJJ223" s="73"/>
      <c r="LJK223" s="73"/>
      <c r="LJL223" s="73"/>
      <c r="LJM223" s="73"/>
      <c r="LJN223" s="73"/>
      <c r="LJO223" s="73"/>
      <c r="LJP223" s="73"/>
      <c r="LJQ223" s="73"/>
      <c r="LJR223" s="73"/>
      <c r="LJS223" s="73"/>
      <c r="LJT223" s="73"/>
      <c r="LJU223" s="73"/>
      <c r="LJV223" s="73"/>
      <c r="LJW223" s="73"/>
      <c r="LJX223" s="73"/>
      <c r="LJY223" s="73"/>
      <c r="LJZ223" s="73"/>
      <c r="LKA223" s="73"/>
      <c r="LKB223" s="73"/>
      <c r="LKC223" s="73"/>
      <c r="LKD223" s="73"/>
      <c r="LKE223" s="73"/>
      <c r="LKF223" s="73"/>
      <c r="LKG223" s="73"/>
      <c r="LKH223" s="73"/>
      <c r="LKI223" s="73"/>
      <c r="LKJ223" s="73"/>
      <c r="LKK223" s="73"/>
      <c r="LKL223" s="73"/>
      <c r="LKM223" s="73"/>
      <c r="LKN223" s="73"/>
      <c r="LKO223" s="73"/>
      <c r="LKP223" s="73"/>
      <c r="LKQ223" s="73"/>
      <c r="LKR223" s="73"/>
      <c r="LKS223" s="73"/>
      <c r="LKT223" s="73"/>
      <c r="LKU223" s="73"/>
      <c r="LKV223" s="73"/>
      <c r="LKW223" s="73"/>
      <c r="LKX223" s="73"/>
      <c r="LKY223" s="73"/>
      <c r="LKZ223" s="73"/>
      <c r="LLA223" s="73"/>
      <c r="LLB223" s="73"/>
      <c r="LLC223" s="73"/>
      <c r="LLD223" s="73"/>
      <c r="LLE223" s="73"/>
      <c r="LLF223" s="73"/>
      <c r="LLG223" s="73"/>
      <c r="LLH223" s="73"/>
      <c r="LLI223" s="73"/>
      <c r="LLJ223" s="73"/>
      <c r="LLK223" s="73"/>
      <c r="LLL223" s="73"/>
      <c r="LLM223" s="73"/>
      <c r="LLN223" s="73"/>
      <c r="LLO223" s="73"/>
      <c r="LLP223" s="73"/>
      <c r="LLQ223" s="73"/>
      <c r="LLR223" s="73"/>
      <c r="LLS223" s="73"/>
      <c r="LLT223" s="73"/>
      <c r="LLU223" s="73"/>
      <c r="LLV223" s="73"/>
      <c r="LLW223" s="73"/>
      <c r="LLX223" s="73"/>
      <c r="LLY223" s="73"/>
      <c r="LLZ223" s="73"/>
      <c r="LMA223" s="73"/>
      <c r="LMB223" s="73"/>
      <c r="LMC223" s="73"/>
      <c r="LMD223" s="73"/>
      <c r="LME223" s="73"/>
      <c r="LMF223" s="73"/>
      <c r="LMG223" s="73"/>
      <c r="LMH223" s="73"/>
      <c r="LMI223" s="73"/>
      <c r="LMJ223" s="73"/>
      <c r="LMK223" s="73"/>
      <c r="LML223" s="73"/>
      <c r="LMM223" s="73"/>
      <c r="LMN223" s="73"/>
      <c r="LMO223" s="73"/>
      <c r="LMP223" s="73"/>
      <c r="LMQ223" s="73"/>
      <c r="LMR223" s="73"/>
      <c r="LMS223" s="73"/>
      <c r="LMT223" s="73"/>
      <c r="LMU223" s="73"/>
      <c r="LMV223" s="73"/>
      <c r="LMW223" s="73"/>
      <c r="LMX223" s="73"/>
      <c r="LMY223" s="73"/>
      <c r="LMZ223" s="73"/>
      <c r="LNA223" s="73"/>
      <c r="LNB223" s="73"/>
      <c r="LNC223" s="73"/>
      <c r="LND223" s="73"/>
      <c r="LNE223" s="73"/>
      <c r="LNF223" s="73"/>
      <c r="LNG223" s="73"/>
      <c r="LNH223" s="73"/>
      <c r="LNI223" s="73"/>
      <c r="LNJ223" s="73"/>
      <c r="LNK223" s="73"/>
      <c r="LNL223" s="73"/>
      <c r="LNM223" s="73"/>
      <c r="LNN223" s="73"/>
      <c r="LNO223" s="73"/>
      <c r="LNP223" s="73"/>
      <c r="LNQ223" s="73"/>
      <c r="LNR223" s="73"/>
      <c r="LNS223" s="73"/>
      <c r="LNT223" s="73"/>
      <c r="LNU223" s="73"/>
      <c r="LNV223" s="73"/>
      <c r="LNW223" s="73"/>
      <c r="LNX223" s="73"/>
      <c r="LNY223" s="73"/>
      <c r="LNZ223" s="73"/>
      <c r="LOA223" s="73"/>
      <c r="LOB223" s="73"/>
      <c r="LOC223" s="73"/>
      <c r="LOD223" s="73"/>
      <c r="LOE223" s="73"/>
      <c r="LOF223" s="73"/>
      <c r="LOG223" s="73"/>
      <c r="LOH223" s="73"/>
      <c r="LOI223" s="73"/>
      <c r="LOJ223" s="73"/>
      <c r="LOK223" s="73"/>
      <c r="LOL223" s="73"/>
      <c r="LOM223" s="73"/>
      <c r="LON223" s="73"/>
      <c r="LOO223" s="73"/>
      <c r="LOP223" s="73"/>
      <c r="LOQ223" s="73"/>
      <c r="LOR223" s="73"/>
      <c r="LOS223" s="73"/>
      <c r="LOT223" s="73"/>
      <c r="LOU223" s="73"/>
      <c r="LOV223" s="73"/>
      <c r="LOW223" s="73"/>
      <c r="LOX223" s="73"/>
      <c r="LOY223" s="73"/>
      <c r="LOZ223" s="73"/>
      <c r="LPA223" s="73"/>
      <c r="LPB223" s="73"/>
      <c r="LPC223" s="73"/>
      <c r="LPD223" s="73"/>
      <c r="LPE223" s="73"/>
      <c r="LPF223" s="73"/>
      <c r="LPG223" s="73"/>
      <c r="LPH223" s="73"/>
      <c r="LPI223" s="73"/>
      <c r="LPJ223" s="73"/>
      <c r="LPK223" s="73"/>
      <c r="LPL223" s="73"/>
      <c r="LPM223" s="73"/>
      <c r="LPN223" s="73"/>
      <c r="LPO223" s="73"/>
      <c r="LPP223" s="73"/>
      <c r="LPQ223" s="73"/>
      <c r="LPR223" s="73"/>
      <c r="LPS223" s="73"/>
      <c r="LPT223" s="73"/>
      <c r="LPU223" s="73"/>
      <c r="LPV223" s="73"/>
      <c r="LPW223" s="73"/>
      <c r="LPX223" s="73"/>
      <c r="LPY223" s="73"/>
      <c r="LPZ223" s="73"/>
      <c r="LQA223" s="73"/>
      <c r="LQB223" s="73"/>
      <c r="LQC223" s="73"/>
      <c r="LQD223" s="73"/>
      <c r="LQE223" s="73"/>
      <c r="LQF223" s="73"/>
      <c r="LQG223" s="73"/>
      <c r="LQH223" s="73"/>
      <c r="LQI223" s="73"/>
      <c r="LQJ223" s="73"/>
      <c r="LQK223" s="73"/>
      <c r="LQL223" s="73"/>
      <c r="LQM223" s="73"/>
      <c r="LQN223" s="73"/>
      <c r="LQO223" s="73"/>
      <c r="LQP223" s="73"/>
      <c r="LQQ223" s="73"/>
      <c r="LQR223" s="73"/>
      <c r="LQS223" s="73"/>
      <c r="LQT223" s="73"/>
      <c r="LQU223" s="73"/>
      <c r="LQV223" s="73"/>
      <c r="LQW223" s="73"/>
      <c r="LQX223" s="73"/>
      <c r="LQY223" s="73"/>
      <c r="LQZ223" s="73"/>
      <c r="LRA223" s="73"/>
      <c r="LRB223" s="73"/>
      <c r="LRC223" s="73"/>
      <c r="LRD223" s="73"/>
      <c r="LRE223" s="73"/>
      <c r="LRF223" s="73"/>
      <c r="LRG223" s="73"/>
      <c r="LRH223" s="73"/>
      <c r="LRI223" s="73"/>
      <c r="LRJ223" s="73"/>
      <c r="LRK223" s="73"/>
      <c r="LRL223" s="73"/>
      <c r="LRM223" s="73"/>
      <c r="LRN223" s="73"/>
      <c r="LRO223" s="73"/>
      <c r="LRP223" s="73"/>
      <c r="LRQ223" s="73"/>
      <c r="LRR223" s="73"/>
      <c r="LRS223" s="73"/>
      <c r="LRT223" s="73"/>
      <c r="LRU223" s="73"/>
      <c r="LRV223" s="73"/>
      <c r="LRW223" s="73"/>
      <c r="LRX223" s="73"/>
      <c r="LRY223" s="73"/>
      <c r="LRZ223" s="73"/>
      <c r="LSA223" s="73"/>
      <c r="LSB223" s="73"/>
      <c r="LSC223" s="73"/>
      <c r="LSD223" s="73"/>
      <c r="LSE223" s="73"/>
      <c r="LSF223" s="73"/>
      <c r="LSG223" s="73"/>
      <c r="LSH223" s="73"/>
      <c r="LSI223" s="73"/>
      <c r="LSJ223" s="73"/>
      <c r="LSK223" s="73"/>
      <c r="LSL223" s="73"/>
      <c r="LSM223" s="73"/>
      <c r="LSN223" s="73"/>
      <c r="LSO223" s="73"/>
      <c r="LSP223" s="73"/>
      <c r="LSQ223" s="73"/>
      <c r="LSR223" s="73"/>
      <c r="LSS223" s="73"/>
      <c r="LST223" s="73"/>
      <c r="LSU223" s="73"/>
      <c r="LSV223" s="73"/>
      <c r="LSW223" s="73"/>
      <c r="LSX223" s="73"/>
      <c r="LSY223" s="73"/>
      <c r="LSZ223" s="73"/>
      <c r="LTA223" s="73"/>
      <c r="LTB223" s="73"/>
      <c r="LTC223" s="73"/>
      <c r="LTD223" s="73"/>
      <c r="LTE223" s="73"/>
      <c r="LTF223" s="73"/>
      <c r="LTG223" s="73"/>
      <c r="LTH223" s="73"/>
      <c r="LTI223" s="73"/>
      <c r="LTJ223" s="73"/>
      <c r="LTK223" s="73"/>
      <c r="LTL223" s="73"/>
      <c r="LTM223" s="73"/>
      <c r="LTN223" s="73"/>
      <c r="LTO223" s="73"/>
      <c r="LTP223" s="73"/>
      <c r="LTQ223" s="73"/>
      <c r="LTR223" s="73"/>
      <c r="LTS223" s="73"/>
      <c r="LTT223" s="73"/>
      <c r="LTU223" s="73"/>
      <c r="LTV223" s="73"/>
      <c r="LTW223" s="73"/>
      <c r="LTX223" s="73"/>
      <c r="LTY223" s="73"/>
      <c r="LTZ223" s="73"/>
      <c r="LUA223" s="73"/>
      <c r="LUB223" s="73"/>
      <c r="LUC223" s="73"/>
      <c r="LUD223" s="73"/>
      <c r="LUE223" s="73"/>
      <c r="LUF223" s="73"/>
      <c r="LUG223" s="73"/>
      <c r="LUH223" s="73"/>
      <c r="LUI223" s="73"/>
      <c r="LUJ223" s="73"/>
      <c r="LUK223" s="73"/>
      <c r="LUL223" s="73"/>
      <c r="LUM223" s="73"/>
      <c r="LUN223" s="73"/>
      <c r="LUO223" s="73"/>
      <c r="LUP223" s="73"/>
      <c r="LUQ223" s="73"/>
      <c r="LUR223" s="73"/>
      <c r="LUS223" s="73"/>
      <c r="LUT223" s="73"/>
      <c r="LUU223" s="73"/>
      <c r="LUV223" s="73"/>
      <c r="LUW223" s="73"/>
      <c r="LUX223" s="73"/>
      <c r="LUY223" s="73"/>
      <c r="LUZ223" s="73"/>
      <c r="LVA223" s="73"/>
      <c r="LVB223" s="73"/>
      <c r="LVC223" s="73"/>
      <c r="LVD223" s="73"/>
      <c r="LVE223" s="73"/>
      <c r="LVF223" s="73"/>
      <c r="LVG223" s="73"/>
      <c r="LVH223" s="73"/>
      <c r="LVI223" s="73"/>
      <c r="LVJ223" s="73"/>
      <c r="LVK223" s="73"/>
      <c r="LVL223" s="73"/>
      <c r="LVM223" s="73"/>
      <c r="LVN223" s="73"/>
      <c r="LVO223" s="73"/>
      <c r="LVP223" s="73"/>
      <c r="LVQ223" s="73"/>
      <c r="LVR223" s="73"/>
      <c r="LVS223" s="73"/>
      <c r="LVT223" s="73"/>
      <c r="LVU223" s="73"/>
      <c r="LVV223" s="73"/>
      <c r="LVW223" s="73"/>
      <c r="LVX223" s="73"/>
      <c r="LVY223" s="73"/>
      <c r="LVZ223" s="73"/>
      <c r="LWA223" s="73"/>
      <c r="LWB223" s="73"/>
      <c r="LWC223" s="73"/>
      <c r="LWD223" s="73"/>
      <c r="LWE223" s="73"/>
      <c r="LWF223" s="73"/>
      <c r="LWG223" s="73"/>
      <c r="LWH223" s="73"/>
      <c r="LWI223" s="73"/>
      <c r="LWJ223" s="73"/>
      <c r="LWK223" s="73"/>
      <c r="LWL223" s="73"/>
      <c r="LWM223" s="73"/>
      <c r="LWN223" s="73"/>
      <c r="LWO223" s="73"/>
      <c r="LWP223" s="73"/>
      <c r="LWQ223" s="73"/>
      <c r="LWR223" s="73"/>
      <c r="LWS223" s="73"/>
      <c r="LWT223" s="73"/>
      <c r="LWU223" s="73"/>
      <c r="LWV223" s="73"/>
      <c r="LWW223" s="73"/>
      <c r="LWX223" s="73"/>
      <c r="LWY223" s="73"/>
      <c r="LWZ223" s="73"/>
      <c r="LXA223" s="73"/>
      <c r="LXB223" s="73"/>
      <c r="LXC223" s="73"/>
      <c r="LXD223" s="73"/>
      <c r="LXE223" s="73"/>
      <c r="LXF223" s="73"/>
      <c r="LXG223" s="73"/>
      <c r="LXH223" s="73"/>
      <c r="LXI223" s="73"/>
      <c r="LXJ223" s="73"/>
      <c r="LXK223" s="73"/>
      <c r="LXL223" s="73"/>
      <c r="LXM223" s="73"/>
      <c r="LXN223" s="73"/>
      <c r="LXO223" s="73"/>
      <c r="LXP223" s="73"/>
      <c r="LXQ223" s="73"/>
      <c r="LXR223" s="73"/>
      <c r="LXS223" s="73"/>
      <c r="LXT223" s="73"/>
      <c r="LXU223" s="73"/>
      <c r="LXV223" s="73"/>
      <c r="LXW223" s="73"/>
      <c r="LXX223" s="73"/>
      <c r="LXY223" s="73"/>
      <c r="LXZ223" s="73"/>
      <c r="LYA223" s="73"/>
      <c r="LYB223" s="73"/>
      <c r="LYC223" s="73"/>
      <c r="LYD223" s="73"/>
      <c r="LYE223" s="73"/>
      <c r="LYF223" s="73"/>
      <c r="LYG223" s="73"/>
      <c r="LYH223" s="73"/>
      <c r="LYI223" s="73"/>
      <c r="LYJ223" s="73"/>
      <c r="LYK223" s="73"/>
      <c r="LYL223" s="73"/>
      <c r="LYM223" s="73"/>
      <c r="LYN223" s="73"/>
      <c r="LYO223" s="73"/>
      <c r="LYP223" s="73"/>
      <c r="LYQ223" s="73"/>
      <c r="LYR223" s="73"/>
      <c r="LYS223" s="73"/>
      <c r="LYT223" s="73"/>
      <c r="LYU223" s="73"/>
      <c r="LYV223" s="73"/>
      <c r="LYW223" s="73"/>
      <c r="LYX223" s="73"/>
      <c r="LYY223" s="73"/>
      <c r="LYZ223" s="73"/>
      <c r="LZA223" s="73"/>
      <c r="LZB223" s="73"/>
      <c r="LZC223" s="73"/>
      <c r="LZD223" s="73"/>
      <c r="LZE223" s="73"/>
      <c r="LZF223" s="73"/>
      <c r="LZG223" s="73"/>
      <c r="LZH223" s="73"/>
      <c r="LZI223" s="73"/>
      <c r="LZJ223" s="73"/>
      <c r="LZK223" s="73"/>
      <c r="LZL223" s="73"/>
      <c r="LZM223" s="73"/>
      <c r="LZN223" s="73"/>
      <c r="LZO223" s="73"/>
      <c r="LZP223" s="73"/>
      <c r="LZQ223" s="73"/>
      <c r="LZR223" s="73"/>
      <c r="LZS223" s="73"/>
      <c r="LZT223" s="73"/>
      <c r="LZU223" s="73"/>
      <c r="LZV223" s="73"/>
      <c r="LZW223" s="73"/>
      <c r="LZX223" s="73"/>
      <c r="LZY223" s="73"/>
      <c r="LZZ223" s="73"/>
      <c r="MAA223" s="73"/>
      <c r="MAB223" s="73"/>
      <c r="MAC223" s="73"/>
      <c r="MAD223" s="73"/>
      <c r="MAE223" s="73"/>
      <c r="MAF223" s="73"/>
      <c r="MAG223" s="73"/>
      <c r="MAH223" s="73"/>
      <c r="MAI223" s="73"/>
      <c r="MAJ223" s="73"/>
      <c r="MAK223" s="73"/>
      <c r="MAL223" s="73"/>
      <c r="MAM223" s="73"/>
      <c r="MAN223" s="73"/>
      <c r="MAO223" s="73"/>
      <c r="MAP223" s="73"/>
      <c r="MAQ223" s="73"/>
      <c r="MAR223" s="73"/>
      <c r="MAS223" s="73"/>
      <c r="MAT223" s="73"/>
      <c r="MAU223" s="73"/>
      <c r="MAV223" s="73"/>
      <c r="MAW223" s="73"/>
      <c r="MAX223" s="73"/>
      <c r="MAY223" s="73"/>
      <c r="MAZ223" s="73"/>
      <c r="MBA223" s="73"/>
      <c r="MBB223" s="73"/>
      <c r="MBC223" s="73"/>
      <c r="MBD223" s="73"/>
      <c r="MBE223" s="73"/>
      <c r="MBF223" s="73"/>
      <c r="MBG223" s="73"/>
      <c r="MBH223" s="73"/>
      <c r="MBI223" s="73"/>
      <c r="MBJ223" s="73"/>
      <c r="MBK223" s="73"/>
      <c r="MBL223" s="73"/>
      <c r="MBM223" s="73"/>
      <c r="MBN223" s="73"/>
      <c r="MBO223" s="73"/>
      <c r="MBP223" s="73"/>
      <c r="MBQ223" s="73"/>
      <c r="MBR223" s="73"/>
      <c r="MBS223" s="73"/>
      <c r="MBT223" s="73"/>
      <c r="MBU223" s="73"/>
      <c r="MBV223" s="73"/>
      <c r="MBW223" s="73"/>
      <c r="MBX223" s="73"/>
      <c r="MBY223" s="73"/>
      <c r="MBZ223" s="73"/>
      <c r="MCA223" s="73"/>
      <c r="MCB223" s="73"/>
      <c r="MCC223" s="73"/>
      <c r="MCD223" s="73"/>
      <c r="MCE223" s="73"/>
      <c r="MCF223" s="73"/>
      <c r="MCG223" s="73"/>
      <c r="MCH223" s="73"/>
      <c r="MCI223" s="73"/>
      <c r="MCJ223" s="73"/>
      <c r="MCK223" s="73"/>
      <c r="MCL223" s="73"/>
      <c r="MCM223" s="73"/>
      <c r="MCN223" s="73"/>
      <c r="MCO223" s="73"/>
      <c r="MCP223" s="73"/>
      <c r="MCQ223" s="73"/>
      <c r="MCR223" s="73"/>
      <c r="MCS223" s="73"/>
      <c r="MCT223" s="73"/>
      <c r="MCU223" s="73"/>
      <c r="MCV223" s="73"/>
      <c r="MCW223" s="73"/>
      <c r="MCX223" s="73"/>
      <c r="MCY223" s="73"/>
      <c r="MCZ223" s="73"/>
      <c r="MDA223" s="73"/>
      <c r="MDB223" s="73"/>
      <c r="MDC223" s="73"/>
      <c r="MDD223" s="73"/>
      <c r="MDE223" s="73"/>
      <c r="MDF223" s="73"/>
      <c r="MDG223" s="73"/>
      <c r="MDH223" s="73"/>
      <c r="MDI223" s="73"/>
      <c r="MDJ223" s="73"/>
      <c r="MDK223" s="73"/>
      <c r="MDL223" s="73"/>
      <c r="MDM223" s="73"/>
      <c r="MDN223" s="73"/>
      <c r="MDO223" s="73"/>
      <c r="MDP223" s="73"/>
      <c r="MDQ223" s="73"/>
      <c r="MDR223" s="73"/>
      <c r="MDS223" s="73"/>
      <c r="MDT223" s="73"/>
      <c r="MDU223" s="73"/>
      <c r="MDV223" s="73"/>
      <c r="MDW223" s="73"/>
      <c r="MDX223" s="73"/>
      <c r="MDY223" s="73"/>
      <c r="MDZ223" s="73"/>
      <c r="MEA223" s="73"/>
      <c r="MEB223" s="73"/>
      <c r="MEC223" s="73"/>
      <c r="MED223" s="73"/>
      <c r="MEE223" s="73"/>
      <c r="MEF223" s="73"/>
      <c r="MEG223" s="73"/>
      <c r="MEH223" s="73"/>
      <c r="MEI223" s="73"/>
      <c r="MEJ223" s="73"/>
      <c r="MEK223" s="73"/>
      <c r="MEL223" s="73"/>
      <c r="MEM223" s="73"/>
      <c r="MEN223" s="73"/>
      <c r="MEO223" s="73"/>
      <c r="MEP223" s="73"/>
      <c r="MEQ223" s="73"/>
      <c r="MER223" s="73"/>
      <c r="MES223" s="73"/>
      <c r="MET223" s="73"/>
      <c r="MEU223" s="73"/>
      <c r="MEV223" s="73"/>
      <c r="MEW223" s="73"/>
      <c r="MEX223" s="73"/>
      <c r="MEY223" s="73"/>
      <c r="MEZ223" s="73"/>
      <c r="MFA223" s="73"/>
      <c r="MFB223" s="73"/>
      <c r="MFC223" s="73"/>
      <c r="MFD223" s="73"/>
      <c r="MFE223" s="73"/>
      <c r="MFF223" s="73"/>
      <c r="MFG223" s="73"/>
      <c r="MFH223" s="73"/>
      <c r="MFI223" s="73"/>
      <c r="MFJ223" s="73"/>
      <c r="MFK223" s="73"/>
      <c r="MFL223" s="73"/>
      <c r="MFM223" s="73"/>
      <c r="MFN223" s="73"/>
      <c r="MFO223" s="73"/>
      <c r="MFP223" s="73"/>
      <c r="MFQ223" s="73"/>
      <c r="MFR223" s="73"/>
      <c r="MFS223" s="73"/>
      <c r="MFT223" s="73"/>
      <c r="MFU223" s="73"/>
      <c r="MFV223" s="73"/>
      <c r="MFW223" s="73"/>
      <c r="MFX223" s="73"/>
      <c r="MFY223" s="73"/>
      <c r="MFZ223" s="73"/>
      <c r="MGA223" s="73"/>
      <c r="MGB223" s="73"/>
      <c r="MGC223" s="73"/>
      <c r="MGD223" s="73"/>
      <c r="MGE223" s="73"/>
      <c r="MGF223" s="73"/>
      <c r="MGG223" s="73"/>
      <c r="MGH223" s="73"/>
      <c r="MGI223" s="73"/>
      <c r="MGJ223" s="73"/>
      <c r="MGK223" s="73"/>
      <c r="MGL223" s="73"/>
      <c r="MGM223" s="73"/>
      <c r="MGN223" s="73"/>
      <c r="MGO223" s="73"/>
      <c r="MGP223" s="73"/>
      <c r="MGQ223" s="73"/>
      <c r="MGR223" s="73"/>
      <c r="MGS223" s="73"/>
      <c r="MGT223" s="73"/>
      <c r="MGU223" s="73"/>
      <c r="MGV223" s="73"/>
      <c r="MGW223" s="73"/>
      <c r="MGX223" s="73"/>
      <c r="MGY223" s="73"/>
      <c r="MGZ223" s="73"/>
      <c r="MHA223" s="73"/>
      <c r="MHB223" s="73"/>
      <c r="MHC223" s="73"/>
      <c r="MHD223" s="73"/>
      <c r="MHE223" s="73"/>
      <c r="MHF223" s="73"/>
      <c r="MHG223" s="73"/>
      <c r="MHH223" s="73"/>
      <c r="MHI223" s="73"/>
      <c r="MHJ223" s="73"/>
      <c r="MHK223" s="73"/>
      <c r="MHL223" s="73"/>
      <c r="MHM223" s="73"/>
      <c r="MHN223" s="73"/>
      <c r="MHO223" s="73"/>
      <c r="MHP223" s="73"/>
      <c r="MHQ223" s="73"/>
      <c r="MHR223" s="73"/>
      <c r="MHS223" s="73"/>
      <c r="MHT223" s="73"/>
      <c r="MHU223" s="73"/>
      <c r="MHV223" s="73"/>
      <c r="MHW223" s="73"/>
      <c r="MHX223" s="73"/>
      <c r="MHY223" s="73"/>
      <c r="MHZ223" s="73"/>
      <c r="MIA223" s="73"/>
      <c r="MIB223" s="73"/>
      <c r="MIC223" s="73"/>
      <c r="MID223" s="73"/>
      <c r="MIE223" s="73"/>
      <c r="MIF223" s="73"/>
      <c r="MIG223" s="73"/>
      <c r="MIH223" s="73"/>
      <c r="MII223" s="73"/>
      <c r="MIJ223" s="73"/>
      <c r="MIK223" s="73"/>
      <c r="MIL223" s="73"/>
      <c r="MIM223" s="73"/>
      <c r="MIN223" s="73"/>
      <c r="MIO223" s="73"/>
      <c r="MIP223" s="73"/>
      <c r="MIQ223" s="73"/>
      <c r="MIR223" s="73"/>
      <c r="MIS223" s="73"/>
      <c r="MIT223" s="73"/>
      <c r="MIU223" s="73"/>
      <c r="MIV223" s="73"/>
      <c r="MIW223" s="73"/>
      <c r="MIX223" s="73"/>
      <c r="MIY223" s="73"/>
      <c r="MIZ223" s="73"/>
      <c r="MJA223" s="73"/>
      <c r="MJB223" s="73"/>
      <c r="MJC223" s="73"/>
      <c r="MJD223" s="73"/>
      <c r="MJE223" s="73"/>
      <c r="MJF223" s="73"/>
      <c r="MJG223" s="73"/>
      <c r="MJH223" s="73"/>
      <c r="MJI223" s="73"/>
      <c r="MJJ223" s="73"/>
      <c r="MJK223" s="73"/>
      <c r="MJL223" s="73"/>
      <c r="MJM223" s="73"/>
      <c r="MJN223" s="73"/>
      <c r="MJO223" s="73"/>
      <c r="MJP223" s="73"/>
      <c r="MJQ223" s="73"/>
      <c r="MJR223" s="73"/>
      <c r="MJS223" s="73"/>
      <c r="MJT223" s="73"/>
      <c r="MJU223" s="73"/>
      <c r="MJV223" s="73"/>
      <c r="MJW223" s="73"/>
      <c r="MJX223" s="73"/>
      <c r="MJY223" s="73"/>
      <c r="MJZ223" s="73"/>
      <c r="MKA223" s="73"/>
      <c r="MKB223" s="73"/>
      <c r="MKC223" s="73"/>
      <c r="MKD223" s="73"/>
      <c r="MKE223" s="73"/>
      <c r="MKF223" s="73"/>
      <c r="MKG223" s="73"/>
      <c r="MKH223" s="73"/>
      <c r="MKI223" s="73"/>
      <c r="MKJ223" s="73"/>
      <c r="MKK223" s="73"/>
      <c r="MKL223" s="73"/>
      <c r="MKM223" s="73"/>
      <c r="MKN223" s="73"/>
      <c r="MKO223" s="73"/>
      <c r="MKP223" s="73"/>
      <c r="MKQ223" s="73"/>
      <c r="MKR223" s="73"/>
      <c r="MKS223" s="73"/>
      <c r="MKT223" s="73"/>
      <c r="MKU223" s="73"/>
      <c r="MKV223" s="73"/>
      <c r="MKW223" s="73"/>
      <c r="MKX223" s="73"/>
      <c r="MKY223" s="73"/>
      <c r="MKZ223" s="73"/>
      <c r="MLA223" s="73"/>
      <c r="MLB223" s="73"/>
      <c r="MLC223" s="73"/>
      <c r="MLD223" s="73"/>
      <c r="MLE223" s="73"/>
      <c r="MLF223" s="73"/>
      <c r="MLG223" s="73"/>
      <c r="MLH223" s="73"/>
      <c r="MLI223" s="73"/>
      <c r="MLJ223" s="73"/>
      <c r="MLK223" s="73"/>
      <c r="MLL223" s="73"/>
      <c r="MLM223" s="73"/>
      <c r="MLN223" s="73"/>
      <c r="MLO223" s="73"/>
      <c r="MLP223" s="73"/>
      <c r="MLQ223" s="73"/>
      <c r="MLR223" s="73"/>
      <c r="MLS223" s="73"/>
      <c r="MLT223" s="73"/>
      <c r="MLU223" s="73"/>
      <c r="MLV223" s="73"/>
      <c r="MLW223" s="73"/>
      <c r="MLX223" s="73"/>
      <c r="MLY223" s="73"/>
      <c r="MLZ223" s="73"/>
      <c r="MMA223" s="73"/>
      <c r="MMB223" s="73"/>
      <c r="MMC223" s="73"/>
      <c r="MMD223" s="73"/>
      <c r="MME223" s="73"/>
      <c r="MMF223" s="73"/>
      <c r="MMG223" s="73"/>
      <c r="MMH223" s="73"/>
      <c r="MMI223" s="73"/>
      <c r="MMJ223" s="73"/>
      <c r="MMK223" s="73"/>
      <c r="MML223" s="73"/>
      <c r="MMM223" s="73"/>
      <c r="MMN223" s="73"/>
      <c r="MMO223" s="73"/>
      <c r="MMP223" s="73"/>
      <c r="MMQ223" s="73"/>
      <c r="MMR223" s="73"/>
      <c r="MMS223" s="73"/>
      <c r="MMT223" s="73"/>
      <c r="MMU223" s="73"/>
      <c r="MMV223" s="73"/>
      <c r="MMW223" s="73"/>
      <c r="MMX223" s="73"/>
      <c r="MMY223" s="73"/>
      <c r="MMZ223" s="73"/>
      <c r="MNA223" s="73"/>
      <c r="MNB223" s="73"/>
      <c r="MNC223" s="73"/>
      <c r="MND223" s="73"/>
      <c r="MNE223" s="73"/>
      <c r="MNF223" s="73"/>
      <c r="MNG223" s="73"/>
      <c r="MNH223" s="73"/>
      <c r="MNI223" s="73"/>
      <c r="MNJ223" s="73"/>
      <c r="MNK223" s="73"/>
      <c r="MNL223" s="73"/>
      <c r="MNM223" s="73"/>
      <c r="MNN223" s="73"/>
      <c r="MNO223" s="73"/>
      <c r="MNP223" s="73"/>
      <c r="MNQ223" s="73"/>
      <c r="MNR223" s="73"/>
      <c r="MNS223" s="73"/>
      <c r="MNT223" s="73"/>
      <c r="MNU223" s="73"/>
      <c r="MNV223" s="73"/>
      <c r="MNW223" s="73"/>
      <c r="MNX223" s="73"/>
      <c r="MNY223" s="73"/>
      <c r="MNZ223" s="73"/>
      <c r="MOA223" s="73"/>
      <c r="MOB223" s="73"/>
      <c r="MOC223" s="73"/>
      <c r="MOD223" s="73"/>
      <c r="MOE223" s="73"/>
      <c r="MOF223" s="73"/>
      <c r="MOG223" s="73"/>
      <c r="MOH223" s="73"/>
      <c r="MOI223" s="73"/>
      <c r="MOJ223" s="73"/>
      <c r="MOK223" s="73"/>
      <c r="MOL223" s="73"/>
      <c r="MOM223" s="73"/>
      <c r="MON223" s="73"/>
      <c r="MOO223" s="73"/>
      <c r="MOP223" s="73"/>
      <c r="MOQ223" s="73"/>
      <c r="MOR223" s="73"/>
      <c r="MOS223" s="73"/>
      <c r="MOT223" s="73"/>
      <c r="MOU223" s="73"/>
      <c r="MOV223" s="73"/>
      <c r="MOW223" s="73"/>
      <c r="MOX223" s="73"/>
      <c r="MOY223" s="73"/>
      <c r="MOZ223" s="73"/>
      <c r="MPA223" s="73"/>
      <c r="MPB223" s="73"/>
      <c r="MPC223" s="73"/>
      <c r="MPD223" s="73"/>
      <c r="MPE223" s="73"/>
      <c r="MPF223" s="73"/>
      <c r="MPG223" s="73"/>
      <c r="MPH223" s="73"/>
      <c r="MPI223" s="73"/>
      <c r="MPJ223" s="73"/>
      <c r="MPK223" s="73"/>
      <c r="MPL223" s="73"/>
      <c r="MPM223" s="73"/>
      <c r="MPN223" s="73"/>
      <c r="MPO223" s="73"/>
      <c r="MPP223" s="73"/>
      <c r="MPQ223" s="73"/>
      <c r="MPR223" s="73"/>
      <c r="MPS223" s="73"/>
      <c r="MPT223" s="73"/>
      <c r="MPU223" s="73"/>
      <c r="MPV223" s="73"/>
      <c r="MPW223" s="73"/>
      <c r="MPX223" s="73"/>
      <c r="MPY223" s="73"/>
      <c r="MPZ223" s="73"/>
      <c r="MQA223" s="73"/>
      <c r="MQB223" s="73"/>
      <c r="MQC223" s="73"/>
      <c r="MQD223" s="73"/>
      <c r="MQE223" s="73"/>
      <c r="MQF223" s="73"/>
      <c r="MQG223" s="73"/>
      <c r="MQH223" s="73"/>
      <c r="MQI223" s="73"/>
      <c r="MQJ223" s="73"/>
      <c r="MQK223" s="73"/>
      <c r="MQL223" s="73"/>
      <c r="MQM223" s="73"/>
      <c r="MQN223" s="73"/>
      <c r="MQO223" s="73"/>
      <c r="MQP223" s="73"/>
      <c r="MQQ223" s="73"/>
      <c r="MQR223" s="73"/>
      <c r="MQS223" s="73"/>
      <c r="MQT223" s="73"/>
      <c r="MQU223" s="73"/>
      <c r="MQV223" s="73"/>
      <c r="MQW223" s="73"/>
      <c r="MQX223" s="73"/>
      <c r="MQY223" s="73"/>
      <c r="MQZ223" s="73"/>
      <c r="MRA223" s="73"/>
      <c r="MRB223" s="73"/>
      <c r="MRC223" s="73"/>
      <c r="MRD223" s="73"/>
      <c r="MRE223" s="73"/>
      <c r="MRF223" s="73"/>
      <c r="MRG223" s="73"/>
      <c r="MRH223" s="73"/>
      <c r="MRI223" s="73"/>
      <c r="MRJ223" s="73"/>
      <c r="MRK223" s="73"/>
      <c r="MRL223" s="73"/>
      <c r="MRM223" s="73"/>
      <c r="MRN223" s="73"/>
      <c r="MRO223" s="73"/>
      <c r="MRP223" s="73"/>
      <c r="MRQ223" s="73"/>
      <c r="MRR223" s="73"/>
      <c r="MRS223" s="73"/>
      <c r="MRT223" s="73"/>
      <c r="MRU223" s="73"/>
      <c r="MRV223" s="73"/>
      <c r="MRW223" s="73"/>
      <c r="MRX223" s="73"/>
      <c r="MRY223" s="73"/>
      <c r="MRZ223" s="73"/>
      <c r="MSA223" s="73"/>
      <c r="MSB223" s="73"/>
      <c r="MSC223" s="73"/>
      <c r="MSD223" s="73"/>
      <c r="MSE223" s="73"/>
      <c r="MSF223" s="73"/>
      <c r="MSG223" s="73"/>
      <c r="MSH223" s="73"/>
      <c r="MSI223" s="73"/>
      <c r="MSJ223" s="73"/>
      <c r="MSK223" s="73"/>
      <c r="MSL223" s="73"/>
      <c r="MSM223" s="73"/>
      <c r="MSN223" s="73"/>
      <c r="MSO223" s="73"/>
      <c r="MSP223" s="73"/>
      <c r="MSQ223" s="73"/>
      <c r="MSR223" s="73"/>
      <c r="MSS223" s="73"/>
      <c r="MST223" s="73"/>
      <c r="MSU223" s="73"/>
      <c r="MSV223" s="73"/>
      <c r="MSW223" s="73"/>
      <c r="MSX223" s="73"/>
      <c r="MSY223" s="73"/>
      <c r="MSZ223" s="73"/>
      <c r="MTA223" s="73"/>
      <c r="MTB223" s="73"/>
      <c r="MTC223" s="73"/>
      <c r="MTD223" s="73"/>
      <c r="MTE223" s="73"/>
      <c r="MTF223" s="73"/>
      <c r="MTG223" s="73"/>
      <c r="MTH223" s="73"/>
      <c r="MTI223" s="73"/>
      <c r="MTJ223" s="73"/>
      <c r="MTK223" s="73"/>
      <c r="MTL223" s="73"/>
      <c r="MTM223" s="73"/>
      <c r="MTN223" s="73"/>
      <c r="MTO223" s="73"/>
      <c r="MTP223" s="73"/>
      <c r="MTQ223" s="73"/>
      <c r="MTR223" s="73"/>
      <c r="MTS223" s="73"/>
      <c r="MTT223" s="73"/>
      <c r="MTU223" s="73"/>
      <c r="MTV223" s="73"/>
      <c r="MTW223" s="73"/>
      <c r="MTX223" s="73"/>
      <c r="MTY223" s="73"/>
      <c r="MTZ223" s="73"/>
      <c r="MUA223" s="73"/>
      <c r="MUB223" s="73"/>
      <c r="MUC223" s="73"/>
      <c r="MUD223" s="73"/>
      <c r="MUE223" s="73"/>
      <c r="MUF223" s="73"/>
      <c r="MUG223" s="73"/>
      <c r="MUH223" s="73"/>
      <c r="MUI223" s="73"/>
      <c r="MUJ223" s="73"/>
      <c r="MUK223" s="73"/>
      <c r="MUL223" s="73"/>
      <c r="MUM223" s="73"/>
      <c r="MUN223" s="73"/>
      <c r="MUO223" s="73"/>
      <c r="MUP223" s="73"/>
      <c r="MUQ223" s="73"/>
      <c r="MUR223" s="73"/>
      <c r="MUS223" s="73"/>
      <c r="MUT223" s="73"/>
      <c r="MUU223" s="73"/>
      <c r="MUV223" s="73"/>
      <c r="MUW223" s="73"/>
      <c r="MUX223" s="73"/>
      <c r="MUY223" s="73"/>
      <c r="MUZ223" s="73"/>
      <c r="MVA223" s="73"/>
      <c r="MVB223" s="73"/>
      <c r="MVC223" s="73"/>
      <c r="MVD223" s="73"/>
      <c r="MVE223" s="73"/>
      <c r="MVF223" s="73"/>
      <c r="MVG223" s="73"/>
      <c r="MVH223" s="73"/>
      <c r="MVI223" s="73"/>
      <c r="MVJ223" s="73"/>
      <c r="MVK223" s="73"/>
      <c r="MVL223" s="73"/>
      <c r="MVM223" s="73"/>
      <c r="MVN223" s="73"/>
      <c r="MVO223" s="73"/>
      <c r="MVP223" s="73"/>
      <c r="MVQ223" s="73"/>
      <c r="MVR223" s="73"/>
      <c r="MVS223" s="73"/>
      <c r="MVT223" s="73"/>
      <c r="MVU223" s="73"/>
      <c r="MVV223" s="73"/>
      <c r="MVW223" s="73"/>
      <c r="MVX223" s="73"/>
      <c r="MVY223" s="73"/>
      <c r="MVZ223" s="73"/>
      <c r="MWA223" s="73"/>
      <c r="MWB223" s="73"/>
      <c r="MWC223" s="73"/>
      <c r="MWD223" s="73"/>
      <c r="MWE223" s="73"/>
      <c r="MWF223" s="73"/>
      <c r="MWG223" s="73"/>
      <c r="MWH223" s="73"/>
      <c r="MWI223" s="73"/>
      <c r="MWJ223" s="73"/>
      <c r="MWK223" s="73"/>
      <c r="MWL223" s="73"/>
      <c r="MWM223" s="73"/>
      <c r="MWN223" s="73"/>
      <c r="MWO223" s="73"/>
      <c r="MWP223" s="73"/>
      <c r="MWQ223" s="73"/>
      <c r="MWR223" s="73"/>
      <c r="MWS223" s="73"/>
      <c r="MWT223" s="73"/>
      <c r="MWU223" s="73"/>
      <c r="MWV223" s="73"/>
      <c r="MWW223" s="73"/>
      <c r="MWX223" s="73"/>
      <c r="MWY223" s="73"/>
      <c r="MWZ223" s="73"/>
      <c r="MXA223" s="73"/>
      <c r="MXB223" s="73"/>
      <c r="MXC223" s="73"/>
      <c r="MXD223" s="73"/>
      <c r="MXE223" s="73"/>
      <c r="MXF223" s="73"/>
      <c r="MXG223" s="73"/>
      <c r="MXH223" s="73"/>
      <c r="MXI223" s="73"/>
      <c r="MXJ223" s="73"/>
      <c r="MXK223" s="73"/>
      <c r="MXL223" s="73"/>
      <c r="MXM223" s="73"/>
      <c r="MXN223" s="73"/>
      <c r="MXO223" s="73"/>
      <c r="MXP223" s="73"/>
      <c r="MXQ223" s="73"/>
      <c r="MXR223" s="73"/>
      <c r="MXS223" s="73"/>
      <c r="MXT223" s="73"/>
      <c r="MXU223" s="73"/>
      <c r="MXV223" s="73"/>
      <c r="MXW223" s="73"/>
      <c r="MXX223" s="73"/>
      <c r="MXY223" s="73"/>
      <c r="MXZ223" s="73"/>
      <c r="MYA223" s="73"/>
      <c r="MYB223" s="73"/>
      <c r="MYC223" s="73"/>
      <c r="MYD223" s="73"/>
      <c r="MYE223" s="73"/>
      <c r="MYF223" s="73"/>
      <c r="MYG223" s="73"/>
      <c r="MYH223" s="73"/>
      <c r="MYI223" s="73"/>
      <c r="MYJ223" s="73"/>
      <c r="MYK223" s="73"/>
      <c r="MYL223" s="73"/>
      <c r="MYM223" s="73"/>
      <c r="MYN223" s="73"/>
      <c r="MYO223" s="73"/>
      <c r="MYP223" s="73"/>
      <c r="MYQ223" s="73"/>
      <c r="MYR223" s="73"/>
      <c r="MYS223" s="73"/>
      <c r="MYT223" s="73"/>
      <c r="MYU223" s="73"/>
      <c r="MYV223" s="73"/>
      <c r="MYW223" s="73"/>
      <c r="MYX223" s="73"/>
      <c r="MYY223" s="73"/>
      <c r="MYZ223" s="73"/>
      <c r="MZA223" s="73"/>
      <c r="MZB223" s="73"/>
      <c r="MZC223" s="73"/>
      <c r="MZD223" s="73"/>
      <c r="MZE223" s="73"/>
      <c r="MZF223" s="73"/>
      <c r="MZG223" s="73"/>
      <c r="MZH223" s="73"/>
      <c r="MZI223" s="73"/>
      <c r="MZJ223" s="73"/>
      <c r="MZK223" s="73"/>
      <c r="MZL223" s="73"/>
      <c r="MZM223" s="73"/>
      <c r="MZN223" s="73"/>
      <c r="MZO223" s="73"/>
      <c r="MZP223" s="73"/>
      <c r="MZQ223" s="73"/>
      <c r="MZR223" s="73"/>
      <c r="MZS223" s="73"/>
      <c r="MZT223" s="73"/>
      <c r="MZU223" s="73"/>
      <c r="MZV223" s="73"/>
      <c r="MZW223" s="73"/>
      <c r="MZX223" s="73"/>
      <c r="MZY223" s="73"/>
      <c r="MZZ223" s="73"/>
      <c r="NAA223" s="73"/>
      <c r="NAB223" s="73"/>
      <c r="NAC223" s="73"/>
      <c r="NAD223" s="73"/>
      <c r="NAE223" s="73"/>
      <c r="NAF223" s="73"/>
      <c r="NAG223" s="73"/>
      <c r="NAH223" s="73"/>
      <c r="NAI223" s="73"/>
      <c r="NAJ223" s="73"/>
      <c r="NAK223" s="73"/>
      <c r="NAL223" s="73"/>
      <c r="NAM223" s="73"/>
      <c r="NAN223" s="73"/>
      <c r="NAO223" s="73"/>
      <c r="NAP223" s="73"/>
      <c r="NAQ223" s="73"/>
      <c r="NAR223" s="73"/>
      <c r="NAS223" s="73"/>
      <c r="NAT223" s="73"/>
      <c r="NAU223" s="73"/>
      <c r="NAV223" s="73"/>
      <c r="NAW223" s="73"/>
      <c r="NAX223" s="73"/>
      <c r="NAY223" s="73"/>
      <c r="NAZ223" s="73"/>
      <c r="NBA223" s="73"/>
      <c r="NBB223" s="73"/>
      <c r="NBC223" s="73"/>
      <c r="NBD223" s="73"/>
      <c r="NBE223" s="73"/>
      <c r="NBF223" s="73"/>
      <c r="NBG223" s="73"/>
      <c r="NBH223" s="73"/>
      <c r="NBI223" s="73"/>
      <c r="NBJ223" s="73"/>
      <c r="NBK223" s="73"/>
      <c r="NBL223" s="73"/>
      <c r="NBM223" s="73"/>
      <c r="NBN223" s="73"/>
      <c r="NBO223" s="73"/>
      <c r="NBP223" s="73"/>
      <c r="NBQ223" s="73"/>
      <c r="NBR223" s="73"/>
      <c r="NBS223" s="73"/>
      <c r="NBT223" s="73"/>
      <c r="NBU223" s="73"/>
      <c r="NBV223" s="73"/>
      <c r="NBW223" s="73"/>
      <c r="NBX223" s="73"/>
      <c r="NBY223" s="73"/>
      <c r="NBZ223" s="73"/>
      <c r="NCA223" s="73"/>
      <c r="NCB223" s="73"/>
      <c r="NCC223" s="73"/>
      <c r="NCD223" s="73"/>
      <c r="NCE223" s="73"/>
      <c r="NCF223" s="73"/>
      <c r="NCG223" s="73"/>
      <c r="NCH223" s="73"/>
      <c r="NCI223" s="73"/>
      <c r="NCJ223" s="73"/>
      <c r="NCK223" s="73"/>
      <c r="NCL223" s="73"/>
      <c r="NCM223" s="73"/>
      <c r="NCN223" s="73"/>
      <c r="NCO223" s="73"/>
      <c r="NCP223" s="73"/>
      <c r="NCQ223" s="73"/>
      <c r="NCR223" s="73"/>
      <c r="NCS223" s="73"/>
      <c r="NCT223" s="73"/>
      <c r="NCU223" s="73"/>
      <c r="NCV223" s="73"/>
      <c r="NCW223" s="73"/>
      <c r="NCX223" s="73"/>
      <c r="NCY223" s="73"/>
      <c r="NCZ223" s="73"/>
      <c r="NDA223" s="73"/>
      <c r="NDB223" s="73"/>
      <c r="NDC223" s="73"/>
      <c r="NDD223" s="73"/>
      <c r="NDE223" s="73"/>
      <c r="NDF223" s="73"/>
      <c r="NDG223" s="73"/>
      <c r="NDH223" s="73"/>
      <c r="NDI223" s="73"/>
      <c r="NDJ223" s="73"/>
      <c r="NDK223" s="73"/>
      <c r="NDL223" s="73"/>
      <c r="NDM223" s="73"/>
      <c r="NDN223" s="73"/>
      <c r="NDO223" s="73"/>
      <c r="NDP223" s="73"/>
      <c r="NDQ223" s="73"/>
      <c r="NDR223" s="73"/>
      <c r="NDS223" s="73"/>
      <c r="NDT223" s="73"/>
      <c r="NDU223" s="73"/>
      <c r="NDV223" s="73"/>
      <c r="NDW223" s="73"/>
      <c r="NDX223" s="73"/>
      <c r="NDY223" s="73"/>
      <c r="NDZ223" s="73"/>
      <c r="NEA223" s="73"/>
      <c r="NEB223" s="73"/>
      <c r="NEC223" s="73"/>
      <c r="NED223" s="73"/>
      <c r="NEE223" s="73"/>
      <c r="NEF223" s="73"/>
      <c r="NEG223" s="73"/>
      <c r="NEH223" s="73"/>
      <c r="NEI223" s="73"/>
      <c r="NEJ223" s="73"/>
      <c r="NEK223" s="73"/>
      <c r="NEL223" s="73"/>
      <c r="NEM223" s="73"/>
      <c r="NEN223" s="73"/>
      <c r="NEO223" s="73"/>
      <c r="NEP223" s="73"/>
      <c r="NEQ223" s="73"/>
      <c r="NER223" s="73"/>
      <c r="NES223" s="73"/>
      <c r="NET223" s="73"/>
      <c r="NEU223" s="73"/>
      <c r="NEV223" s="73"/>
      <c r="NEW223" s="73"/>
      <c r="NEX223" s="73"/>
      <c r="NEY223" s="73"/>
      <c r="NEZ223" s="73"/>
      <c r="NFA223" s="73"/>
      <c r="NFB223" s="73"/>
      <c r="NFC223" s="73"/>
      <c r="NFD223" s="73"/>
      <c r="NFE223" s="73"/>
      <c r="NFF223" s="73"/>
      <c r="NFG223" s="73"/>
      <c r="NFH223" s="73"/>
      <c r="NFI223" s="73"/>
      <c r="NFJ223" s="73"/>
      <c r="NFK223" s="73"/>
      <c r="NFL223" s="73"/>
      <c r="NFM223" s="73"/>
      <c r="NFN223" s="73"/>
      <c r="NFO223" s="73"/>
      <c r="NFP223" s="73"/>
      <c r="NFQ223" s="73"/>
      <c r="NFR223" s="73"/>
      <c r="NFS223" s="73"/>
      <c r="NFT223" s="73"/>
      <c r="NFU223" s="73"/>
      <c r="NFV223" s="73"/>
      <c r="NFW223" s="73"/>
      <c r="NFX223" s="73"/>
      <c r="NFY223" s="73"/>
      <c r="NFZ223" s="73"/>
      <c r="NGA223" s="73"/>
      <c r="NGB223" s="73"/>
      <c r="NGC223" s="73"/>
      <c r="NGD223" s="73"/>
      <c r="NGE223" s="73"/>
      <c r="NGF223" s="73"/>
      <c r="NGG223" s="73"/>
      <c r="NGH223" s="73"/>
      <c r="NGI223" s="73"/>
      <c r="NGJ223" s="73"/>
      <c r="NGK223" s="73"/>
      <c r="NGL223" s="73"/>
      <c r="NGM223" s="73"/>
      <c r="NGN223" s="73"/>
      <c r="NGO223" s="73"/>
      <c r="NGP223" s="73"/>
      <c r="NGQ223" s="73"/>
      <c r="NGR223" s="73"/>
      <c r="NGS223" s="73"/>
      <c r="NGT223" s="73"/>
      <c r="NGU223" s="73"/>
      <c r="NGV223" s="73"/>
      <c r="NGW223" s="73"/>
      <c r="NGX223" s="73"/>
      <c r="NGY223" s="73"/>
      <c r="NGZ223" s="73"/>
      <c r="NHA223" s="73"/>
      <c r="NHB223" s="73"/>
      <c r="NHC223" s="73"/>
      <c r="NHD223" s="73"/>
      <c r="NHE223" s="73"/>
      <c r="NHF223" s="73"/>
      <c r="NHG223" s="73"/>
      <c r="NHH223" s="73"/>
      <c r="NHI223" s="73"/>
      <c r="NHJ223" s="73"/>
      <c r="NHK223" s="73"/>
      <c r="NHL223" s="73"/>
      <c r="NHM223" s="73"/>
      <c r="NHN223" s="73"/>
      <c r="NHO223" s="73"/>
      <c r="NHP223" s="73"/>
      <c r="NHQ223" s="73"/>
      <c r="NHR223" s="73"/>
      <c r="NHS223" s="73"/>
      <c r="NHT223" s="73"/>
      <c r="NHU223" s="73"/>
      <c r="NHV223" s="73"/>
      <c r="NHW223" s="73"/>
      <c r="NHX223" s="73"/>
      <c r="NHY223" s="73"/>
      <c r="NHZ223" s="73"/>
      <c r="NIA223" s="73"/>
      <c r="NIB223" s="73"/>
      <c r="NIC223" s="73"/>
      <c r="NID223" s="73"/>
      <c r="NIE223" s="73"/>
      <c r="NIF223" s="73"/>
      <c r="NIG223" s="73"/>
      <c r="NIH223" s="73"/>
      <c r="NII223" s="73"/>
      <c r="NIJ223" s="73"/>
      <c r="NIK223" s="73"/>
      <c r="NIL223" s="73"/>
      <c r="NIM223" s="73"/>
      <c r="NIN223" s="73"/>
      <c r="NIO223" s="73"/>
      <c r="NIP223" s="73"/>
      <c r="NIQ223" s="73"/>
      <c r="NIR223" s="73"/>
      <c r="NIS223" s="73"/>
      <c r="NIT223" s="73"/>
      <c r="NIU223" s="73"/>
      <c r="NIV223" s="73"/>
      <c r="NIW223" s="73"/>
      <c r="NIX223" s="73"/>
      <c r="NIY223" s="73"/>
      <c r="NIZ223" s="73"/>
      <c r="NJA223" s="73"/>
      <c r="NJB223" s="73"/>
      <c r="NJC223" s="73"/>
      <c r="NJD223" s="73"/>
      <c r="NJE223" s="73"/>
      <c r="NJF223" s="73"/>
      <c r="NJG223" s="73"/>
      <c r="NJH223" s="73"/>
      <c r="NJI223" s="73"/>
      <c r="NJJ223" s="73"/>
      <c r="NJK223" s="73"/>
      <c r="NJL223" s="73"/>
      <c r="NJM223" s="73"/>
      <c r="NJN223" s="73"/>
      <c r="NJO223" s="73"/>
      <c r="NJP223" s="73"/>
      <c r="NJQ223" s="73"/>
      <c r="NJR223" s="73"/>
      <c r="NJS223" s="73"/>
      <c r="NJT223" s="73"/>
      <c r="NJU223" s="73"/>
      <c r="NJV223" s="73"/>
      <c r="NJW223" s="73"/>
      <c r="NJX223" s="73"/>
      <c r="NJY223" s="73"/>
      <c r="NJZ223" s="73"/>
      <c r="NKA223" s="73"/>
      <c r="NKB223" s="73"/>
      <c r="NKC223" s="73"/>
      <c r="NKD223" s="73"/>
      <c r="NKE223" s="73"/>
      <c r="NKF223" s="73"/>
      <c r="NKG223" s="73"/>
      <c r="NKH223" s="73"/>
      <c r="NKI223" s="73"/>
      <c r="NKJ223" s="73"/>
      <c r="NKK223" s="73"/>
      <c r="NKL223" s="73"/>
      <c r="NKM223" s="73"/>
      <c r="NKN223" s="73"/>
      <c r="NKO223" s="73"/>
      <c r="NKP223" s="73"/>
      <c r="NKQ223" s="73"/>
      <c r="NKR223" s="73"/>
      <c r="NKS223" s="73"/>
      <c r="NKT223" s="73"/>
      <c r="NKU223" s="73"/>
      <c r="NKV223" s="73"/>
      <c r="NKW223" s="73"/>
      <c r="NKX223" s="73"/>
      <c r="NKY223" s="73"/>
      <c r="NKZ223" s="73"/>
      <c r="NLA223" s="73"/>
      <c r="NLB223" s="73"/>
      <c r="NLC223" s="73"/>
      <c r="NLD223" s="73"/>
      <c r="NLE223" s="73"/>
      <c r="NLF223" s="73"/>
      <c r="NLG223" s="73"/>
      <c r="NLH223" s="73"/>
      <c r="NLI223" s="73"/>
      <c r="NLJ223" s="73"/>
      <c r="NLK223" s="73"/>
      <c r="NLL223" s="73"/>
      <c r="NLM223" s="73"/>
      <c r="NLN223" s="73"/>
      <c r="NLO223" s="73"/>
      <c r="NLP223" s="73"/>
      <c r="NLQ223" s="73"/>
      <c r="NLR223" s="73"/>
      <c r="NLS223" s="73"/>
      <c r="NLT223" s="73"/>
      <c r="NLU223" s="73"/>
      <c r="NLV223" s="73"/>
      <c r="NLW223" s="73"/>
      <c r="NLX223" s="73"/>
      <c r="NLY223" s="73"/>
      <c r="NLZ223" s="73"/>
      <c r="NMA223" s="73"/>
      <c r="NMB223" s="73"/>
      <c r="NMC223" s="73"/>
      <c r="NMD223" s="73"/>
      <c r="NME223" s="73"/>
      <c r="NMF223" s="73"/>
      <c r="NMG223" s="73"/>
      <c r="NMH223" s="73"/>
      <c r="NMI223" s="73"/>
      <c r="NMJ223" s="73"/>
      <c r="NMK223" s="73"/>
      <c r="NML223" s="73"/>
      <c r="NMM223" s="73"/>
      <c r="NMN223" s="73"/>
      <c r="NMO223" s="73"/>
      <c r="NMP223" s="73"/>
      <c r="NMQ223" s="73"/>
      <c r="NMR223" s="73"/>
      <c r="NMS223" s="73"/>
      <c r="NMT223" s="73"/>
      <c r="NMU223" s="73"/>
      <c r="NMV223" s="73"/>
      <c r="NMW223" s="73"/>
      <c r="NMX223" s="73"/>
      <c r="NMY223" s="73"/>
      <c r="NMZ223" s="73"/>
      <c r="NNA223" s="73"/>
      <c r="NNB223" s="73"/>
      <c r="NNC223" s="73"/>
      <c r="NND223" s="73"/>
      <c r="NNE223" s="73"/>
      <c r="NNF223" s="73"/>
      <c r="NNG223" s="73"/>
      <c r="NNH223" s="73"/>
      <c r="NNI223" s="73"/>
      <c r="NNJ223" s="73"/>
      <c r="NNK223" s="73"/>
      <c r="NNL223" s="73"/>
      <c r="NNM223" s="73"/>
      <c r="NNN223" s="73"/>
      <c r="NNO223" s="73"/>
      <c r="NNP223" s="73"/>
      <c r="NNQ223" s="73"/>
      <c r="NNR223" s="73"/>
      <c r="NNS223" s="73"/>
      <c r="NNT223" s="73"/>
      <c r="NNU223" s="73"/>
      <c r="NNV223" s="73"/>
      <c r="NNW223" s="73"/>
      <c r="NNX223" s="73"/>
      <c r="NNY223" s="73"/>
      <c r="NNZ223" s="73"/>
      <c r="NOA223" s="73"/>
      <c r="NOB223" s="73"/>
      <c r="NOC223" s="73"/>
      <c r="NOD223" s="73"/>
      <c r="NOE223" s="73"/>
      <c r="NOF223" s="73"/>
      <c r="NOG223" s="73"/>
      <c r="NOH223" s="73"/>
      <c r="NOI223" s="73"/>
      <c r="NOJ223" s="73"/>
      <c r="NOK223" s="73"/>
      <c r="NOL223" s="73"/>
      <c r="NOM223" s="73"/>
      <c r="NON223" s="73"/>
      <c r="NOO223" s="73"/>
      <c r="NOP223" s="73"/>
      <c r="NOQ223" s="73"/>
      <c r="NOR223" s="73"/>
      <c r="NOS223" s="73"/>
      <c r="NOT223" s="73"/>
      <c r="NOU223" s="73"/>
      <c r="NOV223" s="73"/>
      <c r="NOW223" s="73"/>
      <c r="NOX223" s="73"/>
      <c r="NOY223" s="73"/>
      <c r="NOZ223" s="73"/>
      <c r="NPA223" s="73"/>
      <c r="NPB223" s="73"/>
      <c r="NPC223" s="73"/>
      <c r="NPD223" s="73"/>
      <c r="NPE223" s="73"/>
      <c r="NPF223" s="73"/>
      <c r="NPG223" s="73"/>
      <c r="NPH223" s="73"/>
      <c r="NPI223" s="73"/>
      <c r="NPJ223" s="73"/>
      <c r="NPK223" s="73"/>
      <c r="NPL223" s="73"/>
      <c r="NPM223" s="73"/>
      <c r="NPN223" s="73"/>
      <c r="NPO223" s="73"/>
      <c r="NPP223" s="73"/>
      <c r="NPQ223" s="73"/>
      <c r="NPR223" s="73"/>
      <c r="NPS223" s="73"/>
      <c r="NPT223" s="73"/>
      <c r="NPU223" s="73"/>
      <c r="NPV223" s="73"/>
      <c r="NPW223" s="73"/>
      <c r="NPX223" s="73"/>
      <c r="NPY223" s="73"/>
      <c r="NPZ223" s="73"/>
      <c r="NQA223" s="73"/>
      <c r="NQB223" s="73"/>
      <c r="NQC223" s="73"/>
      <c r="NQD223" s="73"/>
      <c r="NQE223" s="73"/>
      <c r="NQF223" s="73"/>
      <c r="NQG223" s="73"/>
      <c r="NQH223" s="73"/>
      <c r="NQI223" s="73"/>
      <c r="NQJ223" s="73"/>
      <c r="NQK223" s="73"/>
      <c r="NQL223" s="73"/>
      <c r="NQM223" s="73"/>
      <c r="NQN223" s="73"/>
      <c r="NQO223" s="73"/>
      <c r="NQP223" s="73"/>
      <c r="NQQ223" s="73"/>
      <c r="NQR223" s="73"/>
      <c r="NQS223" s="73"/>
      <c r="NQT223" s="73"/>
      <c r="NQU223" s="73"/>
      <c r="NQV223" s="73"/>
      <c r="NQW223" s="73"/>
      <c r="NQX223" s="73"/>
      <c r="NQY223" s="73"/>
      <c r="NQZ223" s="73"/>
      <c r="NRA223" s="73"/>
      <c r="NRB223" s="73"/>
      <c r="NRC223" s="73"/>
      <c r="NRD223" s="73"/>
      <c r="NRE223" s="73"/>
      <c r="NRF223" s="73"/>
      <c r="NRG223" s="73"/>
      <c r="NRH223" s="73"/>
      <c r="NRI223" s="73"/>
      <c r="NRJ223" s="73"/>
      <c r="NRK223" s="73"/>
      <c r="NRL223" s="73"/>
      <c r="NRM223" s="73"/>
      <c r="NRN223" s="73"/>
      <c r="NRO223" s="73"/>
      <c r="NRP223" s="73"/>
      <c r="NRQ223" s="73"/>
      <c r="NRR223" s="73"/>
      <c r="NRS223" s="73"/>
      <c r="NRT223" s="73"/>
      <c r="NRU223" s="73"/>
      <c r="NRV223" s="73"/>
      <c r="NRW223" s="73"/>
      <c r="NRX223" s="73"/>
      <c r="NRY223" s="73"/>
      <c r="NRZ223" s="73"/>
      <c r="NSA223" s="73"/>
      <c r="NSB223" s="73"/>
      <c r="NSC223" s="73"/>
      <c r="NSD223" s="73"/>
      <c r="NSE223" s="73"/>
      <c r="NSF223" s="73"/>
      <c r="NSG223" s="73"/>
      <c r="NSH223" s="73"/>
      <c r="NSI223" s="73"/>
      <c r="NSJ223" s="73"/>
      <c r="NSK223" s="73"/>
      <c r="NSL223" s="73"/>
      <c r="NSM223" s="73"/>
      <c r="NSN223" s="73"/>
      <c r="NSO223" s="73"/>
      <c r="NSP223" s="73"/>
      <c r="NSQ223" s="73"/>
      <c r="NSR223" s="73"/>
      <c r="NSS223" s="73"/>
      <c r="NST223" s="73"/>
      <c r="NSU223" s="73"/>
      <c r="NSV223" s="73"/>
      <c r="NSW223" s="73"/>
      <c r="NSX223" s="73"/>
      <c r="NSY223" s="73"/>
      <c r="NSZ223" s="73"/>
      <c r="NTA223" s="73"/>
      <c r="NTB223" s="73"/>
      <c r="NTC223" s="73"/>
      <c r="NTD223" s="73"/>
      <c r="NTE223" s="73"/>
      <c r="NTF223" s="73"/>
      <c r="NTG223" s="73"/>
      <c r="NTH223" s="73"/>
      <c r="NTI223" s="73"/>
      <c r="NTJ223" s="73"/>
      <c r="NTK223" s="73"/>
      <c r="NTL223" s="73"/>
      <c r="NTM223" s="73"/>
      <c r="NTN223" s="73"/>
      <c r="NTO223" s="73"/>
      <c r="NTP223" s="73"/>
      <c r="NTQ223" s="73"/>
      <c r="NTR223" s="73"/>
      <c r="NTS223" s="73"/>
      <c r="NTT223" s="73"/>
      <c r="NTU223" s="73"/>
      <c r="NTV223" s="73"/>
      <c r="NTW223" s="73"/>
      <c r="NTX223" s="73"/>
      <c r="NTY223" s="73"/>
      <c r="NTZ223" s="73"/>
      <c r="NUA223" s="73"/>
      <c r="NUB223" s="73"/>
      <c r="NUC223" s="73"/>
      <c r="NUD223" s="73"/>
      <c r="NUE223" s="73"/>
      <c r="NUF223" s="73"/>
      <c r="NUG223" s="73"/>
      <c r="NUH223" s="73"/>
      <c r="NUI223" s="73"/>
      <c r="NUJ223" s="73"/>
      <c r="NUK223" s="73"/>
      <c r="NUL223" s="73"/>
      <c r="NUM223" s="73"/>
      <c r="NUN223" s="73"/>
      <c r="NUO223" s="73"/>
      <c r="NUP223" s="73"/>
      <c r="NUQ223" s="73"/>
      <c r="NUR223" s="73"/>
      <c r="NUS223" s="73"/>
      <c r="NUT223" s="73"/>
      <c r="NUU223" s="73"/>
      <c r="NUV223" s="73"/>
      <c r="NUW223" s="73"/>
      <c r="NUX223" s="73"/>
      <c r="NUY223" s="73"/>
      <c r="NUZ223" s="73"/>
      <c r="NVA223" s="73"/>
      <c r="NVB223" s="73"/>
      <c r="NVC223" s="73"/>
      <c r="NVD223" s="73"/>
      <c r="NVE223" s="73"/>
      <c r="NVF223" s="73"/>
      <c r="NVG223" s="73"/>
      <c r="NVH223" s="73"/>
      <c r="NVI223" s="73"/>
      <c r="NVJ223" s="73"/>
      <c r="NVK223" s="73"/>
      <c r="NVL223" s="73"/>
      <c r="NVM223" s="73"/>
      <c r="NVN223" s="73"/>
      <c r="NVO223" s="73"/>
      <c r="NVP223" s="73"/>
      <c r="NVQ223" s="73"/>
      <c r="NVR223" s="73"/>
      <c r="NVS223" s="73"/>
      <c r="NVT223" s="73"/>
      <c r="NVU223" s="73"/>
      <c r="NVV223" s="73"/>
      <c r="NVW223" s="73"/>
      <c r="NVX223" s="73"/>
      <c r="NVY223" s="73"/>
      <c r="NVZ223" s="73"/>
      <c r="NWA223" s="73"/>
      <c r="NWB223" s="73"/>
      <c r="NWC223" s="73"/>
      <c r="NWD223" s="73"/>
      <c r="NWE223" s="73"/>
      <c r="NWF223" s="73"/>
      <c r="NWG223" s="73"/>
      <c r="NWH223" s="73"/>
      <c r="NWI223" s="73"/>
      <c r="NWJ223" s="73"/>
      <c r="NWK223" s="73"/>
      <c r="NWL223" s="73"/>
      <c r="NWM223" s="73"/>
      <c r="NWN223" s="73"/>
      <c r="NWO223" s="73"/>
      <c r="NWP223" s="73"/>
      <c r="NWQ223" s="73"/>
      <c r="NWR223" s="73"/>
      <c r="NWS223" s="73"/>
      <c r="NWT223" s="73"/>
      <c r="NWU223" s="73"/>
      <c r="NWV223" s="73"/>
      <c r="NWW223" s="73"/>
      <c r="NWX223" s="73"/>
      <c r="NWY223" s="73"/>
      <c r="NWZ223" s="73"/>
      <c r="NXA223" s="73"/>
      <c r="NXB223" s="73"/>
      <c r="NXC223" s="73"/>
      <c r="NXD223" s="73"/>
      <c r="NXE223" s="73"/>
      <c r="NXF223" s="73"/>
      <c r="NXG223" s="73"/>
      <c r="NXH223" s="73"/>
      <c r="NXI223" s="73"/>
      <c r="NXJ223" s="73"/>
      <c r="NXK223" s="73"/>
      <c r="NXL223" s="73"/>
      <c r="NXM223" s="73"/>
      <c r="NXN223" s="73"/>
      <c r="NXO223" s="73"/>
      <c r="NXP223" s="73"/>
      <c r="NXQ223" s="73"/>
      <c r="NXR223" s="73"/>
      <c r="NXS223" s="73"/>
      <c r="NXT223" s="73"/>
      <c r="NXU223" s="73"/>
      <c r="NXV223" s="73"/>
      <c r="NXW223" s="73"/>
      <c r="NXX223" s="73"/>
      <c r="NXY223" s="73"/>
      <c r="NXZ223" s="73"/>
      <c r="NYA223" s="73"/>
      <c r="NYB223" s="73"/>
      <c r="NYC223" s="73"/>
      <c r="NYD223" s="73"/>
      <c r="NYE223" s="73"/>
      <c r="NYF223" s="73"/>
      <c r="NYG223" s="73"/>
      <c r="NYH223" s="73"/>
      <c r="NYI223" s="73"/>
      <c r="NYJ223" s="73"/>
      <c r="NYK223" s="73"/>
      <c r="NYL223" s="73"/>
      <c r="NYM223" s="73"/>
      <c r="NYN223" s="73"/>
      <c r="NYO223" s="73"/>
      <c r="NYP223" s="73"/>
      <c r="NYQ223" s="73"/>
      <c r="NYR223" s="73"/>
      <c r="NYS223" s="73"/>
      <c r="NYT223" s="73"/>
      <c r="NYU223" s="73"/>
      <c r="NYV223" s="73"/>
      <c r="NYW223" s="73"/>
      <c r="NYX223" s="73"/>
      <c r="NYY223" s="73"/>
      <c r="NYZ223" s="73"/>
      <c r="NZA223" s="73"/>
      <c r="NZB223" s="73"/>
      <c r="NZC223" s="73"/>
      <c r="NZD223" s="73"/>
      <c r="NZE223" s="73"/>
      <c r="NZF223" s="73"/>
      <c r="NZG223" s="73"/>
      <c r="NZH223" s="73"/>
      <c r="NZI223" s="73"/>
      <c r="NZJ223" s="73"/>
      <c r="NZK223" s="73"/>
      <c r="NZL223" s="73"/>
      <c r="NZM223" s="73"/>
      <c r="NZN223" s="73"/>
      <c r="NZO223" s="73"/>
      <c r="NZP223" s="73"/>
      <c r="NZQ223" s="73"/>
      <c r="NZR223" s="73"/>
      <c r="NZS223" s="73"/>
      <c r="NZT223" s="73"/>
      <c r="NZU223" s="73"/>
      <c r="NZV223" s="73"/>
      <c r="NZW223" s="73"/>
      <c r="NZX223" s="73"/>
      <c r="NZY223" s="73"/>
      <c r="NZZ223" s="73"/>
      <c r="OAA223" s="73"/>
      <c r="OAB223" s="73"/>
      <c r="OAC223" s="73"/>
      <c r="OAD223" s="73"/>
      <c r="OAE223" s="73"/>
      <c r="OAF223" s="73"/>
      <c r="OAG223" s="73"/>
      <c r="OAH223" s="73"/>
      <c r="OAI223" s="73"/>
      <c r="OAJ223" s="73"/>
      <c r="OAK223" s="73"/>
      <c r="OAL223" s="73"/>
      <c r="OAM223" s="73"/>
      <c r="OAN223" s="73"/>
      <c r="OAO223" s="73"/>
      <c r="OAP223" s="73"/>
      <c r="OAQ223" s="73"/>
      <c r="OAR223" s="73"/>
      <c r="OAS223" s="73"/>
      <c r="OAT223" s="73"/>
      <c r="OAU223" s="73"/>
      <c r="OAV223" s="73"/>
      <c r="OAW223" s="73"/>
      <c r="OAX223" s="73"/>
      <c r="OAY223" s="73"/>
      <c r="OAZ223" s="73"/>
      <c r="OBA223" s="73"/>
      <c r="OBB223" s="73"/>
      <c r="OBC223" s="73"/>
      <c r="OBD223" s="73"/>
      <c r="OBE223" s="73"/>
      <c r="OBF223" s="73"/>
      <c r="OBG223" s="73"/>
      <c r="OBH223" s="73"/>
      <c r="OBI223" s="73"/>
      <c r="OBJ223" s="73"/>
      <c r="OBK223" s="73"/>
      <c r="OBL223" s="73"/>
      <c r="OBM223" s="73"/>
      <c r="OBN223" s="73"/>
      <c r="OBO223" s="73"/>
      <c r="OBP223" s="73"/>
      <c r="OBQ223" s="73"/>
      <c r="OBR223" s="73"/>
      <c r="OBS223" s="73"/>
      <c r="OBT223" s="73"/>
      <c r="OBU223" s="73"/>
      <c r="OBV223" s="73"/>
      <c r="OBW223" s="73"/>
      <c r="OBX223" s="73"/>
      <c r="OBY223" s="73"/>
      <c r="OBZ223" s="73"/>
      <c r="OCA223" s="73"/>
      <c r="OCB223" s="73"/>
      <c r="OCC223" s="73"/>
      <c r="OCD223" s="73"/>
      <c r="OCE223" s="73"/>
      <c r="OCF223" s="73"/>
      <c r="OCG223" s="73"/>
      <c r="OCH223" s="73"/>
      <c r="OCI223" s="73"/>
      <c r="OCJ223" s="73"/>
      <c r="OCK223" s="73"/>
      <c r="OCL223" s="73"/>
      <c r="OCM223" s="73"/>
      <c r="OCN223" s="73"/>
      <c r="OCO223" s="73"/>
      <c r="OCP223" s="73"/>
      <c r="OCQ223" s="73"/>
      <c r="OCR223" s="73"/>
      <c r="OCS223" s="73"/>
      <c r="OCT223" s="73"/>
      <c r="OCU223" s="73"/>
      <c r="OCV223" s="73"/>
      <c r="OCW223" s="73"/>
      <c r="OCX223" s="73"/>
      <c r="OCY223" s="73"/>
      <c r="OCZ223" s="73"/>
      <c r="ODA223" s="73"/>
      <c r="ODB223" s="73"/>
      <c r="ODC223" s="73"/>
      <c r="ODD223" s="73"/>
      <c r="ODE223" s="73"/>
      <c r="ODF223" s="73"/>
      <c r="ODG223" s="73"/>
      <c r="ODH223" s="73"/>
      <c r="ODI223" s="73"/>
      <c r="ODJ223" s="73"/>
      <c r="ODK223" s="73"/>
      <c r="ODL223" s="73"/>
      <c r="ODM223" s="73"/>
      <c r="ODN223" s="73"/>
      <c r="ODO223" s="73"/>
      <c r="ODP223" s="73"/>
      <c r="ODQ223" s="73"/>
      <c r="ODR223" s="73"/>
      <c r="ODS223" s="73"/>
      <c r="ODT223" s="73"/>
      <c r="ODU223" s="73"/>
      <c r="ODV223" s="73"/>
      <c r="ODW223" s="73"/>
      <c r="ODX223" s="73"/>
      <c r="ODY223" s="73"/>
      <c r="ODZ223" s="73"/>
      <c r="OEA223" s="73"/>
      <c r="OEB223" s="73"/>
      <c r="OEC223" s="73"/>
      <c r="OED223" s="73"/>
      <c r="OEE223" s="73"/>
      <c r="OEF223" s="73"/>
      <c r="OEG223" s="73"/>
      <c r="OEH223" s="73"/>
      <c r="OEI223" s="73"/>
      <c r="OEJ223" s="73"/>
      <c r="OEK223" s="73"/>
      <c r="OEL223" s="73"/>
      <c r="OEM223" s="73"/>
      <c r="OEN223" s="73"/>
      <c r="OEO223" s="73"/>
      <c r="OEP223" s="73"/>
      <c r="OEQ223" s="73"/>
      <c r="OER223" s="73"/>
      <c r="OES223" s="73"/>
      <c r="OET223" s="73"/>
      <c r="OEU223" s="73"/>
      <c r="OEV223" s="73"/>
      <c r="OEW223" s="73"/>
      <c r="OEX223" s="73"/>
      <c r="OEY223" s="73"/>
      <c r="OEZ223" s="73"/>
      <c r="OFA223" s="73"/>
      <c r="OFB223" s="73"/>
      <c r="OFC223" s="73"/>
      <c r="OFD223" s="73"/>
      <c r="OFE223" s="73"/>
      <c r="OFF223" s="73"/>
      <c r="OFG223" s="73"/>
      <c r="OFH223" s="73"/>
      <c r="OFI223" s="73"/>
      <c r="OFJ223" s="73"/>
      <c r="OFK223" s="73"/>
      <c r="OFL223" s="73"/>
      <c r="OFM223" s="73"/>
      <c r="OFN223" s="73"/>
      <c r="OFO223" s="73"/>
      <c r="OFP223" s="73"/>
      <c r="OFQ223" s="73"/>
      <c r="OFR223" s="73"/>
      <c r="OFS223" s="73"/>
      <c r="OFT223" s="73"/>
      <c r="OFU223" s="73"/>
      <c r="OFV223" s="73"/>
      <c r="OFW223" s="73"/>
      <c r="OFX223" s="73"/>
      <c r="OFY223" s="73"/>
      <c r="OFZ223" s="73"/>
      <c r="OGA223" s="73"/>
      <c r="OGB223" s="73"/>
      <c r="OGC223" s="73"/>
      <c r="OGD223" s="73"/>
      <c r="OGE223" s="73"/>
      <c r="OGF223" s="73"/>
      <c r="OGG223" s="73"/>
      <c r="OGH223" s="73"/>
      <c r="OGI223" s="73"/>
      <c r="OGJ223" s="73"/>
      <c r="OGK223" s="73"/>
      <c r="OGL223" s="73"/>
      <c r="OGM223" s="73"/>
      <c r="OGN223" s="73"/>
      <c r="OGO223" s="73"/>
      <c r="OGP223" s="73"/>
      <c r="OGQ223" s="73"/>
      <c r="OGR223" s="73"/>
      <c r="OGS223" s="73"/>
      <c r="OGT223" s="73"/>
      <c r="OGU223" s="73"/>
      <c r="OGV223" s="73"/>
      <c r="OGW223" s="73"/>
      <c r="OGX223" s="73"/>
      <c r="OGY223" s="73"/>
      <c r="OGZ223" s="73"/>
      <c r="OHA223" s="73"/>
      <c r="OHB223" s="73"/>
      <c r="OHC223" s="73"/>
      <c r="OHD223" s="73"/>
      <c r="OHE223" s="73"/>
      <c r="OHF223" s="73"/>
      <c r="OHG223" s="73"/>
      <c r="OHH223" s="73"/>
      <c r="OHI223" s="73"/>
      <c r="OHJ223" s="73"/>
      <c r="OHK223" s="73"/>
      <c r="OHL223" s="73"/>
      <c r="OHM223" s="73"/>
      <c r="OHN223" s="73"/>
      <c r="OHO223" s="73"/>
      <c r="OHP223" s="73"/>
      <c r="OHQ223" s="73"/>
      <c r="OHR223" s="73"/>
      <c r="OHS223" s="73"/>
      <c r="OHT223" s="73"/>
      <c r="OHU223" s="73"/>
      <c r="OHV223" s="73"/>
      <c r="OHW223" s="73"/>
      <c r="OHX223" s="73"/>
      <c r="OHY223" s="73"/>
      <c r="OHZ223" s="73"/>
      <c r="OIA223" s="73"/>
      <c r="OIB223" s="73"/>
      <c r="OIC223" s="73"/>
      <c r="OID223" s="73"/>
      <c r="OIE223" s="73"/>
      <c r="OIF223" s="73"/>
      <c r="OIG223" s="73"/>
      <c r="OIH223" s="73"/>
      <c r="OII223" s="73"/>
      <c r="OIJ223" s="73"/>
      <c r="OIK223" s="73"/>
      <c r="OIL223" s="73"/>
      <c r="OIM223" s="73"/>
      <c r="OIN223" s="73"/>
      <c r="OIO223" s="73"/>
      <c r="OIP223" s="73"/>
      <c r="OIQ223" s="73"/>
      <c r="OIR223" s="73"/>
      <c r="OIS223" s="73"/>
      <c r="OIT223" s="73"/>
      <c r="OIU223" s="73"/>
      <c r="OIV223" s="73"/>
      <c r="OIW223" s="73"/>
      <c r="OIX223" s="73"/>
      <c r="OIY223" s="73"/>
      <c r="OIZ223" s="73"/>
      <c r="OJA223" s="73"/>
      <c r="OJB223" s="73"/>
      <c r="OJC223" s="73"/>
      <c r="OJD223" s="73"/>
      <c r="OJE223" s="73"/>
      <c r="OJF223" s="73"/>
      <c r="OJG223" s="73"/>
      <c r="OJH223" s="73"/>
      <c r="OJI223" s="73"/>
      <c r="OJJ223" s="73"/>
      <c r="OJK223" s="73"/>
      <c r="OJL223" s="73"/>
      <c r="OJM223" s="73"/>
      <c r="OJN223" s="73"/>
      <c r="OJO223" s="73"/>
      <c r="OJP223" s="73"/>
      <c r="OJQ223" s="73"/>
      <c r="OJR223" s="73"/>
      <c r="OJS223" s="73"/>
      <c r="OJT223" s="73"/>
      <c r="OJU223" s="73"/>
      <c r="OJV223" s="73"/>
      <c r="OJW223" s="73"/>
      <c r="OJX223" s="73"/>
      <c r="OJY223" s="73"/>
      <c r="OJZ223" s="73"/>
      <c r="OKA223" s="73"/>
      <c r="OKB223" s="73"/>
      <c r="OKC223" s="73"/>
      <c r="OKD223" s="73"/>
      <c r="OKE223" s="73"/>
      <c r="OKF223" s="73"/>
      <c r="OKG223" s="73"/>
      <c r="OKH223" s="73"/>
      <c r="OKI223" s="73"/>
      <c r="OKJ223" s="73"/>
      <c r="OKK223" s="73"/>
      <c r="OKL223" s="73"/>
      <c r="OKM223" s="73"/>
      <c r="OKN223" s="73"/>
      <c r="OKO223" s="73"/>
      <c r="OKP223" s="73"/>
      <c r="OKQ223" s="73"/>
      <c r="OKR223" s="73"/>
      <c r="OKS223" s="73"/>
      <c r="OKT223" s="73"/>
      <c r="OKU223" s="73"/>
      <c r="OKV223" s="73"/>
      <c r="OKW223" s="73"/>
      <c r="OKX223" s="73"/>
      <c r="OKY223" s="73"/>
      <c r="OKZ223" s="73"/>
      <c r="OLA223" s="73"/>
      <c r="OLB223" s="73"/>
      <c r="OLC223" s="73"/>
      <c r="OLD223" s="73"/>
      <c r="OLE223" s="73"/>
      <c r="OLF223" s="73"/>
      <c r="OLG223" s="73"/>
      <c r="OLH223" s="73"/>
      <c r="OLI223" s="73"/>
      <c r="OLJ223" s="73"/>
      <c r="OLK223" s="73"/>
      <c r="OLL223" s="73"/>
      <c r="OLM223" s="73"/>
      <c r="OLN223" s="73"/>
      <c r="OLO223" s="73"/>
      <c r="OLP223" s="73"/>
      <c r="OLQ223" s="73"/>
      <c r="OLR223" s="73"/>
      <c r="OLS223" s="73"/>
      <c r="OLT223" s="73"/>
      <c r="OLU223" s="73"/>
      <c r="OLV223" s="73"/>
      <c r="OLW223" s="73"/>
      <c r="OLX223" s="73"/>
      <c r="OLY223" s="73"/>
      <c r="OLZ223" s="73"/>
      <c r="OMA223" s="73"/>
      <c r="OMB223" s="73"/>
      <c r="OMC223" s="73"/>
      <c r="OMD223" s="73"/>
      <c r="OME223" s="73"/>
      <c r="OMF223" s="73"/>
      <c r="OMG223" s="73"/>
      <c r="OMH223" s="73"/>
      <c r="OMI223" s="73"/>
      <c r="OMJ223" s="73"/>
      <c r="OMK223" s="73"/>
      <c r="OML223" s="73"/>
      <c r="OMM223" s="73"/>
      <c r="OMN223" s="73"/>
      <c r="OMO223" s="73"/>
      <c r="OMP223" s="73"/>
      <c r="OMQ223" s="73"/>
      <c r="OMR223" s="73"/>
      <c r="OMS223" s="73"/>
      <c r="OMT223" s="73"/>
      <c r="OMU223" s="73"/>
      <c r="OMV223" s="73"/>
      <c r="OMW223" s="73"/>
      <c r="OMX223" s="73"/>
      <c r="OMY223" s="73"/>
      <c r="OMZ223" s="73"/>
      <c r="ONA223" s="73"/>
      <c r="ONB223" s="73"/>
      <c r="ONC223" s="73"/>
      <c r="OND223" s="73"/>
      <c r="ONE223" s="73"/>
      <c r="ONF223" s="73"/>
      <c r="ONG223" s="73"/>
      <c r="ONH223" s="73"/>
      <c r="ONI223" s="73"/>
      <c r="ONJ223" s="73"/>
      <c r="ONK223" s="73"/>
      <c r="ONL223" s="73"/>
      <c r="ONM223" s="73"/>
      <c r="ONN223" s="73"/>
      <c r="ONO223" s="73"/>
      <c r="ONP223" s="73"/>
      <c r="ONQ223" s="73"/>
      <c r="ONR223" s="73"/>
      <c r="ONS223" s="73"/>
      <c r="ONT223" s="73"/>
      <c r="ONU223" s="73"/>
      <c r="ONV223" s="73"/>
      <c r="ONW223" s="73"/>
      <c r="ONX223" s="73"/>
      <c r="ONY223" s="73"/>
      <c r="ONZ223" s="73"/>
      <c r="OOA223" s="73"/>
      <c r="OOB223" s="73"/>
      <c r="OOC223" s="73"/>
      <c r="OOD223" s="73"/>
      <c r="OOE223" s="73"/>
      <c r="OOF223" s="73"/>
      <c r="OOG223" s="73"/>
      <c r="OOH223" s="73"/>
      <c r="OOI223" s="73"/>
      <c r="OOJ223" s="73"/>
      <c r="OOK223" s="73"/>
      <c r="OOL223" s="73"/>
      <c r="OOM223" s="73"/>
      <c r="OON223" s="73"/>
      <c r="OOO223" s="73"/>
      <c r="OOP223" s="73"/>
      <c r="OOQ223" s="73"/>
      <c r="OOR223" s="73"/>
      <c r="OOS223" s="73"/>
      <c r="OOT223" s="73"/>
      <c r="OOU223" s="73"/>
      <c r="OOV223" s="73"/>
      <c r="OOW223" s="73"/>
      <c r="OOX223" s="73"/>
      <c r="OOY223" s="73"/>
      <c r="OOZ223" s="73"/>
      <c r="OPA223" s="73"/>
      <c r="OPB223" s="73"/>
      <c r="OPC223" s="73"/>
      <c r="OPD223" s="73"/>
      <c r="OPE223" s="73"/>
      <c r="OPF223" s="73"/>
      <c r="OPG223" s="73"/>
      <c r="OPH223" s="73"/>
      <c r="OPI223" s="73"/>
      <c r="OPJ223" s="73"/>
      <c r="OPK223" s="73"/>
      <c r="OPL223" s="73"/>
      <c r="OPM223" s="73"/>
      <c r="OPN223" s="73"/>
      <c r="OPO223" s="73"/>
      <c r="OPP223" s="73"/>
      <c r="OPQ223" s="73"/>
      <c r="OPR223" s="73"/>
      <c r="OPS223" s="73"/>
      <c r="OPT223" s="73"/>
      <c r="OPU223" s="73"/>
      <c r="OPV223" s="73"/>
      <c r="OPW223" s="73"/>
      <c r="OPX223" s="73"/>
      <c r="OPY223" s="73"/>
      <c r="OPZ223" s="73"/>
      <c r="OQA223" s="73"/>
      <c r="OQB223" s="73"/>
      <c r="OQC223" s="73"/>
      <c r="OQD223" s="73"/>
      <c r="OQE223" s="73"/>
      <c r="OQF223" s="73"/>
      <c r="OQG223" s="73"/>
      <c r="OQH223" s="73"/>
      <c r="OQI223" s="73"/>
      <c r="OQJ223" s="73"/>
      <c r="OQK223" s="73"/>
      <c r="OQL223" s="73"/>
      <c r="OQM223" s="73"/>
      <c r="OQN223" s="73"/>
      <c r="OQO223" s="73"/>
      <c r="OQP223" s="73"/>
      <c r="OQQ223" s="73"/>
      <c r="OQR223" s="73"/>
      <c r="OQS223" s="73"/>
      <c r="OQT223" s="73"/>
      <c r="OQU223" s="73"/>
      <c r="OQV223" s="73"/>
      <c r="OQW223" s="73"/>
      <c r="OQX223" s="73"/>
      <c r="OQY223" s="73"/>
      <c r="OQZ223" s="73"/>
      <c r="ORA223" s="73"/>
      <c r="ORB223" s="73"/>
      <c r="ORC223" s="73"/>
      <c r="ORD223" s="73"/>
      <c r="ORE223" s="73"/>
      <c r="ORF223" s="73"/>
      <c r="ORG223" s="73"/>
      <c r="ORH223" s="73"/>
      <c r="ORI223" s="73"/>
      <c r="ORJ223" s="73"/>
      <c r="ORK223" s="73"/>
      <c r="ORL223" s="73"/>
      <c r="ORM223" s="73"/>
      <c r="ORN223" s="73"/>
      <c r="ORO223" s="73"/>
      <c r="ORP223" s="73"/>
      <c r="ORQ223" s="73"/>
      <c r="ORR223" s="73"/>
      <c r="ORS223" s="73"/>
      <c r="ORT223" s="73"/>
      <c r="ORU223" s="73"/>
      <c r="ORV223" s="73"/>
      <c r="ORW223" s="73"/>
      <c r="ORX223" s="73"/>
      <c r="ORY223" s="73"/>
      <c r="ORZ223" s="73"/>
      <c r="OSA223" s="73"/>
      <c r="OSB223" s="73"/>
      <c r="OSC223" s="73"/>
      <c r="OSD223" s="73"/>
      <c r="OSE223" s="73"/>
      <c r="OSF223" s="73"/>
      <c r="OSG223" s="73"/>
      <c r="OSH223" s="73"/>
      <c r="OSI223" s="73"/>
      <c r="OSJ223" s="73"/>
      <c r="OSK223" s="73"/>
      <c r="OSL223" s="73"/>
      <c r="OSM223" s="73"/>
      <c r="OSN223" s="73"/>
      <c r="OSO223" s="73"/>
      <c r="OSP223" s="73"/>
      <c r="OSQ223" s="73"/>
      <c r="OSR223" s="73"/>
      <c r="OSS223" s="73"/>
      <c r="OST223" s="73"/>
      <c r="OSU223" s="73"/>
      <c r="OSV223" s="73"/>
      <c r="OSW223" s="73"/>
      <c r="OSX223" s="73"/>
      <c r="OSY223" s="73"/>
      <c r="OSZ223" s="73"/>
      <c r="OTA223" s="73"/>
      <c r="OTB223" s="73"/>
      <c r="OTC223" s="73"/>
      <c r="OTD223" s="73"/>
      <c r="OTE223" s="73"/>
      <c r="OTF223" s="73"/>
      <c r="OTG223" s="73"/>
      <c r="OTH223" s="73"/>
      <c r="OTI223" s="73"/>
      <c r="OTJ223" s="73"/>
      <c r="OTK223" s="73"/>
      <c r="OTL223" s="73"/>
      <c r="OTM223" s="73"/>
      <c r="OTN223" s="73"/>
      <c r="OTO223" s="73"/>
      <c r="OTP223" s="73"/>
      <c r="OTQ223" s="73"/>
      <c r="OTR223" s="73"/>
      <c r="OTS223" s="73"/>
      <c r="OTT223" s="73"/>
      <c r="OTU223" s="73"/>
      <c r="OTV223" s="73"/>
      <c r="OTW223" s="73"/>
      <c r="OTX223" s="73"/>
      <c r="OTY223" s="73"/>
      <c r="OTZ223" s="73"/>
      <c r="OUA223" s="73"/>
      <c r="OUB223" s="73"/>
      <c r="OUC223" s="73"/>
      <c r="OUD223" s="73"/>
      <c r="OUE223" s="73"/>
      <c r="OUF223" s="73"/>
      <c r="OUG223" s="73"/>
      <c r="OUH223" s="73"/>
      <c r="OUI223" s="73"/>
      <c r="OUJ223" s="73"/>
      <c r="OUK223" s="73"/>
      <c r="OUL223" s="73"/>
      <c r="OUM223" s="73"/>
      <c r="OUN223" s="73"/>
      <c r="OUO223" s="73"/>
      <c r="OUP223" s="73"/>
      <c r="OUQ223" s="73"/>
      <c r="OUR223" s="73"/>
      <c r="OUS223" s="73"/>
      <c r="OUT223" s="73"/>
      <c r="OUU223" s="73"/>
      <c r="OUV223" s="73"/>
      <c r="OUW223" s="73"/>
      <c r="OUX223" s="73"/>
      <c r="OUY223" s="73"/>
      <c r="OUZ223" s="73"/>
      <c r="OVA223" s="73"/>
      <c r="OVB223" s="73"/>
      <c r="OVC223" s="73"/>
      <c r="OVD223" s="73"/>
      <c r="OVE223" s="73"/>
      <c r="OVF223" s="73"/>
      <c r="OVG223" s="73"/>
      <c r="OVH223" s="73"/>
      <c r="OVI223" s="73"/>
      <c r="OVJ223" s="73"/>
      <c r="OVK223" s="73"/>
      <c r="OVL223" s="73"/>
      <c r="OVM223" s="73"/>
      <c r="OVN223" s="73"/>
      <c r="OVO223" s="73"/>
      <c r="OVP223" s="73"/>
      <c r="OVQ223" s="73"/>
      <c r="OVR223" s="73"/>
      <c r="OVS223" s="73"/>
      <c r="OVT223" s="73"/>
      <c r="OVU223" s="73"/>
      <c r="OVV223" s="73"/>
      <c r="OVW223" s="73"/>
      <c r="OVX223" s="73"/>
      <c r="OVY223" s="73"/>
      <c r="OVZ223" s="73"/>
      <c r="OWA223" s="73"/>
      <c r="OWB223" s="73"/>
      <c r="OWC223" s="73"/>
      <c r="OWD223" s="73"/>
      <c r="OWE223" s="73"/>
      <c r="OWF223" s="73"/>
      <c r="OWG223" s="73"/>
      <c r="OWH223" s="73"/>
      <c r="OWI223" s="73"/>
      <c r="OWJ223" s="73"/>
      <c r="OWK223" s="73"/>
      <c r="OWL223" s="73"/>
      <c r="OWM223" s="73"/>
      <c r="OWN223" s="73"/>
      <c r="OWO223" s="73"/>
      <c r="OWP223" s="73"/>
      <c r="OWQ223" s="73"/>
      <c r="OWR223" s="73"/>
      <c r="OWS223" s="73"/>
      <c r="OWT223" s="73"/>
      <c r="OWU223" s="73"/>
      <c r="OWV223" s="73"/>
      <c r="OWW223" s="73"/>
      <c r="OWX223" s="73"/>
      <c r="OWY223" s="73"/>
      <c r="OWZ223" s="73"/>
      <c r="OXA223" s="73"/>
      <c r="OXB223" s="73"/>
      <c r="OXC223" s="73"/>
      <c r="OXD223" s="73"/>
      <c r="OXE223" s="73"/>
      <c r="OXF223" s="73"/>
      <c r="OXG223" s="73"/>
      <c r="OXH223" s="73"/>
      <c r="OXI223" s="73"/>
      <c r="OXJ223" s="73"/>
      <c r="OXK223" s="73"/>
      <c r="OXL223" s="73"/>
      <c r="OXM223" s="73"/>
      <c r="OXN223" s="73"/>
      <c r="OXO223" s="73"/>
      <c r="OXP223" s="73"/>
      <c r="OXQ223" s="73"/>
      <c r="OXR223" s="73"/>
      <c r="OXS223" s="73"/>
      <c r="OXT223" s="73"/>
      <c r="OXU223" s="73"/>
      <c r="OXV223" s="73"/>
      <c r="OXW223" s="73"/>
      <c r="OXX223" s="73"/>
      <c r="OXY223" s="73"/>
      <c r="OXZ223" s="73"/>
      <c r="OYA223" s="73"/>
      <c r="OYB223" s="73"/>
      <c r="OYC223" s="73"/>
      <c r="OYD223" s="73"/>
      <c r="OYE223" s="73"/>
      <c r="OYF223" s="73"/>
      <c r="OYG223" s="73"/>
      <c r="OYH223" s="73"/>
      <c r="OYI223" s="73"/>
      <c r="OYJ223" s="73"/>
      <c r="OYK223" s="73"/>
      <c r="OYL223" s="73"/>
      <c r="OYM223" s="73"/>
      <c r="OYN223" s="73"/>
      <c r="OYO223" s="73"/>
      <c r="OYP223" s="73"/>
      <c r="OYQ223" s="73"/>
      <c r="OYR223" s="73"/>
      <c r="OYS223" s="73"/>
      <c r="OYT223" s="73"/>
      <c r="OYU223" s="73"/>
      <c r="OYV223" s="73"/>
      <c r="OYW223" s="73"/>
      <c r="OYX223" s="73"/>
      <c r="OYY223" s="73"/>
      <c r="OYZ223" s="73"/>
      <c r="OZA223" s="73"/>
      <c r="OZB223" s="73"/>
      <c r="OZC223" s="73"/>
      <c r="OZD223" s="73"/>
      <c r="OZE223" s="73"/>
      <c r="OZF223" s="73"/>
      <c r="OZG223" s="73"/>
      <c r="OZH223" s="73"/>
      <c r="OZI223" s="73"/>
      <c r="OZJ223" s="73"/>
      <c r="OZK223" s="73"/>
      <c r="OZL223" s="73"/>
      <c r="OZM223" s="73"/>
      <c r="OZN223" s="73"/>
      <c r="OZO223" s="73"/>
      <c r="OZP223" s="73"/>
      <c r="OZQ223" s="73"/>
      <c r="OZR223" s="73"/>
      <c r="OZS223" s="73"/>
      <c r="OZT223" s="73"/>
      <c r="OZU223" s="73"/>
      <c r="OZV223" s="73"/>
      <c r="OZW223" s="73"/>
      <c r="OZX223" s="73"/>
      <c r="OZY223" s="73"/>
      <c r="OZZ223" s="73"/>
      <c r="PAA223" s="73"/>
      <c r="PAB223" s="73"/>
      <c r="PAC223" s="73"/>
      <c r="PAD223" s="73"/>
      <c r="PAE223" s="73"/>
      <c r="PAF223" s="73"/>
      <c r="PAG223" s="73"/>
      <c r="PAH223" s="73"/>
      <c r="PAI223" s="73"/>
      <c r="PAJ223" s="73"/>
      <c r="PAK223" s="73"/>
      <c r="PAL223" s="73"/>
      <c r="PAM223" s="73"/>
      <c r="PAN223" s="73"/>
      <c r="PAO223" s="73"/>
      <c r="PAP223" s="73"/>
      <c r="PAQ223" s="73"/>
      <c r="PAR223" s="73"/>
      <c r="PAS223" s="73"/>
      <c r="PAT223" s="73"/>
      <c r="PAU223" s="73"/>
      <c r="PAV223" s="73"/>
      <c r="PAW223" s="73"/>
      <c r="PAX223" s="73"/>
      <c r="PAY223" s="73"/>
      <c r="PAZ223" s="73"/>
      <c r="PBA223" s="73"/>
      <c r="PBB223" s="73"/>
      <c r="PBC223" s="73"/>
      <c r="PBD223" s="73"/>
      <c r="PBE223" s="73"/>
      <c r="PBF223" s="73"/>
      <c r="PBG223" s="73"/>
      <c r="PBH223" s="73"/>
      <c r="PBI223" s="73"/>
      <c r="PBJ223" s="73"/>
      <c r="PBK223" s="73"/>
      <c r="PBL223" s="73"/>
      <c r="PBM223" s="73"/>
      <c r="PBN223" s="73"/>
      <c r="PBO223" s="73"/>
      <c r="PBP223" s="73"/>
      <c r="PBQ223" s="73"/>
      <c r="PBR223" s="73"/>
      <c r="PBS223" s="73"/>
      <c r="PBT223" s="73"/>
      <c r="PBU223" s="73"/>
      <c r="PBV223" s="73"/>
      <c r="PBW223" s="73"/>
      <c r="PBX223" s="73"/>
      <c r="PBY223" s="73"/>
      <c r="PBZ223" s="73"/>
      <c r="PCA223" s="73"/>
      <c r="PCB223" s="73"/>
      <c r="PCC223" s="73"/>
      <c r="PCD223" s="73"/>
      <c r="PCE223" s="73"/>
      <c r="PCF223" s="73"/>
      <c r="PCG223" s="73"/>
      <c r="PCH223" s="73"/>
      <c r="PCI223" s="73"/>
      <c r="PCJ223" s="73"/>
      <c r="PCK223" s="73"/>
      <c r="PCL223" s="73"/>
      <c r="PCM223" s="73"/>
      <c r="PCN223" s="73"/>
      <c r="PCO223" s="73"/>
      <c r="PCP223" s="73"/>
      <c r="PCQ223" s="73"/>
      <c r="PCR223" s="73"/>
      <c r="PCS223" s="73"/>
      <c r="PCT223" s="73"/>
      <c r="PCU223" s="73"/>
      <c r="PCV223" s="73"/>
      <c r="PCW223" s="73"/>
      <c r="PCX223" s="73"/>
      <c r="PCY223" s="73"/>
      <c r="PCZ223" s="73"/>
      <c r="PDA223" s="73"/>
      <c r="PDB223" s="73"/>
      <c r="PDC223" s="73"/>
      <c r="PDD223" s="73"/>
      <c r="PDE223" s="73"/>
      <c r="PDF223" s="73"/>
      <c r="PDG223" s="73"/>
      <c r="PDH223" s="73"/>
      <c r="PDI223" s="73"/>
      <c r="PDJ223" s="73"/>
      <c r="PDK223" s="73"/>
      <c r="PDL223" s="73"/>
      <c r="PDM223" s="73"/>
      <c r="PDN223" s="73"/>
      <c r="PDO223" s="73"/>
      <c r="PDP223" s="73"/>
      <c r="PDQ223" s="73"/>
      <c r="PDR223" s="73"/>
      <c r="PDS223" s="73"/>
      <c r="PDT223" s="73"/>
      <c r="PDU223" s="73"/>
      <c r="PDV223" s="73"/>
      <c r="PDW223" s="73"/>
      <c r="PDX223" s="73"/>
      <c r="PDY223" s="73"/>
      <c r="PDZ223" s="73"/>
      <c r="PEA223" s="73"/>
      <c r="PEB223" s="73"/>
      <c r="PEC223" s="73"/>
      <c r="PED223" s="73"/>
      <c r="PEE223" s="73"/>
      <c r="PEF223" s="73"/>
      <c r="PEG223" s="73"/>
      <c r="PEH223" s="73"/>
      <c r="PEI223" s="73"/>
      <c r="PEJ223" s="73"/>
      <c r="PEK223" s="73"/>
      <c r="PEL223" s="73"/>
      <c r="PEM223" s="73"/>
      <c r="PEN223" s="73"/>
      <c r="PEO223" s="73"/>
      <c r="PEP223" s="73"/>
      <c r="PEQ223" s="73"/>
      <c r="PER223" s="73"/>
      <c r="PES223" s="73"/>
      <c r="PET223" s="73"/>
      <c r="PEU223" s="73"/>
      <c r="PEV223" s="73"/>
      <c r="PEW223" s="73"/>
      <c r="PEX223" s="73"/>
      <c r="PEY223" s="73"/>
      <c r="PEZ223" s="73"/>
      <c r="PFA223" s="73"/>
      <c r="PFB223" s="73"/>
      <c r="PFC223" s="73"/>
      <c r="PFD223" s="73"/>
      <c r="PFE223" s="73"/>
      <c r="PFF223" s="73"/>
      <c r="PFG223" s="73"/>
      <c r="PFH223" s="73"/>
      <c r="PFI223" s="73"/>
      <c r="PFJ223" s="73"/>
      <c r="PFK223" s="73"/>
      <c r="PFL223" s="73"/>
      <c r="PFM223" s="73"/>
      <c r="PFN223" s="73"/>
      <c r="PFO223" s="73"/>
      <c r="PFP223" s="73"/>
      <c r="PFQ223" s="73"/>
      <c r="PFR223" s="73"/>
      <c r="PFS223" s="73"/>
      <c r="PFT223" s="73"/>
      <c r="PFU223" s="73"/>
      <c r="PFV223" s="73"/>
      <c r="PFW223" s="73"/>
      <c r="PFX223" s="73"/>
      <c r="PFY223" s="73"/>
      <c r="PFZ223" s="73"/>
      <c r="PGA223" s="73"/>
      <c r="PGB223" s="73"/>
      <c r="PGC223" s="73"/>
      <c r="PGD223" s="73"/>
      <c r="PGE223" s="73"/>
      <c r="PGF223" s="73"/>
      <c r="PGG223" s="73"/>
      <c r="PGH223" s="73"/>
      <c r="PGI223" s="73"/>
      <c r="PGJ223" s="73"/>
      <c r="PGK223" s="73"/>
      <c r="PGL223" s="73"/>
      <c r="PGM223" s="73"/>
      <c r="PGN223" s="73"/>
      <c r="PGO223" s="73"/>
      <c r="PGP223" s="73"/>
      <c r="PGQ223" s="73"/>
      <c r="PGR223" s="73"/>
      <c r="PGS223" s="73"/>
      <c r="PGT223" s="73"/>
      <c r="PGU223" s="73"/>
      <c r="PGV223" s="73"/>
      <c r="PGW223" s="73"/>
      <c r="PGX223" s="73"/>
      <c r="PGY223" s="73"/>
      <c r="PGZ223" s="73"/>
      <c r="PHA223" s="73"/>
      <c r="PHB223" s="73"/>
      <c r="PHC223" s="73"/>
      <c r="PHD223" s="73"/>
      <c r="PHE223" s="73"/>
      <c r="PHF223" s="73"/>
      <c r="PHG223" s="73"/>
      <c r="PHH223" s="73"/>
      <c r="PHI223" s="73"/>
      <c r="PHJ223" s="73"/>
      <c r="PHK223" s="73"/>
      <c r="PHL223" s="73"/>
      <c r="PHM223" s="73"/>
      <c r="PHN223" s="73"/>
      <c r="PHO223" s="73"/>
      <c r="PHP223" s="73"/>
      <c r="PHQ223" s="73"/>
      <c r="PHR223" s="73"/>
      <c r="PHS223" s="73"/>
      <c r="PHT223" s="73"/>
      <c r="PHU223" s="73"/>
      <c r="PHV223" s="73"/>
      <c r="PHW223" s="73"/>
      <c r="PHX223" s="73"/>
      <c r="PHY223" s="73"/>
      <c r="PHZ223" s="73"/>
      <c r="PIA223" s="73"/>
      <c r="PIB223" s="73"/>
      <c r="PIC223" s="73"/>
      <c r="PID223" s="73"/>
      <c r="PIE223" s="73"/>
      <c r="PIF223" s="73"/>
      <c r="PIG223" s="73"/>
      <c r="PIH223" s="73"/>
      <c r="PII223" s="73"/>
      <c r="PIJ223" s="73"/>
      <c r="PIK223" s="73"/>
      <c r="PIL223" s="73"/>
      <c r="PIM223" s="73"/>
      <c r="PIN223" s="73"/>
      <c r="PIO223" s="73"/>
      <c r="PIP223" s="73"/>
      <c r="PIQ223" s="73"/>
      <c r="PIR223" s="73"/>
      <c r="PIS223" s="73"/>
      <c r="PIT223" s="73"/>
      <c r="PIU223" s="73"/>
      <c r="PIV223" s="73"/>
      <c r="PIW223" s="73"/>
      <c r="PIX223" s="73"/>
      <c r="PIY223" s="73"/>
      <c r="PIZ223" s="73"/>
      <c r="PJA223" s="73"/>
      <c r="PJB223" s="73"/>
      <c r="PJC223" s="73"/>
      <c r="PJD223" s="73"/>
      <c r="PJE223" s="73"/>
      <c r="PJF223" s="73"/>
      <c r="PJG223" s="73"/>
      <c r="PJH223" s="73"/>
      <c r="PJI223" s="73"/>
      <c r="PJJ223" s="73"/>
      <c r="PJK223" s="73"/>
      <c r="PJL223" s="73"/>
      <c r="PJM223" s="73"/>
      <c r="PJN223" s="73"/>
      <c r="PJO223" s="73"/>
      <c r="PJP223" s="73"/>
      <c r="PJQ223" s="73"/>
      <c r="PJR223" s="73"/>
      <c r="PJS223" s="73"/>
      <c r="PJT223" s="73"/>
      <c r="PJU223" s="73"/>
      <c r="PJV223" s="73"/>
      <c r="PJW223" s="73"/>
      <c r="PJX223" s="73"/>
      <c r="PJY223" s="73"/>
      <c r="PJZ223" s="73"/>
      <c r="PKA223" s="73"/>
      <c r="PKB223" s="73"/>
      <c r="PKC223" s="73"/>
      <c r="PKD223" s="73"/>
      <c r="PKE223" s="73"/>
      <c r="PKF223" s="73"/>
      <c r="PKG223" s="73"/>
      <c r="PKH223" s="73"/>
      <c r="PKI223" s="73"/>
      <c r="PKJ223" s="73"/>
      <c r="PKK223" s="73"/>
      <c r="PKL223" s="73"/>
      <c r="PKM223" s="73"/>
      <c r="PKN223" s="73"/>
      <c r="PKO223" s="73"/>
      <c r="PKP223" s="73"/>
      <c r="PKQ223" s="73"/>
      <c r="PKR223" s="73"/>
      <c r="PKS223" s="73"/>
      <c r="PKT223" s="73"/>
      <c r="PKU223" s="73"/>
      <c r="PKV223" s="73"/>
      <c r="PKW223" s="73"/>
      <c r="PKX223" s="73"/>
      <c r="PKY223" s="73"/>
      <c r="PKZ223" s="73"/>
      <c r="PLA223" s="73"/>
      <c r="PLB223" s="73"/>
      <c r="PLC223" s="73"/>
      <c r="PLD223" s="73"/>
      <c r="PLE223" s="73"/>
      <c r="PLF223" s="73"/>
      <c r="PLG223" s="73"/>
      <c r="PLH223" s="73"/>
      <c r="PLI223" s="73"/>
      <c r="PLJ223" s="73"/>
      <c r="PLK223" s="73"/>
      <c r="PLL223" s="73"/>
      <c r="PLM223" s="73"/>
      <c r="PLN223" s="73"/>
      <c r="PLO223" s="73"/>
      <c r="PLP223" s="73"/>
      <c r="PLQ223" s="73"/>
      <c r="PLR223" s="73"/>
      <c r="PLS223" s="73"/>
      <c r="PLT223" s="73"/>
      <c r="PLU223" s="73"/>
      <c r="PLV223" s="73"/>
      <c r="PLW223" s="73"/>
      <c r="PLX223" s="73"/>
      <c r="PLY223" s="73"/>
      <c r="PLZ223" s="73"/>
      <c r="PMA223" s="73"/>
      <c r="PMB223" s="73"/>
      <c r="PMC223" s="73"/>
      <c r="PMD223" s="73"/>
      <c r="PME223" s="73"/>
      <c r="PMF223" s="73"/>
      <c r="PMG223" s="73"/>
      <c r="PMH223" s="73"/>
      <c r="PMI223" s="73"/>
      <c r="PMJ223" s="73"/>
      <c r="PMK223" s="73"/>
      <c r="PML223" s="73"/>
      <c r="PMM223" s="73"/>
      <c r="PMN223" s="73"/>
      <c r="PMO223" s="73"/>
      <c r="PMP223" s="73"/>
      <c r="PMQ223" s="73"/>
      <c r="PMR223" s="73"/>
      <c r="PMS223" s="73"/>
      <c r="PMT223" s="73"/>
      <c r="PMU223" s="73"/>
      <c r="PMV223" s="73"/>
      <c r="PMW223" s="73"/>
      <c r="PMX223" s="73"/>
      <c r="PMY223" s="73"/>
      <c r="PMZ223" s="73"/>
      <c r="PNA223" s="73"/>
      <c r="PNB223" s="73"/>
      <c r="PNC223" s="73"/>
      <c r="PND223" s="73"/>
      <c r="PNE223" s="73"/>
      <c r="PNF223" s="73"/>
      <c r="PNG223" s="73"/>
      <c r="PNH223" s="73"/>
      <c r="PNI223" s="73"/>
      <c r="PNJ223" s="73"/>
      <c r="PNK223" s="73"/>
      <c r="PNL223" s="73"/>
      <c r="PNM223" s="73"/>
      <c r="PNN223" s="73"/>
      <c r="PNO223" s="73"/>
      <c r="PNP223" s="73"/>
      <c r="PNQ223" s="73"/>
      <c r="PNR223" s="73"/>
      <c r="PNS223" s="73"/>
      <c r="PNT223" s="73"/>
      <c r="PNU223" s="73"/>
      <c r="PNV223" s="73"/>
      <c r="PNW223" s="73"/>
      <c r="PNX223" s="73"/>
      <c r="PNY223" s="73"/>
      <c r="PNZ223" s="73"/>
      <c r="POA223" s="73"/>
      <c r="POB223" s="73"/>
      <c r="POC223" s="73"/>
      <c r="POD223" s="73"/>
      <c r="POE223" s="73"/>
      <c r="POF223" s="73"/>
      <c r="POG223" s="73"/>
      <c r="POH223" s="73"/>
      <c r="POI223" s="73"/>
      <c r="POJ223" s="73"/>
      <c r="POK223" s="73"/>
      <c r="POL223" s="73"/>
      <c r="POM223" s="73"/>
      <c r="PON223" s="73"/>
      <c r="POO223" s="73"/>
      <c r="POP223" s="73"/>
      <c r="POQ223" s="73"/>
      <c r="POR223" s="73"/>
      <c r="POS223" s="73"/>
      <c r="POT223" s="73"/>
      <c r="POU223" s="73"/>
      <c r="POV223" s="73"/>
      <c r="POW223" s="73"/>
      <c r="POX223" s="73"/>
      <c r="POY223" s="73"/>
      <c r="POZ223" s="73"/>
      <c r="PPA223" s="73"/>
      <c r="PPB223" s="73"/>
      <c r="PPC223" s="73"/>
      <c r="PPD223" s="73"/>
      <c r="PPE223" s="73"/>
      <c r="PPF223" s="73"/>
      <c r="PPG223" s="73"/>
      <c r="PPH223" s="73"/>
      <c r="PPI223" s="73"/>
      <c r="PPJ223" s="73"/>
      <c r="PPK223" s="73"/>
      <c r="PPL223" s="73"/>
      <c r="PPM223" s="73"/>
      <c r="PPN223" s="73"/>
      <c r="PPO223" s="73"/>
      <c r="PPP223" s="73"/>
      <c r="PPQ223" s="73"/>
      <c r="PPR223" s="73"/>
      <c r="PPS223" s="73"/>
      <c r="PPT223" s="73"/>
      <c r="PPU223" s="73"/>
      <c r="PPV223" s="73"/>
      <c r="PPW223" s="73"/>
      <c r="PPX223" s="73"/>
      <c r="PPY223" s="73"/>
      <c r="PPZ223" s="73"/>
      <c r="PQA223" s="73"/>
      <c r="PQB223" s="73"/>
      <c r="PQC223" s="73"/>
      <c r="PQD223" s="73"/>
      <c r="PQE223" s="73"/>
      <c r="PQF223" s="73"/>
      <c r="PQG223" s="73"/>
      <c r="PQH223" s="73"/>
      <c r="PQI223" s="73"/>
      <c r="PQJ223" s="73"/>
      <c r="PQK223" s="73"/>
      <c r="PQL223" s="73"/>
      <c r="PQM223" s="73"/>
      <c r="PQN223" s="73"/>
      <c r="PQO223" s="73"/>
      <c r="PQP223" s="73"/>
      <c r="PQQ223" s="73"/>
      <c r="PQR223" s="73"/>
      <c r="PQS223" s="73"/>
      <c r="PQT223" s="73"/>
      <c r="PQU223" s="73"/>
      <c r="PQV223" s="73"/>
      <c r="PQW223" s="73"/>
      <c r="PQX223" s="73"/>
      <c r="PQY223" s="73"/>
      <c r="PQZ223" s="73"/>
      <c r="PRA223" s="73"/>
      <c r="PRB223" s="73"/>
      <c r="PRC223" s="73"/>
      <c r="PRD223" s="73"/>
      <c r="PRE223" s="73"/>
      <c r="PRF223" s="73"/>
      <c r="PRG223" s="73"/>
      <c r="PRH223" s="73"/>
      <c r="PRI223" s="73"/>
      <c r="PRJ223" s="73"/>
      <c r="PRK223" s="73"/>
      <c r="PRL223" s="73"/>
      <c r="PRM223" s="73"/>
      <c r="PRN223" s="73"/>
      <c r="PRO223" s="73"/>
      <c r="PRP223" s="73"/>
      <c r="PRQ223" s="73"/>
      <c r="PRR223" s="73"/>
      <c r="PRS223" s="73"/>
      <c r="PRT223" s="73"/>
      <c r="PRU223" s="73"/>
      <c r="PRV223" s="73"/>
      <c r="PRW223" s="73"/>
      <c r="PRX223" s="73"/>
      <c r="PRY223" s="73"/>
      <c r="PRZ223" s="73"/>
      <c r="PSA223" s="73"/>
      <c r="PSB223" s="73"/>
      <c r="PSC223" s="73"/>
      <c r="PSD223" s="73"/>
      <c r="PSE223" s="73"/>
      <c r="PSF223" s="73"/>
      <c r="PSG223" s="73"/>
      <c r="PSH223" s="73"/>
      <c r="PSI223" s="73"/>
      <c r="PSJ223" s="73"/>
      <c r="PSK223" s="73"/>
      <c r="PSL223" s="73"/>
      <c r="PSM223" s="73"/>
      <c r="PSN223" s="73"/>
      <c r="PSO223" s="73"/>
      <c r="PSP223" s="73"/>
      <c r="PSQ223" s="73"/>
      <c r="PSR223" s="73"/>
      <c r="PSS223" s="73"/>
      <c r="PST223" s="73"/>
      <c r="PSU223" s="73"/>
      <c r="PSV223" s="73"/>
      <c r="PSW223" s="73"/>
      <c r="PSX223" s="73"/>
      <c r="PSY223" s="73"/>
      <c r="PSZ223" s="73"/>
      <c r="PTA223" s="73"/>
      <c r="PTB223" s="73"/>
      <c r="PTC223" s="73"/>
      <c r="PTD223" s="73"/>
      <c r="PTE223" s="73"/>
      <c r="PTF223" s="73"/>
      <c r="PTG223" s="73"/>
      <c r="PTH223" s="73"/>
      <c r="PTI223" s="73"/>
      <c r="PTJ223" s="73"/>
      <c r="PTK223" s="73"/>
      <c r="PTL223" s="73"/>
      <c r="PTM223" s="73"/>
      <c r="PTN223" s="73"/>
      <c r="PTO223" s="73"/>
      <c r="PTP223" s="73"/>
      <c r="PTQ223" s="73"/>
      <c r="PTR223" s="73"/>
      <c r="PTS223" s="73"/>
      <c r="PTT223" s="73"/>
      <c r="PTU223" s="73"/>
      <c r="PTV223" s="73"/>
      <c r="PTW223" s="73"/>
      <c r="PTX223" s="73"/>
      <c r="PTY223" s="73"/>
      <c r="PTZ223" s="73"/>
      <c r="PUA223" s="73"/>
      <c r="PUB223" s="73"/>
      <c r="PUC223" s="73"/>
      <c r="PUD223" s="73"/>
      <c r="PUE223" s="73"/>
      <c r="PUF223" s="73"/>
      <c r="PUG223" s="73"/>
      <c r="PUH223" s="73"/>
      <c r="PUI223" s="73"/>
      <c r="PUJ223" s="73"/>
      <c r="PUK223" s="73"/>
      <c r="PUL223" s="73"/>
      <c r="PUM223" s="73"/>
      <c r="PUN223" s="73"/>
      <c r="PUO223" s="73"/>
      <c r="PUP223" s="73"/>
      <c r="PUQ223" s="73"/>
      <c r="PUR223" s="73"/>
      <c r="PUS223" s="73"/>
      <c r="PUT223" s="73"/>
      <c r="PUU223" s="73"/>
      <c r="PUV223" s="73"/>
      <c r="PUW223" s="73"/>
      <c r="PUX223" s="73"/>
      <c r="PUY223" s="73"/>
      <c r="PUZ223" s="73"/>
      <c r="PVA223" s="73"/>
      <c r="PVB223" s="73"/>
      <c r="PVC223" s="73"/>
      <c r="PVD223" s="73"/>
      <c r="PVE223" s="73"/>
      <c r="PVF223" s="73"/>
      <c r="PVG223" s="73"/>
      <c r="PVH223" s="73"/>
      <c r="PVI223" s="73"/>
      <c r="PVJ223" s="73"/>
      <c r="PVK223" s="73"/>
      <c r="PVL223" s="73"/>
      <c r="PVM223" s="73"/>
      <c r="PVN223" s="73"/>
      <c r="PVO223" s="73"/>
      <c r="PVP223" s="73"/>
      <c r="PVQ223" s="73"/>
      <c r="PVR223" s="73"/>
      <c r="PVS223" s="73"/>
      <c r="PVT223" s="73"/>
      <c r="PVU223" s="73"/>
      <c r="PVV223" s="73"/>
      <c r="PVW223" s="73"/>
      <c r="PVX223" s="73"/>
      <c r="PVY223" s="73"/>
      <c r="PVZ223" s="73"/>
      <c r="PWA223" s="73"/>
      <c r="PWB223" s="73"/>
      <c r="PWC223" s="73"/>
      <c r="PWD223" s="73"/>
      <c r="PWE223" s="73"/>
      <c r="PWF223" s="73"/>
      <c r="PWG223" s="73"/>
      <c r="PWH223" s="73"/>
      <c r="PWI223" s="73"/>
      <c r="PWJ223" s="73"/>
      <c r="PWK223" s="73"/>
      <c r="PWL223" s="73"/>
      <c r="PWM223" s="73"/>
      <c r="PWN223" s="73"/>
      <c r="PWO223" s="73"/>
      <c r="PWP223" s="73"/>
      <c r="PWQ223" s="73"/>
      <c r="PWR223" s="73"/>
      <c r="PWS223" s="73"/>
      <c r="PWT223" s="73"/>
      <c r="PWU223" s="73"/>
      <c r="PWV223" s="73"/>
      <c r="PWW223" s="73"/>
      <c r="PWX223" s="73"/>
      <c r="PWY223" s="73"/>
      <c r="PWZ223" s="73"/>
      <c r="PXA223" s="73"/>
      <c r="PXB223" s="73"/>
      <c r="PXC223" s="73"/>
      <c r="PXD223" s="73"/>
      <c r="PXE223" s="73"/>
      <c r="PXF223" s="73"/>
      <c r="PXG223" s="73"/>
      <c r="PXH223" s="73"/>
      <c r="PXI223" s="73"/>
      <c r="PXJ223" s="73"/>
      <c r="PXK223" s="73"/>
      <c r="PXL223" s="73"/>
      <c r="PXM223" s="73"/>
      <c r="PXN223" s="73"/>
      <c r="PXO223" s="73"/>
      <c r="PXP223" s="73"/>
      <c r="PXQ223" s="73"/>
      <c r="PXR223" s="73"/>
      <c r="PXS223" s="73"/>
      <c r="PXT223" s="73"/>
      <c r="PXU223" s="73"/>
      <c r="PXV223" s="73"/>
      <c r="PXW223" s="73"/>
      <c r="PXX223" s="73"/>
      <c r="PXY223" s="73"/>
      <c r="PXZ223" s="73"/>
      <c r="PYA223" s="73"/>
      <c r="PYB223" s="73"/>
      <c r="PYC223" s="73"/>
      <c r="PYD223" s="73"/>
      <c r="PYE223" s="73"/>
      <c r="PYF223" s="73"/>
      <c r="PYG223" s="73"/>
      <c r="PYH223" s="73"/>
      <c r="PYI223" s="73"/>
      <c r="PYJ223" s="73"/>
      <c r="PYK223" s="73"/>
      <c r="PYL223" s="73"/>
      <c r="PYM223" s="73"/>
      <c r="PYN223" s="73"/>
      <c r="PYO223" s="73"/>
      <c r="PYP223" s="73"/>
      <c r="PYQ223" s="73"/>
      <c r="PYR223" s="73"/>
      <c r="PYS223" s="73"/>
      <c r="PYT223" s="73"/>
      <c r="PYU223" s="73"/>
      <c r="PYV223" s="73"/>
      <c r="PYW223" s="73"/>
      <c r="PYX223" s="73"/>
      <c r="PYY223" s="73"/>
      <c r="PYZ223" s="73"/>
      <c r="PZA223" s="73"/>
      <c r="PZB223" s="73"/>
      <c r="PZC223" s="73"/>
      <c r="PZD223" s="73"/>
      <c r="PZE223" s="73"/>
      <c r="PZF223" s="73"/>
      <c r="PZG223" s="73"/>
      <c r="PZH223" s="73"/>
      <c r="PZI223" s="73"/>
      <c r="PZJ223" s="73"/>
      <c r="PZK223" s="73"/>
      <c r="PZL223" s="73"/>
      <c r="PZM223" s="73"/>
      <c r="PZN223" s="73"/>
      <c r="PZO223" s="73"/>
      <c r="PZP223" s="73"/>
      <c r="PZQ223" s="73"/>
      <c r="PZR223" s="73"/>
      <c r="PZS223" s="73"/>
      <c r="PZT223" s="73"/>
      <c r="PZU223" s="73"/>
      <c r="PZV223" s="73"/>
      <c r="PZW223" s="73"/>
      <c r="PZX223" s="73"/>
      <c r="PZY223" s="73"/>
      <c r="PZZ223" s="73"/>
      <c r="QAA223" s="73"/>
      <c r="QAB223" s="73"/>
      <c r="QAC223" s="73"/>
      <c r="QAD223" s="73"/>
      <c r="QAE223" s="73"/>
      <c r="QAF223" s="73"/>
      <c r="QAG223" s="73"/>
      <c r="QAH223" s="73"/>
      <c r="QAI223" s="73"/>
      <c r="QAJ223" s="73"/>
      <c r="QAK223" s="73"/>
      <c r="QAL223" s="73"/>
      <c r="QAM223" s="73"/>
      <c r="QAN223" s="73"/>
      <c r="QAO223" s="73"/>
      <c r="QAP223" s="73"/>
      <c r="QAQ223" s="73"/>
      <c r="QAR223" s="73"/>
      <c r="QAS223" s="73"/>
      <c r="QAT223" s="73"/>
      <c r="QAU223" s="73"/>
      <c r="QAV223" s="73"/>
      <c r="QAW223" s="73"/>
      <c r="QAX223" s="73"/>
      <c r="QAY223" s="73"/>
      <c r="QAZ223" s="73"/>
      <c r="QBA223" s="73"/>
      <c r="QBB223" s="73"/>
      <c r="QBC223" s="73"/>
      <c r="QBD223" s="73"/>
      <c r="QBE223" s="73"/>
      <c r="QBF223" s="73"/>
      <c r="QBG223" s="73"/>
      <c r="QBH223" s="73"/>
      <c r="QBI223" s="73"/>
      <c r="QBJ223" s="73"/>
      <c r="QBK223" s="73"/>
      <c r="QBL223" s="73"/>
      <c r="QBM223" s="73"/>
      <c r="QBN223" s="73"/>
      <c r="QBO223" s="73"/>
      <c r="QBP223" s="73"/>
      <c r="QBQ223" s="73"/>
      <c r="QBR223" s="73"/>
      <c r="QBS223" s="73"/>
      <c r="QBT223" s="73"/>
      <c r="QBU223" s="73"/>
      <c r="QBV223" s="73"/>
      <c r="QBW223" s="73"/>
      <c r="QBX223" s="73"/>
      <c r="QBY223" s="73"/>
      <c r="QBZ223" s="73"/>
      <c r="QCA223" s="73"/>
      <c r="QCB223" s="73"/>
      <c r="QCC223" s="73"/>
      <c r="QCD223" s="73"/>
      <c r="QCE223" s="73"/>
      <c r="QCF223" s="73"/>
      <c r="QCG223" s="73"/>
      <c r="QCH223" s="73"/>
      <c r="QCI223" s="73"/>
      <c r="QCJ223" s="73"/>
      <c r="QCK223" s="73"/>
      <c r="QCL223" s="73"/>
      <c r="QCM223" s="73"/>
      <c r="QCN223" s="73"/>
      <c r="QCO223" s="73"/>
      <c r="QCP223" s="73"/>
      <c r="QCQ223" s="73"/>
      <c r="QCR223" s="73"/>
      <c r="QCS223" s="73"/>
      <c r="QCT223" s="73"/>
      <c r="QCU223" s="73"/>
      <c r="QCV223" s="73"/>
      <c r="QCW223" s="73"/>
      <c r="QCX223" s="73"/>
      <c r="QCY223" s="73"/>
      <c r="QCZ223" s="73"/>
      <c r="QDA223" s="73"/>
      <c r="QDB223" s="73"/>
      <c r="QDC223" s="73"/>
      <c r="QDD223" s="73"/>
      <c r="QDE223" s="73"/>
      <c r="QDF223" s="73"/>
      <c r="QDG223" s="73"/>
      <c r="QDH223" s="73"/>
      <c r="QDI223" s="73"/>
      <c r="QDJ223" s="73"/>
      <c r="QDK223" s="73"/>
      <c r="QDL223" s="73"/>
      <c r="QDM223" s="73"/>
      <c r="QDN223" s="73"/>
      <c r="QDO223" s="73"/>
      <c r="QDP223" s="73"/>
      <c r="QDQ223" s="73"/>
      <c r="QDR223" s="73"/>
      <c r="QDS223" s="73"/>
      <c r="QDT223" s="73"/>
      <c r="QDU223" s="73"/>
      <c r="QDV223" s="73"/>
      <c r="QDW223" s="73"/>
      <c r="QDX223" s="73"/>
      <c r="QDY223" s="73"/>
      <c r="QDZ223" s="73"/>
      <c r="QEA223" s="73"/>
      <c r="QEB223" s="73"/>
      <c r="QEC223" s="73"/>
      <c r="QED223" s="73"/>
      <c r="QEE223" s="73"/>
      <c r="QEF223" s="73"/>
      <c r="QEG223" s="73"/>
      <c r="QEH223" s="73"/>
      <c r="QEI223" s="73"/>
      <c r="QEJ223" s="73"/>
      <c r="QEK223" s="73"/>
      <c r="QEL223" s="73"/>
      <c r="QEM223" s="73"/>
      <c r="QEN223" s="73"/>
      <c r="QEO223" s="73"/>
      <c r="QEP223" s="73"/>
      <c r="QEQ223" s="73"/>
      <c r="QER223" s="73"/>
      <c r="QES223" s="73"/>
      <c r="QET223" s="73"/>
      <c r="QEU223" s="73"/>
      <c r="QEV223" s="73"/>
      <c r="QEW223" s="73"/>
      <c r="QEX223" s="73"/>
      <c r="QEY223" s="73"/>
      <c r="QEZ223" s="73"/>
      <c r="QFA223" s="73"/>
      <c r="QFB223" s="73"/>
      <c r="QFC223" s="73"/>
      <c r="QFD223" s="73"/>
      <c r="QFE223" s="73"/>
      <c r="QFF223" s="73"/>
      <c r="QFG223" s="73"/>
      <c r="QFH223" s="73"/>
      <c r="QFI223" s="73"/>
      <c r="QFJ223" s="73"/>
      <c r="QFK223" s="73"/>
      <c r="QFL223" s="73"/>
      <c r="QFM223" s="73"/>
      <c r="QFN223" s="73"/>
      <c r="QFO223" s="73"/>
      <c r="QFP223" s="73"/>
      <c r="QFQ223" s="73"/>
      <c r="QFR223" s="73"/>
      <c r="QFS223" s="73"/>
      <c r="QFT223" s="73"/>
      <c r="QFU223" s="73"/>
      <c r="QFV223" s="73"/>
      <c r="QFW223" s="73"/>
      <c r="QFX223" s="73"/>
      <c r="QFY223" s="73"/>
      <c r="QFZ223" s="73"/>
      <c r="QGA223" s="73"/>
      <c r="QGB223" s="73"/>
      <c r="QGC223" s="73"/>
      <c r="QGD223" s="73"/>
      <c r="QGE223" s="73"/>
      <c r="QGF223" s="73"/>
      <c r="QGG223" s="73"/>
      <c r="QGH223" s="73"/>
      <c r="QGI223" s="73"/>
      <c r="QGJ223" s="73"/>
      <c r="QGK223" s="73"/>
      <c r="QGL223" s="73"/>
      <c r="QGM223" s="73"/>
      <c r="QGN223" s="73"/>
      <c r="QGO223" s="73"/>
      <c r="QGP223" s="73"/>
      <c r="QGQ223" s="73"/>
      <c r="QGR223" s="73"/>
      <c r="QGS223" s="73"/>
      <c r="QGT223" s="73"/>
      <c r="QGU223" s="73"/>
      <c r="QGV223" s="73"/>
      <c r="QGW223" s="73"/>
      <c r="QGX223" s="73"/>
      <c r="QGY223" s="73"/>
      <c r="QGZ223" s="73"/>
      <c r="QHA223" s="73"/>
      <c r="QHB223" s="73"/>
      <c r="QHC223" s="73"/>
      <c r="QHD223" s="73"/>
      <c r="QHE223" s="73"/>
      <c r="QHF223" s="73"/>
      <c r="QHG223" s="73"/>
      <c r="QHH223" s="73"/>
      <c r="QHI223" s="73"/>
      <c r="QHJ223" s="73"/>
      <c r="QHK223" s="73"/>
      <c r="QHL223" s="73"/>
      <c r="QHM223" s="73"/>
      <c r="QHN223" s="73"/>
      <c r="QHO223" s="73"/>
      <c r="QHP223" s="73"/>
      <c r="QHQ223" s="73"/>
      <c r="QHR223" s="73"/>
      <c r="QHS223" s="73"/>
      <c r="QHT223" s="73"/>
      <c r="QHU223" s="73"/>
      <c r="QHV223" s="73"/>
      <c r="QHW223" s="73"/>
      <c r="QHX223" s="73"/>
      <c r="QHY223" s="73"/>
      <c r="QHZ223" s="73"/>
      <c r="QIA223" s="73"/>
      <c r="QIB223" s="73"/>
      <c r="QIC223" s="73"/>
      <c r="QID223" s="73"/>
      <c r="QIE223" s="73"/>
      <c r="QIF223" s="73"/>
      <c r="QIG223" s="73"/>
      <c r="QIH223" s="73"/>
      <c r="QII223" s="73"/>
      <c r="QIJ223" s="73"/>
      <c r="QIK223" s="73"/>
      <c r="QIL223" s="73"/>
      <c r="QIM223" s="73"/>
      <c r="QIN223" s="73"/>
      <c r="QIO223" s="73"/>
      <c r="QIP223" s="73"/>
      <c r="QIQ223" s="73"/>
      <c r="QIR223" s="73"/>
      <c r="QIS223" s="73"/>
      <c r="QIT223" s="73"/>
      <c r="QIU223" s="73"/>
      <c r="QIV223" s="73"/>
      <c r="QIW223" s="73"/>
      <c r="QIX223" s="73"/>
      <c r="QIY223" s="73"/>
      <c r="QIZ223" s="73"/>
      <c r="QJA223" s="73"/>
      <c r="QJB223" s="73"/>
      <c r="QJC223" s="73"/>
      <c r="QJD223" s="73"/>
      <c r="QJE223" s="73"/>
      <c r="QJF223" s="73"/>
      <c r="QJG223" s="73"/>
      <c r="QJH223" s="73"/>
      <c r="QJI223" s="73"/>
      <c r="QJJ223" s="73"/>
      <c r="QJK223" s="73"/>
      <c r="QJL223" s="73"/>
      <c r="QJM223" s="73"/>
      <c r="QJN223" s="73"/>
      <c r="QJO223" s="73"/>
      <c r="QJP223" s="73"/>
      <c r="QJQ223" s="73"/>
      <c r="QJR223" s="73"/>
      <c r="QJS223" s="73"/>
      <c r="QJT223" s="73"/>
      <c r="QJU223" s="73"/>
      <c r="QJV223" s="73"/>
      <c r="QJW223" s="73"/>
      <c r="QJX223" s="73"/>
      <c r="QJY223" s="73"/>
      <c r="QJZ223" s="73"/>
      <c r="QKA223" s="73"/>
      <c r="QKB223" s="73"/>
      <c r="QKC223" s="73"/>
      <c r="QKD223" s="73"/>
      <c r="QKE223" s="73"/>
      <c r="QKF223" s="73"/>
      <c r="QKG223" s="73"/>
      <c r="QKH223" s="73"/>
      <c r="QKI223" s="73"/>
      <c r="QKJ223" s="73"/>
      <c r="QKK223" s="73"/>
      <c r="QKL223" s="73"/>
      <c r="QKM223" s="73"/>
      <c r="QKN223" s="73"/>
      <c r="QKO223" s="73"/>
      <c r="QKP223" s="73"/>
      <c r="QKQ223" s="73"/>
      <c r="QKR223" s="73"/>
      <c r="QKS223" s="73"/>
      <c r="QKT223" s="73"/>
      <c r="QKU223" s="73"/>
      <c r="QKV223" s="73"/>
      <c r="QKW223" s="73"/>
      <c r="QKX223" s="73"/>
      <c r="QKY223" s="73"/>
      <c r="QKZ223" s="73"/>
      <c r="QLA223" s="73"/>
      <c r="QLB223" s="73"/>
      <c r="QLC223" s="73"/>
      <c r="QLD223" s="73"/>
      <c r="QLE223" s="73"/>
      <c r="QLF223" s="73"/>
      <c r="QLG223" s="73"/>
      <c r="QLH223" s="73"/>
      <c r="QLI223" s="73"/>
      <c r="QLJ223" s="73"/>
      <c r="QLK223" s="73"/>
      <c r="QLL223" s="73"/>
      <c r="QLM223" s="73"/>
      <c r="QLN223" s="73"/>
      <c r="QLO223" s="73"/>
      <c r="QLP223" s="73"/>
      <c r="QLQ223" s="73"/>
      <c r="QLR223" s="73"/>
      <c r="QLS223" s="73"/>
      <c r="QLT223" s="73"/>
      <c r="QLU223" s="73"/>
      <c r="QLV223" s="73"/>
      <c r="QLW223" s="73"/>
      <c r="QLX223" s="73"/>
      <c r="QLY223" s="73"/>
      <c r="QLZ223" s="73"/>
      <c r="QMA223" s="73"/>
      <c r="QMB223" s="73"/>
      <c r="QMC223" s="73"/>
      <c r="QMD223" s="73"/>
      <c r="QME223" s="73"/>
      <c r="QMF223" s="73"/>
      <c r="QMG223" s="73"/>
      <c r="QMH223" s="73"/>
      <c r="QMI223" s="73"/>
      <c r="QMJ223" s="73"/>
      <c r="QMK223" s="73"/>
      <c r="QML223" s="73"/>
      <c r="QMM223" s="73"/>
      <c r="QMN223" s="73"/>
      <c r="QMO223" s="73"/>
      <c r="QMP223" s="73"/>
      <c r="QMQ223" s="73"/>
      <c r="QMR223" s="73"/>
      <c r="QMS223" s="73"/>
      <c r="QMT223" s="73"/>
      <c r="QMU223" s="73"/>
      <c r="QMV223" s="73"/>
      <c r="QMW223" s="73"/>
      <c r="QMX223" s="73"/>
      <c r="QMY223" s="73"/>
      <c r="QMZ223" s="73"/>
      <c r="QNA223" s="73"/>
      <c r="QNB223" s="73"/>
      <c r="QNC223" s="73"/>
      <c r="QND223" s="73"/>
      <c r="QNE223" s="73"/>
      <c r="QNF223" s="73"/>
      <c r="QNG223" s="73"/>
      <c r="QNH223" s="73"/>
      <c r="QNI223" s="73"/>
      <c r="QNJ223" s="73"/>
      <c r="QNK223" s="73"/>
      <c r="QNL223" s="73"/>
      <c r="QNM223" s="73"/>
      <c r="QNN223" s="73"/>
      <c r="QNO223" s="73"/>
      <c r="QNP223" s="73"/>
      <c r="QNQ223" s="73"/>
      <c r="QNR223" s="73"/>
      <c r="QNS223" s="73"/>
      <c r="QNT223" s="73"/>
      <c r="QNU223" s="73"/>
      <c r="QNV223" s="73"/>
      <c r="QNW223" s="73"/>
      <c r="QNX223" s="73"/>
      <c r="QNY223" s="73"/>
      <c r="QNZ223" s="73"/>
      <c r="QOA223" s="73"/>
      <c r="QOB223" s="73"/>
      <c r="QOC223" s="73"/>
      <c r="QOD223" s="73"/>
      <c r="QOE223" s="73"/>
      <c r="QOF223" s="73"/>
      <c r="QOG223" s="73"/>
      <c r="QOH223" s="73"/>
      <c r="QOI223" s="73"/>
      <c r="QOJ223" s="73"/>
      <c r="QOK223" s="73"/>
      <c r="QOL223" s="73"/>
      <c r="QOM223" s="73"/>
      <c r="QON223" s="73"/>
      <c r="QOO223" s="73"/>
      <c r="QOP223" s="73"/>
      <c r="QOQ223" s="73"/>
      <c r="QOR223" s="73"/>
      <c r="QOS223" s="73"/>
      <c r="QOT223" s="73"/>
      <c r="QOU223" s="73"/>
      <c r="QOV223" s="73"/>
      <c r="QOW223" s="73"/>
      <c r="QOX223" s="73"/>
      <c r="QOY223" s="73"/>
      <c r="QOZ223" s="73"/>
      <c r="QPA223" s="73"/>
      <c r="QPB223" s="73"/>
      <c r="QPC223" s="73"/>
      <c r="QPD223" s="73"/>
      <c r="QPE223" s="73"/>
      <c r="QPF223" s="73"/>
      <c r="QPG223" s="73"/>
      <c r="QPH223" s="73"/>
      <c r="QPI223" s="73"/>
      <c r="QPJ223" s="73"/>
      <c r="QPK223" s="73"/>
      <c r="QPL223" s="73"/>
      <c r="QPM223" s="73"/>
      <c r="QPN223" s="73"/>
      <c r="QPO223" s="73"/>
      <c r="QPP223" s="73"/>
      <c r="QPQ223" s="73"/>
      <c r="QPR223" s="73"/>
      <c r="QPS223" s="73"/>
      <c r="QPT223" s="73"/>
      <c r="QPU223" s="73"/>
      <c r="QPV223" s="73"/>
      <c r="QPW223" s="73"/>
      <c r="QPX223" s="73"/>
      <c r="QPY223" s="73"/>
      <c r="QPZ223" s="73"/>
      <c r="QQA223" s="73"/>
      <c r="QQB223" s="73"/>
      <c r="QQC223" s="73"/>
      <c r="QQD223" s="73"/>
      <c r="QQE223" s="73"/>
      <c r="QQF223" s="73"/>
      <c r="QQG223" s="73"/>
      <c r="QQH223" s="73"/>
      <c r="QQI223" s="73"/>
      <c r="QQJ223" s="73"/>
      <c r="QQK223" s="73"/>
      <c r="QQL223" s="73"/>
      <c r="QQM223" s="73"/>
      <c r="QQN223" s="73"/>
      <c r="QQO223" s="73"/>
      <c r="QQP223" s="73"/>
      <c r="QQQ223" s="73"/>
      <c r="QQR223" s="73"/>
      <c r="QQS223" s="73"/>
      <c r="QQT223" s="73"/>
      <c r="QQU223" s="73"/>
      <c r="QQV223" s="73"/>
      <c r="QQW223" s="73"/>
      <c r="QQX223" s="73"/>
      <c r="QQY223" s="73"/>
      <c r="QQZ223" s="73"/>
      <c r="QRA223" s="73"/>
      <c r="QRB223" s="73"/>
      <c r="QRC223" s="73"/>
      <c r="QRD223" s="73"/>
      <c r="QRE223" s="73"/>
      <c r="QRF223" s="73"/>
      <c r="QRG223" s="73"/>
      <c r="QRH223" s="73"/>
      <c r="QRI223" s="73"/>
      <c r="QRJ223" s="73"/>
      <c r="QRK223" s="73"/>
      <c r="QRL223" s="73"/>
      <c r="QRM223" s="73"/>
      <c r="QRN223" s="73"/>
      <c r="QRO223" s="73"/>
      <c r="QRP223" s="73"/>
      <c r="QRQ223" s="73"/>
      <c r="QRR223" s="73"/>
      <c r="QRS223" s="73"/>
      <c r="QRT223" s="73"/>
      <c r="QRU223" s="73"/>
      <c r="QRV223" s="73"/>
      <c r="QRW223" s="73"/>
      <c r="QRX223" s="73"/>
      <c r="QRY223" s="73"/>
      <c r="QRZ223" s="73"/>
      <c r="QSA223" s="73"/>
      <c r="QSB223" s="73"/>
      <c r="QSC223" s="73"/>
      <c r="QSD223" s="73"/>
      <c r="QSE223" s="73"/>
      <c r="QSF223" s="73"/>
      <c r="QSG223" s="73"/>
      <c r="QSH223" s="73"/>
      <c r="QSI223" s="73"/>
      <c r="QSJ223" s="73"/>
      <c r="QSK223" s="73"/>
      <c r="QSL223" s="73"/>
      <c r="QSM223" s="73"/>
      <c r="QSN223" s="73"/>
      <c r="QSO223" s="73"/>
      <c r="QSP223" s="73"/>
      <c r="QSQ223" s="73"/>
      <c r="QSR223" s="73"/>
      <c r="QSS223" s="73"/>
      <c r="QST223" s="73"/>
      <c r="QSU223" s="73"/>
      <c r="QSV223" s="73"/>
      <c r="QSW223" s="73"/>
      <c r="QSX223" s="73"/>
      <c r="QSY223" s="73"/>
      <c r="QSZ223" s="73"/>
      <c r="QTA223" s="73"/>
      <c r="QTB223" s="73"/>
      <c r="QTC223" s="73"/>
      <c r="QTD223" s="73"/>
      <c r="QTE223" s="73"/>
      <c r="QTF223" s="73"/>
      <c r="QTG223" s="73"/>
      <c r="QTH223" s="73"/>
      <c r="QTI223" s="73"/>
      <c r="QTJ223" s="73"/>
      <c r="QTK223" s="73"/>
      <c r="QTL223" s="73"/>
      <c r="QTM223" s="73"/>
      <c r="QTN223" s="73"/>
      <c r="QTO223" s="73"/>
      <c r="QTP223" s="73"/>
      <c r="QTQ223" s="73"/>
      <c r="QTR223" s="73"/>
      <c r="QTS223" s="73"/>
      <c r="QTT223" s="73"/>
      <c r="QTU223" s="73"/>
      <c r="QTV223" s="73"/>
      <c r="QTW223" s="73"/>
      <c r="QTX223" s="73"/>
      <c r="QTY223" s="73"/>
      <c r="QTZ223" s="73"/>
      <c r="QUA223" s="73"/>
      <c r="QUB223" s="73"/>
      <c r="QUC223" s="73"/>
      <c r="QUD223" s="73"/>
      <c r="QUE223" s="73"/>
      <c r="QUF223" s="73"/>
      <c r="QUG223" s="73"/>
      <c r="QUH223" s="73"/>
      <c r="QUI223" s="73"/>
      <c r="QUJ223" s="73"/>
      <c r="QUK223" s="73"/>
      <c r="QUL223" s="73"/>
      <c r="QUM223" s="73"/>
      <c r="QUN223" s="73"/>
      <c r="QUO223" s="73"/>
      <c r="QUP223" s="73"/>
      <c r="QUQ223" s="73"/>
      <c r="QUR223" s="73"/>
      <c r="QUS223" s="73"/>
      <c r="QUT223" s="73"/>
      <c r="QUU223" s="73"/>
      <c r="QUV223" s="73"/>
      <c r="QUW223" s="73"/>
      <c r="QUX223" s="73"/>
      <c r="QUY223" s="73"/>
      <c r="QUZ223" s="73"/>
      <c r="QVA223" s="73"/>
      <c r="QVB223" s="73"/>
      <c r="QVC223" s="73"/>
      <c r="QVD223" s="73"/>
      <c r="QVE223" s="73"/>
      <c r="QVF223" s="73"/>
      <c r="QVG223" s="73"/>
      <c r="QVH223" s="73"/>
      <c r="QVI223" s="73"/>
      <c r="QVJ223" s="73"/>
      <c r="QVK223" s="73"/>
      <c r="QVL223" s="73"/>
      <c r="QVM223" s="73"/>
      <c r="QVN223" s="73"/>
      <c r="QVO223" s="73"/>
      <c r="QVP223" s="73"/>
      <c r="QVQ223" s="73"/>
      <c r="QVR223" s="73"/>
      <c r="QVS223" s="73"/>
      <c r="QVT223" s="73"/>
      <c r="QVU223" s="73"/>
      <c r="QVV223" s="73"/>
      <c r="QVW223" s="73"/>
      <c r="QVX223" s="73"/>
      <c r="QVY223" s="73"/>
      <c r="QVZ223" s="73"/>
      <c r="QWA223" s="73"/>
      <c r="QWB223" s="73"/>
      <c r="QWC223" s="73"/>
      <c r="QWD223" s="73"/>
      <c r="QWE223" s="73"/>
      <c r="QWF223" s="73"/>
      <c r="QWG223" s="73"/>
      <c r="QWH223" s="73"/>
      <c r="QWI223" s="73"/>
      <c r="QWJ223" s="73"/>
      <c r="QWK223" s="73"/>
      <c r="QWL223" s="73"/>
      <c r="QWM223" s="73"/>
      <c r="QWN223" s="73"/>
      <c r="QWO223" s="73"/>
      <c r="QWP223" s="73"/>
      <c r="QWQ223" s="73"/>
      <c r="QWR223" s="73"/>
      <c r="QWS223" s="73"/>
      <c r="QWT223" s="73"/>
      <c r="QWU223" s="73"/>
      <c r="QWV223" s="73"/>
      <c r="QWW223" s="73"/>
      <c r="QWX223" s="73"/>
      <c r="QWY223" s="73"/>
      <c r="QWZ223" s="73"/>
      <c r="QXA223" s="73"/>
      <c r="QXB223" s="73"/>
      <c r="QXC223" s="73"/>
      <c r="QXD223" s="73"/>
      <c r="QXE223" s="73"/>
      <c r="QXF223" s="73"/>
      <c r="QXG223" s="73"/>
      <c r="QXH223" s="73"/>
      <c r="QXI223" s="73"/>
      <c r="QXJ223" s="73"/>
      <c r="QXK223" s="73"/>
      <c r="QXL223" s="73"/>
      <c r="QXM223" s="73"/>
      <c r="QXN223" s="73"/>
      <c r="QXO223" s="73"/>
      <c r="QXP223" s="73"/>
      <c r="QXQ223" s="73"/>
      <c r="QXR223" s="73"/>
      <c r="QXS223" s="73"/>
      <c r="QXT223" s="73"/>
      <c r="QXU223" s="73"/>
      <c r="QXV223" s="73"/>
      <c r="QXW223" s="73"/>
      <c r="QXX223" s="73"/>
      <c r="QXY223" s="73"/>
      <c r="QXZ223" s="73"/>
      <c r="QYA223" s="73"/>
      <c r="QYB223" s="73"/>
      <c r="QYC223" s="73"/>
      <c r="QYD223" s="73"/>
      <c r="QYE223" s="73"/>
      <c r="QYF223" s="73"/>
      <c r="QYG223" s="73"/>
      <c r="QYH223" s="73"/>
      <c r="QYI223" s="73"/>
      <c r="QYJ223" s="73"/>
      <c r="QYK223" s="73"/>
      <c r="QYL223" s="73"/>
      <c r="QYM223" s="73"/>
      <c r="QYN223" s="73"/>
      <c r="QYO223" s="73"/>
      <c r="QYP223" s="73"/>
      <c r="QYQ223" s="73"/>
      <c r="QYR223" s="73"/>
      <c r="QYS223" s="73"/>
      <c r="QYT223" s="73"/>
      <c r="QYU223" s="73"/>
      <c r="QYV223" s="73"/>
      <c r="QYW223" s="73"/>
      <c r="QYX223" s="73"/>
      <c r="QYY223" s="73"/>
      <c r="QYZ223" s="73"/>
      <c r="QZA223" s="73"/>
      <c r="QZB223" s="73"/>
      <c r="QZC223" s="73"/>
      <c r="QZD223" s="73"/>
      <c r="QZE223" s="73"/>
      <c r="QZF223" s="73"/>
      <c r="QZG223" s="73"/>
      <c r="QZH223" s="73"/>
      <c r="QZI223" s="73"/>
      <c r="QZJ223" s="73"/>
      <c r="QZK223" s="73"/>
      <c r="QZL223" s="73"/>
      <c r="QZM223" s="73"/>
      <c r="QZN223" s="73"/>
      <c r="QZO223" s="73"/>
      <c r="QZP223" s="73"/>
      <c r="QZQ223" s="73"/>
      <c r="QZR223" s="73"/>
      <c r="QZS223" s="73"/>
      <c r="QZT223" s="73"/>
      <c r="QZU223" s="73"/>
      <c r="QZV223" s="73"/>
      <c r="QZW223" s="73"/>
      <c r="QZX223" s="73"/>
      <c r="QZY223" s="73"/>
      <c r="QZZ223" s="73"/>
      <c r="RAA223" s="73"/>
      <c r="RAB223" s="73"/>
      <c r="RAC223" s="73"/>
      <c r="RAD223" s="73"/>
      <c r="RAE223" s="73"/>
      <c r="RAF223" s="73"/>
      <c r="RAG223" s="73"/>
      <c r="RAH223" s="73"/>
      <c r="RAI223" s="73"/>
      <c r="RAJ223" s="73"/>
      <c r="RAK223" s="73"/>
      <c r="RAL223" s="73"/>
      <c r="RAM223" s="73"/>
      <c r="RAN223" s="73"/>
      <c r="RAO223" s="73"/>
      <c r="RAP223" s="73"/>
      <c r="RAQ223" s="73"/>
      <c r="RAR223" s="73"/>
      <c r="RAS223" s="73"/>
      <c r="RAT223" s="73"/>
      <c r="RAU223" s="73"/>
      <c r="RAV223" s="73"/>
      <c r="RAW223" s="73"/>
      <c r="RAX223" s="73"/>
      <c r="RAY223" s="73"/>
      <c r="RAZ223" s="73"/>
      <c r="RBA223" s="73"/>
      <c r="RBB223" s="73"/>
      <c r="RBC223" s="73"/>
      <c r="RBD223" s="73"/>
      <c r="RBE223" s="73"/>
      <c r="RBF223" s="73"/>
      <c r="RBG223" s="73"/>
      <c r="RBH223" s="73"/>
      <c r="RBI223" s="73"/>
      <c r="RBJ223" s="73"/>
      <c r="RBK223" s="73"/>
      <c r="RBL223" s="73"/>
      <c r="RBM223" s="73"/>
      <c r="RBN223" s="73"/>
      <c r="RBO223" s="73"/>
      <c r="RBP223" s="73"/>
      <c r="RBQ223" s="73"/>
      <c r="RBR223" s="73"/>
      <c r="RBS223" s="73"/>
      <c r="RBT223" s="73"/>
      <c r="RBU223" s="73"/>
      <c r="RBV223" s="73"/>
      <c r="RBW223" s="73"/>
      <c r="RBX223" s="73"/>
      <c r="RBY223" s="73"/>
      <c r="RBZ223" s="73"/>
      <c r="RCA223" s="73"/>
      <c r="RCB223" s="73"/>
      <c r="RCC223" s="73"/>
      <c r="RCD223" s="73"/>
      <c r="RCE223" s="73"/>
      <c r="RCF223" s="73"/>
      <c r="RCG223" s="73"/>
      <c r="RCH223" s="73"/>
      <c r="RCI223" s="73"/>
      <c r="RCJ223" s="73"/>
      <c r="RCK223" s="73"/>
      <c r="RCL223" s="73"/>
      <c r="RCM223" s="73"/>
      <c r="RCN223" s="73"/>
      <c r="RCO223" s="73"/>
      <c r="RCP223" s="73"/>
      <c r="RCQ223" s="73"/>
      <c r="RCR223" s="73"/>
      <c r="RCS223" s="73"/>
      <c r="RCT223" s="73"/>
      <c r="RCU223" s="73"/>
      <c r="RCV223" s="73"/>
      <c r="RCW223" s="73"/>
      <c r="RCX223" s="73"/>
      <c r="RCY223" s="73"/>
      <c r="RCZ223" s="73"/>
      <c r="RDA223" s="73"/>
      <c r="RDB223" s="73"/>
      <c r="RDC223" s="73"/>
      <c r="RDD223" s="73"/>
      <c r="RDE223" s="73"/>
      <c r="RDF223" s="73"/>
      <c r="RDG223" s="73"/>
      <c r="RDH223" s="73"/>
      <c r="RDI223" s="73"/>
      <c r="RDJ223" s="73"/>
      <c r="RDK223" s="73"/>
      <c r="RDL223" s="73"/>
      <c r="RDM223" s="73"/>
      <c r="RDN223" s="73"/>
      <c r="RDO223" s="73"/>
      <c r="RDP223" s="73"/>
      <c r="RDQ223" s="73"/>
      <c r="RDR223" s="73"/>
      <c r="RDS223" s="73"/>
      <c r="RDT223" s="73"/>
      <c r="RDU223" s="73"/>
      <c r="RDV223" s="73"/>
      <c r="RDW223" s="73"/>
      <c r="RDX223" s="73"/>
      <c r="RDY223" s="73"/>
      <c r="RDZ223" s="73"/>
      <c r="REA223" s="73"/>
      <c r="REB223" s="73"/>
      <c r="REC223" s="73"/>
      <c r="RED223" s="73"/>
      <c r="REE223" s="73"/>
      <c r="REF223" s="73"/>
      <c r="REG223" s="73"/>
      <c r="REH223" s="73"/>
      <c r="REI223" s="73"/>
      <c r="REJ223" s="73"/>
      <c r="REK223" s="73"/>
      <c r="REL223" s="73"/>
      <c r="REM223" s="73"/>
      <c r="REN223" s="73"/>
      <c r="REO223" s="73"/>
      <c r="REP223" s="73"/>
      <c r="REQ223" s="73"/>
      <c r="RER223" s="73"/>
      <c r="RES223" s="73"/>
      <c r="RET223" s="73"/>
      <c r="REU223" s="73"/>
      <c r="REV223" s="73"/>
      <c r="REW223" s="73"/>
      <c r="REX223" s="73"/>
      <c r="REY223" s="73"/>
      <c r="REZ223" s="73"/>
      <c r="RFA223" s="73"/>
      <c r="RFB223" s="73"/>
      <c r="RFC223" s="73"/>
      <c r="RFD223" s="73"/>
      <c r="RFE223" s="73"/>
      <c r="RFF223" s="73"/>
      <c r="RFG223" s="73"/>
      <c r="RFH223" s="73"/>
      <c r="RFI223" s="73"/>
      <c r="RFJ223" s="73"/>
      <c r="RFK223" s="73"/>
      <c r="RFL223" s="73"/>
      <c r="RFM223" s="73"/>
      <c r="RFN223" s="73"/>
      <c r="RFO223" s="73"/>
      <c r="RFP223" s="73"/>
      <c r="RFQ223" s="73"/>
      <c r="RFR223" s="73"/>
      <c r="RFS223" s="73"/>
      <c r="RFT223" s="73"/>
      <c r="RFU223" s="73"/>
      <c r="RFV223" s="73"/>
      <c r="RFW223" s="73"/>
      <c r="RFX223" s="73"/>
      <c r="RFY223" s="73"/>
      <c r="RFZ223" s="73"/>
      <c r="RGA223" s="73"/>
      <c r="RGB223" s="73"/>
      <c r="RGC223" s="73"/>
      <c r="RGD223" s="73"/>
      <c r="RGE223" s="73"/>
      <c r="RGF223" s="73"/>
      <c r="RGG223" s="73"/>
      <c r="RGH223" s="73"/>
      <c r="RGI223" s="73"/>
      <c r="RGJ223" s="73"/>
      <c r="RGK223" s="73"/>
      <c r="RGL223" s="73"/>
      <c r="RGM223" s="73"/>
      <c r="RGN223" s="73"/>
      <c r="RGO223" s="73"/>
      <c r="RGP223" s="73"/>
      <c r="RGQ223" s="73"/>
      <c r="RGR223" s="73"/>
      <c r="RGS223" s="73"/>
      <c r="RGT223" s="73"/>
      <c r="RGU223" s="73"/>
      <c r="RGV223" s="73"/>
      <c r="RGW223" s="73"/>
      <c r="RGX223" s="73"/>
      <c r="RGY223" s="73"/>
      <c r="RGZ223" s="73"/>
      <c r="RHA223" s="73"/>
      <c r="RHB223" s="73"/>
      <c r="RHC223" s="73"/>
      <c r="RHD223" s="73"/>
      <c r="RHE223" s="73"/>
      <c r="RHF223" s="73"/>
      <c r="RHG223" s="73"/>
      <c r="RHH223" s="73"/>
      <c r="RHI223" s="73"/>
      <c r="RHJ223" s="73"/>
      <c r="RHK223" s="73"/>
      <c r="RHL223" s="73"/>
      <c r="RHM223" s="73"/>
      <c r="RHN223" s="73"/>
      <c r="RHO223" s="73"/>
      <c r="RHP223" s="73"/>
      <c r="RHQ223" s="73"/>
      <c r="RHR223" s="73"/>
      <c r="RHS223" s="73"/>
      <c r="RHT223" s="73"/>
      <c r="RHU223" s="73"/>
      <c r="RHV223" s="73"/>
      <c r="RHW223" s="73"/>
      <c r="RHX223" s="73"/>
      <c r="RHY223" s="73"/>
      <c r="RHZ223" s="73"/>
      <c r="RIA223" s="73"/>
      <c r="RIB223" s="73"/>
      <c r="RIC223" s="73"/>
      <c r="RID223" s="73"/>
      <c r="RIE223" s="73"/>
      <c r="RIF223" s="73"/>
      <c r="RIG223" s="73"/>
      <c r="RIH223" s="73"/>
      <c r="RII223" s="73"/>
      <c r="RIJ223" s="73"/>
      <c r="RIK223" s="73"/>
      <c r="RIL223" s="73"/>
      <c r="RIM223" s="73"/>
      <c r="RIN223" s="73"/>
      <c r="RIO223" s="73"/>
      <c r="RIP223" s="73"/>
      <c r="RIQ223" s="73"/>
      <c r="RIR223" s="73"/>
      <c r="RIS223" s="73"/>
      <c r="RIT223" s="73"/>
      <c r="RIU223" s="73"/>
      <c r="RIV223" s="73"/>
      <c r="RIW223" s="73"/>
      <c r="RIX223" s="73"/>
      <c r="RIY223" s="73"/>
      <c r="RIZ223" s="73"/>
      <c r="RJA223" s="73"/>
      <c r="RJB223" s="73"/>
      <c r="RJC223" s="73"/>
      <c r="RJD223" s="73"/>
      <c r="RJE223" s="73"/>
      <c r="RJF223" s="73"/>
      <c r="RJG223" s="73"/>
      <c r="RJH223" s="73"/>
      <c r="RJI223" s="73"/>
      <c r="RJJ223" s="73"/>
      <c r="RJK223" s="73"/>
      <c r="RJL223" s="73"/>
      <c r="RJM223" s="73"/>
      <c r="RJN223" s="73"/>
      <c r="RJO223" s="73"/>
      <c r="RJP223" s="73"/>
      <c r="RJQ223" s="73"/>
      <c r="RJR223" s="73"/>
      <c r="RJS223" s="73"/>
      <c r="RJT223" s="73"/>
      <c r="RJU223" s="73"/>
      <c r="RJV223" s="73"/>
      <c r="RJW223" s="73"/>
      <c r="RJX223" s="73"/>
      <c r="RJY223" s="73"/>
      <c r="RJZ223" s="73"/>
      <c r="RKA223" s="73"/>
      <c r="RKB223" s="73"/>
      <c r="RKC223" s="73"/>
      <c r="RKD223" s="73"/>
      <c r="RKE223" s="73"/>
      <c r="RKF223" s="73"/>
      <c r="RKG223" s="73"/>
      <c r="RKH223" s="73"/>
      <c r="RKI223" s="73"/>
      <c r="RKJ223" s="73"/>
      <c r="RKK223" s="73"/>
      <c r="RKL223" s="73"/>
      <c r="RKM223" s="73"/>
      <c r="RKN223" s="73"/>
      <c r="RKO223" s="73"/>
      <c r="RKP223" s="73"/>
      <c r="RKQ223" s="73"/>
      <c r="RKR223" s="73"/>
      <c r="RKS223" s="73"/>
      <c r="RKT223" s="73"/>
      <c r="RKU223" s="73"/>
      <c r="RKV223" s="73"/>
      <c r="RKW223" s="73"/>
      <c r="RKX223" s="73"/>
      <c r="RKY223" s="73"/>
      <c r="RKZ223" s="73"/>
      <c r="RLA223" s="73"/>
      <c r="RLB223" s="73"/>
      <c r="RLC223" s="73"/>
      <c r="RLD223" s="73"/>
      <c r="RLE223" s="73"/>
      <c r="RLF223" s="73"/>
      <c r="RLG223" s="73"/>
      <c r="RLH223" s="73"/>
      <c r="RLI223" s="73"/>
      <c r="RLJ223" s="73"/>
      <c r="RLK223" s="73"/>
      <c r="RLL223" s="73"/>
      <c r="RLM223" s="73"/>
      <c r="RLN223" s="73"/>
      <c r="RLO223" s="73"/>
      <c r="RLP223" s="73"/>
      <c r="RLQ223" s="73"/>
      <c r="RLR223" s="73"/>
      <c r="RLS223" s="73"/>
      <c r="RLT223" s="73"/>
      <c r="RLU223" s="73"/>
      <c r="RLV223" s="73"/>
      <c r="RLW223" s="73"/>
      <c r="RLX223" s="73"/>
      <c r="RLY223" s="73"/>
      <c r="RLZ223" s="73"/>
      <c r="RMA223" s="73"/>
      <c r="RMB223" s="73"/>
      <c r="RMC223" s="73"/>
      <c r="RMD223" s="73"/>
      <c r="RME223" s="73"/>
      <c r="RMF223" s="73"/>
      <c r="RMG223" s="73"/>
      <c r="RMH223" s="73"/>
      <c r="RMI223" s="73"/>
      <c r="RMJ223" s="73"/>
      <c r="RMK223" s="73"/>
      <c r="RML223" s="73"/>
      <c r="RMM223" s="73"/>
      <c r="RMN223" s="73"/>
      <c r="RMO223" s="73"/>
      <c r="RMP223" s="73"/>
      <c r="RMQ223" s="73"/>
      <c r="RMR223" s="73"/>
      <c r="RMS223" s="73"/>
      <c r="RMT223" s="73"/>
      <c r="RMU223" s="73"/>
      <c r="RMV223" s="73"/>
      <c r="RMW223" s="73"/>
      <c r="RMX223" s="73"/>
      <c r="RMY223" s="73"/>
      <c r="RMZ223" s="73"/>
      <c r="RNA223" s="73"/>
      <c r="RNB223" s="73"/>
      <c r="RNC223" s="73"/>
      <c r="RND223" s="73"/>
      <c r="RNE223" s="73"/>
      <c r="RNF223" s="73"/>
      <c r="RNG223" s="73"/>
      <c r="RNH223" s="73"/>
      <c r="RNI223" s="73"/>
      <c r="RNJ223" s="73"/>
      <c r="RNK223" s="73"/>
      <c r="RNL223" s="73"/>
      <c r="RNM223" s="73"/>
      <c r="RNN223" s="73"/>
      <c r="RNO223" s="73"/>
      <c r="RNP223" s="73"/>
      <c r="RNQ223" s="73"/>
      <c r="RNR223" s="73"/>
      <c r="RNS223" s="73"/>
      <c r="RNT223" s="73"/>
      <c r="RNU223" s="73"/>
      <c r="RNV223" s="73"/>
      <c r="RNW223" s="73"/>
      <c r="RNX223" s="73"/>
      <c r="RNY223" s="73"/>
      <c r="RNZ223" s="73"/>
      <c r="ROA223" s="73"/>
      <c r="ROB223" s="73"/>
      <c r="ROC223" s="73"/>
      <c r="ROD223" s="73"/>
      <c r="ROE223" s="73"/>
      <c r="ROF223" s="73"/>
      <c r="ROG223" s="73"/>
      <c r="ROH223" s="73"/>
      <c r="ROI223" s="73"/>
      <c r="ROJ223" s="73"/>
      <c r="ROK223" s="73"/>
      <c r="ROL223" s="73"/>
      <c r="ROM223" s="73"/>
      <c r="RON223" s="73"/>
      <c r="ROO223" s="73"/>
      <c r="ROP223" s="73"/>
      <c r="ROQ223" s="73"/>
      <c r="ROR223" s="73"/>
      <c r="ROS223" s="73"/>
      <c r="ROT223" s="73"/>
      <c r="ROU223" s="73"/>
      <c r="ROV223" s="73"/>
      <c r="ROW223" s="73"/>
      <c r="ROX223" s="73"/>
      <c r="ROY223" s="73"/>
      <c r="ROZ223" s="73"/>
      <c r="RPA223" s="73"/>
      <c r="RPB223" s="73"/>
      <c r="RPC223" s="73"/>
      <c r="RPD223" s="73"/>
      <c r="RPE223" s="73"/>
      <c r="RPF223" s="73"/>
      <c r="RPG223" s="73"/>
      <c r="RPH223" s="73"/>
      <c r="RPI223" s="73"/>
      <c r="RPJ223" s="73"/>
      <c r="RPK223" s="73"/>
      <c r="RPL223" s="73"/>
      <c r="RPM223" s="73"/>
      <c r="RPN223" s="73"/>
      <c r="RPO223" s="73"/>
      <c r="RPP223" s="73"/>
      <c r="RPQ223" s="73"/>
      <c r="RPR223" s="73"/>
      <c r="RPS223" s="73"/>
      <c r="RPT223" s="73"/>
      <c r="RPU223" s="73"/>
      <c r="RPV223" s="73"/>
      <c r="RPW223" s="73"/>
      <c r="RPX223" s="73"/>
      <c r="RPY223" s="73"/>
      <c r="RPZ223" s="73"/>
      <c r="RQA223" s="73"/>
      <c r="RQB223" s="73"/>
      <c r="RQC223" s="73"/>
      <c r="RQD223" s="73"/>
      <c r="RQE223" s="73"/>
      <c r="RQF223" s="73"/>
      <c r="RQG223" s="73"/>
      <c r="RQH223" s="73"/>
      <c r="RQI223" s="73"/>
      <c r="RQJ223" s="73"/>
      <c r="RQK223" s="73"/>
      <c r="RQL223" s="73"/>
      <c r="RQM223" s="73"/>
      <c r="RQN223" s="73"/>
      <c r="RQO223" s="73"/>
      <c r="RQP223" s="73"/>
      <c r="RQQ223" s="73"/>
      <c r="RQR223" s="73"/>
      <c r="RQS223" s="73"/>
      <c r="RQT223" s="73"/>
      <c r="RQU223" s="73"/>
      <c r="RQV223" s="73"/>
      <c r="RQW223" s="73"/>
      <c r="RQX223" s="73"/>
      <c r="RQY223" s="73"/>
      <c r="RQZ223" s="73"/>
      <c r="RRA223" s="73"/>
      <c r="RRB223" s="73"/>
      <c r="RRC223" s="73"/>
      <c r="RRD223" s="73"/>
      <c r="RRE223" s="73"/>
      <c r="RRF223" s="73"/>
      <c r="RRG223" s="73"/>
      <c r="RRH223" s="73"/>
      <c r="RRI223" s="73"/>
      <c r="RRJ223" s="73"/>
      <c r="RRK223" s="73"/>
      <c r="RRL223" s="73"/>
      <c r="RRM223" s="73"/>
      <c r="RRN223" s="73"/>
      <c r="RRO223" s="73"/>
      <c r="RRP223" s="73"/>
      <c r="RRQ223" s="73"/>
      <c r="RRR223" s="73"/>
      <c r="RRS223" s="73"/>
      <c r="RRT223" s="73"/>
      <c r="RRU223" s="73"/>
      <c r="RRV223" s="73"/>
      <c r="RRW223" s="73"/>
      <c r="RRX223" s="73"/>
      <c r="RRY223" s="73"/>
      <c r="RRZ223" s="73"/>
      <c r="RSA223" s="73"/>
      <c r="RSB223" s="73"/>
      <c r="RSC223" s="73"/>
      <c r="RSD223" s="73"/>
      <c r="RSE223" s="73"/>
      <c r="RSF223" s="73"/>
      <c r="RSG223" s="73"/>
      <c r="RSH223" s="73"/>
      <c r="RSI223" s="73"/>
      <c r="RSJ223" s="73"/>
      <c r="RSK223" s="73"/>
      <c r="RSL223" s="73"/>
      <c r="RSM223" s="73"/>
      <c r="RSN223" s="73"/>
      <c r="RSO223" s="73"/>
      <c r="RSP223" s="73"/>
      <c r="RSQ223" s="73"/>
      <c r="RSR223" s="73"/>
      <c r="RSS223" s="73"/>
      <c r="RST223" s="73"/>
      <c r="RSU223" s="73"/>
      <c r="RSV223" s="73"/>
      <c r="RSW223" s="73"/>
      <c r="RSX223" s="73"/>
      <c r="RSY223" s="73"/>
      <c r="RSZ223" s="73"/>
      <c r="RTA223" s="73"/>
      <c r="RTB223" s="73"/>
      <c r="RTC223" s="73"/>
      <c r="RTD223" s="73"/>
      <c r="RTE223" s="73"/>
      <c r="RTF223" s="73"/>
      <c r="RTG223" s="73"/>
      <c r="RTH223" s="73"/>
      <c r="RTI223" s="73"/>
      <c r="RTJ223" s="73"/>
      <c r="RTK223" s="73"/>
      <c r="RTL223" s="73"/>
      <c r="RTM223" s="73"/>
      <c r="RTN223" s="73"/>
      <c r="RTO223" s="73"/>
      <c r="RTP223" s="73"/>
      <c r="RTQ223" s="73"/>
      <c r="RTR223" s="73"/>
      <c r="RTS223" s="73"/>
      <c r="RTT223" s="73"/>
      <c r="RTU223" s="73"/>
      <c r="RTV223" s="73"/>
      <c r="RTW223" s="73"/>
      <c r="RTX223" s="73"/>
      <c r="RTY223" s="73"/>
      <c r="RTZ223" s="73"/>
      <c r="RUA223" s="73"/>
      <c r="RUB223" s="73"/>
      <c r="RUC223" s="73"/>
      <c r="RUD223" s="73"/>
      <c r="RUE223" s="73"/>
      <c r="RUF223" s="73"/>
      <c r="RUG223" s="73"/>
      <c r="RUH223" s="73"/>
      <c r="RUI223" s="73"/>
      <c r="RUJ223" s="73"/>
      <c r="RUK223" s="73"/>
      <c r="RUL223" s="73"/>
      <c r="RUM223" s="73"/>
      <c r="RUN223" s="73"/>
      <c r="RUO223" s="73"/>
      <c r="RUP223" s="73"/>
      <c r="RUQ223" s="73"/>
      <c r="RUR223" s="73"/>
      <c r="RUS223" s="73"/>
      <c r="RUT223" s="73"/>
      <c r="RUU223" s="73"/>
      <c r="RUV223" s="73"/>
      <c r="RUW223" s="73"/>
      <c r="RUX223" s="73"/>
      <c r="RUY223" s="73"/>
      <c r="RUZ223" s="73"/>
      <c r="RVA223" s="73"/>
      <c r="RVB223" s="73"/>
      <c r="RVC223" s="73"/>
      <c r="RVD223" s="73"/>
      <c r="RVE223" s="73"/>
      <c r="RVF223" s="73"/>
      <c r="RVG223" s="73"/>
      <c r="RVH223" s="73"/>
      <c r="RVI223" s="73"/>
      <c r="RVJ223" s="73"/>
      <c r="RVK223" s="73"/>
      <c r="RVL223" s="73"/>
      <c r="RVM223" s="73"/>
      <c r="RVN223" s="73"/>
      <c r="RVO223" s="73"/>
      <c r="RVP223" s="73"/>
      <c r="RVQ223" s="73"/>
      <c r="RVR223" s="73"/>
      <c r="RVS223" s="73"/>
      <c r="RVT223" s="73"/>
      <c r="RVU223" s="73"/>
      <c r="RVV223" s="73"/>
      <c r="RVW223" s="73"/>
      <c r="RVX223" s="73"/>
      <c r="RVY223" s="73"/>
      <c r="RVZ223" s="73"/>
      <c r="RWA223" s="73"/>
      <c r="RWB223" s="73"/>
      <c r="RWC223" s="73"/>
      <c r="RWD223" s="73"/>
      <c r="RWE223" s="73"/>
      <c r="RWF223" s="73"/>
      <c r="RWG223" s="73"/>
      <c r="RWH223" s="73"/>
      <c r="RWI223" s="73"/>
      <c r="RWJ223" s="73"/>
      <c r="RWK223" s="73"/>
      <c r="RWL223" s="73"/>
      <c r="RWM223" s="73"/>
      <c r="RWN223" s="73"/>
      <c r="RWO223" s="73"/>
      <c r="RWP223" s="73"/>
      <c r="RWQ223" s="73"/>
      <c r="RWR223" s="73"/>
      <c r="RWS223" s="73"/>
      <c r="RWT223" s="73"/>
      <c r="RWU223" s="73"/>
      <c r="RWV223" s="73"/>
      <c r="RWW223" s="73"/>
      <c r="RWX223" s="73"/>
      <c r="RWY223" s="73"/>
      <c r="RWZ223" s="73"/>
      <c r="RXA223" s="73"/>
      <c r="RXB223" s="73"/>
      <c r="RXC223" s="73"/>
      <c r="RXD223" s="73"/>
      <c r="RXE223" s="73"/>
      <c r="RXF223" s="73"/>
      <c r="RXG223" s="73"/>
      <c r="RXH223" s="73"/>
      <c r="RXI223" s="73"/>
      <c r="RXJ223" s="73"/>
      <c r="RXK223" s="73"/>
      <c r="RXL223" s="73"/>
      <c r="RXM223" s="73"/>
      <c r="RXN223" s="73"/>
      <c r="RXO223" s="73"/>
      <c r="RXP223" s="73"/>
      <c r="RXQ223" s="73"/>
      <c r="RXR223" s="73"/>
      <c r="RXS223" s="73"/>
      <c r="RXT223" s="73"/>
      <c r="RXU223" s="73"/>
      <c r="RXV223" s="73"/>
      <c r="RXW223" s="73"/>
      <c r="RXX223" s="73"/>
      <c r="RXY223" s="73"/>
      <c r="RXZ223" s="73"/>
      <c r="RYA223" s="73"/>
      <c r="RYB223" s="73"/>
      <c r="RYC223" s="73"/>
      <c r="RYD223" s="73"/>
      <c r="RYE223" s="73"/>
      <c r="RYF223" s="73"/>
      <c r="RYG223" s="73"/>
      <c r="RYH223" s="73"/>
      <c r="RYI223" s="73"/>
      <c r="RYJ223" s="73"/>
      <c r="RYK223" s="73"/>
      <c r="RYL223" s="73"/>
      <c r="RYM223" s="73"/>
      <c r="RYN223" s="73"/>
      <c r="RYO223" s="73"/>
      <c r="RYP223" s="73"/>
      <c r="RYQ223" s="73"/>
      <c r="RYR223" s="73"/>
      <c r="RYS223" s="73"/>
      <c r="RYT223" s="73"/>
      <c r="RYU223" s="73"/>
      <c r="RYV223" s="73"/>
      <c r="RYW223" s="73"/>
      <c r="RYX223" s="73"/>
      <c r="RYY223" s="73"/>
      <c r="RYZ223" s="73"/>
      <c r="RZA223" s="73"/>
      <c r="RZB223" s="73"/>
      <c r="RZC223" s="73"/>
      <c r="RZD223" s="73"/>
      <c r="RZE223" s="73"/>
      <c r="RZF223" s="73"/>
      <c r="RZG223" s="73"/>
      <c r="RZH223" s="73"/>
      <c r="RZI223" s="73"/>
      <c r="RZJ223" s="73"/>
      <c r="RZK223" s="73"/>
      <c r="RZL223" s="73"/>
      <c r="RZM223" s="73"/>
      <c r="RZN223" s="73"/>
      <c r="RZO223" s="73"/>
      <c r="RZP223" s="73"/>
      <c r="RZQ223" s="73"/>
      <c r="RZR223" s="73"/>
      <c r="RZS223" s="73"/>
      <c r="RZT223" s="73"/>
      <c r="RZU223" s="73"/>
      <c r="RZV223" s="73"/>
      <c r="RZW223" s="73"/>
      <c r="RZX223" s="73"/>
      <c r="RZY223" s="73"/>
      <c r="RZZ223" s="73"/>
      <c r="SAA223" s="73"/>
      <c r="SAB223" s="73"/>
      <c r="SAC223" s="73"/>
      <c r="SAD223" s="73"/>
      <c r="SAE223" s="73"/>
      <c r="SAF223" s="73"/>
      <c r="SAG223" s="73"/>
      <c r="SAH223" s="73"/>
      <c r="SAI223" s="73"/>
      <c r="SAJ223" s="73"/>
      <c r="SAK223" s="73"/>
      <c r="SAL223" s="73"/>
      <c r="SAM223" s="73"/>
      <c r="SAN223" s="73"/>
      <c r="SAO223" s="73"/>
      <c r="SAP223" s="73"/>
      <c r="SAQ223" s="73"/>
      <c r="SAR223" s="73"/>
      <c r="SAS223" s="73"/>
      <c r="SAT223" s="73"/>
      <c r="SAU223" s="73"/>
      <c r="SAV223" s="73"/>
      <c r="SAW223" s="73"/>
      <c r="SAX223" s="73"/>
      <c r="SAY223" s="73"/>
      <c r="SAZ223" s="73"/>
      <c r="SBA223" s="73"/>
      <c r="SBB223" s="73"/>
      <c r="SBC223" s="73"/>
      <c r="SBD223" s="73"/>
      <c r="SBE223" s="73"/>
      <c r="SBF223" s="73"/>
      <c r="SBG223" s="73"/>
      <c r="SBH223" s="73"/>
      <c r="SBI223" s="73"/>
      <c r="SBJ223" s="73"/>
      <c r="SBK223" s="73"/>
      <c r="SBL223" s="73"/>
      <c r="SBM223" s="73"/>
      <c r="SBN223" s="73"/>
      <c r="SBO223" s="73"/>
      <c r="SBP223" s="73"/>
      <c r="SBQ223" s="73"/>
      <c r="SBR223" s="73"/>
      <c r="SBS223" s="73"/>
      <c r="SBT223" s="73"/>
      <c r="SBU223" s="73"/>
      <c r="SBV223" s="73"/>
      <c r="SBW223" s="73"/>
      <c r="SBX223" s="73"/>
      <c r="SBY223" s="73"/>
      <c r="SBZ223" s="73"/>
      <c r="SCA223" s="73"/>
      <c r="SCB223" s="73"/>
      <c r="SCC223" s="73"/>
      <c r="SCD223" s="73"/>
      <c r="SCE223" s="73"/>
      <c r="SCF223" s="73"/>
      <c r="SCG223" s="73"/>
      <c r="SCH223" s="73"/>
      <c r="SCI223" s="73"/>
      <c r="SCJ223" s="73"/>
      <c r="SCK223" s="73"/>
      <c r="SCL223" s="73"/>
      <c r="SCM223" s="73"/>
      <c r="SCN223" s="73"/>
      <c r="SCO223" s="73"/>
      <c r="SCP223" s="73"/>
      <c r="SCQ223" s="73"/>
      <c r="SCR223" s="73"/>
      <c r="SCS223" s="73"/>
      <c r="SCT223" s="73"/>
      <c r="SCU223" s="73"/>
      <c r="SCV223" s="73"/>
      <c r="SCW223" s="73"/>
      <c r="SCX223" s="73"/>
      <c r="SCY223" s="73"/>
      <c r="SCZ223" s="73"/>
      <c r="SDA223" s="73"/>
      <c r="SDB223" s="73"/>
      <c r="SDC223" s="73"/>
      <c r="SDD223" s="73"/>
      <c r="SDE223" s="73"/>
      <c r="SDF223" s="73"/>
      <c r="SDG223" s="73"/>
      <c r="SDH223" s="73"/>
      <c r="SDI223" s="73"/>
      <c r="SDJ223" s="73"/>
      <c r="SDK223" s="73"/>
      <c r="SDL223" s="73"/>
      <c r="SDM223" s="73"/>
      <c r="SDN223" s="73"/>
      <c r="SDO223" s="73"/>
      <c r="SDP223" s="73"/>
      <c r="SDQ223" s="73"/>
      <c r="SDR223" s="73"/>
      <c r="SDS223" s="73"/>
      <c r="SDT223" s="73"/>
      <c r="SDU223" s="73"/>
      <c r="SDV223" s="73"/>
      <c r="SDW223" s="73"/>
      <c r="SDX223" s="73"/>
      <c r="SDY223" s="73"/>
      <c r="SDZ223" s="73"/>
      <c r="SEA223" s="73"/>
      <c r="SEB223" s="73"/>
      <c r="SEC223" s="73"/>
      <c r="SED223" s="73"/>
      <c r="SEE223" s="73"/>
      <c r="SEF223" s="73"/>
      <c r="SEG223" s="73"/>
      <c r="SEH223" s="73"/>
      <c r="SEI223" s="73"/>
      <c r="SEJ223" s="73"/>
      <c r="SEK223" s="73"/>
      <c r="SEL223" s="73"/>
      <c r="SEM223" s="73"/>
      <c r="SEN223" s="73"/>
      <c r="SEO223" s="73"/>
      <c r="SEP223" s="73"/>
      <c r="SEQ223" s="73"/>
      <c r="SER223" s="73"/>
      <c r="SES223" s="73"/>
      <c r="SET223" s="73"/>
      <c r="SEU223" s="73"/>
      <c r="SEV223" s="73"/>
      <c r="SEW223" s="73"/>
      <c r="SEX223" s="73"/>
      <c r="SEY223" s="73"/>
      <c r="SEZ223" s="73"/>
      <c r="SFA223" s="73"/>
      <c r="SFB223" s="73"/>
      <c r="SFC223" s="73"/>
      <c r="SFD223" s="73"/>
      <c r="SFE223" s="73"/>
      <c r="SFF223" s="73"/>
      <c r="SFG223" s="73"/>
      <c r="SFH223" s="73"/>
      <c r="SFI223" s="73"/>
      <c r="SFJ223" s="73"/>
      <c r="SFK223" s="73"/>
      <c r="SFL223" s="73"/>
      <c r="SFM223" s="73"/>
      <c r="SFN223" s="73"/>
      <c r="SFO223" s="73"/>
      <c r="SFP223" s="73"/>
      <c r="SFQ223" s="73"/>
      <c r="SFR223" s="73"/>
      <c r="SFS223" s="73"/>
      <c r="SFT223" s="73"/>
      <c r="SFU223" s="73"/>
      <c r="SFV223" s="73"/>
      <c r="SFW223" s="73"/>
      <c r="SFX223" s="73"/>
      <c r="SFY223" s="73"/>
      <c r="SFZ223" s="73"/>
      <c r="SGA223" s="73"/>
      <c r="SGB223" s="73"/>
      <c r="SGC223" s="73"/>
      <c r="SGD223" s="73"/>
      <c r="SGE223" s="73"/>
      <c r="SGF223" s="73"/>
      <c r="SGG223" s="73"/>
      <c r="SGH223" s="73"/>
      <c r="SGI223" s="73"/>
      <c r="SGJ223" s="73"/>
      <c r="SGK223" s="73"/>
      <c r="SGL223" s="73"/>
      <c r="SGM223" s="73"/>
      <c r="SGN223" s="73"/>
      <c r="SGO223" s="73"/>
      <c r="SGP223" s="73"/>
      <c r="SGQ223" s="73"/>
      <c r="SGR223" s="73"/>
      <c r="SGS223" s="73"/>
      <c r="SGT223" s="73"/>
      <c r="SGU223" s="73"/>
      <c r="SGV223" s="73"/>
      <c r="SGW223" s="73"/>
      <c r="SGX223" s="73"/>
      <c r="SGY223" s="73"/>
      <c r="SGZ223" s="73"/>
      <c r="SHA223" s="73"/>
      <c r="SHB223" s="73"/>
      <c r="SHC223" s="73"/>
      <c r="SHD223" s="73"/>
      <c r="SHE223" s="73"/>
      <c r="SHF223" s="73"/>
      <c r="SHG223" s="73"/>
      <c r="SHH223" s="73"/>
      <c r="SHI223" s="73"/>
      <c r="SHJ223" s="73"/>
      <c r="SHK223" s="73"/>
      <c r="SHL223" s="73"/>
      <c r="SHM223" s="73"/>
      <c r="SHN223" s="73"/>
      <c r="SHO223" s="73"/>
      <c r="SHP223" s="73"/>
      <c r="SHQ223" s="73"/>
      <c r="SHR223" s="73"/>
      <c r="SHS223" s="73"/>
      <c r="SHT223" s="73"/>
      <c r="SHU223" s="73"/>
      <c r="SHV223" s="73"/>
      <c r="SHW223" s="73"/>
      <c r="SHX223" s="73"/>
      <c r="SHY223" s="73"/>
      <c r="SHZ223" s="73"/>
      <c r="SIA223" s="73"/>
      <c r="SIB223" s="73"/>
      <c r="SIC223" s="73"/>
      <c r="SID223" s="73"/>
      <c r="SIE223" s="73"/>
      <c r="SIF223" s="73"/>
      <c r="SIG223" s="73"/>
      <c r="SIH223" s="73"/>
      <c r="SII223" s="73"/>
      <c r="SIJ223" s="73"/>
      <c r="SIK223" s="73"/>
      <c r="SIL223" s="73"/>
      <c r="SIM223" s="73"/>
      <c r="SIN223" s="73"/>
      <c r="SIO223" s="73"/>
      <c r="SIP223" s="73"/>
      <c r="SIQ223" s="73"/>
      <c r="SIR223" s="73"/>
      <c r="SIS223" s="73"/>
      <c r="SIT223" s="73"/>
      <c r="SIU223" s="73"/>
      <c r="SIV223" s="73"/>
      <c r="SIW223" s="73"/>
      <c r="SIX223" s="73"/>
      <c r="SIY223" s="73"/>
      <c r="SIZ223" s="73"/>
      <c r="SJA223" s="73"/>
      <c r="SJB223" s="73"/>
      <c r="SJC223" s="73"/>
      <c r="SJD223" s="73"/>
      <c r="SJE223" s="73"/>
      <c r="SJF223" s="73"/>
      <c r="SJG223" s="73"/>
      <c r="SJH223" s="73"/>
      <c r="SJI223" s="73"/>
      <c r="SJJ223" s="73"/>
      <c r="SJK223" s="73"/>
      <c r="SJL223" s="73"/>
      <c r="SJM223" s="73"/>
      <c r="SJN223" s="73"/>
      <c r="SJO223" s="73"/>
      <c r="SJP223" s="73"/>
      <c r="SJQ223" s="73"/>
      <c r="SJR223" s="73"/>
      <c r="SJS223" s="73"/>
      <c r="SJT223" s="73"/>
      <c r="SJU223" s="73"/>
      <c r="SJV223" s="73"/>
      <c r="SJW223" s="73"/>
      <c r="SJX223" s="73"/>
      <c r="SJY223" s="73"/>
      <c r="SJZ223" s="73"/>
      <c r="SKA223" s="73"/>
      <c r="SKB223" s="73"/>
      <c r="SKC223" s="73"/>
      <c r="SKD223" s="73"/>
      <c r="SKE223" s="73"/>
      <c r="SKF223" s="73"/>
      <c r="SKG223" s="73"/>
      <c r="SKH223" s="73"/>
      <c r="SKI223" s="73"/>
      <c r="SKJ223" s="73"/>
      <c r="SKK223" s="73"/>
      <c r="SKL223" s="73"/>
      <c r="SKM223" s="73"/>
      <c r="SKN223" s="73"/>
      <c r="SKO223" s="73"/>
      <c r="SKP223" s="73"/>
      <c r="SKQ223" s="73"/>
      <c r="SKR223" s="73"/>
      <c r="SKS223" s="73"/>
      <c r="SKT223" s="73"/>
      <c r="SKU223" s="73"/>
      <c r="SKV223" s="73"/>
      <c r="SKW223" s="73"/>
      <c r="SKX223" s="73"/>
      <c r="SKY223" s="73"/>
      <c r="SKZ223" s="73"/>
      <c r="SLA223" s="73"/>
      <c r="SLB223" s="73"/>
      <c r="SLC223" s="73"/>
      <c r="SLD223" s="73"/>
      <c r="SLE223" s="73"/>
      <c r="SLF223" s="73"/>
      <c r="SLG223" s="73"/>
      <c r="SLH223" s="73"/>
      <c r="SLI223" s="73"/>
      <c r="SLJ223" s="73"/>
      <c r="SLK223" s="73"/>
      <c r="SLL223" s="73"/>
      <c r="SLM223" s="73"/>
      <c r="SLN223" s="73"/>
      <c r="SLO223" s="73"/>
      <c r="SLP223" s="73"/>
      <c r="SLQ223" s="73"/>
      <c r="SLR223" s="73"/>
      <c r="SLS223" s="73"/>
      <c r="SLT223" s="73"/>
      <c r="SLU223" s="73"/>
      <c r="SLV223" s="73"/>
      <c r="SLW223" s="73"/>
      <c r="SLX223" s="73"/>
      <c r="SLY223" s="73"/>
      <c r="SLZ223" s="73"/>
      <c r="SMA223" s="73"/>
      <c r="SMB223" s="73"/>
      <c r="SMC223" s="73"/>
      <c r="SMD223" s="73"/>
      <c r="SME223" s="73"/>
      <c r="SMF223" s="73"/>
      <c r="SMG223" s="73"/>
      <c r="SMH223" s="73"/>
      <c r="SMI223" s="73"/>
      <c r="SMJ223" s="73"/>
      <c r="SMK223" s="73"/>
      <c r="SML223" s="73"/>
      <c r="SMM223" s="73"/>
      <c r="SMN223" s="73"/>
      <c r="SMO223" s="73"/>
      <c r="SMP223" s="73"/>
      <c r="SMQ223" s="73"/>
      <c r="SMR223" s="73"/>
      <c r="SMS223" s="73"/>
      <c r="SMT223" s="73"/>
      <c r="SMU223" s="73"/>
      <c r="SMV223" s="73"/>
      <c r="SMW223" s="73"/>
      <c r="SMX223" s="73"/>
      <c r="SMY223" s="73"/>
      <c r="SMZ223" s="73"/>
      <c r="SNA223" s="73"/>
      <c r="SNB223" s="73"/>
      <c r="SNC223" s="73"/>
      <c r="SND223" s="73"/>
      <c r="SNE223" s="73"/>
      <c r="SNF223" s="73"/>
      <c r="SNG223" s="73"/>
      <c r="SNH223" s="73"/>
      <c r="SNI223" s="73"/>
      <c r="SNJ223" s="73"/>
      <c r="SNK223" s="73"/>
      <c r="SNL223" s="73"/>
      <c r="SNM223" s="73"/>
      <c r="SNN223" s="73"/>
      <c r="SNO223" s="73"/>
      <c r="SNP223" s="73"/>
      <c r="SNQ223" s="73"/>
      <c r="SNR223" s="73"/>
      <c r="SNS223" s="73"/>
      <c r="SNT223" s="73"/>
      <c r="SNU223" s="73"/>
      <c r="SNV223" s="73"/>
      <c r="SNW223" s="73"/>
      <c r="SNX223" s="73"/>
      <c r="SNY223" s="73"/>
      <c r="SNZ223" s="73"/>
      <c r="SOA223" s="73"/>
      <c r="SOB223" s="73"/>
      <c r="SOC223" s="73"/>
      <c r="SOD223" s="73"/>
      <c r="SOE223" s="73"/>
      <c r="SOF223" s="73"/>
      <c r="SOG223" s="73"/>
      <c r="SOH223" s="73"/>
      <c r="SOI223" s="73"/>
      <c r="SOJ223" s="73"/>
      <c r="SOK223" s="73"/>
      <c r="SOL223" s="73"/>
      <c r="SOM223" s="73"/>
      <c r="SON223" s="73"/>
      <c r="SOO223" s="73"/>
      <c r="SOP223" s="73"/>
      <c r="SOQ223" s="73"/>
      <c r="SOR223" s="73"/>
      <c r="SOS223" s="73"/>
      <c r="SOT223" s="73"/>
      <c r="SOU223" s="73"/>
      <c r="SOV223" s="73"/>
      <c r="SOW223" s="73"/>
      <c r="SOX223" s="73"/>
      <c r="SOY223" s="73"/>
      <c r="SOZ223" s="73"/>
      <c r="SPA223" s="73"/>
      <c r="SPB223" s="73"/>
      <c r="SPC223" s="73"/>
      <c r="SPD223" s="73"/>
      <c r="SPE223" s="73"/>
      <c r="SPF223" s="73"/>
      <c r="SPG223" s="73"/>
      <c r="SPH223" s="73"/>
      <c r="SPI223" s="73"/>
      <c r="SPJ223" s="73"/>
      <c r="SPK223" s="73"/>
      <c r="SPL223" s="73"/>
      <c r="SPM223" s="73"/>
      <c r="SPN223" s="73"/>
      <c r="SPO223" s="73"/>
      <c r="SPP223" s="73"/>
      <c r="SPQ223" s="73"/>
      <c r="SPR223" s="73"/>
      <c r="SPS223" s="73"/>
      <c r="SPT223" s="73"/>
      <c r="SPU223" s="73"/>
      <c r="SPV223" s="73"/>
      <c r="SPW223" s="73"/>
      <c r="SPX223" s="73"/>
      <c r="SPY223" s="73"/>
      <c r="SPZ223" s="73"/>
      <c r="SQA223" s="73"/>
      <c r="SQB223" s="73"/>
      <c r="SQC223" s="73"/>
      <c r="SQD223" s="73"/>
      <c r="SQE223" s="73"/>
      <c r="SQF223" s="73"/>
      <c r="SQG223" s="73"/>
      <c r="SQH223" s="73"/>
      <c r="SQI223" s="73"/>
      <c r="SQJ223" s="73"/>
      <c r="SQK223" s="73"/>
      <c r="SQL223" s="73"/>
      <c r="SQM223" s="73"/>
      <c r="SQN223" s="73"/>
      <c r="SQO223" s="73"/>
      <c r="SQP223" s="73"/>
      <c r="SQQ223" s="73"/>
      <c r="SQR223" s="73"/>
      <c r="SQS223" s="73"/>
      <c r="SQT223" s="73"/>
      <c r="SQU223" s="73"/>
      <c r="SQV223" s="73"/>
      <c r="SQW223" s="73"/>
      <c r="SQX223" s="73"/>
      <c r="SQY223" s="73"/>
      <c r="SQZ223" s="73"/>
      <c r="SRA223" s="73"/>
      <c r="SRB223" s="73"/>
      <c r="SRC223" s="73"/>
      <c r="SRD223" s="73"/>
      <c r="SRE223" s="73"/>
      <c r="SRF223" s="73"/>
      <c r="SRG223" s="73"/>
      <c r="SRH223" s="73"/>
      <c r="SRI223" s="73"/>
      <c r="SRJ223" s="73"/>
      <c r="SRK223" s="73"/>
      <c r="SRL223" s="73"/>
      <c r="SRM223" s="73"/>
      <c r="SRN223" s="73"/>
      <c r="SRO223" s="73"/>
      <c r="SRP223" s="73"/>
      <c r="SRQ223" s="73"/>
      <c r="SRR223" s="73"/>
      <c r="SRS223" s="73"/>
      <c r="SRT223" s="73"/>
      <c r="SRU223" s="73"/>
      <c r="SRV223" s="73"/>
      <c r="SRW223" s="73"/>
      <c r="SRX223" s="73"/>
      <c r="SRY223" s="73"/>
      <c r="SRZ223" s="73"/>
      <c r="SSA223" s="73"/>
      <c r="SSB223" s="73"/>
      <c r="SSC223" s="73"/>
      <c r="SSD223" s="73"/>
      <c r="SSE223" s="73"/>
      <c r="SSF223" s="73"/>
      <c r="SSG223" s="73"/>
      <c r="SSH223" s="73"/>
      <c r="SSI223" s="73"/>
      <c r="SSJ223" s="73"/>
      <c r="SSK223" s="73"/>
      <c r="SSL223" s="73"/>
      <c r="SSM223" s="73"/>
      <c r="SSN223" s="73"/>
      <c r="SSO223" s="73"/>
      <c r="SSP223" s="73"/>
      <c r="SSQ223" s="73"/>
      <c r="SSR223" s="73"/>
      <c r="SSS223" s="73"/>
      <c r="SST223" s="73"/>
      <c r="SSU223" s="73"/>
      <c r="SSV223" s="73"/>
      <c r="SSW223" s="73"/>
      <c r="SSX223" s="73"/>
      <c r="SSY223" s="73"/>
      <c r="SSZ223" s="73"/>
      <c r="STA223" s="73"/>
      <c r="STB223" s="73"/>
      <c r="STC223" s="73"/>
      <c r="STD223" s="73"/>
      <c r="STE223" s="73"/>
      <c r="STF223" s="73"/>
      <c r="STG223" s="73"/>
      <c r="STH223" s="73"/>
      <c r="STI223" s="73"/>
      <c r="STJ223" s="73"/>
      <c r="STK223" s="73"/>
      <c r="STL223" s="73"/>
      <c r="STM223" s="73"/>
      <c r="STN223" s="73"/>
      <c r="STO223" s="73"/>
      <c r="STP223" s="73"/>
      <c r="STQ223" s="73"/>
      <c r="STR223" s="73"/>
      <c r="STS223" s="73"/>
      <c r="STT223" s="73"/>
      <c r="STU223" s="73"/>
      <c r="STV223" s="73"/>
      <c r="STW223" s="73"/>
      <c r="STX223" s="73"/>
      <c r="STY223" s="73"/>
      <c r="STZ223" s="73"/>
      <c r="SUA223" s="73"/>
      <c r="SUB223" s="73"/>
      <c r="SUC223" s="73"/>
      <c r="SUD223" s="73"/>
      <c r="SUE223" s="73"/>
      <c r="SUF223" s="73"/>
      <c r="SUG223" s="73"/>
      <c r="SUH223" s="73"/>
      <c r="SUI223" s="73"/>
      <c r="SUJ223" s="73"/>
      <c r="SUK223" s="73"/>
      <c r="SUL223" s="73"/>
      <c r="SUM223" s="73"/>
      <c r="SUN223" s="73"/>
      <c r="SUO223" s="73"/>
      <c r="SUP223" s="73"/>
      <c r="SUQ223" s="73"/>
      <c r="SUR223" s="73"/>
      <c r="SUS223" s="73"/>
      <c r="SUT223" s="73"/>
      <c r="SUU223" s="73"/>
      <c r="SUV223" s="73"/>
      <c r="SUW223" s="73"/>
      <c r="SUX223" s="73"/>
      <c r="SUY223" s="73"/>
      <c r="SUZ223" s="73"/>
      <c r="SVA223" s="73"/>
      <c r="SVB223" s="73"/>
      <c r="SVC223" s="73"/>
      <c r="SVD223" s="73"/>
      <c r="SVE223" s="73"/>
      <c r="SVF223" s="73"/>
      <c r="SVG223" s="73"/>
      <c r="SVH223" s="73"/>
      <c r="SVI223" s="73"/>
      <c r="SVJ223" s="73"/>
      <c r="SVK223" s="73"/>
      <c r="SVL223" s="73"/>
      <c r="SVM223" s="73"/>
      <c r="SVN223" s="73"/>
      <c r="SVO223" s="73"/>
      <c r="SVP223" s="73"/>
      <c r="SVQ223" s="73"/>
      <c r="SVR223" s="73"/>
      <c r="SVS223" s="73"/>
      <c r="SVT223" s="73"/>
      <c r="SVU223" s="73"/>
      <c r="SVV223" s="73"/>
      <c r="SVW223" s="73"/>
      <c r="SVX223" s="73"/>
      <c r="SVY223" s="73"/>
      <c r="SVZ223" s="73"/>
      <c r="SWA223" s="73"/>
      <c r="SWB223" s="73"/>
      <c r="SWC223" s="73"/>
      <c r="SWD223" s="73"/>
      <c r="SWE223" s="73"/>
      <c r="SWF223" s="73"/>
      <c r="SWG223" s="73"/>
      <c r="SWH223" s="73"/>
      <c r="SWI223" s="73"/>
      <c r="SWJ223" s="73"/>
      <c r="SWK223" s="73"/>
      <c r="SWL223" s="73"/>
      <c r="SWM223" s="73"/>
      <c r="SWN223" s="73"/>
      <c r="SWO223" s="73"/>
      <c r="SWP223" s="73"/>
      <c r="SWQ223" s="73"/>
      <c r="SWR223" s="73"/>
      <c r="SWS223" s="73"/>
      <c r="SWT223" s="73"/>
      <c r="SWU223" s="73"/>
      <c r="SWV223" s="73"/>
      <c r="SWW223" s="73"/>
      <c r="SWX223" s="73"/>
      <c r="SWY223" s="73"/>
      <c r="SWZ223" s="73"/>
      <c r="SXA223" s="73"/>
      <c r="SXB223" s="73"/>
      <c r="SXC223" s="73"/>
      <c r="SXD223" s="73"/>
      <c r="SXE223" s="73"/>
      <c r="SXF223" s="73"/>
      <c r="SXG223" s="73"/>
      <c r="SXH223" s="73"/>
      <c r="SXI223" s="73"/>
      <c r="SXJ223" s="73"/>
      <c r="SXK223" s="73"/>
      <c r="SXL223" s="73"/>
      <c r="SXM223" s="73"/>
      <c r="SXN223" s="73"/>
      <c r="SXO223" s="73"/>
      <c r="SXP223" s="73"/>
      <c r="SXQ223" s="73"/>
      <c r="SXR223" s="73"/>
      <c r="SXS223" s="73"/>
      <c r="SXT223" s="73"/>
      <c r="SXU223" s="73"/>
      <c r="SXV223" s="73"/>
      <c r="SXW223" s="73"/>
      <c r="SXX223" s="73"/>
      <c r="SXY223" s="73"/>
      <c r="SXZ223" s="73"/>
      <c r="SYA223" s="73"/>
      <c r="SYB223" s="73"/>
      <c r="SYC223" s="73"/>
      <c r="SYD223" s="73"/>
      <c r="SYE223" s="73"/>
      <c r="SYF223" s="73"/>
      <c r="SYG223" s="73"/>
      <c r="SYH223" s="73"/>
      <c r="SYI223" s="73"/>
      <c r="SYJ223" s="73"/>
      <c r="SYK223" s="73"/>
      <c r="SYL223" s="73"/>
      <c r="SYM223" s="73"/>
      <c r="SYN223" s="73"/>
      <c r="SYO223" s="73"/>
      <c r="SYP223" s="73"/>
      <c r="SYQ223" s="73"/>
      <c r="SYR223" s="73"/>
      <c r="SYS223" s="73"/>
      <c r="SYT223" s="73"/>
      <c r="SYU223" s="73"/>
      <c r="SYV223" s="73"/>
      <c r="SYW223" s="73"/>
      <c r="SYX223" s="73"/>
      <c r="SYY223" s="73"/>
      <c r="SYZ223" s="73"/>
      <c r="SZA223" s="73"/>
      <c r="SZB223" s="73"/>
      <c r="SZC223" s="73"/>
      <c r="SZD223" s="73"/>
      <c r="SZE223" s="73"/>
      <c r="SZF223" s="73"/>
      <c r="SZG223" s="73"/>
      <c r="SZH223" s="73"/>
      <c r="SZI223" s="73"/>
      <c r="SZJ223" s="73"/>
      <c r="SZK223" s="73"/>
      <c r="SZL223" s="73"/>
      <c r="SZM223" s="73"/>
      <c r="SZN223" s="73"/>
      <c r="SZO223" s="73"/>
      <c r="SZP223" s="73"/>
      <c r="SZQ223" s="73"/>
      <c r="SZR223" s="73"/>
      <c r="SZS223" s="73"/>
      <c r="SZT223" s="73"/>
      <c r="SZU223" s="73"/>
      <c r="SZV223" s="73"/>
      <c r="SZW223" s="73"/>
      <c r="SZX223" s="73"/>
      <c r="SZY223" s="73"/>
      <c r="SZZ223" s="73"/>
      <c r="TAA223" s="73"/>
      <c r="TAB223" s="73"/>
      <c r="TAC223" s="73"/>
      <c r="TAD223" s="73"/>
      <c r="TAE223" s="73"/>
      <c r="TAF223" s="73"/>
      <c r="TAG223" s="73"/>
      <c r="TAH223" s="73"/>
      <c r="TAI223" s="73"/>
      <c r="TAJ223" s="73"/>
      <c r="TAK223" s="73"/>
      <c r="TAL223" s="73"/>
      <c r="TAM223" s="73"/>
      <c r="TAN223" s="73"/>
      <c r="TAO223" s="73"/>
      <c r="TAP223" s="73"/>
      <c r="TAQ223" s="73"/>
      <c r="TAR223" s="73"/>
      <c r="TAS223" s="73"/>
      <c r="TAT223" s="73"/>
      <c r="TAU223" s="73"/>
      <c r="TAV223" s="73"/>
      <c r="TAW223" s="73"/>
      <c r="TAX223" s="73"/>
      <c r="TAY223" s="73"/>
      <c r="TAZ223" s="73"/>
      <c r="TBA223" s="73"/>
      <c r="TBB223" s="73"/>
      <c r="TBC223" s="73"/>
      <c r="TBD223" s="73"/>
      <c r="TBE223" s="73"/>
      <c r="TBF223" s="73"/>
      <c r="TBG223" s="73"/>
      <c r="TBH223" s="73"/>
      <c r="TBI223" s="73"/>
      <c r="TBJ223" s="73"/>
      <c r="TBK223" s="73"/>
      <c r="TBL223" s="73"/>
      <c r="TBM223" s="73"/>
      <c r="TBN223" s="73"/>
      <c r="TBO223" s="73"/>
      <c r="TBP223" s="73"/>
      <c r="TBQ223" s="73"/>
      <c r="TBR223" s="73"/>
      <c r="TBS223" s="73"/>
      <c r="TBT223" s="73"/>
      <c r="TBU223" s="73"/>
      <c r="TBV223" s="73"/>
      <c r="TBW223" s="73"/>
      <c r="TBX223" s="73"/>
      <c r="TBY223" s="73"/>
      <c r="TBZ223" s="73"/>
      <c r="TCA223" s="73"/>
      <c r="TCB223" s="73"/>
      <c r="TCC223" s="73"/>
      <c r="TCD223" s="73"/>
      <c r="TCE223" s="73"/>
      <c r="TCF223" s="73"/>
      <c r="TCG223" s="73"/>
      <c r="TCH223" s="73"/>
      <c r="TCI223" s="73"/>
      <c r="TCJ223" s="73"/>
      <c r="TCK223" s="73"/>
      <c r="TCL223" s="73"/>
      <c r="TCM223" s="73"/>
      <c r="TCN223" s="73"/>
      <c r="TCO223" s="73"/>
      <c r="TCP223" s="73"/>
      <c r="TCQ223" s="73"/>
      <c r="TCR223" s="73"/>
      <c r="TCS223" s="73"/>
      <c r="TCT223" s="73"/>
      <c r="TCU223" s="73"/>
      <c r="TCV223" s="73"/>
      <c r="TCW223" s="73"/>
      <c r="TCX223" s="73"/>
      <c r="TCY223" s="73"/>
      <c r="TCZ223" s="73"/>
      <c r="TDA223" s="73"/>
      <c r="TDB223" s="73"/>
      <c r="TDC223" s="73"/>
      <c r="TDD223" s="73"/>
      <c r="TDE223" s="73"/>
      <c r="TDF223" s="73"/>
      <c r="TDG223" s="73"/>
      <c r="TDH223" s="73"/>
      <c r="TDI223" s="73"/>
      <c r="TDJ223" s="73"/>
      <c r="TDK223" s="73"/>
      <c r="TDL223" s="73"/>
      <c r="TDM223" s="73"/>
      <c r="TDN223" s="73"/>
      <c r="TDO223" s="73"/>
      <c r="TDP223" s="73"/>
      <c r="TDQ223" s="73"/>
      <c r="TDR223" s="73"/>
      <c r="TDS223" s="73"/>
      <c r="TDT223" s="73"/>
      <c r="TDU223" s="73"/>
      <c r="TDV223" s="73"/>
      <c r="TDW223" s="73"/>
      <c r="TDX223" s="73"/>
      <c r="TDY223" s="73"/>
      <c r="TDZ223" s="73"/>
      <c r="TEA223" s="73"/>
      <c r="TEB223" s="73"/>
      <c r="TEC223" s="73"/>
      <c r="TED223" s="73"/>
      <c r="TEE223" s="73"/>
      <c r="TEF223" s="73"/>
      <c r="TEG223" s="73"/>
      <c r="TEH223" s="73"/>
      <c r="TEI223" s="73"/>
      <c r="TEJ223" s="73"/>
      <c r="TEK223" s="73"/>
      <c r="TEL223" s="73"/>
      <c r="TEM223" s="73"/>
      <c r="TEN223" s="73"/>
      <c r="TEO223" s="73"/>
      <c r="TEP223" s="73"/>
      <c r="TEQ223" s="73"/>
      <c r="TER223" s="73"/>
      <c r="TES223" s="73"/>
      <c r="TET223" s="73"/>
      <c r="TEU223" s="73"/>
      <c r="TEV223" s="73"/>
      <c r="TEW223" s="73"/>
      <c r="TEX223" s="73"/>
      <c r="TEY223" s="73"/>
      <c r="TEZ223" s="73"/>
      <c r="TFA223" s="73"/>
      <c r="TFB223" s="73"/>
      <c r="TFC223" s="73"/>
      <c r="TFD223" s="73"/>
      <c r="TFE223" s="73"/>
      <c r="TFF223" s="73"/>
      <c r="TFG223" s="73"/>
      <c r="TFH223" s="73"/>
      <c r="TFI223" s="73"/>
      <c r="TFJ223" s="73"/>
      <c r="TFK223" s="73"/>
      <c r="TFL223" s="73"/>
      <c r="TFM223" s="73"/>
      <c r="TFN223" s="73"/>
      <c r="TFO223" s="73"/>
      <c r="TFP223" s="73"/>
      <c r="TFQ223" s="73"/>
      <c r="TFR223" s="73"/>
      <c r="TFS223" s="73"/>
      <c r="TFT223" s="73"/>
      <c r="TFU223" s="73"/>
      <c r="TFV223" s="73"/>
      <c r="TFW223" s="73"/>
      <c r="TFX223" s="73"/>
      <c r="TFY223" s="73"/>
      <c r="TFZ223" s="73"/>
      <c r="TGA223" s="73"/>
      <c r="TGB223" s="73"/>
      <c r="TGC223" s="73"/>
      <c r="TGD223" s="73"/>
      <c r="TGE223" s="73"/>
      <c r="TGF223" s="73"/>
      <c r="TGG223" s="73"/>
      <c r="TGH223" s="73"/>
      <c r="TGI223" s="73"/>
      <c r="TGJ223" s="73"/>
      <c r="TGK223" s="73"/>
      <c r="TGL223" s="73"/>
      <c r="TGM223" s="73"/>
      <c r="TGN223" s="73"/>
      <c r="TGO223" s="73"/>
      <c r="TGP223" s="73"/>
      <c r="TGQ223" s="73"/>
      <c r="TGR223" s="73"/>
      <c r="TGS223" s="73"/>
      <c r="TGT223" s="73"/>
      <c r="TGU223" s="73"/>
      <c r="TGV223" s="73"/>
      <c r="TGW223" s="73"/>
      <c r="TGX223" s="73"/>
      <c r="TGY223" s="73"/>
      <c r="TGZ223" s="73"/>
      <c r="THA223" s="73"/>
      <c r="THB223" s="73"/>
      <c r="THC223" s="73"/>
      <c r="THD223" s="73"/>
      <c r="THE223" s="73"/>
      <c r="THF223" s="73"/>
      <c r="THG223" s="73"/>
      <c r="THH223" s="73"/>
      <c r="THI223" s="73"/>
      <c r="THJ223" s="73"/>
      <c r="THK223" s="73"/>
      <c r="THL223" s="73"/>
      <c r="THM223" s="73"/>
      <c r="THN223" s="73"/>
      <c r="THO223" s="73"/>
      <c r="THP223" s="73"/>
      <c r="THQ223" s="73"/>
      <c r="THR223" s="73"/>
      <c r="THS223" s="73"/>
      <c r="THT223" s="73"/>
      <c r="THU223" s="73"/>
      <c r="THV223" s="73"/>
      <c r="THW223" s="73"/>
      <c r="THX223" s="73"/>
      <c r="THY223" s="73"/>
      <c r="THZ223" s="73"/>
      <c r="TIA223" s="73"/>
      <c r="TIB223" s="73"/>
      <c r="TIC223" s="73"/>
      <c r="TID223" s="73"/>
      <c r="TIE223" s="73"/>
      <c r="TIF223" s="73"/>
      <c r="TIG223" s="73"/>
      <c r="TIH223" s="73"/>
      <c r="TII223" s="73"/>
      <c r="TIJ223" s="73"/>
      <c r="TIK223" s="73"/>
      <c r="TIL223" s="73"/>
      <c r="TIM223" s="73"/>
      <c r="TIN223" s="73"/>
      <c r="TIO223" s="73"/>
      <c r="TIP223" s="73"/>
      <c r="TIQ223" s="73"/>
      <c r="TIR223" s="73"/>
      <c r="TIS223" s="73"/>
      <c r="TIT223" s="73"/>
      <c r="TIU223" s="73"/>
      <c r="TIV223" s="73"/>
      <c r="TIW223" s="73"/>
      <c r="TIX223" s="73"/>
      <c r="TIY223" s="73"/>
      <c r="TIZ223" s="73"/>
      <c r="TJA223" s="73"/>
      <c r="TJB223" s="73"/>
      <c r="TJC223" s="73"/>
      <c r="TJD223" s="73"/>
      <c r="TJE223" s="73"/>
      <c r="TJF223" s="73"/>
      <c r="TJG223" s="73"/>
      <c r="TJH223" s="73"/>
      <c r="TJI223" s="73"/>
      <c r="TJJ223" s="73"/>
      <c r="TJK223" s="73"/>
      <c r="TJL223" s="73"/>
      <c r="TJM223" s="73"/>
      <c r="TJN223" s="73"/>
      <c r="TJO223" s="73"/>
      <c r="TJP223" s="73"/>
      <c r="TJQ223" s="73"/>
      <c r="TJR223" s="73"/>
      <c r="TJS223" s="73"/>
      <c r="TJT223" s="73"/>
      <c r="TJU223" s="73"/>
      <c r="TJV223" s="73"/>
      <c r="TJW223" s="73"/>
      <c r="TJX223" s="73"/>
      <c r="TJY223" s="73"/>
      <c r="TJZ223" s="73"/>
      <c r="TKA223" s="73"/>
      <c r="TKB223" s="73"/>
      <c r="TKC223" s="73"/>
      <c r="TKD223" s="73"/>
      <c r="TKE223" s="73"/>
      <c r="TKF223" s="73"/>
      <c r="TKG223" s="73"/>
      <c r="TKH223" s="73"/>
      <c r="TKI223" s="73"/>
      <c r="TKJ223" s="73"/>
      <c r="TKK223" s="73"/>
      <c r="TKL223" s="73"/>
      <c r="TKM223" s="73"/>
      <c r="TKN223" s="73"/>
      <c r="TKO223" s="73"/>
      <c r="TKP223" s="73"/>
      <c r="TKQ223" s="73"/>
      <c r="TKR223" s="73"/>
      <c r="TKS223" s="73"/>
      <c r="TKT223" s="73"/>
      <c r="TKU223" s="73"/>
      <c r="TKV223" s="73"/>
      <c r="TKW223" s="73"/>
      <c r="TKX223" s="73"/>
      <c r="TKY223" s="73"/>
      <c r="TKZ223" s="73"/>
      <c r="TLA223" s="73"/>
      <c r="TLB223" s="73"/>
      <c r="TLC223" s="73"/>
      <c r="TLD223" s="73"/>
      <c r="TLE223" s="73"/>
      <c r="TLF223" s="73"/>
      <c r="TLG223" s="73"/>
      <c r="TLH223" s="73"/>
      <c r="TLI223" s="73"/>
      <c r="TLJ223" s="73"/>
      <c r="TLK223" s="73"/>
      <c r="TLL223" s="73"/>
      <c r="TLM223" s="73"/>
      <c r="TLN223" s="73"/>
      <c r="TLO223" s="73"/>
      <c r="TLP223" s="73"/>
      <c r="TLQ223" s="73"/>
      <c r="TLR223" s="73"/>
      <c r="TLS223" s="73"/>
      <c r="TLT223" s="73"/>
      <c r="TLU223" s="73"/>
      <c r="TLV223" s="73"/>
      <c r="TLW223" s="73"/>
      <c r="TLX223" s="73"/>
      <c r="TLY223" s="73"/>
      <c r="TLZ223" s="73"/>
      <c r="TMA223" s="73"/>
      <c r="TMB223" s="73"/>
      <c r="TMC223" s="73"/>
      <c r="TMD223" s="73"/>
      <c r="TME223" s="73"/>
      <c r="TMF223" s="73"/>
      <c r="TMG223" s="73"/>
      <c r="TMH223" s="73"/>
      <c r="TMI223" s="73"/>
      <c r="TMJ223" s="73"/>
      <c r="TMK223" s="73"/>
      <c r="TML223" s="73"/>
      <c r="TMM223" s="73"/>
      <c r="TMN223" s="73"/>
      <c r="TMO223" s="73"/>
      <c r="TMP223" s="73"/>
      <c r="TMQ223" s="73"/>
      <c r="TMR223" s="73"/>
      <c r="TMS223" s="73"/>
      <c r="TMT223" s="73"/>
      <c r="TMU223" s="73"/>
      <c r="TMV223" s="73"/>
      <c r="TMW223" s="73"/>
      <c r="TMX223" s="73"/>
      <c r="TMY223" s="73"/>
      <c r="TMZ223" s="73"/>
      <c r="TNA223" s="73"/>
      <c r="TNB223" s="73"/>
      <c r="TNC223" s="73"/>
      <c r="TND223" s="73"/>
      <c r="TNE223" s="73"/>
      <c r="TNF223" s="73"/>
      <c r="TNG223" s="73"/>
      <c r="TNH223" s="73"/>
      <c r="TNI223" s="73"/>
      <c r="TNJ223" s="73"/>
      <c r="TNK223" s="73"/>
      <c r="TNL223" s="73"/>
      <c r="TNM223" s="73"/>
      <c r="TNN223" s="73"/>
      <c r="TNO223" s="73"/>
      <c r="TNP223" s="73"/>
      <c r="TNQ223" s="73"/>
      <c r="TNR223" s="73"/>
      <c r="TNS223" s="73"/>
      <c r="TNT223" s="73"/>
      <c r="TNU223" s="73"/>
      <c r="TNV223" s="73"/>
      <c r="TNW223" s="73"/>
      <c r="TNX223" s="73"/>
      <c r="TNY223" s="73"/>
      <c r="TNZ223" s="73"/>
      <c r="TOA223" s="73"/>
      <c r="TOB223" s="73"/>
      <c r="TOC223" s="73"/>
      <c r="TOD223" s="73"/>
      <c r="TOE223" s="73"/>
      <c r="TOF223" s="73"/>
      <c r="TOG223" s="73"/>
      <c r="TOH223" s="73"/>
      <c r="TOI223" s="73"/>
      <c r="TOJ223" s="73"/>
      <c r="TOK223" s="73"/>
      <c r="TOL223" s="73"/>
      <c r="TOM223" s="73"/>
      <c r="TON223" s="73"/>
      <c r="TOO223" s="73"/>
      <c r="TOP223" s="73"/>
      <c r="TOQ223" s="73"/>
      <c r="TOR223" s="73"/>
      <c r="TOS223" s="73"/>
      <c r="TOT223" s="73"/>
      <c r="TOU223" s="73"/>
      <c r="TOV223" s="73"/>
      <c r="TOW223" s="73"/>
      <c r="TOX223" s="73"/>
      <c r="TOY223" s="73"/>
      <c r="TOZ223" s="73"/>
      <c r="TPA223" s="73"/>
      <c r="TPB223" s="73"/>
      <c r="TPC223" s="73"/>
      <c r="TPD223" s="73"/>
      <c r="TPE223" s="73"/>
      <c r="TPF223" s="73"/>
      <c r="TPG223" s="73"/>
      <c r="TPH223" s="73"/>
      <c r="TPI223" s="73"/>
      <c r="TPJ223" s="73"/>
      <c r="TPK223" s="73"/>
      <c r="TPL223" s="73"/>
      <c r="TPM223" s="73"/>
      <c r="TPN223" s="73"/>
      <c r="TPO223" s="73"/>
      <c r="TPP223" s="73"/>
      <c r="TPQ223" s="73"/>
      <c r="TPR223" s="73"/>
      <c r="TPS223" s="73"/>
      <c r="TPT223" s="73"/>
      <c r="TPU223" s="73"/>
      <c r="TPV223" s="73"/>
      <c r="TPW223" s="73"/>
      <c r="TPX223" s="73"/>
      <c r="TPY223" s="73"/>
      <c r="TPZ223" s="73"/>
      <c r="TQA223" s="73"/>
      <c r="TQB223" s="73"/>
      <c r="TQC223" s="73"/>
      <c r="TQD223" s="73"/>
      <c r="TQE223" s="73"/>
      <c r="TQF223" s="73"/>
      <c r="TQG223" s="73"/>
      <c r="TQH223" s="73"/>
      <c r="TQI223" s="73"/>
      <c r="TQJ223" s="73"/>
      <c r="TQK223" s="73"/>
      <c r="TQL223" s="73"/>
      <c r="TQM223" s="73"/>
      <c r="TQN223" s="73"/>
      <c r="TQO223" s="73"/>
      <c r="TQP223" s="73"/>
      <c r="TQQ223" s="73"/>
      <c r="TQR223" s="73"/>
      <c r="TQS223" s="73"/>
      <c r="TQT223" s="73"/>
      <c r="TQU223" s="73"/>
      <c r="TQV223" s="73"/>
      <c r="TQW223" s="73"/>
      <c r="TQX223" s="73"/>
      <c r="TQY223" s="73"/>
      <c r="TQZ223" s="73"/>
      <c r="TRA223" s="73"/>
      <c r="TRB223" s="73"/>
      <c r="TRC223" s="73"/>
      <c r="TRD223" s="73"/>
      <c r="TRE223" s="73"/>
      <c r="TRF223" s="73"/>
      <c r="TRG223" s="73"/>
      <c r="TRH223" s="73"/>
      <c r="TRI223" s="73"/>
      <c r="TRJ223" s="73"/>
      <c r="TRK223" s="73"/>
      <c r="TRL223" s="73"/>
      <c r="TRM223" s="73"/>
      <c r="TRN223" s="73"/>
      <c r="TRO223" s="73"/>
      <c r="TRP223" s="73"/>
      <c r="TRQ223" s="73"/>
      <c r="TRR223" s="73"/>
      <c r="TRS223" s="73"/>
      <c r="TRT223" s="73"/>
      <c r="TRU223" s="73"/>
      <c r="TRV223" s="73"/>
      <c r="TRW223" s="73"/>
      <c r="TRX223" s="73"/>
      <c r="TRY223" s="73"/>
      <c r="TRZ223" s="73"/>
      <c r="TSA223" s="73"/>
      <c r="TSB223" s="73"/>
      <c r="TSC223" s="73"/>
      <c r="TSD223" s="73"/>
      <c r="TSE223" s="73"/>
      <c r="TSF223" s="73"/>
      <c r="TSG223" s="73"/>
      <c r="TSH223" s="73"/>
      <c r="TSI223" s="73"/>
      <c r="TSJ223" s="73"/>
      <c r="TSK223" s="73"/>
      <c r="TSL223" s="73"/>
      <c r="TSM223" s="73"/>
      <c r="TSN223" s="73"/>
      <c r="TSO223" s="73"/>
      <c r="TSP223" s="73"/>
      <c r="TSQ223" s="73"/>
      <c r="TSR223" s="73"/>
      <c r="TSS223" s="73"/>
      <c r="TST223" s="73"/>
      <c r="TSU223" s="73"/>
      <c r="TSV223" s="73"/>
      <c r="TSW223" s="73"/>
      <c r="TSX223" s="73"/>
      <c r="TSY223" s="73"/>
      <c r="TSZ223" s="73"/>
      <c r="TTA223" s="73"/>
      <c r="TTB223" s="73"/>
      <c r="TTC223" s="73"/>
      <c r="TTD223" s="73"/>
      <c r="TTE223" s="73"/>
      <c r="TTF223" s="73"/>
      <c r="TTG223" s="73"/>
      <c r="TTH223" s="73"/>
      <c r="TTI223" s="73"/>
      <c r="TTJ223" s="73"/>
      <c r="TTK223" s="73"/>
      <c r="TTL223" s="73"/>
      <c r="TTM223" s="73"/>
      <c r="TTN223" s="73"/>
      <c r="TTO223" s="73"/>
      <c r="TTP223" s="73"/>
      <c r="TTQ223" s="73"/>
      <c r="TTR223" s="73"/>
      <c r="TTS223" s="73"/>
      <c r="TTT223" s="73"/>
      <c r="TTU223" s="73"/>
      <c r="TTV223" s="73"/>
      <c r="TTW223" s="73"/>
      <c r="TTX223" s="73"/>
      <c r="TTY223" s="73"/>
      <c r="TTZ223" s="73"/>
      <c r="TUA223" s="73"/>
      <c r="TUB223" s="73"/>
      <c r="TUC223" s="73"/>
      <c r="TUD223" s="73"/>
      <c r="TUE223" s="73"/>
      <c r="TUF223" s="73"/>
      <c r="TUG223" s="73"/>
      <c r="TUH223" s="73"/>
      <c r="TUI223" s="73"/>
      <c r="TUJ223" s="73"/>
      <c r="TUK223" s="73"/>
      <c r="TUL223" s="73"/>
      <c r="TUM223" s="73"/>
      <c r="TUN223" s="73"/>
      <c r="TUO223" s="73"/>
      <c r="TUP223" s="73"/>
      <c r="TUQ223" s="73"/>
      <c r="TUR223" s="73"/>
      <c r="TUS223" s="73"/>
      <c r="TUT223" s="73"/>
      <c r="TUU223" s="73"/>
      <c r="TUV223" s="73"/>
      <c r="TUW223" s="73"/>
      <c r="TUX223" s="73"/>
      <c r="TUY223" s="73"/>
      <c r="TUZ223" s="73"/>
      <c r="TVA223" s="73"/>
      <c r="TVB223" s="73"/>
      <c r="TVC223" s="73"/>
      <c r="TVD223" s="73"/>
      <c r="TVE223" s="73"/>
      <c r="TVF223" s="73"/>
      <c r="TVG223" s="73"/>
      <c r="TVH223" s="73"/>
      <c r="TVI223" s="73"/>
      <c r="TVJ223" s="73"/>
      <c r="TVK223" s="73"/>
      <c r="TVL223" s="73"/>
      <c r="TVM223" s="73"/>
      <c r="TVN223" s="73"/>
      <c r="TVO223" s="73"/>
      <c r="TVP223" s="73"/>
      <c r="TVQ223" s="73"/>
      <c r="TVR223" s="73"/>
      <c r="TVS223" s="73"/>
      <c r="TVT223" s="73"/>
      <c r="TVU223" s="73"/>
      <c r="TVV223" s="73"/>
      <c r="TVW223" s="73"/>
      <c r="TVX223" s="73"/>
      <c r="TVY223" s="73"/>
      <c r="TVZ223" s="73"/>
      <c r="TWA223" s="73"/>
      <c r="TWB223" s="73"/>
      <c r="TWC223" s="73"/>
      <c r="TWD223" s="73"/>
      <c r="TWE223" s="73"/>
      <c r="TWF223" s="73"/>
      <c r="TWG223" s="73"/>
      <c r="TWH223" s="73"/>
      <c r="TWI223" s="73"/>
      <c r="TWJ223" s="73"/>
      <c r="TWK223" s="73"/>
      <c r="TWL223" s="73"/>
      <c r="TWM223" s="73"/>
      <c r="TWN223" s="73"/>
      <c r="TWO223" s="73"/>
      <c r="TWP223" s="73"/>
      <c r="TWQ223" s="73"/>
      <c r="TWR223" s="73"/>
      <c r="TWS223" s="73"/>
      <c r="TWT223" s="73"/>
      <c r="TWU223" s="73"/>
      <c r="TWV223" s="73"/>
      <c r="TWW223" s="73"/>
      <c r="TWX223" s="73"/>
      <c r="TWY223" s="73"/>
      <c r="TWZ223" s="73"/>
      <c r="TXA223" s="73"/>
      <c r="TXB223" s="73"/>
      <c r="TXC223" s="73"/>
      <c r="TXD223" s="73"/>
      <c r="TXE223" s="73"/>
      <c r="TXF223" s="73"/>
      <c r="TXG223" s="73"/>
      <c r="TXH223" s="73"/>
      <c r="TXI223" s="73"/>
      <c r="TXJ223" s="73"/>
      <c r="TXK223" s="73"/>
      <c r="TXL223" s="73"/>
      <c r="TXM223" s="73"/>
      <c r="TXN223" s="73"/>
      <c r="TXO223" s="73"/>
      <c r="TXP223" s="73"/>
      <c r="TXQ223" s="73"/>
      <c r="TXR223" s="73"/>
      <c r="TXS223" s="73"/>
      <c r="TXT223" s="73"/>
      <c r="TXU223" s="73"/>
      <c r="TXV223" s="73"/>
      <c r="TXW223" s="73"/>
      <c r="TXX223" s="73"/>
      <c r="TXY223" s="73"/>
      <c r="TXZ223" s="73"/>
      <c r="TYA223" s="73"/>
      <c r="TYB223" s="73"/>
      <c r="TYC223" s="73"/>
      <c r="TYD223" s="73"/>
      <c r="TYE223" s="73"/>
      <c r="TYF223" s="73"/>
      <c r="TYG223" s="73"/>
      <c r="TYH223" s="73"/>
      <c r="TYI223" s="73"/>
      <c r="TYJ223" s="73"/>
      <c r="TYK223" s="73"/>
      <c r="TYL223" s="73"/>
      <c r="TYM223" s="73"/>
      <c r="TYN223" s="73"/>
      <c r="TYO223" s="73"/>
      <c r="TYP223" s="73"/>
      <c r="TYQ223" s="73"/>
      <c r="TYR223" s="73"/>
      <c r="TYS223" s="73"/>
      <c r="TYT223" s="73"/>
      <c r="TYU223" s="73"/>
      <c r="TYV223" s="73"/>
      <c r="TYW223" s="73"/>
      <c r="TYX223" s="73"/>
      <c r="TYY223" s="73"/>
      <c r="TYZ223" s="73"/>
      <c r="TZA223" s="73"/>
      <c r="TZB223" s="73"/>
      <c r="TZC223" s="73"/>
      <c r="TZD223" s="73"/>
      <c r="TZE223" s="73"/>
      <c r="TZF223" s="73"/>
      <c r="TZG223" s="73"/>
      <c r="TZH223" s="73"/>
      <c r="TZI223" s="73"/>
      <c r="TZJ223" s="73"/>
      <c r="TZK223" s="73"/>
      <c r="TZL223" s="73"/>
      <c r="TZM223" s="73"/>
      <c r="TZN223" s="73"/>
      <c r="TZO223" s="73"/>
      <c r="TZP223" s="73"/>
      <c r="TZQ223" s="73"/>
      <c r="TZR223" s="73"/>
      <c r="TZS223" s="73"/>
      <c r="TZT223" s="73"/>
      <c r="TZU223" s="73"/>
      <c r="TZV223" s="73"/>
      <c r="TZW223" s="73"/>
      <c r="TZX223" s="73"/>
      <c r="TZY223" s="73"/>
      <c r="TZZ223" s="73"/>
      <c r="UAA223" s="73"/>
      <c r="UAB223" s="73"/>
      <c r="UAC223" s="73"/>
      <c r="UAD223" s="73"/>
      <c r="UAE223" s="73"/>
      <c r="UAF223" s="73"/>
      <c r="UAG223" s="73"/>
      <c r="UAH223" s="73"/>
      <c r="UAI223" s="73"/>
      <c r="UAJ223" s="73"/>
      <c r="UAK223" s="73"/>
      <c r="UAL223" s="73"/>
      <c r="UAM223" s="73"/>
      <c r="UAN223" s="73"/>
      <c r="UAO223" s="73"/>
      <c r="UAP223" s="73"/>
      <c r="UAQ223" s="73"/>
      <c r="UAR223" s="73"/>
      <c r="UAS223" s="73"/>
      <c r="UAT223" s="73"/>
      <c r="UAU223" s="73"/>
      <c r="UAV223" s="73"/>
      <c r="UAW223" s="73"/>
      <c r="UAX223" s="73"/>
      <c r="UAY223" s="73"/>
      <c r="UAZ223" s="73"/>
      <c r="UBA223" s="73"/>
      <c r="UBB223" s="73"/>
      <c r="UBC223" s="73"/>
      <c r="UBD223" s="73"/>
      <c r="UBE223" s="73"/>
      <c r="UBF223" s="73"/>
      <c r="UBG223" s="73"/>
      <c r="UBH223" s="73"/>
      <c r="UBI223" s="73"/>
      <c r="UBJ223" s="73"/>
      <c r="UBK223" s="73"/>
      <c r="UBL223" s="73"/>
      <c r="UBM223" s="73"/>
      <c r="UBN223" s="73"/>
      <c r="UBO223" s="73"/>
      <c r="UBP223" s="73"/>
      <c r="UBQ223" s="73"/>
      <c r="UBR223" s="73"/>
      <c r="UBS223" s="73"/>
      <c r="UBT223" s="73"/>
      <c r="UBU223" s="73"/>
      <c r="UBV223" s="73"/>
      <c r="UBW223" s="73"/>
      <c r="UBX223" s="73"/>
      <c r="UBY223" s="73"/>
      <c r="UBZ223" s="73"/>
      <c r="UCA223" s="73"/>
      <c r="UCB223" s="73"/>
      <c r="UCC223" s="73"/>
      <c r="UCD223" s="73"/>
      <c r="UCE223" s="73"/>
      <c r="UCF223" s="73"/>
      <c r="UCG223" s="73"/>
      <c r="UCH223" s="73"/>
      <c r="UCI223" s="73"/>
      <c r="UCJ223" s="73"/>
      <c r="UCK223" s="73"/>
      <c r="UCL223" s="73"/>
      <c r="UCM223" s="73"/>
      <c r="UCN223" s="73"/>
      <c r="UCO223" s="73"/>
      <c r="UCP223" s="73"/>
      <c r="UCQ223" s="73"/>
      <c r="UCR223" s="73"/>
      <c r="UCS223" s="73"/>
      <c r="UCT223" s="73"/>
      <c r="UCU223" s="73"/>
      <c r="UCV223" s="73"/>
      <c r="UCW223" s="73"/>
      <c r="UCX223" s="73"/>
      <c r="UCY223" s="73"/>
      <c r="UCZ223" s="73"/>
      <c r="UDA223" s="73"/>
      <c r="UDB223" s="73"/>
      <c r="UDC223" s="73"/>
      <c r="UDD223" s="73"/>
      <c r="UDE223" s="73"/>
      <c r="UDF223" s="73"/>
      <c r="UDG223" s="73"/>
      <c r="UDH223" s="73"/>
      <c r="UDI223" s="73"/>
      <c r="UDJ223" s="73"/>
      <c r="UDK223" s="73"/>
      <c r="UDL223" s="73"/>
      <c r="UDM223" s="73"/>
      <c r="UDN223" s="73"/>
      <c r="UDO223" s="73"/>
      <c r="UDP223" s="73"/>
      <c r="UDQ223" s="73"/>
      <c r="UDR223" s="73"/>
      <c r="UDS223" s="73"/>
      <c r="UDT223" s="73"/>
      <c r="UDU223" s="73"/>
      <c r="UDV223" s="73"/>
      <c r="UDW223" s="73"/>
      <c r="UDX223" s="73"/>
      <c r="UDY223" s="73"/>
      <c r="UDZ223" s="73"/>
      <c r="UEA223" s="73"/>
      <c r="UEB223" s="73"/>
      <c r="UEC223" s="73"/>
      <c r="UED223" s="73"/>
      <c r="UEE223" s="73"/>
      <c r="UEF223" s="73"/>
      <c r="UEG223" s="73"/>
      <c r="UEH223" s="73"/>
      <c r="UEI223" s="73"/>
      <c r="UEJ223" s="73"/>
      <c r="UEK223" s="73"/>
      <c r="UEL223" s="73"/>
      <c r="UEM223" s="73"/>
      <c r="UEN223" s="73"/>
      <c r="UEO223" s="73"/>
      <c r="UEP223" s="73"/>
      <c r="UEQ223" s="73"/>
      <c r="UER223" s="73"/>
      <c r="UES223" s="73"/>
      <c r="UET223" s="73"/>
      <c r="UEU223" s="73"/>
      <c r="UEV223" s="73"/>
      <c r="UEW223" s="73"/>
      <c r="UEX223" s="73"/>
      <c r="UEY223" s="73"/>
      <c r="UEZ223" s="73"/>
      <c r="UFA223" s="73"/>
      <c r="UFB223" s="73"/>
      <c r="UFC223" s="73"/>
      <c r="UFD223" s="73"/>
      <c r="UFE223" s="73"/>
      <c r="UFF223" s="73"/>
      <c r="UFG223" s="73"/>
      <c r="UFH223" s="73"/>
      <c r="UFI223" s="73"/>
      <c r="UFJ223" s="73"/>
      <c r="UFK223" s="73"/>
      <c r="UFL223" s="73"/>
      <c r="UFM223" s="73"/>
      <c r="UFN223" s="73"/>
      <c r="UFO223" s="73"/>
      <c r="UFP223" s="73"/>
      <c r="UFQ223" s="73"/>
      <c r="UFR223" s="73"/>
      <c r="UFS223" s="73"/>
      <c r="UFT223" s="73"/>
      <c r="UFU223" s="73"/>
      <c r="UFV223" s="73"/>
      <c r="UFW223" s="73"/>
      <c r="UFX223" s="73"/>
      <c r="UFY223" s="73"/>
      <c r="UFZ223" s="73"/>
      <c r="UGA223" s="73"/>
      <c r="UGB223" s="73"/>
      <c r="UGC223" s="73"/>
      <c r="UGD223" s="73"/>
      <c r="UGE223" s="73"/>
      <c r="UGF223" s="73"/>
      <c r="UGG223" s="73"/>
      <c r="UGH223" s="73"/>
      <c r="UGI223" s="73"/>
      <c r="UGJ223" s="73"/>
      <c r="UGK223" s="73"/>
      <c r="UGL223" s="73"/>
      <c r="UGM223" s="73"/>
      <c r="UGN223" s="73"/>
      <c r="UGO223" s="73"/>
      <c r="UGP223" s="73"/>
      <c r="UGQ223" s="73"/>
      <c r="UGR223" s="73"/>
      <c r="UGS223" s="73"/>
      <c r="UGT223" s="73"/>
      <c r="UGU223" s="73"/>
      <c r="UGV223" s="73"/>
      <c r="UGW223" s="73"/>
      <c r="UGX223" s="73"/>
      <c r="UGY223" s="73"/>
      <c r="UGZ223" s="73"/>
      <c r="UHA223" s="73"/>
      <c r="UHB223" s="73"/>
      <c r="UHC223" s="73"/>
      <c r="UHD223" s="73"/>
      <c r="UHE223" s="73"/>
      <c r="UHF223" s="73"/>
      <c r="UHG223" s="73"/>
      <c r="UHH223" s="73"/>
      <c r="UHI223" s="73"/>
      <c r="UHJ223" s="73"/>
      <c r="UHK223" s="73"/>
      <c r="UHL223" s="73"/>
      <c r="UHM223" s="73"/>
      <c r="UHN223" s="73"/>
      <c r="UHO223" s="73"/>
      <c r="UHP223" s="73"/>
      <c r="UHQ223" s="73"/>
      <c r="UHR223" s="73"/>
      <c r="UHS223" s="73"/>
      <c r="UHT223" s="73"/>
      <c r="UHU223" s="73"/>
      <c r="UHV223" s="73"/>
      <c r="UHW223" s="73"/>
      <c r="UHX223" s="73"/>
      <c r="UHY223" s="73"/>
      <c r="UHZ223" s="73"/>
      <c r="UIA223" s="73"/>
      <c r="UIB223" s="73"/>
      <c r="UIC223" s="73"/>
      <c r="UID223" s="73"/>
      <c r="UIE223" s="73"/>
      <c r="UIF223" s="73"/>
      <c r="UIG223" s="73"/>
      <c r="UIH223" s="73"/>
      <c r="UII223" s="73"/>
      <c r="UIJ223" s="73"/>
      <c r="UIK223" s="73"/>
      <c r="UIL223" s="73"/>
      <c r="UIM223" s="73"/>
      <c r="UIN223" s="73"/>
      <c r="UIO223" s="73"/>
      <c r="UIP223" s="73"/>
      <c r="UIQ223" s="73"/>
      <c r="UIR223" s="73"/>
      <c r="UIS223" s="73"/>
      <c r="UIT223" s="73"/>
      <c r="UIU223" s="73"/>
      <c r="UIV223" s="73"/>
      <c r="UIW223" s="73"/>
      <c r="UIX223" s="73"/>
      <c r="UIY223" s="73"/>
      <c r="UIZ223" s="73"/>
      <c r="UJA223" s="73"/>
      <c r="UJB223" s="73"/>
      <c r="UJC223" s="73"/>
      <c r="UJD223" s="73"/>
      <c r="UJE223" s="73"/>
      <c r="UJF223" s="73"/>
      <c r="UJG223" s="73"/>
      <c r="UJH223" s="73"/>
      <c r="UJI223" s="73"/>
      <c r="UJJ223" s="73"/>
      <c r="UJK223" s="73"/>
      <c r="UJL223" s="73"/>
      <c r="UJM223" s="73"/>
      <c r="UJN223" s="73"/>
      <c r="UJO223" s="73"/>
      <c r="UJP223" s="73"/>
      <c r="UJQ223" s="73"/>
      <c r="UJR223" s="73"/>
      <c r="UJS223" s="73"/>
      <c r="UJT223" s="73"/>
      <c r="UJU223" s="73"/>
      <c r="UJV223" s="73"/>
      <c r="UJW223" s="73"/>
      <c r="UJX223" s="73"/>
      <c r="UJY223" s="73"/>
      <c r="UJZ223" s="73"/>
      <c r="UKA223" s="73"/>
      <c r="UKB223" s="73"/>
      <c r="UKC223" s="73"/>
      <c r="UKD223" s="73"/>
      <c r="UKE223" s="73"/>
      <c r="UKF223" s="73"/>
      <c r="UKG223" s="73"/>
      <c r="UKH223" s="73"/>
      <c r="UKI223" s="73"/>
      <c r="UKJ223" s="73"/>
      <c r="UKK223" s="73"/>
      <c r="UKL223" s="73"/>
      <c r="UKM223" s="73"/>
      <c r="UKN223" s="73"/>
      <c r="UKO223" s="73"/>
      <c r="UKP223" s="73"/>
      <c r="UKQ223" s="73"/>
      <c r="UKR223" s="73"/>
      <c r="UKS223" s="73"/>
      <c r="UKT223" s="73"/>
      <c r="UKU223" s="73"/>
      <c r="UKV223" s="73"/>
      <c r="UKW223" s="73"/>
      <c r="UKX223" s="73"/>
      <c r="UKY223" s="73"/>
      <c r="UKZ223" s="73"/>
      <c r="ULA223" s="73"/>
      <c r="ULB223" s="73"/>
      <c r="ULC223" s="73"/>
      <c r="ULD223" s="73"/>
      <c r="ULE223" s="73"/>
      <c r="ULF223" s="73"/>
      <c r="ULG223" s="73"/>
      <c r="ULH223" s="73"/>
      <c r="ULI223" s="73"/>
      <c r="ULJ223" s="73"/>
      <c r="ULK223" s="73"/>
      <c r="ULL223" s="73"/>
      <c r="ULM223" s="73"/>
      <c r="ULN223" s="73"/>
      <c r="ULO223" s="73"/>
      <c r="ULP223" s="73"/>
      <c r="ULQ223" s="73"/>
      <c r="ULR223" s="73"/>
      <c r="ULS223" s="73"/>
      <c r="ULT223" s="73"/>
      <c r="ULU223" s="73"/>
      <c r="ULV223" s="73"/>
      <c r="ULW223" s="73"/>
      <c r="ULX223" s="73"/>
      <c r="ULY223" s="73"/>
      <c r="ULZ223" s="73"/>
      <c r="UMA223" s="73"/>
      <c r="UMB223" s="73"/>
      <c r="UMC223" s="73"/>
      <c r="UMD223" s="73"/>
      <c r="UME223" s="73"/>
      <c r="UMF223" s="73"/>
      <c r="UMG223" s="73"/>
      <c r="UMH223" s="73"/>
      <c r="UMI223" s="73"/>
      <c r="UMJ223" s="73"/>
      <c r="UMK223" s="73"/>
      <c r="UML223" s="73"/>
      <c r="UMM223" s="73"/>
      <c r="UMN223" s="73"/>
      <c r="UMO223" s="73"/>
      <c r="UMP223" s="73"/>
      <c r="UMQ223" s="73"/>
      <c r="UMR223" s="73"/>
      <c r="UMS223" s="73"/>
      <c r="UMT223" s="73"/>
      <c r="UMU223" s="73"/>
      <c r="UMV223" s="73"/>
      <c r="UMW223" s="73"/>
      <c r="UMX223" s="73"/>
      <c r="UMY223" s="73"/>
      <c r="UMZ223" s="73"/>
      <c r="UNA223" s="73"/>
      <c r="UNB223" s="73"/>
      <c r="UNC223" s="73"/>
      <c r="UND223" s="73"/>
      <c r="UNE223" s="73"/>
      <c r="UNF223" s="73"/>
      <c r="UNG223" s="73"/>
      <c r="UNH223" s="73"/>
      <c r="UNI223" s="73"/>
      <c r="UNJ223" s="73"/>
      <c r="UNK223" s="73"/>
      <c r="UNL223" s="73"/>
      <c r="UNM223" s="73"/>
      <c r="UNN223" s="73"/>
      <c r="UNO223" s="73"/>
      <c r="UNP223" s="73"/>
      <c r="UNQ223" s="73"/>
      <c r="UNR223" s="73"/>
      <c r="UNS223" s="73"/>
      <c r="UNT223" s="73"/>
      <c r="UNU223" s="73"/>
      <c r="UNV223" s="73"/>
      <c r="UNW223" s="73"/>
      <c r="UNX223" s="73"/>
      <c r="UNY223" s="73"/>
      <c r="UNZ223" s="73"/>
      <c r="UOA223" s="73"/>
      <c r="UOB223" s="73"/>
      <c r="UOC223" s="73"/>
      <c r="UOD223" s="73"/>
      <c r="UOE223" s="73"/>
      <c r="UOF223" s="73"/>
      <c r="UOG223" s="73"/>
      <c r="UOH223" s="73"/>
      <c r="UOI223" s="73"/>
      <c r="UOJ223" s="73"/>
      <c r="UOK223" s="73"/>
      <c r="UOL223" s="73"/>
      <c r="UOM223" s="73"/>
      <c r="UON223" s="73"/>
      <c r="UOO223" s="73"/>
      <c r="UOP223" s="73"/>
      <c r="UOQ223" s="73"/>
      <c r="UOR223" s="73"/>
      <c r="UOS223" s="73"/>
      <c r="UOT223" s="73"/>
      <c r="UOU223" s="73"/>
      <c r="UOV223" s="73"/>
      <c r="UOW223" s="73"/>
      <c r="UOX223" s="73"/>
      <c r="UOY223" s="73"/>
      <c r="UOZ223" s="73"/>
      <c r="UPA223" s="73"/>
      <c r="UPB223" s="73"/>
      <c r="UPC223" s="73"/>
      <c r="UPD223" s="73"/>
      <c r="UPE223" s="73"/>
      <c r="UPF223" s="73"/>
      <c r="UPG223" s="73"/>
      <c r="UPH223" s="73"/>
      <c r="UPI223" s="73"/>
      <c r="UPJ223" s="73"/>
      <c r="UPK223" s="73"/>
      <c r="UPL223" s="73"/>
      <c r="UPM223" s="73"/>
      <c r="UPN223" s="73"/>
      <c r="UPO223" s="73"/>
      <c r="UPP223" s="73"/>
      <c r="UPQ223" s="73"/>
      <c r="UPR223" s="73"/>
      <c r="UPS223" s="73"/>
      <c r="UPT223" s="73"/>
      <c r="UPU223" s="73"/>
      <c r="UPV223" s="73"/>
      <c r="UPW223" s="73"/>
      <c r="UPX223" s="73"/>
      <c r="UPY223" s="73"/>
      <c r="UPZ223" s="73"/>
      <c r="UQA223" s="73"/>
      <c r="UQB223" s="73"/>
      <c r="UQC223" s="73"/>
      <c r="UQD223" s="73"/>
      <c r="UQE223" s="73"/>
      <c r="UQF223" s="73"/>
      <c r="UQG223" s="73"/>
      <c r="UQH223" s="73"/>
      <c r="UQI223" s="73"/>
      <c r="UQJ223" s="73"/>
      <c r="UQK223" s="73"/>
      <c r="UQL223" s="73"/>
      <c r="UQM223" s="73"/>
      <c r="UQN223" s="73"/>
      <c r="UQO223" s="73"/>
      <c r="UQP223" s="73"/>
      <c r="UQQ223" s="73"/>
      <c r="UQR223" s="73"/>
      <c r="UQS223" s="73"/>
      <c r="UQT223" s="73"/>
      <c r="UQU223" s="73"/>
      <c r="UQV223" s="73"/>
      <c r="UQW223" s="73"/>
      <c r="UQX223" s="73"/>
      <c r="UQY223" s="73"/>
      <c r="UQZ223" s="73"/>
      <c r="URA223" s="73"/>
      <c r="URB223" s="73"/>
      <c r="URC223" s="73"/>
      <c r="URD223" s="73"/>
      <c r="URE223" s="73"/>
      <c r="URF223" s="73"/>
      <c r="URG223" s="73"/>
      <c r="URH223" s="73"/>
      <c r="URI223" s="73"/>
      <c r="URJ223" s="73"/>
      <c r="URK223" s="73"/>
      <c r="URL223" s="73"/>
      <c r="URM223" s="73"/>
      <c r="URN223" s="73"/>
      <c r="URO223" s="73"/>
      <c r="URP223" s="73"/>
      <c r="URQ223" s="73"/>
      <c r="URR223" s="73"/>
      <c r="URS223" s="73"/>
      <c r="URT223" s="73"/>
      <c r="URU223" s="73"/>
      <c r="URV223" s="73"/>
      <c r="URW223" s="73"/>
      <c r="URX223" s="73"/>
      <c r="URY223" s="73"/>
      <c r="URZ223" s="73"/>
      <c r="USA223" s="73"/>
      <c r="USB223" s="73"/>
      <c r="USC223" s="73"/>
      <c r="USD223" s="73"/>
      <c r="USE223" s="73"/>
      <c r="USF223" s="73"/>
      <c r="USG223" s="73"/>
      <c r="USH223" s="73"/>
      <c r="USI223" s="73"/>
      <c r="USJ223" s="73"/>
      <c r="USK223" s="73"/>
      <c r="USL223" s="73"/>
      <c r="USM223" s="73"/>
      <c r="USN223" s="73"/>
      <c r="USO223" s="73"/>
      <c r="USP223" s="73"/>
      <c r="USQ223" s="73"/>
      <c r="USR223" s="73"/>
      <c r="USS223" s="73"/>
      <c r="UST223" s="73"/>
      <c r="USU223" s="73"/>
      <c r="USV223" s="73"/>
      <c r="USW223" s="73"/>
      <c r="USX223" s="73"/>
      <c r="USY223" s="73"/>
      <c r="USZ223" s="73"/>
      <c r="UTA223" s="73"/>
      <c r="UTB223" s="73"/>
      <c r="UTC223" s="73"/>
      <c r="UTD223" s="73"/>
      <c r="UTE223" s="73"/>
      <c r="UTF223" s="73"/>
      <c r="UTG223" s="73"/>
      <c r="UTH223" s="73"/>
      <c r="UTI223" s="73"/>
      <c r="UTJ223" s="73"/>
      <c r="UTK223" s="73"/>
      <c r="UTL223" s="73"/>
      <c r="UTM223" s="73"/>
      <c r="UTN223" s="73"/>
      <c r="UTO223" s="73"/>
      <c r="UTP223" s="73"/>
      <c r="UTQ223" s="73"/>
      <c r="UTR223" s="73"/>
      <c r="UTS223" s="73"/>
      <c r="UTT223" s="73"/>
      <c r="UTU223" s="73"/>
      <c r="UTV223" s="73"/>
      <c r="UTW223" s="73"/>
      <c r="UTX223" s="73"/>
      <c r="UTY223" s="73"/>
      <c r="UTZ223" s="73"/>
      <c r="UUA223" s="73"/>
      <c r="UUB223" s="73"/>
      <c r="UUC223" s="73"/>
      <c r="UUD223" s="73"/>
      <c r="UUE223" s="73"/>
      <c r="UUF223" s="73"/>
      <c r="UUG223" s="73"/>
      <c r="UUH223" s="73"/>
      <c r="UUI223" s="73"/>
      <c r="UUJ223" s="73"/>
      <c r="UUK223" s="73"/>
      <c r="UUL223" s="73"/>
      <c r="UUM223" s="73"/>
      <c r="UUN223" s="73"/>
      <c r="UUO223" s="73"/>
      <c r="UUP223" s="73"/>
      <c r="UUQ223" s="73"/>
      <c r="UUR223" s="73"/>
      <c r="UUS223" s="73"/>
      <c r="UUT223" s="73"/>
      <c r="UUU223" s="73"/>
      <c r="UUV223" s="73"/>
      <c r="UUW223" s="73"/>
      <c r="UUX223" s="73"/>
      <c r="UUY223" s="73"/>
      <c r="UUZ223" s="73"/>
      <c r="UVA223" s="73"/>
      <c r="UVB223" s="73"/>
      <c r="UVC223" s="73"/>
      <c r="UVD223" s="73"/>
      <c r="UVE223" s="73"/>
      <c r="UVF223" s="73"/>
      <c r="UVG223" s="73"/>
      <c r="UVH223" s="73"/>
      <c r="UVI223" s="73"/>
      <c r="UVJ223" s="73"/>
      <c r="UVK223" s="73"/>
      <c r="UVL223" s="73"/>
      <c r="UVM223" s="73"/>
      <c r="UVN223" s="73"/>
      <c r="UVO223" s="73"/>
      <c r="UVP223" s="73"/>
      <c r="UVQ223" s="73"/>
      <c r="UVR223" s="73"/>
      <c r="UVS223" s="73"/>
      <c r="UVT223" s="73"/>
      <c r="UVU223" s="73"/>
      <c r="UVV223" s="73"/>
      <c r="UVW223" s="73"/>
      <c r="UVX223" s="73"/>
      <c r="UVY223" s="73"/>
      <c r="UVZ223" s="73"/>
      <c r="UWA223" s="73"/>
      <c r="UWB223" s="73"/>
      <c r="UWC223" s="73"/>
      <c r="UWD223" s="73"/>
      <c r="UWE223" s="73"/>
      <c r="UWF223" s="73"/>
      <c r="UWG223" s="73"/>
      <c r="UWH223" s="73"/>
      <c r="UWI223" s="73"/>
      <c r="UWJ223" s="73"/>
      <c r="UWK223" s="73"/>
      <c r="UWL223" s="73"/>
      <c r="UWM223" s="73"/>
      <c r="UWN223" s="73"/>
      <c r="UWO223" s="73"/>
      <c r="UWP223" s="73"/>
      <c r="UWQ223" s="73"/>
      <c r="UWR223" s="73"/>
      <c r="UWS223" s="73"/>
      <c r="UWT223" s="73"/>
      <c r="UWU223" s="73"/>
      <c r="UWV223" s="73"/>
      <c r="UWW223" s="73"/>
      <c r="UWX223" s="73"/>
      <c r="UWY223" s="73"/>
      <c r="UWZ223" s="73"/>
      <c r="UXA223" s="73"/>
      <c r="UXB223" s="73"/>
      <c r="UXC223" s="73"/>
      <c r="UXD223" s="73"/>
      <c r="UXE223" s="73"/>
      <c r="UXF223" s="73"/>
      <c r="UXG223" s="73"/>
      <c r="UXH223" s="73"/>
      <c r="UXI223" s="73"/>
      <c r="UXJ223" s="73"/>
      <c r="UXK223" s="73"/>
      <c r="UXL223" s="73"/>
      <c r="UXM223" s="73"/>
      <c r="UXN223" s="73"/>
      <c r="UXO223" s="73"/>
      <c r="UXP223" s="73"/>
      <c r="UXQ223" s="73"/>
      <c r="UXR223" s="73"/>
      <c r="UXS223" s="73"/>
      <c r="UXT223" s="73"/>
      <c r="UXU223" s="73"/>
      <c r="UXV223" s="73"/>
      <c r="UXW223" s="73"/>
      <c r="UXX223" s="73"/>
      <c r="UXY223" s="73"/>
      <c r="UXZ223" s="73"/>
      <c r="UYA223" s="73"/>
      <c r="UYB223" s="73"/>
      <c r="UYC223" s="73"/>
      <c r="UYD223" s="73"/>
      <c r="UYE223" s="73"/>
      <c r="UYF223" s="73"/>
      <c r="UYG223" s="73"/>
      <c r="UYH223" s="73"/>
      <c r="UYI223" s="73"/>
      <c r="UYJ223" s="73"/>
      <c r="UYK223" s="73"/>
      <c r="UYL223" s="73"/>
      <c r="UYM223" s="73"/>
      <c r="UYN223" s="73"/>
      <c r="UYO223" s="73"/>
      <c r="UYP223" s="73"/>
      <c r="UYQ223" s="73"/>
      <c r="UYR223" s="73"/>
      <c r="UYS223" s="73"/>
      <c r="UYT223" s="73"/>
      <c r="UYU223" s="73"/>
      <c r="UYV223" s="73"/>
      <c r="UYW223" s="73"/>
      <c r="UYX223" s="73"/>
      <c r="UYY223" s="73"/>
      <c r="UYZ223" s="73"/>
      <c r="UZA223" s="73"/>
      <c r="UZB223" s="73"/>
      <c r="UZC223" s="73"/>
      <c r="UZD223" s="73"/>
      <c r="UZE223" s="73"/>
      <c r="UZF223" s="73"/>
      <c r="UZG223" s="73"/>
      <c r="UZH223" s="73"/>
      <c r="UZI223" s="73"/>
      <c r="UZJ223" s="73"/>
      <c r="UZK223" s="73"/>
      <c r="UZL223" s="73"/>
      <c r="UZM223" s="73"/>
      <c r="UZN223" s="73"/>
      <c r="UZO223" s="73"/>
      <c r="UZP223" s="73"/>
      <c r="UZQ223" s="73"/>
      <c r="UZR223" s="73"/>
      <c r="UZS223" s="73"/>
      <c r="UZT223" s="73"/>
      <c r="UZU223" s="73"/>
      <c r="UZV223" s="73"/>
      <c r="UZW223" s="73"/>
      <c r="UZX223" s="73"/>
      <c r="UZY223" s="73"/>
      <c r="UZZ223" s="73"/>
      <c r="VAA223" s="73"/>
      <c r="VAB223" s="73"/>
      <c r="VAC223" s="73"/>
      <c r="VAD223" s="73"/>
      <c r="VAE223" s="73"/>
      <c r="VAF223" s="73"/>
      <c r="VAG223" s="73"/>
      <c r="VAH223" s="73"/>
      <c r="VAI223" s="73"/>
      <c r="VAJ223" s="73"/>
      <c r="VAK223" s="73"/>
      <c r="VAL223" s="73"/>
      <c r="VAM223" s="73"/>
      <c r="VAN223" s="73"/>
      <c r="VAO223" s="73"/>
      <c r="VAP223" s="73"/>
      <c r="VAQ223" s="73"/>
      <c r="VAR223" s="73"/>
      <c r="VAS223" s="73"/>
      <c r="VAT223" s="73"/>
      <c r="VAU223" s="73"/>
      <c r="VAV223" s="73"/>
      <c r="VAW223" s="73"/>
      <c r="VAX223" s="73"/>
      <c r="VAY223" s="73"/>
      <c r="VAZ223" s="73"/>
      <c r="VBA223" s="73"/>
      <c r="VBB223" s="73"/>
      <c r="VBC223" s="73"/>
      <c r="VBD223" s="73"/>
      <c r="VBE223" s="73"/>
      <c r="VBF223" s="73"/>
      <c r="VBG223" s="73"/>
      <c r="VBH223" s="73"/>
      <c r="VBI223" s="73"/>
      <c r="VBJ223" s="73"/>
      <c r="VBK223" s="73"/>
      <c r="VBL223" s="73"/>
      <c r="VBM223" s="73"/>
      <c r="VBN223" s="73"/>
      <c r="VBO223" s="73"/>
      <c r="VBP223" s="73"/>
      <c r="VBQ223" s="73"/>
      <c r="VBR223" s="73"/>
      <c r="VBS223" s="73"/>
      <c r="VBT223" s="73"/>
      <c r="VBU223" s="73"/>
      <c r="VBV223" s="73"/>
      <c r="VBW223" s="73"/>
      <c r="VBX223" s="73"/>
      <c r="VBY223" s="73"/>
      <c r="VBZ223" s="73"/>
      <c r="VCA223" s="73"/>
      <c r="VCB223" s="73"/>
      <c r="VCC223" s="73"/>
      <c r="VCD223" s="73"/>
      <c r="VCE223" s="73"/>
      <c r="VCF223" s="73"/>
      <c r="VCG223" s="73"/>
      <c r="VCH223" s="73"/>
      <c r="VCI223" s="73"/>
      <c r="VCJ223" s="73"/>
      <c r="VCK223" s="73"/>
      <c r="VCL223" s="73"/>
      <c r="VCM223" s="73"/>
      <c r="VCN223" s="73"/>
      <c r="VCO223" s="73"/>
      <c r="VCP223" s="73"/>
      <c r="VCQ223" s="73"/>
      <c r="VCR223" s="73"/>
      <c r="VCS223" s="73"/>
      <c r="VCT223" s="73"/>
      <c r="VCU223" s="73"/>
      <c r="VCV223" s="73"/>
      <c r="VCW223" s="73"/>
      <c r="VCX223" s="73"/>
      <c r="VCY223" s="73"/>
      <c r="VCZ223" s="73"/>
      <c r="VDA223" s="73"/>
      <c r="VDB223" s="73"/>
      <c r="VDC223" s="73"/>
      <c r="VDD223" s="73"/>
      <c r="VDE223" s="73"/>
      <c r="VDF223" s="73"/>
      <c r="VDG223" s="73"/>
      <c r="VDH223" s="73"/>
      <c r="VDI223" s="73"/>
      <c r="VDJ223" s="73"/>
      <c r="VDK223" s="73"/>
      <c r="VDL223" s="73"/>
      <c r="VDM223" s="73"/>
      <c r="VDN223" s="73"/>
      <c r="VDO223" s="73"/>
      <c r="VDP223" s="73"/>
      <c r="VDQ223" s="73"/>
      <c r="VDR223" s="73"/>
      <c r="VDS223" s="73"/>
      <c r="VDT223" s="73"/>
      <c r="VDU223" s="73"/>
      <c r="VDV223" s="73"/>
      <c r="VDW223" s="73"/>
      <c r="VDX223" s="73"/>
      <c r="VDY223" s="73"/>
      <c r="VDZ223" s="73"/>
      <c r="VEA223" s="73"/>
      <c r="VEB223" s="73"/>
      <c r="VEC223" s="73"/>
      <c r="VED223" s="73"/>
      <c r="VEE223" s="73"/>
      <c r="VEF223" s="73"/>
      <c r="VEG223" s="73"/>
      <c r="VEH223" s="73"/>
      <c r="VEI223" s="73"/>
      <c r="VEJ223" s="73"/>
      <c r="VEK223" s="73"/>
      <c r="VEL223" s="73"/>
      <c r="VEM223" s="73"/>
      <c r="VEN223" s="73"/>
      <c r="VEO223" s="73"/>
      <c r="VEP223" s="73"/>
      <c r="VEQ223" s="73"/>
      <c r="VER223" s="73"/>
      <c r="VES223" s="73"/>
      <c r="VET223" s="73"/>
      <c r="VEU223" s="73"/>
      <c r="VEV223" s="73"/>
      <c r="VEW223" s="73"/>
      <c r="VEX223" s="73"/>
      <c r="VEY223" s="73"/>
      <c r="VEZ223" s="73"/>
      <c r="VFA223" s="73"/>
      <c r="VFB223" s="73"/>
      <c r="VFC223" s="73"/>
      <c r="VFD223" s="73"/>
      <c r="VFE223" s="73"/>
      <c r="VFF223" s="73"/>
      <c r="VFG223" s="73"/>
      <c r="VFH223" s="73"/>
      <c r="VFI223" s="73"/>
      <c r="VFJ223" s="73"/>
      <c r="VFK223" s="73"/>
      <c r="VFL223" s="73"/>
      <c r="VFM223" s="73"/>
      <c r="VFN223" s="73"/>
      <c r="VFO223" s="73"/>
      <c r="VFP223" s="73"/>
      <c r="VFQ223" s="73"/>
      <c r="VFR223" s="73"/>
      <c r="VFS223" s="73"/>
      <c r="VFT223" s="73"/>
      <c r="VFU223" s="73"/>
      <c r="VFV223" s="73"/>
      <c r="VFW223" s="73"/>
      <c r="VFX223" s="73"/>
      <c r="VFY223" s="73"/>
      <c r="VFZ223" s="73"/>
      <c r="VGA223" s="73"/>
      <c r="VGB223" s="73"/>
      <c r="VGC223" s="73"/>
      <c r="VGD223" s="73"/>
      <c r="VGE223" s="73"/>
      <c r="VGF223" s="73"/>
      <c r="VGG223" s="73"/>
      <c r="VGH223" s="73"/>
      <c r="VGI223" s="73"/>
      <c r="VGJ223" s="73"/>
      <c r="VGK223" s="73"/>
      <c r="VGL223" s="73"/>
      <c r="VGM223" s="73"/>
      <c r="VGN223" s="73"/>
      <c r="VGO223" s="73"/>
      <c r="VGP223" s="73"/>
      <c r="VGQ223" s="73"/>
      <c r="VGR223" s="73"/>
      <c r="VGS223" s="73"/>
      <c r="VGT223" s="73"/>
      <c r="VGU223" s="73"/>
      <c r="VGV223" s="73"/>
      <c r="VGW223" s="73"/>
      <c r="VGX223" s="73"/>
      <c r="VGY223" s="73"/>
      <c r="VGZ223" s="73"/>
      <c r="VHA223" s="73"/>
      <c r="VHB223" s="73"/>
      <c r="VHC223" s="73"/>
      <c r="VHD223" s="73"/>
      <c r="VHE223" s="73"/>
      <c r="VHF223" s="73"/>
      <c r="VHG223" s="73"/>
      <c r="VHH223" s="73"/>
      <c r="VHI223" s="73"/>
      <c r="VHJ223" s="73"/>
      <c r="VHK223" s="73"/>
      <c r="VHL223" s="73"/>
      <c r="VHM223" s="73"/>
      <c r="VHN223" s="73"/>
      <c r="VHO223" s="73"/>
      <c r="VHP223" s="73"/>
      <c r="VHQ223" s="73"/>
      <c r="VHR223" s="73"/>
      <c r="VHS223" s="73"/>
      <c r="VHT223" s="73"/>
      <c r="VHU223" s="73"/>
      <c r="VHV223" s="73"/>
      <c r="VHW223" s="73"/>
      <c r="VHX223" s="73"/>
      <c r="VHY223" s="73"/>
      <c r="VHZ223" s="73"/>
      <c r="VIA223" s="73"/>
      <c r="VIB223" s="73"/>
      <c r="VIC223" s="73"/>
      <c r="VID223" s="73"/>
      <c r="VIE223" s="73"/>
      <c r="VIF223" s="73"/>
      <c r="VIG223" s="73"/>
      <c r="VIH223" s="73"/>
      <c r="VII223" s="73"/>
      <c r="VIJ223" s="73"/>
      <c r="VIK223" s="73"/>
      <c r="VIL223" s="73"/>
      <c r="VIM223" s="73"/>
      <c r="VIN223" s="73"/>
      <c r="VIO223" s="73"/>
      <c r="VIP223" s="73"/>
      <c r="VIQ223" s="73"/>
      <c r="VIR223" s="73"/>
      <c r="VIS223" s="73"/>
      <c r="VIT223" s="73"/>
      <c r="VIU223" s="73"/>
      <c r="VIV223" s="73"/>
      <c r="VIW223" s="73"/>
      <c r="VIX223" s="73"/>
      <c r="VIY223" s="73"/>
      <c r="VIZ223" s="73"/>
      <c r="VJA223" s="73"/>
      <c r="VJB223" s="73"/>
      <c r="VJC223" s="73"/>
      <c r="VJD223" s="73"/>
      <c r="VJE223" s="73"/>
      <c r="VJF223" s="73"/>
      <c r="VJG223" s="73"/>
      <c r="VJH223" s="73"/>
      <c r="VJI223" s="73"/>
      <c r="VJJ223" s="73"/>
      <c r="VJK223" s="73"/>
      <c r="VJL223" s="73"/>
      <c r="VJM223" s="73"/>
      <c r="VJN223" s="73"/>
      <c r="VJO223" s="73"/>
      <c r="VJP223" s="73"/>
      <c r="VJQ223" s="73"/>
      <c r="VJR223" s="73"/>
      <c r="VJS223" s="73"/>
      <c r="VJT223" s="73"/>
      <c r="VJU223" s="73"/>
      <c r="VJV223" s="73"/>
      <c r="VJW223" s="73"/>
      <c r="VJX223" s="73"/>
      <c r="VJY223" s="73"/>
      <c r="VJZ223" s="73"/>
      <c r="VKA223" s="73"/>
      <c r="VKB223" s="73"/>
      <c r="VKC223" s="73"/>
      <c r="VKD223" s="73"/>
      <c r="VKE223" s="73"/>
      <c r="VKF223" s="73"/>
      <c r="VKG223" s="73"/>
      <c r="VKH223" s="73"/>
      <c r="VKI223" s="73"/>
      <c r="VKJ223" s="73"/>
      <c r="VKK223" s="73"/>
      <c r="VKL223" s="73"/>
      <c r="VKM223" s="73"/>
      <c r="VKN223" s="73"/>
      <c r="VKO223" s="73"/>
      <c r="VKP223" s="73"/>
      <c r="VKQ223" s="73"/>
      <c r="VKR223" s="73"/>
      <c r="VKS223" s="73"/>
      <c r="VKT223" s="73"/>
      <c r="VKU223" s="73"/>
      <c r="VKV223" s="73"/>
      <c r="VKW223" s="73"/>
      <c r="VKX223" s="73"/>
      <c r="VKY223" s="73"/>
      <c r="VKZ223" s="73"/>
      <c r="VLA223" s="73"/>
      <c r="VLB223" s="73"/>
      <c r="VLC223" s="73"/>
      <c r="VLD223" s="73"/>
      <c r="VLE223" s="73"/>
      <c r="VLF223" s="73"/>
      <c r="VLG223" s="73"/>
      <c r="VLH223" s="73"/>
      <c r="VLI223" s="73"/>
      <c r="VLJ223" s="73"/>
      <c r="VLK223" s="73"/>
      <c r="VLL223" s="73"/>
      <c r="VLM223" s="73"/>
      <c r="VLN223" s="73"/>
      <c r="VLO223" s="73"/>
      <c r="VLP223" s="73"/>
      <c r="VLQ223" s="73"/>
      <c r="VLR223" s="73"/>
      <c r="VLS223" s="73"/>
      <c r="VLT223" s="73"/>
      <c r="VLU223" s="73"/>
      <c r="VLV223" s="73"/>
      <c r="VLW223" s="73"/>
      <c r="VLX223" s="73"/>
      <c r="VLY223" s="73"/>
      <c r="VLZ223" s="73"/>
      <c r="VMA223" s="73"/>
      <c r="VMB223" s="73"/>
      <c r="VMC223" s="73"/>
      <c r="VMD223" s="73"/>
      <c r="VME223" s="73"/>
      <c r="VMF223" s="73"/>
      <c r="VMG223" s="73"/>
      <c r="VMH223" s="73"/>
      <c r="VMI223" s="73"/>
      <c r="VMJ223" s="73"/>
      <c r="VMK223" s="73"/>
      <c r="VML223" s="73"/>
      <c r="VMM223" s="73"/>
      <c r="VMN223" s="73"/>
      <c r="VMO223" s="73"/>
      <c r="VMP223" s="73"/>
      <c r="VMQ223" s="73"/>
      <c r="VMR223" s="73"/>
      <c r="VMS223" s="73"/>
      <c r="VMT223" s="73"/>
      <c r="VMU223" s="73"/>
      <c r="VMV223" s="73"/>
      <c r="VMW223" s="73"/>
      <c r="VMX223" s="73"/>
      <c r="VMY223" s="73"/>
      <c r="VMZ223" s="73"/>
      <c r="VNA223" s="73"/>
      <c r="VNB223" s="73"/>
      <c r="VNC223" s="73"/>
      <c r="VND223" s="73"/>
      <c r="VNE223" s="73"/>
      <c r="VNF223" s="73"/>
      <c r="VNG223" s="73"/>
      <c r="VNH223" s="73"/>
      <c r="VNI223" s="73"/>
      <c r="VNJ223" s="73"/>
      <c r="VNK223" s="73"/>
      <c r="VNL223" s="73"/>
      <c r="VNM223" s="73"/>
      <c r="VNN223" s="73"/>
      <c r="VNO223" s="73"/>
      <c r="VNP223" s="73"/>
      <c r="VNQ223" s="73"/>
      <c r="VNR223" s="73"/>
      <c r="VNS223" s="73"/>
      <c r="VNT223" s="73"/>
      <c r="VNU223" s="73"/>
      <c r="VNV223" s="73"/>
      <c r="VNW223" s="73"/>
      <c r="VNX223" s="73"/>
      <c r="VNY223" s="73"/>
      <c r="VNZ223" s="73"/>
      <c r="VOA223" s="73"/>
      <c r="VOB223" s="73"/>
      <c r="VOC223" s="73"/>
      <c r="VOD223" s="73"/>
      <c r="VOE223" s="73"/>
      <c r="VOF223" s="73"/>
      <c r="VOG223" s="73"/>
      <c r="VOH223" s="73"/>
      <c r="VOI223" s="73"/>
      <c r="VOJ223" s="73"/>
      <c r="VOK223" s="73"/>
      <c r="VOL223" s="73"/>
      <c r="VOM223" s="73"/>
      <c r="VON223" s="73"/>
      <c r="VOO223" s="73"/>
      <c r="VOP223" s="73"/>
      <c r="VOQ223" s="73"/>
      <c r="VOR223" s="73"/>
      <c r="VOS223" s="73"/>
      <c r="VOT223" s="73"/>
      <c r="VOU223" s="73"/>
      <c r="VOV223" s="73"/>
      <c r="VOW223" s="73"/>
      <c r="VOX223" s="73"/>
      <c r="VOY223" s="73"/>
      <c r="VOZ223" s="73"/>
      <c r="VPA223" s="73"/>
      <c r="VPB223" s="73"/>
      <c r="VPC223" s="73"/>
      <c r="VPD223" s="73"/>
      <c r="VPE223" s="73"/>
      <c r="VPF223" s="73"/>
      <c r="VPG223" s="73"/>
      <c r="VPH223" s="73"/>
      <c r="VPI223" s="73"/>
      <c r="VPJ223" s="73"/>
      <c r="VPK223" s="73"/>
      <c r="VPL223" s="73"/>
      <c r="VPM223" s="73"/>
      <c r="VPN223" s="73"/>
      <c r="VPO223" s="73"/>
      <c r="VPP223" s="73"/>
      <c r="VPQ223" s="73"/>
      <c r="VPR223" s="73"/>
      <c r="VPS223" s="73"/>
      <c r="VPT223" s="73"/>
      <c r="VPU223" s="73"/>
      <c r="VPV223" s="73"/>
      <c r="VPW223" s="73"/>
      <c r="VPX223" s="73"/>
      <c r="VPY223" s="73"/>
      <c r="VPZ223" s="73"/>
      <c r="VQA223" s="73"/>
      <c r="VQB223" s="73"/>
      <c r="VQC223" s="73"/>
      <c r="VQD223" s="73"/>
      <c r="VQE223" s="73"/>
      <c r="VQF223" s="73"/>
      <c r="VQG223" s="73"/>
      <c r="VQH223" s="73"/>
      <c r="VQI223" s="73"/>
      <c r="VQJ223" s="73"/>
      <c r="VQK223" s="73"/>
      <c r="VQL223" s="73"/>
      <c r="VQM223" s="73"/>
      <c r="VQN223" s="73"/>
      <c r="VQO223" s="73"/>
      <c r="VQP223" s="73"/>
      <c r="VQQ223" s="73"/>
      <c r="VQR223" s="73"/>
      <c r="VQS223" s="73"/>
      <c r="VQT223" s="73"/>
      <c r="VQU223" s="73"/>
      <c r="VQV223" s="73"/>
      <c r="VQW223" s="73"/>
      <c r="VQX223" s="73"/>
      <c r="VQY223" s="73"/>
      <c r="VQZ223" s="73"/>
      <c r="VRA223" s="73"/>
      <c r="VRB223" s="73"/>
      <c r="VRC223" s="73"/>
      <c r="VRD223" s="73"/>
      <c r="VRE223" s="73"/>
      <c r="VRF223" s="73"/>
      <c r="VRG223" s="73"/>
      <c r="VRH223" s="73"/>
      <c r="VRI223" s="73"/>
      <c r="VRJ223" s="73"/>
      <c r="VRK223" s="73"/>
      <c r="VRL223" s="73"/>
      <c r="VRM223" s="73"/>
      <c r="VRN223" s="73"/>
      <c r="VRO223" s="73"/>
      <c r="VRP223" s="73"/>
      <c r="VRQ223" s="73"/>
      <c r="VRR223" s="73"/>
      <c r="VRS223" s="73"/>
      <c r="VRT223" s="73"/>
      <c r="VRU223" s="73"/>
      <c r="VRV223" s="73"/>
      <c r="VRW223" s="73"/>
      <c r="VRX223" s="73"/>
      <c r="VRY223" s="73"/>
      <c r="VRZ223" s="73"/>
      <c r="VSA223" s="73"/>
      <c r="VSB223" s="73"/>
      <c r="VSC223" s="73"/>
      <c r="VSD223" s="73"/>
      <c r="VSE223" s="73"/>
      <c r="VSF223" s="73"/>
      <c r="VSG223" s="73"/>
      <c r="VSH223" s="73"/>
      <c r="VSI223" s="73"/>
      <c r="VSJ223" s="73"/>
      <c r="VSK223" s="73"/>
      <c r="VSL223" s="73"/>
      <c r="VSM223" s="73"/>
      <c r="VSN223" s="73"/>
      <c r="VSO223" s="73"/>
      <c r="VSP223" s="73"/>
      <c r="VSQ223" s="73"/>
      <c r="VSR223" s="73"/>
      <c r="VSS223" s="73"/>
      <c r="VST223" s="73"/>
      <c r="VSU223" s="73"/>
      <c r="VSV223" s="73"/>
      <c r="VSW223" s="73"/>
      <c r="VSX223" s="73"/>
      <c r="VSY223" s="73"/>
      <c r="VSZ223" s="73"/>
      <c r="VTA223" s="73"/>
      <c r="VTB223" s="73"/>
      <c r="VTC223" s="73"/>
      <c r="VTD223" s="73"/>
      <c r="VTE223" s="73"/>
      <c r="VTF223" s="73"/>
      <c r="VTG223" s="73"/>
      <c r="VTH223" s="73"/>
      <c r="VTI223" s="73"/>
      <c r="VTJ223" s="73"/>
      <c r="VTK223" s="73"/>
      <c r="VTL223" s="73"/>
      <c r="VTM223" s="73"/>
      <c r="VTN223" s="73"/>
      <c r="VTO223" s="73"/>
      <c r="VTP223" s="73"/>
      <c r="VTQ223" s="73"/>
      <c r="VTR223" s="73"/>
      <c r="VTS223" s="73"/>
      <c r="VTT223" s="73"/>
      <c r="VTU223" s="73"/>
      <c r="VTV223" s="73"/>
      <c r="VTW223" s="73"/>
      <c r="VTX223" s="73"/>
      <c r="VTY223" s="73"/>
      <c r="VTZ223" s="73"/>
      <c r="VUA223" s="73"/>
      <c r="VUB223" s="73"/>
      <c r="VUC223" s="73"/>
      <c r="VUD223" s="73"/>
      <c r="VUE223" s="73"/>
      <c r="VUF223" s="73"/>
      <c r="VUG223" s="73"/>
      <c r="VUH223" s="73"/>
      <c r="VUI223" s="73"/>
      <c r="VUJ223" s="73"/>
      <c r="VUK223" s="73"/>
      <c r="VUL223" s="73"/>
      <c r="VUM223" s="73"/>
      <c r="VUN223" s="73"/>
      <c r="VUO223" s="73"/>
      <c r="VUP223" s="73"/>
      <c r="VUQ223" s="73"/>
      <c r="VUR223" s="73"/>
      <c r="VUS223" s="73"/>
      <c r="VUT223" s="73"/>
      <c r="VUU223" s="73"/>
      <c r="VUV223" s="73"/>
      <c r="VUW223" s="73"/>
      <c r="VUX223" s="73"/>
      <c r="VUY223" s="73"/>
      <c r="VUZ223" s="73"/>
      <c r="VVA223" s="73"/>
      <c r="VVB223" s="73"/>
      <c r="VVC223" s="73"/>
      <c r="VVD223" s="73"/>
      <c r="VVE223" s="73"/>
      <c r="VVF223" s="73"/>
      <c r="VVG223" s="73"/>
      <c r="VVH223" s="73"/>
      <c r="VVI223" s="73"/>
      <c r="VVJ223" s="73"/>
      <c r="VVK223" s="73"/>
      <c r="VVL223" s="73"/>
      <c r="VVM223" s="73"/>
      <c r="VVN223" s="73"/>
      <c r="VVO223" s="73"/>
      <c r="VVP223" s="73"/>
      <c r="VVQ223" s="73"/>
      <c r="VVR223" s="73"/>
      <c r="VVS223" s="73"/>
      <c r="VVT223" s="73"/>
      <c r="VVU223" s="73"/>
      <c r="VVV223" s="73"/>
      <c r="VVW223" s="73"/>
      <c r="VVX223" s="73"/>
      <c r="VVY223" s="73"/>
      <c r="VVZ223" s="73"/>
      <c r="VWA223" s="73"/>
      <c r="VWB223" s="73"/>
      <c r="VWC223" s="73"/>
      <c r="VWD223" s="73"/>
      <c r="VWE223" s="73"/>
      <c r="VWF223" s="73"/>
      <c r="VWG223" s="73"/>
      <c r="VWH223" s="73"/>
      <c r="VWI223" s="73"/>
      <c r="VWJ223" s="73"/>
      <c r="VWK223" s="73"/>
      <c r="VWL223" s="73"/>
      <c r="VWM223" s="73"/>
      <c r="VWN223" s="73"/>
      <c r="VWO223" s="73"/>
      <c r="VWP223" s="73"/>
      <c r="VWQ223" s="73"/>
      <c r="VWR223" s="73"/>
      <c r="VWS223" s="73"/>
      <c r="VWT223" s="73"/>
      <c r="VWU223" s="73"/>
      <c r="VWV223" s="73"/>
      <c r="VWW223" s="73"/>
      <c r="VWX223" s="73"/>
      <c r="VWY223" s="73"/>
      <c r="VWZ223" s="73"/>
      <c r="VXA223" s="73"/>
      <c r="VXB223" s="73"/>
      <c r="VXC223" s="73"/>
      <c r="VXD223" s="73"/>
      <c r="VXE223" s="73"/>
      <c r="VXF223" s="73"/>
      <c r="VXG223" s="73"/>
      <c r="VXH223" s="73"/>
      <c r="VXI223" s="73"/>
      <c r="VXJ223" s="73"/>
      <c r="VXK223" s="73"/>
      <c r="VXL223" s="73"/>
      <c r="VXM223" s="73"/>
      <c r="VXN223" s="73"/>
      <c r="VXO223" s="73"/>
      <c r="VXP223" s="73"/>
      <c r="VXQ223" s="73"/>
      <c r="VXR223" s="73"/>
      <c r="VXS223" s="73"/>
      <c r="VXT223" s="73"/>
      <c r="VXU223" s="73"/>
      <c r="VXV223" s="73"/>
      <c r="VXW223" s="73"/>
      <c r="VXX223" s="73"/>
      <c r="VXY223" s="73"/>
      <c r="VXZ223" s="73"/>
      <c r="VYA223" s="73"/>
      <c r="VYB223" s="73"/>
      <c r="VYC223" s="73"/>
      <c r="VYD223" s="73"/>
      <c r="VYE223" s="73"/>
      <c r="VYF223" s="73"/>
      <c r="VYG223" s="73"/>
      <c r="VYH223" s="73"/>
      <c r="VYI223" s="73"/>
      <c r="VYJ223" s="73"/>
      <c r="VYK223" s="73"/>
      <c r="VYL223" s="73"/>
      <c r="VYM223" s="73"/>
      <c r="VYN223" s="73"/>
      <c r="VYO223" s="73"/>
      <c r="VYP223" s="73"/>
      <c r="VYQ223" s="73"/>
      <c r="VYR223" s="73"/>
      <c r="VYS223" s="73"/>
      <c r="VYT223" s="73"/>
      <c r="VYU223" s="73"/>
      <c r="VYV223" s="73"/>
      <c r="VYW223" s="73"/>
      <c r="VYX223" s="73"/>
      <c r="VYY223" s="73"/>
      <c r="VYZ223" s="73"/>
      <c r="VZA223" s="73"/>
      <c r="VZB223" s="73"/>
      <c r="VZC223" s="73"/>
      <c r="VZD223" s="73"/>
      <c r="VZE223" s="73"/>
      <c r="VZF223" s="73"/>
      <c r="VZG223" s="73"/>
      <c r="VZH223" s="73"/>
      <c r="VZI223" s="73"/>
      <c r="VZJ223" s="73"/>
      <c r="VZK223" s="73"/>
      <c r="VZL223" s="73"/>
      <c r="VZM223" s="73"/>
      <c r="VZN223" s="73"/>
      <c r="VZO223" s="73"/>
      <c r="VZP223" s="73"/>
      <c r="VZQ223" s="73"/>
      <c r="VZR223" s="73"/>
      <c r="VZS223" s="73"/>
      <c r="VZT223" s="73"/>
      <c r="VZU223" s="73"/>
      <c r="VZV223" s="73"/>
      <c r="VZW223" s="73"/>
      <c r="VZX223" s="73"/>
      <c r="VZY223" s="73"/>
      <c r="VZZ223" s="73"/>
      <c r="WAA223" s="73"/>
      <c r="WAB223" s="73"/>
      <c r="WAC223" s="73"/>
      <c r="WAD223" s="73"/>
      <c r="WAE223" s="73"/>
      <c r="WAF223" s="73"/>
      <c r="WAG223" s="73"/>
      <c r="WAH223" s="73"/>
      <c r="WAI223" s="73"/>
      <c r="WAJ223" s="73"/>
      <c r="WAK223" s="73"/>
      <c r="WAL223" s="73"/>
      <c r="WAM223" s="73"/>
      <c r="WAN223" s="73"/>
      <c r="WAO223" s="73"/>
      <c r="WAP223" s="73"/>
      <c r="WAQ223" s="73"/>
      <c r="WAR223" s="73"/>
      <c r="WAS223" s="73"/>
      <c r="WAT223" s="73"/>
      <c r="WAU223" s="73"/>
      <c r="WAV223" s="73"/>
      <c r="WAW223" s="73"/>
      <c r="WAX223" s="73"/>
      <c r="WAY223" s="73"/>
      <c r="WAZ223" s="73"/>
      <c r="WBA223" s="73"/>
      <c r="WBB223" s="73"/>
      <c r="WBC223" s="73"/>
      <c r="WBD223" s="73"/>
      <c r="WBE223" s="73"/>
      <c r="WBF223" s="73"/>
      <c r="WBG223" s="73"/>
      <c r="WBH223" s="73"/>
      <c r="WBI223" s="73"/>
      <c r="WBJ223" s="73"/>
      <c r="WBK223" s="73"/>
      <c r="WBL223" s="73"/>
      <c r="WBM223" s="73"/>
      <c r="WBN223" s="73"/>
      <c r="WBO223" s="73"/>
      <c r="WBP223" s="73"/>
      <c r="WBQ223" s="73"/>
      <c r="WBR223" s="73"/>
      <c r="WBS223" s="73"/>
      <c r="WBT223" s="73"/>
      <c r="WBU223" s="73"/>
      <c r="WBV223" s="73"/>
      <c r="WBW223" s="73"/>
      <c r="WBX223" s="73"/>
      <c r="WBY223" s="73"/>
      <c r="WBZ223" s="73"/>
      <c r="WCA223" s="73"/>
      <c r="WCB223" s="73"/>
      <c r="WCC223" s="73"/>
      <c r="WCD223" s="73"/>
      <c r="WCE223" s="73"/>
      <c r="WCF223" s="73"/>
      <c r="WCG223" s="73"/>
      <c r="WCH223" s="73"/>
      <c r="WCI223" s="73"/>
      <c r="WCJ223" s="73"/>
      <c r="WCK223" s="73"/>
      <c r="WCL223" s="73"/>
      <c r="WCM223" s="73"/>
      <c r="WCN223" s="73"/>
      <c r="WCO223" s="73"/>
      <c r="WCP223" s="73"/>
      <c r="WCQ223" s="73"/>
      <c r="WCR223" s="73"/>
      <c r="WCS223" s="73"/>
      <c r="WCT223" s="73"/>
      <c r="WCU223" s="73"/>
      <c r="WCV223" s="73"/>
      <c r="WCW223" s="73"/>
      <c r="WCX223" s="73"/>
      <c r="WCY223" s="73"/>
      <c r="WCZ223" s="73"/>
      <c r="WDA223" s="73"/>
      <c r="WDB223" s="73"/>
      <c r="WDC223" s="73"/>
      <c r="WDD223" s="73"/>
      <c r="WDE223" s="73"/>
      <c r="WDF223" s="73"/>
      <c r="WDG223" s="73"/>
      <c r="WDH223" s="73"/>
      <c r="WDI223" s="73"/>
      <c r="WDJ223" s="73"/>
      <c r="WDK223" s="73"/>
      <c r="WDL223" s="73"/>
      <c r="WDM223" s="73"/>
      <c r="WDN223" s="73"/>
      <c r="WDO223" s="73"/>
      <c r="WDP223" s="73"/>
      <c r="WDQ223" s="73"/>
      <c r="WDR223" s="73"/>
      <c r="WDS223" s="73"/>
      <c r="WDT223" s="73"/>
      <c r="WDU223" s="73"/>
      <c r="WDV223" s="73"/>
      <c r="WDW223" s="73"/>
      <c r="WDX223" s="73"/>
      <c r="WDY223" s="73"/>
      <c r="WDZ223" s="73"/>
      <c r="WEA223" s="73"/>
      <c r="WEB223" s="73"/>
      <c r="WEC223" s="73"/>
      <c r="WED223" s="73"/>
      <c r="WEE223" s="73"/>
      <c r="WEF223" s="73"/>
      <c r="WEG223" s="73"/>
      <c r="WEH223" s="73"/>
      <c r="WEI223" s="73"/>
      <c r="WEJ223" s="73"/>
      <c r="WEK223" s="73"/>
      <c r="WEL223" s="73"/>
      <c r="WEM223" s="73"/>
      <c r="WEN223" s="73"/>
      <c r="WEO223" s="73"/>
      <c r="WEP223" s="73"/>
      <c r="WEQ223" s="73"/>
      <c r="WER223" s="73"/>
      <c r="WES223" s="73"/>
      <c r="WET223" s="73"/>
      <c r="WEU223" s="73"/>
      <c r="WEV223" s="73"/>
      <c r="WEW223" s="73"/>
      <c r="WEX223" s="73"/>
      <c r="WEY223" s="73"/>
      <c r="WEZ223" s="73"/>
      <c r="WFA223" s="73"/>
      <c r="WFB223" s="73"/>
      <c r="WFC223" s="73"/>
      <c r="WFD223" s="73"/>
      <c r="WFE223" s="73"/>
      <c r="WFF223" s="73"/>
      <c r="WFG223" s="73"/>
      <c r="WFH223" s="73"/>
      <c r="WFI223" s="73"/>
      <c r="WFJ223" s="73"/>
      <c r="WFK223" s="73"/>
      <c r="WFL223" s="73"/>
      <c r="WFM223" s="73"/>
      <c r="WFN223" s="73"/>
      <c r="WFO223" s="73"/>
      <c r="WFP223" s="73"/>
      <c r="WFQ223" s="73"/>
      <c r="WFR223" s="73"/>
      <c r="WFS223" s="73"/>
      <c r="WFT223" s="73"/>
      <c r="WFU223" s="73"/>
      <c r="WFV223" s="73"/>
      <c r="WFW223" s="73"/>
      <c r="WFX223" s="73"/>
      <c r="WFY223" s="73"/>
      <c r="WFZ223" s="73"/>
      <c r="WGA223" s="73"/>
      <c r="WGB223" s="73"/>
      <c r="WGC223" s="73"/>
      <c r="WGD223" s="73"/>
      <c r="WGE223" s="73"/>
      <c r="WGF223" s="73"/>
      <c r="WGG223" s="73"/>
      <c r="WGH223" s="73"/>
      <c r="WGI223" s="73"/>
      <c r="WGJ223" s="73"/>
      <c r="WGK223" s="73"/>
      <c r="WGL223" s="73"/>
      <c r="WGM223" s="73"/>
      <c r="WGN223" s="73"/>
      <c r="WGO223" s="73"/>
      <c r="WGP223" s="73"/>
      <c r="WGQ223" s="73"/>
      <c r="WGR223" s="73"/>
      <c r="WGS223" s="73"/>
      <c r="WGT223" s="73"/>
      <c r="WGU223" s="73"/>
      <c r="WGV223" s="73"/>
      <c r="WGW223" s="73"/>
      <c r="WGX223" s="73"/>
      <c r="WGY223" s="73"/>
      <c r="WGZ223" s="73"/>
      <c r="WHA223" s="73"/>
      <c r="WHB223" s="73"/>
      <c r="WHC223" s="73"/>
      <c r="WHD223" s="73"/>
      <c r="WHE223" s="73"/>
      <c r="WHF223" s="73"/>
      <c r="WHG223" s="73"/>
      <c r="WHH223" s="73"/>
      <c r="WHI223" s="73"/>
      <c r="WHJ223" s="73"/>
      <c r="WHK223" s="73"/>
      <c r="WHL223" s="73"/>
      <c r="WHM223" s="73"/>
      <c r="WHN223" s="73"/>
      <c r="WHO223" s="73"/>
      <c r="WHP223" s="73"/>
      <c r="WHQ223" s="73"/>
      <c r="WHR223" s="73"/>
      <c r="WHS223" s="73"/>
      <c r="WHT223" s="73"/>
      <c r="WHU223" s="73"/>
      <c r="WHV223" s="73"/>
      <c r="WHW223" s="73"/>
      <c r="WHX223" s="73"/>
      <c r="WHY223" s="73"/>
      <c r="WHZ223" s="73"/>
      <c r="WIA223" s="73"/>
      <c r="WIB223" s="73"/>
      <c r="WIC223" s="73"/>
      <c r="WID223" s="73"/>
      <c r="WIE223" s="73"/>
      <c r="WIF223" s="73"/>
      <c r="WIG223" s="73"/>
      <c r="WIH223" s="73"/>
      <c r="WII223" s="73"/>
      <c r="WIJ223" s="73"/>
      <c r="WIK223" s="73"/>
      <c r="WIL223" s="73"/>
      <c r="WIM223" s="73"/>
      <c r="WIN223" s="73"/>
      <c r="WIO223" s="73"/>
      <c r="WIP223" s="73"/>
      <c r="WIQ223" s="73"/>
      <c r="WIR223" s="73"/>
      <c r="WIS223" s="73"/>
      <c r="WIT223" s="73"/>
      <c r="WIU223" s="73"/>
      <c r="WIV223" s="73"/>
      <c r="WIW223" s="73"/>
      <c r="WIX223" s="73"/>
      <c r="WIY223" s="73"/>
      <c r="WIZ223" s="73"/>
      <c r="WJA223" s="73"/>
      <c r="WJB223" s="73"/>
      <c r="WJC223" s="73"/>
      <c r="WJD223" s="73"/>
      <c r="WJE223" s="73"/>
      <c r="WJF223" s="73"/>
      <c r="WJG223" s="73"/>
      <c r="WJH223" s="73"/>
      <c r="WJI223" s="73"/>
      <c r="WJJ223" s="73"/>
      <c r="WJK223" s="73"/>
      <c r="WJL223" s="73"/>
      <c r="WJM223" s="73"/>
      <c r="WJN223" s="73"/>
      <c r="WJO223" s="73"/>
      <c r="WJP223" s="73"/>
      <c r="WJQ223" s="73"/>
      <c r="WJR223" s="73"/>
      <c r="WJS223" s="73"/>
      <c r="WJT223" s="73"/>
      <c r="WJU223" s="73"/>
      <c r="WJV223" s="73"/>
      <c r="WJW223" s="73"/>
      <c r="WJX223" s="73"/>
      <c r="WJY223" s="73"/>
      <c r="WJZ223" s="73"/>
      <c r="WKA223" s="73"/>
      <c r="WKB223" s="73"/>
      <c r="WKC223" s="73"/>
      <c r="WKD223" s="73"/>
      <c r="WKE223" s="73"/>
      <c r="WKF223" s="73"/>
      <c r="WKG223" s="73"/>
      <c r="WKH223" s="73"/>
      <c r="WKI223" s="73"/>
      <c r="WKJ223" s="73"/>
      <c r="WKK223" s="73"/>
      <c r="WKL223" s="73"/>
      <c r="WKM223" s="73"/>
      <c r="WKN223" s="73"/>
      <c r="WKO223" s="73"/>
      <c r="WKP223" s="73"/>
      <c r="WKQ223" s="73"/>
      <c r="WKR223" s="73"/>
      <c r="WKS223" s="73"/>
      <c r="WKT223" s="73"/>
      <c r="WKU223" s="73"/>
      <c r="WKV223" s="73"/>
      <c r="WKW223" s="73"/>
      <c r="WKX223" s="73"/>
      <c r="WKY223" s="73"/>
      <c r="WKZ223" s="73"/>
      <c r="WLA223" s="73"/>
      <c r="WLB223" s="73"/>
      <c r="WLC223" s="73"/>
      <c r="WLD223" s="73"/>
      <c r="WLE223" s="73"/>
      <c r="WLF223" s="73"/>
      <c r="WLG223" s="73"/>
      <c r="WLH223" s="73"/>
      <c r="WLI223" s="73"/>
      <c r="WLJ223" s="73"/>
      <c r="WLK223" s="73"/>
      <c r="WLL223" s="73"/>
      <c r="WLM223" s="73"/>
      <c r="WLN223" s="73"/>
      <c r="WLO223" s="73"/>
      <c r="WLP223" s="73"/>
      <c r="WLQ223" s="73"/>
      <c r="WLR223" s="73"/>
      <c r="WLS223" s="73"/>
      <c r="WLT223" s="73"/>
      <c r="WLU223" s="73"/>
      <c r="WLV223" s="73"/>
      <c r="WLW223" s="73"/>
      <c r="WLX223" s="73"/>
      <c r="WLY223" s="73"/>
      <c r="WLZ223" s="73"/>
      <c r="WMA223" s="73"/>
      <c r="WMB223" s="73"/>
      <c r="WMC223" s="73"/>
      <c r="WMD223" s="73"/>
      <c r="WME223" s="73"/>
      <c r="WMF223" s="73"/>
      <c r="WMG223" s="73"/>
      <c r="WMH223" s="73"/>
      <c r="WMI223" s="73"/>
      <c r="WMJ223" s="73"/>
      <c r="WMK223" s="73"/>
      <c r="WML223" s="73"/>
      <c r="WMM223" s="73"/>
      <c r="WMN223" s="73"/>
      <c r="WMO223" s="73"/>
      <c r="WMP223" s="73"/>
      <c r="WMQ223" s="73"/>
      <c r="WMR223" s="73"/>
      <c r="WMS223" s="73"/>
      <c r="WMT223" s="73"/>
      <c r="WMU223" s="73"/>
      <c r="WMV223" s="73"/>
      <c r="WMW223" s="73"/>
      <c r="WMX223" s="73"/>
      <c r="WMY223" s="73"/>
      <c r="WMZ223" s="73"/>
      <c r="WNA223" s="73"/>
      <c r="WNB223" s="73"/>
      <c r="WNC223" s="73"/>
      <c r="WND223" s="73"/>
      <c r="WNE223" s="73"/>
      <c r="WNF223" s="73"/>
      <c r="WNG223" s="73"/>
      <c r="WNH223" s="73"/>
      <c r="WNI223" s="73"/>
      <c r="WNJ223" s="73"/>
      <c r="WNK223" s="73"/>
      <c r="WNL223" s="73"/>
      <c r="WNM223" s="73"/>
      <c r="WNN223" s="73"/>
      <c r="WNO223" s="73"/>
      <c r="WNP223" s="73"/>
      <c r="WNQ223" s="73"/>
      <c r="WNR223" s="73"/>
      <c r="WNS223" s="73"/>
      <c r="WNT223" s="73"/>
      <c r="WNU223" s="73"/>
      <c r="WNV223" s="73"/>
      <c r="WNW223" s="73"/>
      <c r="WNX223" s="73"/>
      <c r="WNY223" s="73"/>
      <c r="WNZ223" s="73"/>
      <c r="WOA223" s="73"/>
      <c r="WOB223" s="73"/>
      <c r="WOC223" s="73"/>
      <c r="WOD223" s="73"/>
      <c r="WOE223" s="73"/>
      <c r="WOF223" s="73"/>
      <c r="WOG223" s="73"/>
      <c r="WOH223" s="73"/>
      <c r="WOI223" s="73"/>
      <c r="WOJ223" s="73"/>
      <c r="WOK223" s="73"/>
      <c r="WOL223" s="73"/>
      <c r="WOM223" s="73"/>
      <c r="WON223" s="73"/>
      <c r="WOO223" s="73"/>
      <c r="WOP223" s="73"/>
      <c r="WOQ223" s="73"/>
      <c r="WOR223" s="73"/>
      <c r="WOS223" s="73"/>
      <c r="WOT223" s="73"/>
      <c r="WOU223" s="73"/>
      <c r="WOV223" s="73"/>
      <c r="WOW223" s="73"/>
      <c r="WOX223" s="73"/>
      <c r="WOY223" s="73"/>
      <c r="WOZ223" s="73"/>
      <c r="WPA223" s="73"/>
      <c r="WPB223" s="73"/>
      <c r="WPC223" s="73"/>
      <c r="WPD223" s="73"/>
      <c r="WPE223" s="73"/>
      <c r="WPF223" s="73"/>
      <c r="WPG223" s="73"/>
      <c r="WPH223" s="73"/>
      <c r="WPI223" s="73"/>
      <c r="WPJ223" s="73"/>
      <c r="WPK223" s="73"/>
      <c r="WPL223" s="73"/>
      <c r="WPM223" s="73"/>
      <c r="WPN223" s="73"/>
      <c r="WPO223" s="73"/>
      <c r="WPP223" s="73"/>
      <c r="WPQ223" s="73"/>
      <c r="WPR223" s="73"/>
      <c r="WPS223" s="73"/>
      <c r="WPT223" s="73"/>
      <c r="WPU223" s="73"/>
      <c r="WPV223" s="73"/>
      <c r="WPW223" s="73"/>
      <c r="WPX223" s="73"/>
      <c r="WPY223" s="73"/>
      <c r="WPZ223" s="73"/>
      <c r="WQA223" s="73"/>
      <c r="WQB223" s="73"/>
      <c r="WQC223" s="73"/>
      <c r="WQD223" s="73"/>
      <c r="WQE223" s="73"/>
      <c r="WQF223" s="73"/>
      <c r="WQG223" s="73"/>
      <c r="WQH223" s="73"/>
      <c r="WQI223" s="73"/>
      <c r="WQJ223" s="73"/>
      <c r="WQK223" s="73"/>
      <c r="WQL223" s="73"/>
      <c r="WQM223" s="73"/>
      <c r="WQN223" s="73"/>
      <c r="WQO223" s="73"/>
      <c r="WQP223" s="73"/>
      <c r="WQQ223" s="73"/>
      <c r="WQR223" s="73"/>
      <c r="WQS223" s="73"/>
      <c r="WQT223" s="73"/>
      <c r="WQU223" s="73"/>
      <c r="WQV223" s="73"/>
      <c r="WQW223" s="73"/>
      <c r="WQX223" s="73"/>
      <c r="WQY223" s="73"/>
      <c r="WQZ223" s="73"/>
      <c r="WRA223" s="73"/>
      <c r="WRB223" s="73"/>
      <c r="WRC223" s="73"/>
      <c r="WRD223" s="73"/>
      <c r="WRE223" s="73"/>
      <c r="WRF223" s="73"/>
      <c r="WRG223" s="73"/>
      <c r="WRH223" s="73"/>
      <c r="WRI223" s="73"/>
      <c r="WRJ223" s="73"/>
      <c r="WRK223" s="73"/>
      <c r="WRL223" s="73"/>
      <c r="WRM223" s="73"/>
      <c r="WRN223" s="73"/>
      <c r="WRO223" s="73"/>
      <c r="WRP223" s="73"/>
      <c r="WRQ223" s="73"/>
      <c r="WRR223" s="73"/>
      <c r="WRS223" s="73"/>
      <c r="WRT223" s="73"/>
      <c r="WRU223" s="73"/>
      <c r="WRV223" s="73"/>
      <c r="WRW223" s="73"/>
      <c r="WRX223" s="73"/>
      <c r="WRY223" s="73"/>
      <c r="WRZ223" s="73"/>
      <c r="WSA223" s="73"/>
      <c r="WSB223" s="73"/>
      <c r="WSC223" s="73"/>
      <c r="WSD223" s="73"/>
      <c r="WSE223" s="73"/>
      <c r="WSF223" s="73"/>
      <c r="WSG223" s="73"/>
      <c r="WSH223" s="73"/>
      <c r="WSI223" s="73"/>
      <c r="WSJ223" s="73"/>
      <c r="WSK223" s="73"/>
      <c r="WSL223" s="73"/>
      <c r="WSM223" s="73"/>
      <c r="WSN223" s="73"/>
      <c r="WSO223" s="73"/>
      <c r="WSP223" s="73"/>
      <c r="WSQ223" s="73"/>
      <c r="WSR223" s="73"/>
      <c r="WSS223" s="73"/>
      <c r="WST223" s="73"/>
      <c r="WSU223" s="73"/>
      <c r="WSV223" s="73"/>
      <c r="WSW223" s="73"/>
      <c r="WSX223" s="73"/>
      <c r="WSY223" s="73"/>
      <c r="WSZ223" s="73"/>
      <c r="WTA223" s="73"/>
      <c r="WTB223" s="73"/>
      <c r="WTC223" s="73"/>
      <c r="WTD223" s="73"/>
      <c r="WTE223" s="73"/>
      <c r="WTF223" s="73"/>
      <c r="WTG223" s="73"/>
      <c r="WTH223" s="73"/>
      <c r="WTI223" s="73"/>
      <c r="WTJ223" s="73"/>
      <c r="WTK223" s="73"/>
      <c r="WTL223" s="73"/>
      <c r="WTM223" s="73"/>
      <c r="WTN223" s="73"/>
      <c r="WTO223" s="73"/>
      <c r="WTP223" s="73"/>
      <c r="WTQ223" s="73"/>
      <c r="WTR223" s="73"/>
      <c r="WTS223" s="73"/>
      <c r="WTT223" s="73"/>
      <c r="WTU223" s="73"/>
      <c r="WTV223" s="73"/>
      <c r="WTW223" s="73"/>
      <c r="WTX223" s="73"/>
      <c r="WTY223" s="73"/>
      <c r="WTZ223" s="73"/>
      <c r="WUA223" s="73"/>
      <c r="WUB223" s="73"/>
      <c r="WUC223" s="73"/>
      <c r="WUD223" s="73"/>
      <c r="WUE223" s="73"/>
      <c r="WUF223" s="73"/>
      <c r="WUG223" s="73"/>
      <c r="WUH223" s="73"/>
      <c r="WUI223" s="73"/>
      <c r="WUJ223" s="73"/>
      <c r="WUK223" s="73"/>
      <c r="WUL223" s="73"/>
      <c r="WUM223" s="73"/>
      <c r="WUN223" s="73"/>
      <c r="WUO223" s="73"/>
      <c r="WUP223" s="73"/>
      <c r="WUQ223" s="73"/>
      <c r="WUR223" s="73"/>
      <c r="WUS223" s="73"/>
      <c r="WUT223" s="73"/>
      <c r="WUU223" s="73"/>
      <c r="WUV223" s="73"/>
      <c r="WUW223" s="73"/>
      <c r="WUX223" s="73"/>
      <c r="WUY223" s="73"/>
      <c r="WUZ223" s="73"/>
      <c r="WVA223" s="73"/>
      <c r="WVB223" s="73"/>
      <c r="WVC223" s="73"/>
      <c r="WVD223" s="73"/>
      <c r="WVE223" s="73"/>
      <c r="WVF223" s="73"/>
      <c r="WVG223" s="73"/>
      <c r="WVH223" s="73"/>
      <c r="WVI223" s="73"/>
      <c r="WVJ223" s="73"/>
      <c r="WVK223" s="73"/>
      <c r="WVL223" s="73"/>
      <c r="WVM223" s="73"/>
      <c r="WVN223" s="73"/>
      <c r="WVO223" s="73"/>
      <c r="WVP223" s="73"/>
      <c r="WVQ223" s="73"/>
      <c r="WVR223" s="73"/>
      <c r="WVS223" s="73"/>
      <c r="WVT223" s="73"/>
      <c r="WVU223" s="73"/>
      <c r="WVV223" s="73"/>
      <c r="WVW223" s="73"/>
      <c r="WVX223" s="73"/>
      <c r="WVY223" s="73"/>
      <c r="WVZ223" s="73"/>
      <c r="WWA223" s="73"/>
      <c r="WWB223" s="73"/>
      <c r="WWC223" s="73"/>
      <c r="WWD223" s="73"/>
      <c r="WWE223" s="73"/>
      <c r="WWF223" s="73"/>
      <c r="WWG223" s="73"/>
      <c r="WWH223" s="73"/>
      <c r="WWI223" s="73"/>
      <c r="WWJ223" s="73"/>
      <c r="WWK223" s="73"/>
      <c r="WWL223" s="73"/>
      <c r="WWM223" s="73"/>
      <c r="WWN223" s="73"/>
      <c r="WWO223" s="73"/>
      <c r="WWP223" s="73"/>
      <c r="WWQ223" s="73"/>
      <c r="WWR223" s="73"/>
      <c r="WWS223" s="73"/>
      <c r="WWT223" s="73"/>
      <c r="WWU223" s="73"/>
      <c r="WWV223" s="73"/>
      <c r="WWW223" s="73"/>
      <c r="WWX223" s="73"/>
      <c r="WWY223" s="73"/>
      <c r="WWZ223" s="73"/>
      <c r="WXA223" s="73"/>
      <c r="WXB223" s="73"/>
      <c r="WXC223" s="73"/>
      <c r="WXD223" s="73"/>
      <c r="WXE223" s="73"/>
      <c r="WXF223" s="73"/>
      <c r="WXG223" s="73"/>
      <c r="WXH223" s="73"/>
      <c r="WXI223" s="73"/>
      <c r="WXJ223" s="73"/>
      <c r="WXK223" s="73"/>
      <c r="WXL223" s="73"/>
      <c r="WXM223" s="73"/>
      <c r="WXN223" s="73"/>
      <c r="WXO223" s="73"/>
      <c r="WXP223" s="73"/>
      <c r="WXQ223" s="73"/>
      <c r="WXR223" s="73"/>
      <c r="WXS223" s="73"/>
      <c r="WXT223" s="73"/>
      <c r="WXU223" s="73"/>
      <c r="WXV223" s="73"/>
      <c r="WXW223" s="73"/>
      <c r="WXX223" s="73"/>
      <c r="WXY223" s="73"/>
      <c r="WXZ223" s="73"/>
      <c r="WYA223" s="73"/>
      <c r="WYB223" s="73"/>
      <c r="WYC223" s="73"/>
      <c r="WYD223" s="73"/>
      <c r="WYE223" s="73"/>
      <c r="WYF223" s="73"/>
      <c r="WYG223" s="73"/>
      <c r="WYH223" s="73"/>
      <c r="WYI223" s="73"/>
      <c r="WYJ223" s="73"/>
      <c r="WYK223" s="73"/>
      <c r="WYL223" s="73"/>
      <c r="WYM223" s="73"/>
      <c r="WYN223" s="73"/>
      <c r="WYO223" s="73"/>
      <c r="WYP223" s="73"/>
      <c r="WYQ223" s="73"/>
      <c r="WYR223" s="73"/>
      <c r="WYS223" s="73"/>
      <c r="WYT223" s="73"/>
      <c r="WYU223" s="73"/>
      <c r="WYV223" s="73"/>
      <c r="WYW223" s="73"/>
      <c r="WYX223" s="73"/>
      <c r="WYY223" s="73"/>
      <c r="WYZ223" s="73"/>
      <c r="WZA223" s="73"/>
      <c r="WZB223" s="73"/>
      <c r="WZC223" s="73"/>
      <c r="WZD223" s="73"/>
      <c r="WZE223" s="73"/>
      <c r="WZF223" s="73"/>
      <c r="WZG223" s="73"/>
      <c r="WZH223" s="73"/>
      <c r="WZI223" s="73"/>
      <c r="WZJ223" s="73"/>
      <c r="WZK223" s="73"/>
      <c r="WZL223" s="73"/>
      <c r="WZM223" s="73"/>
      <c r="WZN223" s="73"/>
      <c r="WZO223" s="73"/>
      <c r="WZP223" s="73"/>
      <c r="WZQ223" s="73"/>
      <c r="WZR223" s="73"/>
      <c r="WZS223" s="73"/>
      <c r="WZT223" s="73"/>
      <c r="WZU223" s="73"/>
      <c r="WZV223" s="73"/>
      <c r="WZW223" s="73"/>
      <c r="WZX223" s="73"/>
      <c r="WZY223" s="73"/>
      <c r="WZZ223" s="73"/>
      <c r="XAA223" s="73"/>
      <c r="XAB223" s="73"/>
      <c r="XAC223" s="73"/>
      <c r="XAD223" s="73"/>
      <c r="XAE223" s="73"/>
      <c r="XAF223" s="73"/>
      <c r="XAG223" s="73"/>
      <c r="XAH223" s="73"/>
      <c r="XAI223" s="73"/>
      <c r="XAJ223" s="73"/>
      <c r="XAK223" s="73"/>
      <c r="XAL223" s="73"/>
      <c r="XAM223" s="73"/>
      <c r="XAN223" s="73"/>
      <c r="XAO223" s="73"/>
      <c r="XAP223" s="73"/>
      <c r="XAQ223" s="73"/>
      <c r="XAR223" s="73"/>
      <c r="XAS223" s="73"/>
      <c r="XAT223" s="73"/>
      <c r="XAU223" s="73"/>
      <c r="XAV223" s="73"/>
      <c r="XAW223" s="73"/>
      <c r="XAX223" s="73"/>
      <c r="XAY223" s="73"/>
      <c r="XAZ223" s="73"/>
      <c r="XBA223" s="73"/>
      <c r="XBB223" s="73"/>
      <c r="XBC223" s="73"/>
      <c r="XBD223" s="73"/>
      <c r="XBE223" s="73"/>
      <c r="XBF223" s="73"/>
      <c r="XBG223" s="73"/>
      <c r="XBH223" s="73"/>
      <c r="XBI223" s="73"/>
      <c r="XBJ223" s="73"/>
      <c r="XBK223" s="73"/>
      <c r="XBL223" s="73"/>
      <c r="XBM223" s="73"/>
      <c r="XBN223" s="73"/>
      <c r="XBO223" s="73"/>
      <c r="XBP223" s="73"/>
      <c r="XBQ223" s="73"/>
      <c r="XBR223" s="73"/>
      <c r="XBS223" s="73"/>
      <c r="XBT223" s="73"/>
      <c r="XBU223" s="73"/>
      <c r="XBV223" s="73"/>
      <c r="XBW223" s="73"/>
      <c r="XBX223" s="73"/>
      <c r="XBY223" s="73"/>
      <c r="XBZ223" s="73"/>
      <c r="XCA223" s="73"/>
      <c r="XCB223" s="73"/>
      <c r="XCC223" s="73"/>
      <c r="XCD223" s="73"/>
      <c r="XCE223" s="73"/>
      <c r="XCF223" s="73"/>
      <c r="XCG223" s="73"/>
      <c r="XCH223" s="73"/>
      <c r="XCI223" s="73"/>
      <c r="XCJ223" s="73"/>
      <c r="XCK223" s="73"/>
      <c r="XCL223" s="73"/>
      <c r="XCM223" s="73"/>
      <c r="XCN223" s="73"/>
      <c r="XCO223" s="73"/>
      <c r="XCP223" s="73"/>
      <c r="XCQ223" s="73"/>
      <c r="XCR223" s="73"/>
      <c r="XCS223" s="73"/>
      <c r="XCT223" s="73"/>
      <c r="XCU223" s="73"/>
      <c r="XCV223" s="73"/>
      <c r="XCW223" s="73"/>
      <c r="XCX223" s="73"/>
      <c r="XCY223" s="73"/>
      <c r="XCZ223" s="73"/>
      <c r="XDA223" s="73"/>
      <c r="XDB223" s="73"/>
      <c r="XDC223" s="73"/>
      <c r="XDD223" s="73"/>
      <c r="XDE223" s="73"/>
      <c r="XDF223" s="73"/>
      <c r="XDG223" s="73"/>
      <c r="XDH223" s="73"/>
      <c r="XDI223" s="73"/>
      <c r="XDJ223" s="73"/>
      <c r="XDK223" s="73"/>
      <c r="XDL223" s="73"/>
      <c r="XDM223" s="73"/>
      <c r="XDN223" s="73"/>
      <c r="XDO223" s="73"/>
      <c r="XDP223" s="73"/>
      <c r="XDQ223" s="73"/>
      <c r="XDR223" s="73"/>
      <c r="XDS223" s="73"/>
      <c r="XDT223" s="73"/>
      <c r="XDU223" s="73"/>
      <c r="XDV223" s="73"/>
      <c r="XDW223" s="73"/>
      <c r="XDX223" s="73"/>
      <c r="XDY223" s="73"/>
      <c r="XDZ223" s="73"/>
      <c r="XEA223" s="73"/>
      <c r="XEB223" s="73"/>
      <c r="XEC223" s="73"/>
      <c r="XED223" s="73"/>
      <c r="XEE223" s="73"/>
      <c r="XEF223" s="73"/>
      <c r="XEG223" s="73"/>
      <c r="XEH223" s="73"/>
      <c r="XEI223" s="73"/>
      <c r="XEJ223" s="73"/>
      <c r="XEK223" s="73"/>
      <c r="XEL223" s="73"/>
      <c r="XEM223" s="73"/>
      <c r="XEN223" s="73"/>
      <c r="XEO223" s="73"/>
      <c r="XEP223" s="73"/>
      <c r="XEQ223" s="73"/>
      <c r="XER223" s="73"/>
      <c r="XES223" s="73"/>
      <c r="XET223" s="73"/>
      <c r="XEU223" s="73"/>
      <c r="XEV223" s="73"/>
      <c r="XEW223" s="73"/>
      <c r="XEX223" s="73"/>
      <c r="XEY223" s="73"/>
      <c r="XEZ223" s="73"/>
      <c r="XFA223" s="73"/>
      <c r="XFB223" s="73"/>
      <c r="XFC223" s="72"/>
      <c r="XFD223" s="72"/>
    </row>
    <row r="224" spans="1:16384" s="76" customFormat="1" x14ac:dyDescent="0.35">
      <c r="A224" s="88" t="s">
        <v>369</v>
      </c>
      <c r="B224" s="102" t="s">
        <v>0</v>
      </c>
      <c r="C224" s="102"/>
      <c r="D224" s="39"/>
      <c r="E224" s="39"/>
      <c r="F224" s="14" t="s">
        <v>73</v>
      </c>
      <c r="G224" s="14" t="s">
        <v>99</v>
      </c>
      <c r="H224" s="14" t="s">
        <v>122</v>
      </c>
      <c r="I224" s="14" t="s">
        <v>10</v>
      </c>
      <c r="J224" s="40" t="s">
        <v>11</v>
      </c>
      <c r="K224" s="40"/>
      <c r="L224" s="40"/>
      <c r="M224" s="41"/>
      <c r="N224" s="42">
        <v>1</v>
      </c>
      <c r="O224" s="43">
        <v>1200</v>
      </c>
      <c r="P224" s="44">
        <f>+O224*N224</f>
        <v>1200</v>
      </c>
      <c r="Q224" s="44"/>
      <c r="R224" s="44"/>
      <c r="S224" s="44"/>
      <c r="T224" s="43">
        <f>+P224+Q224+R224+S224</f>
        <v>1200</v>
      </c>
      <c r="U224" s="43"/>
      <c r="V224" s="41"/>
      <c r="W224" s="41"/>
      <c r="X224" s="41"/>
      <c r="Y224" s="73"/>
      <c r="AH224" s="73"/>
      <c r="AI224" s="73"/>
    </row>
    <row r="225" spans="1:35" s="76" customFormat="1" x14ac:dyDescent="0.35">
      <c r="A225" s="88" t="s">
        <v>376</v>
      </c>
      <c r="B225" s="14" t="s">
        <v>0</v>
      </c>
      <c r="C225" s="14"/>
      <c r="D225" s="39"/>
      <c r="E225" s="39"/>
      <c r="F225" s="14" t="s">
        <v>77</v>
      </c>
      <c r="G225" s="14" t="s">
        <v>99</v>
      </c>
      <c r="H225" s="14" t="s">
        <v>122</v>
      </c>
      <c r="I225" s="14" t="s">
        <v>10</v>
      </c>
      <c r="J225" s="40" t="s">
        <v>11</v>
      </c>
      <c r="K225" s="40"/>
      <c r="L225" s="40"/>
      <c r="M225" s="41"/>
      <c r="N225" s="42">
        <v>1</v>
      </c>
      <c r="O225" s="43">
        <f>1265000/1430</f>
        <v>884.61538461538464</v>
      </c>
      <c r="P225" s="44">
        <f>+O225*N225</f>
        <v>884.61538461538464</v>
      </c>
      <c r="Q225" s="44"/>
      <c r="R225" s="44"/>
      <c r="S225" s="44"/>
      <c r="T225" s="43">
        <f>+P225+Q225+R225+S225</f>
        <v>884.61538461538464</v>
      </c>
      <c r="U225" s="43"/>
      <c r="V225" s="41"/>
      <c r="W225" s="41"/>
      <c r="X225" s="41"/>
      <c r="Y225" s="90"/>
      <c r="Z225" s="90"/>
    </row>
    <row r="226" spans="1:35" x14ac:dyDescent="0.35">
      <c r="A226" s="88" t="s">
        <v>353</v>
      </c>
      <c r="B226" s="102" t="s">
        <v>0</v>
      </c>
      <c r="C226" s="102"/>
      <c r="D226" s="39"/>
      <c r="E226" s="39"/>
      <c r="F226" s="14" t="s">
        <v>378</v>
      </c>
      <c r="G226" s="14" t="s">
        <v>99</v>
      </c>
      <c r="H226" s="14" t="s">
        <v>122</v>
      </c>
      <c r="I226" s="14" t="s">
        <v>10</v>
      </c>
      <c r="J226" s="40" t="s">
        <v>11</v>
      </c>
      <c r="K226" s="40"/>
      <c r="L226" s="40"/>
      <c r="M226" s="41"/>
      <c r="N226" s="42">
        <v>1</v>
      </c>
      <c r="O226" s="47">
        <v>800</v>
      </c>
      <c r="P226" s="44">
        <f>+O226*N226</f>
        <v>800</v>
      </c>
      <c r="Q226" s="47"/>
      <c r="R226" s="47"/>
      <c r="S226" s="47"/>
      <c r="T226" s="43">
        <f>+P226+Q226+R226+S226</f>
        <v>800</v>
      </c>
      <c r="U226" s="43"/>
      <c r="V226" s="41"/>
      <c r="W226" s="41"/>
      <c r="X226" s="41"/>
      <c r="Y226" s="90"/>
      <c r="Z226" s="90"/>
      <c r="AA226" s="76"/>
      <c r="AB226" s="76"/>
      <c r="AC226" s="76"/>
      <c r="AD226" s="76"/>
      <c r="AE226" s="76"/>
      <c r="AF226" s="76"/>
      <c r="AG226" s="76"/>
      <c r="AH226" s="76"/>
      <c r="AI226" s="76"/>
    </row>
    <row r="227" spans="1:35" s="76" customFormat="1" x14ac:dyDescent="0.35">
      <c r="A227" s="88" t="s">
        <v>377</v>
      </c>
      <c r="B227" s="102" t="s">
        <v>0</v>
      </c>
      <c r="C227" s="102"/>
      <c r="D227" s="39"/>
      <c r="E227" s="39"/>
      <c r="F227" s="14" t="s">
        <v>80</v>
      </c>
      <c r="G227" s="14" t="s">
        <v>99</v>
      </c>
      <c r="H227" s="14" t="s">
        <v>122</v>
      </c>
      <c r="I227" s="14" t="s">
        <v>10</v>
      </c>
      <c r="J227" s="40" t="s">
        <v>11</v>
      </c>
      <c r="K227" s="40"/>
      <c r="L227" s="40"/>
      <c r="M227" s="41"/>
      <c r="N227" s="42">
        <v>1</v>
      </c>
      <c r="O227" s="43">
        <v>760</v>
      </c>
      <c r="P227" s="44">
        <f>+O227*N227</f>
        <v>760</v>
      </c>
      <c r="Q227" s="44"/>
      <c r="R227" s="44"/>
      <c r="S227" s="44"/>
      <c r="T227" s="43">
        <f>+P227+Q227+R227+S227</f>
        <v>760</v>
      </c>
      <c r="U227" s="43"/>
      <c r="V227" s="41"/>
      <c r="W227" s="41"/>
      <c r="X227" s="41"/>
      <c r="Y227" s="90"/>
      <c r="Z227" s="90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s="94" customFormat="1" x14ac:dyDescent="0.35">
      <c r="A228" s="88" t="s">
        <v>375</v>
      </c>
      <c r="B228" s="14" t="s">
        <v>0</v>
      </c>
      <c r="C228" s="14"/>
      <c r="D228" s="39"/>
      <c r="E228" s="39"/>
      <c r="F228" s="14" t="s">
        <v>76</v>
      </c>
      <c r="G228" s="14" t="s">
        <v>99</v>
      </c>
      <c r="H228" s="14" t="s">
        <v>122</v>
      </c>
      <c r="I228" s="14" t="s">
        <v>10</v>
      </c>
      <c r="J228" s="40" t="s">
        <v>11</v>
      </c>
      <c r="K228" s="40"/>
      <c r="L228" s="40"/>
      <c r="M228" s="41"/>
      <c r="N228" s="42">
        <v>1</v>
      </c>
      <c r="O228" s="43">
        <f>600000/1430</f>
        <v>419.58041958041957</v>
      </c>
      <c r="P228" s="44">
        <f>+O228*N228</f>
        <v>419.58041958041957</v>
      </c>
      <c r="Q228" s="44"/>
      <c r="R228" s="44"/>
      <c r="S228" s="44"/>
      <c r="T228" s="43">
        <f>+P228+Q228+R228+S228</f>
        <v>419.58041958041957</v>
      </c>
      <c r="U228" s="43"/>
      <c r="V228" s="41"/>
      <c r="W228" s="41"/>
      <c r="X228" s="41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</row>
    <row r="229" spans="1:35" s="90" customFormat="1" x14ac:dyDescent="0.35">
      <c r="A229" s="88" t="s">
        <v>367</v>
      </c>
      <c r="B229" s="102" t="s">
        <v>0</v>
      </c>
      <c r="C229" s="102"/>
      <c r="D229" s="39"/>
      <c r="E229" s="39"/>
      <c r="F229" s="14" t="s">
        <v>75</v>
      </c>
      <c r="G229" s="14" t="s">
        <v>99</v>
      </c>
      <c r="H229" s="14" t="s">
        <v>122</v>
      </c>
      <c r="I229" s="14" t="s">
        <v>10</v>
      </c>
      <c r="J229" s="40" t="s">
        <v>11</v>
      </c>
      <c r="K229" s="40"/>
      <c r="L229" s="40"/>
      <c r="M229" s="41"/>
      <c r="N229" s="42">
        <v>1</v>
      </c>
      <c r="O229" s="43">
        <f>500000/1430</f>
        <v>349.65034965034965</v>
      </c>
      <c r="P229" s="44">
        <f>+O229*N229</f>
        <v>349.65034965034965</v>
      </c>
      <c r="Q229" s="44"/>
      <c r="R229" s="44"/>
      <c r="S229" s="44"/>
      <c r="T229" s="43">
        <f>+P229+Q229+R229+S229</f>
        <v>349.65034965034965</v>
      </c>
      <c r="U229" s="43"/>
      <c r="V229" s="41"/>
      <c r="W229" s="41"/>
      <c r="X229" s="41"/>
      <c r="Y229" s="76"/>
      <c r="Z229" s="76"/>
      <c r="AA229" s="125"/>
      <c r="AB229" s="125"/>
      <c r="AC229" s="125"/>
      <c r="AD229" s="125"/>
      <c r="AE229" s="125"/>
      <c r="AF229" s="125"/>
      <c r="AG229" s="125"/>
      <c r="AH229" s="125"/>
      <c r="AI229" s="125"/>
    </row>
    <row r="230" spans="1:35" s="90" customFormat="1" x14ac:dyDescent="0.35">
      <c r="A230" s="39" t="s">
        <v>249</v>
      </c>
      <c r="B230" s="14" t="s">
        <v>420</v>
      </c>
      <c r="C230" s="14"/>
      <c r="D230" s="39"/>
      <c r="E230" s="39"/>
      <c r="F230" s="14" t="s">
        <v>76</v>
      </c>
      <c r="G230" s="14" t="s">
        <v>99</v>
      </c>
      <c r="H230" s="14" t="s">
        <v>122</v>
      </c>
      <c r="I230" s="14" t="s">
        <v>10</v>
      </c>
      <c r="J230" s="14" t="s">
        <v>11</v>
      </c>
      <c r="K230" s="40"/>
      <c r="L230" s="40"/>
      <c r="M230" s="41"/>
      <c r="N230" s="42">
        <v>1</v>
      </c>
      <c r="O230" s="47">
        <v>151953</v>
      </c>
      <c r="P230" s="43">
        <v>50000</v>
      </c>
      <c r="Q230" s="43">
        <v>50000</v>
      </c>
      <c r="R230" s="43">
        <v>51953</v>
      </c>
      <c r="S230" s="43"/>
      <c r="T230" s="43">
        <f>+P230+Q230+R230+S230</f>
        <v>151953</v>
      </c>
      <c r="U230" s="4"/>
      <c r="V230" s="4"/>
      <c r="W230" s="41" t="s">
        <v>328</v>
      </c>
      <c r="X230" s="41"/>
      <c r="Y230" s="4"/>
      <c r="Z230" s="4"/>
      <c r="AA230" s="125"/>
      <c r="AB230" s="125"/>
      <c r="AC230" s="125"/>
      <c r="AD230" s="125"/>
      <c r="AE230" s="125"/>
      <c r="AF230" s="125"/>
      <c r="AG230" s="125"/>
      <c r="AH230" s="125"/>
      <c r="AI230" s="125"/>
    </row>
    <row r="231" spans="1:35" s="76" customFormat="1" x14ac:dyDescent="0.35">
      <c r="A231" s="39" t="s">
        <v>309</v>
      </c>
      <c r="B231" s="14" t="s">
        <v>420</v>
      </c>
      <c r="C231" s="14"/>
      <c r="D231" s="39"/>
      <c r="E231" s="39"/>
      <c r="F231" s="14" t="s">
        <v>73</v>
      </c>
      <c r="G231" s="14" t="s">
        <v>99</v>
      </c>
      <c r="H231" s="14" t="s">
        <v>116</v>
      </c>
      <c r="I231" s="14" t="s">
        <v>116</v>
      </c>
      <c r="J231" s="40" t="s">
        <v>11</v>
      </c>
      <c r="K231" s="40"/>
      <c r="L231" s="40"/>
      <c r="M231" s="41"/>
      <c r="N231" s="42">
        <v>1</v>
      </c>
      <c r="O231" s="43">
        <f>2763845*12/1500</f>
        <v>22110.76</v>
      </c>
      <c r="P231" s="43">
        <f>2763845*3/1500</f>
        <v>5527.69</v>
      </c>
      <c r="Q231" s="43">
        <f>2763845*3/1500</f>
        <v>5527.69</v>
      </c>
      <c r="R231" s="43">
        <f>2763845*3/1500</f>
        <v>5527.69</v>
      </c>
      <c r="S231" s="43">
        <f>2763845*3/1500</f>
        <v>5527.69</v>
      </c>
      <c r="T231" s="43">
        <f>+P231+Q231+R231+S231</f>
        <v>22110.76</v>
      </c>
      <c r="W231" s="76" t="s">
        <v>437</v>
      </c>
      <c r="X231" s="73"/>
      <c r="Y231" s="4"/>
    </row>
    <row r="232" spans="1:35" s="76" customFormat="1" x14ac:dyDescent="0.35">
      <c r="A232" s="39" t="s">
        <v>305</v>
      </c>
      <c r="B232" s="101" t="s">
        <v>420</v>
      </c>
      <c r="C232" s="101"/>
      <c r="D232" s="39"/>
      <c r="E232" s="39"/>
      <c r="F232" s="14" t="s">
        <v>73</v>
      </c>
      <c r="G232" s="14" t="s">
        <v>99</v>
      </c>
      <c r="H232" s="14" t="s">
        <v>122</v>
      </c>
      <c r="I232" s="14" t="s">
        <v>10</v>
      </c>
      <c r="J232" s="40" t="s">
        <v>11</v>
      </c>
      <c r="K232" s="40"/>
      <c r="L232" s="40"/>
      <c r="M232" s="41"/>
      <c r="N232" s="42">
        <v>1</v>
      </c>
      <c r="O232" s="43">
        <v>12000</v>
      </c>
      <c r="P232" s="44">
        <v>3000</v>
      </c>
      <c r="Q232" s="44">
        <v>3000</v>
      </c>
      <c r="R232" s="44">
        <v>3000</v>
      </c>
      <c r="S232" s="44">
        <v>3000</v>
      </c>
      <c r="T232" s="43">
        <f>+P232+Q232+R232+S232</f>
        <v>12000</v>
      </c>
      <c r="U232" s="43"/>
      <c r="V232" s="41"/>
      <c r="W232" s="41"/>
      <c r="X232" s="41"/>
      <c r="Y232" s="4"/>
      <c r="Z232" s="4"/>
    </row>
    <row r="233" spans="1:35" s="76" customFormat="1" x14ac:dyDescent="0.35">
      <c r="A233" s="8" t="s">
        <v>125</v>
      </c>
      <c r="B233" s="1" t="s">
        <v>1</v>
      </c>
      <c r="C233" s="1"/>
      <c r="D233" s="8"/>
      <c r="E233" s="8"/>
      <c r="F233" s="1" t="s">
        <v>87</v>
      </c>
      <c r="G233" s="1" t="s">
        <v>99</v>
      </c>
      <c r="H233" s="1" t="s">
        <v>122</v>
      </c>
      <c r="I233" s="1" t="s">
        <v>10</v>
      </c>
      <c r="J233" s="6" t="s">
        <v>50</v>
      </c>
      <c r="K233" s="6"/>
      <c r="L233" s="6"/>
      <c r="M233" s="4"/>
      <c r="N233" s="3">
        <v>0.5</v>
      </c>
      <c r="O233" s="9">
        <v>1500000</v>
      </c>
      <c r="P233" s="10"/>
      <c r="Q233" s="10">
        <f>+O233*N233</f>
        <v>750000</v>
      </c>
      <c r="R233" s="10"/>
      <c r="S233" s="10"/>
      <c r="T233" s="10">
        <f>+P233+Q233+R233+S233</f>
        <v>750000</v>
      </c>
      <c r="U233" s="10"/>
      <c r="V233" s="4"/>
      <c r="W233" s="4"/>
      <c r="X233" s="4"/>
      <c r="Y233" s="4"/>
      <c r="Z233" s="4"/>
    </row>
    <row r="234" spans="1:35" s="76" customFormat="1" x14ac:dyDescent="0.35">
      <c r="A234" s="8" t="s">
        <v>333</v>
      </c>
      <c r="B234" s="1" t="s">
        <v>1</v>
      </c>
      <c r="C234" s="1"/>
      <c r="D234" s="8"/>
      <c r="E234" s="8"/>
      <c r="F234" s="1" t="s">
        <v>76</v>
      </c>
      <c r="G234" s="1" t="s">
        <v>99</v>
      </c>
      <c r="H234" s="1" t="s">
        <v>47</v>
      </c>
      <c r="I234" s="1" t="s">
        <v>27</v>
      </c>
      <c r="J234" s="6" t="s">
        <v>50</v>
      </c>
      <c r="K234" s="6"/>
      <c r="L234" s="6"/>
      <c r="M234" s="4"/>
      <c r="N234" s="3">
        <v>0.25</v>
      </c>
      <c r="O234" s="9">
        <v>250000</v>
      </c>
      <c r="P234" s="10"/>
      <c r="Q234" s="10">
        <f>+O234*N234</f>
        <v>62500</v>
      </c>
      <c r="R234" s="10"/>
      <c r="S234" s="10"/>
      <c r="T234" s="10">
        <f>+P234+Q234+R234+S234</f>
        <v>62500</v>
      </c>
      <c r="U234" s="10"/>
      <c r="V234" s="4"/>
      <c r="W234" s="4" t="s">
        <v>397</v>
      </c>
      <c r="X234" s="4"/>
      <c r="Y234" s="4"/>
      <c r="Z234" s="4"/>
    </row>
    <row r="235" spans="1:35" s="76" customFormat="1" x14ac:dyDescent="0.35">
      <c r="A235" s="54" t="s">
        <v>435</v>
      </c>
      <c r="B235" s="1" t="s">
        <v>1</v>
      </c>
      <c r="C235" s="1"/>
      <c r="D235" s="54"/>
      <c r="E235" s="54"/>
      <c r="F235" s="1" t="s">
        <v>77</v>
      </c>
      <c r="G235" s="1" t="s">
        <v>99</v>
      </c>
      <c r="H235" s="1" t="s">
        <v>122</v>
      </c>
      <c r="I235" s="1" t="s">
        <v>10</v>
      </c>
      <c r="J235" s="6" t="s">
        <v>50</v>
      </c>
      <c r="K235" s="46"/>
      <c r="L235" s="46"/>
      <c r="M235" s="72"/>
      <c r="N235" s="3">
        <v>0.25</v>
      </c>
      <c r="O235" s="9">
        <v>50000</v>
      </c>
      <c r="P235" s="10"/>
      <c r="Q235" s="10">
        <f>+O235*N235</f>
        <v>12500</v>
      </c>
      <c r="R235" s="10"/>
      <c r="S235" s="10"/>
      <c r="T235" s="10">
        <f>+P235+Q235+R235+S235</f>
        <v>12500</v>
      </c>
      <c r="U235" s="20"/>
      <c r="V235" s="60"/>
      <c r="W235" s="72" t="s">
        <v>436</v>
      </c>
      <c r="X235" s="72"/>
      <c r="Y235" s="4"/>
      <c r="Z235" s="41"/>
    </row>
    <row r="236" spans="1:35" s="125" customFormat="1" x14ac:dyDescent="0.35">
      <c r="A236" s="8" t="s">
        <v>462</v>
      </c>
      <c r="B236" s="1" t="s">
        <v>1</v>
      </c>
      <c r="C236" s="1"/>
      <c r="D236" s="8"/>
      <c r="E236" s="8"/>
      <c r="F236" s="1" t="s">
        <v>77</v>
      </c>
      <c r="G236" s="1" t="s">
        <v>99</v>
      </c>
      <c r="H236" s="1" t="s">
        <v>122</v>
      </c>
      <c r="I236" s="1" t="s">
        <v>10</v>
      </c>
      <c r="J236" s="6" t="s">
        <v>50</v>
      </c>
      <c r="K236" s="6"/>
      <c r="L236" s="6"/>
      <c r="M236" s="4"/>
      <c r="N236" s="3">
        <v>0.1</v>
      </c>
      <c r="O236" s="45">
        <v>100000</v>
      </c>
      <c r="P236" s="10"/>
      <c r="Q236" s="10"/>
      <c r="R236" s="10">
        <f>+O236*N236</f>
        <v>10000</v>
      </c>
      <c r="S236" s="10"/>
      <c r="T236" s="10">
        <f>+P236+Q236+R236+S236</f>
        <v>10000</v>
      </c>
      <c r="U236" s="10"/>
      <c r="V236" s="4"/>
      <c r="W236" s="4" t="s">
        <v>464</v>
      </c>
      <c r="X236" s="4"/>
      <c r="Y236" s="4"/>
      <c r="Z236" s="4"/>
      <c r="AA236" s="90"/>
    </row>
    <row r="237" spans="1:35" s="76" customFormat="1" x14ac:dyDescent="0.35">
      <c r="A237" s="89" t="s">
        <v>212</v>
      </c>
      <c r="B237" s="120" t="s">
        <v>1</v>
      </c>
      <c r="C237" s="120"/>
      <c r="D237" s="89"/>
      <c r="E237" s="89"/>
      <c r="F237" s="120" t="s">
        <v>80</v>
      </c>
      <c r="G237" s="120" t="s">
        <v>99</v>
      </c>
      <c r="H237" s="120" t="s">
        <v>122</v>
      </c>
      <c r="I237" s="120" t="s">
        <v>10</v>
      </c>
      <c r="J237" s="121" t="s">
        <v>51</v>
      </c>
      <c r="K237" s="121"/>
      <c r="L237" s="121"/>
      <c r="M237" s="90"/>
      <c r="N237" s="122">
        <v>1</v>
      </c>
      <c r="O237" s="124">
        <v>48000</v>
      </c>
      <c r="P237" s="124">
        <f>+O237*N237</f>
        <v>48000</v>
      </c>
      <c r="Q237" s="124"/>
      <c r="R237" s="124"/>
      <c r="S237" s="124"/>
      <c r="T237" s="124">
        <f>+P237+Q237+R237+S237</f>
        <v>48000</v>
      </c>
      <c r="U237" s="124"/>
      <c r="V237" s="90"/>
      <c r="W237" s="90" t="s">
        <v>475</v>
      </c>
      <c r="X237" s="90"/>
      <c r="Y237" s="4"/>
      <c r="Z237" s="4"/>
      <c r="AA237" s="41"/>
      <c r="AB237" s="41"/>
      <c r="AC237" s="41"/>
      <c r="AD237" s="41"/>
      <c r="AE237" s="41"/>
      <c r="AF237" s="41"/>
      <c r="AG237" s="41"/>
    </row>
    <row r="238" spans="1:35" s="76" customFormat="1" x14ac:dyDescent="0.35">
      <c r="A238" s="89" t="s">
        <v>272</v>
      </c>
      <c r="B238" s="120" t="s">
        <v>1</v>
      </c>
      <c r="C238" s="120"/>
      <c r="D238" s="89"/>
      <c r="E238" s="89"/>
      <c r="F238" s="120" t="s">
        <v>86</v>
      </c>
      <c r="G238" s="120" t="s">
        <v>99</v>
      </c>
      <c r="H238" s="120" t="s">
        <v>122</v>
      </c>
      <c r="I238" s="120" t="s">
        <v>10</v>
      </c>
      <c r="J238" s="121" t="s">
        <v>51</v>
      </c>
      <c r="K238" s="121"/>
      <c r="L238" s="121"/>
      <c r="M238" s="90"/>
      <c r="N238" s="122">
        <v>1</v>
      </c>
      <c r="O238" s="123">
        <v>1200</v>
      </c>
      <c r="P238" s="124">
        <f>+O238*N238</f>
        <v>1200</v>
      </c>
      <c r="Q238" s="124"/>
      <c r="R238" s="124"/>
      <c r="S238" s="124"/>
      <c r="T238" s="124">
        <f>+P238+Q238+R238+S238</f>
        <v>1200</v>
      </c>
      <c r="U238" s="124"/>
      <c r="V238" s="90"/>
      <c r="W238" s="90" t="s">
        <v>475</v>
      </c>
      <c r="X238" s="90"/>
      <c r="Y238" s="4"/>
      <c r="Z238" s="4"/>
    </row>
    <row r="239" spans="1:35" x14ac:dyDescent="0.35">
      <c r="A239" s="39" t="s">
        <v>295</v>
      </c>
      <c r="B239" s="14" t="s">
        <v>1</v>
      </c>
      <c r="C239" s="14"/>
      <c r="D239" s="39"/>
      <c r="E239" s="39"/>
      <c r="F239" s="14" t="s">
        <v>78</v>
      </c>
      <c r="G239" s="14" t="s">
        <v>99</v>
      </c>
      <c r="H239" s="14" t="s">
        <v>122</v>
      </c>
      <c r="I239" s="14" t="s">
        <v>10</v>
      </c>
      <c r="J239" s="40" t="s">
        <v>51</v>
      </c>
      <c r="K239" s="40"/>
      <c r="L239" s="40"/>
      <c r="M239" s="41"/>
      <c r="N239" s="42">
        <v>1</v>
      </c>
      <c r="O239" s="43">
        <v>1000</v>
      </c>
      <c r="P239" s="44"/>
      <c r="Q239" s="44">
        <f>+O239*N239</f>
        <v>1000</v>
      </c>
      <c r="R239" s="44"/>
      <c r="S239" s="44"/>
      <c r="T239" s="43">
        <f>+P239+Q239+R239+S239</f>
        <v>1000</v>
      </c>
      <c r="U239" s="41"/>
      <c r="V239" s="41"/>
      <c r="W239" s="41" t="s">
        <v>186</v>
      </c>
      <c r="X239" s="41"/>
      <c r="Y239" s="41"/>
    </row>
    <row r="240" spans="1:35" x14ac:dyDescent="0.35">
      <c r="A240" s="63" t="s">
        <v>289</v>
      </c>
      <c r="B240" s="56" t="s">
        <v>1</v>
      </c>
      <c r="C240" s="56"/>
      <c r="F240" s="1" t="s">
        <v>79</v>
      </c>
      <c r="G240" s="1" t="s">
        <v>99</v>
      </c>
      <c r="H240" s="56" t="s">
        <v>122</v>
      </c>
      <c r="I240" s="1" t="s">
        <v>10</v>
      </c>
      <c r="J240" s="6" t="s">
        <v>51</v>
      </c>
      <c r="K240" s="6"/>
      <c r="L240" s="6"/>
      <c r="N240" s="3">
        <v>0.75</v>
      </c>
      <c r="O240" s="9">
        <v>300000</v>
      </c>
      <c r="P240" s="10"/>
      <c r="Q240" s="10">
        <f>+O240*N240</f>
        <v>225000</v>
      </c>
      <c r="R240" s="10"/>
      <c r="S240" s="10"/>
      <c r="T240" s="10">
        <f>+P240+Q240+R240+S240</f>
        <v>225000</v>
      </c>
      <c r="U240" s="4" t="s">
        <v>287</v>
      </c>
      <c r="W240" s="4" t="s">
        <v>399</v>
      </c>
    </row>
    <row r="241" spans="1:33" x14ac:dyDescent="0.35">
      <c r="A241" s="63" t="s">
        <v>301</v>
      </c>
      <c r="B241" s="1" t="s">
        <v>1</v>
      </c>
      <c r="D241" s="63"/>
      <c r="E241" s="63"/>
      <c r="F241" s="1" t="s">
        <v>73</v>
      </c>
      <c r="G241" s="1" t="s">
        <v>99</v>
      </c>
      <c r="H241" s="1" t="s">
        <v>122</v>
      </c>
      <c r="I241" s="1" t="s">
        <v>10</v>
      </c>
      <c r="J241" s="66" t="s">
        <v>51</v>
      </c>
      <c r="K241" s="66"/>
      <c r="L241" s="66"/>
      <c r="M241" s="67"/>
      <c r="N241" s="68">
        <v>0.75</v>
      </c>
      <c r="O241" s="26">
        <v>5000</v>
      </c>
      <c r="P241" s="69"/>
      <c r="Q241" s="10">
        <f>+O241*N241</f>
        <v>3750</v>
      </c>
      <c r="R241" s="69"/>
      <c r="S241" s="69"/>
      <c r="T241" s="10">
        <f>+P241+Q241+R241+S241</f>
        <v>3750</v>
      </c>
      <c r="U241" s="41"/>
      <c r="V241" s="65"/>
      <c r="W241" s="119" t="s">
        <v>440</v>
      </c>
      <c r="Z241" s="41"/>
    </row>
    <row r="242" spans="1:33" s="76" customFormat="1" x14ac:dyDescent="0.35">
      <c r="A242" s="8" t="s">
        <v>227</v>
      </c>
      <c r="B242" s="1" t="s">
        <v>1</v>
      </c>
      <c r="C242" s="1"/>
      <c r="D242" s="8"/>
      <c r="E242" s="8"/>
      <c r="F242" s="1" t="s">
        <v>77</v>
      </c>
      <c r="G242" s="1" t="s">
        <v>99</v>
      </c>
      <c r="H242" s="1" t="s">
        <v>122</v>
      </c>
      <c r="I242" s="1" t="s">
        <v>10</v>
      </c>
      <c r="J242" s="6" t="s">
        <v>51</v>
      </c>
      <c r="K242" s="6"/>
      <c r="L242" s="6"/>
      <c r="M242" s="4"/>
      <c r="N242" s="3">
        <v>0.25</v>
      </c>
      <c r="O242" s="45">
        <v>900000</v>
      </c>
      <c r="P242" s="10"/>
      <c r="Q242" s="10">
        <f>+O242*N242</f>
        <v>225000</v>
      </c>
      <c r="R242" s="10"/>
      <c r="S242" s="10"/>
      <c r="T242" s="10">
        <f>+P242+Q242+R242+S242</f>
        <v>225000</v>
      </c>
      <c r="U242" s="10"/>
      <c r="V242" s="4"/>
      <c r="W242" s="4" t="s">
        <v>433</v>
      </c>
      <c r="X242" s="4"/>
      <c r="Y242" s="4"/>
      <c r="Z242" s="4"/>
    </row>
    <row r="243" spans="1:33" x14ac:dyDescent="0.35">
      <c r="A243" s="8" t="s">
        <v>467</v>
      </c>
      <c r="B243" s="1" t="s">
        <v>1</v>
      </c>
      <c r="F243" s="1" t="s">
        <v>77</v>
      </c>
      <c r="G243" s="1" t="s">
        <v>99</v>
      </c>
      <c r="H243" s="1" t="s">
        <v>122</v>
      </c>
      <c r="I243" s="1" t="s">
        <v>10</v>
      </c>
      <c r="J243" s="6" t="s">
        <v>51</v>
      </c>
      <c r="K243" s="6"/>
      <c r="L243" s="6"/>
      <c r="N243" s="3">
        <v>0.25</v>
      </c>
      <c r="O243" s="45">
        <v>90000</v>
      </c>
      <c r="P243" s="10"/>
      <c r="Q243" s="10">
        <f>+O243*N243</f>
        <v>22500</v>
      </c>
      <c r="R243" s="10"/>
      <c r="S243" s="10"/>
      <c r="T243" s="26">
        <f>+P243+Q243+R243+S243</f>
        <v>22500</v>
      </c>
      <c r="U243" s="10"/>
      <c r="W243" s="4" t="s">
        <v>415</v>
      </c>
    </row>
    <row r="244" spans="1:33" x14ac:dyDescent="0.35">
      <c r="A244" s="8" t="s">
        <v>468</v>
      </c>
      <c r="B244" s="1" t="s">
        <v>1</v>
      </c>
      <c r="F244" s="1" t="s">
        <v>77</v>
      </c>
      <c r="G244" s="1" t="s">
        <v>99</v>
      </c>
      <c r="H244" s="1" t="s">
        <v>122</v>
      </c>
      <c r="I244" s="1" t="s">
        <v>10</v>
      </c>
      <c r="J244" s="6" t="s">
        <v>51</v>
      </c>
      <c r="K244" s="6"/>
      <c r="L244" s="6"/>
      <c r="N244" s="3">
        <v>0.25</v>
      </c>
      <c r="O244" s="45">
        <v>60000</v>
      </c>
      <c r="P244" s="10"/>
      <c r="Q244" s="10">
        <f>+O244*N244</f>
        <v>15000</v>
      </c>
      <c r="R244" s="10"/>
      <c r="S244" s="10"/>
      <c r="T244" s="26">
        <f>+P244+Q244+R244+S244</f>
        <v>15000</v>
      </c>
      <c r="U244" s="10"/>
      <c r="W244" s="4" t="s">
        <v>415</v>
      </c>
      <c r="AA244" s="41"/>
      <c r="AB244" s="41"/>
      <c r="AC244" s="41"/>
      <c r="AD244" s="41"/>
      <c r="AE244" s="41"/>
      <c r="AF244" s="41"/>
      <c r="AG244" s="41"/>
    </row>
    <row r="245" spans="1:33" s="90" customFormat="1" x14ac:dyDescent="0.35">
      <c r="A245" s="8" t="s">
        <v>271</v>
      </c>
      <c r="B245" s="1" t="s">
        <v>1</v>
      </c>
      <c r="C245" s="1"/>
      <c r="D245" s="8"/>
      <c r="E245" s="8"/>
      <c r="F245" s="1" t="s">
        <v>86</v>
      </c>
      <c r="G245" s="1" t="s">
        <v>99</v>
      </c>
      <c r="H245" s="1" t="s">
        <v>122</v>
      </c>
      <c r="I245" s="1" t="s">
        <v>10</v>
      </c>
      <c r="J245" s="6" t="s">
        <v>51</v>
      </c>
      <c r="K245" s="6"/>
      <c r="L245" s="6"/>
      <c r="M245" s="4"/>
      <c r="N245" s="3">
        <v>0.25</v>
      </c>
      <c r="O245" s="9">
        <v>40000</v>
      </c>
      <c r="P245" s="13"/>
      <c r="Q245" s="10">
        <f>+O245*N245</f>
        <v>10000</v>
      </c>
      <c r="R245" s="10"/>
      <c r="S245" s="10"/>
      <c r="T245" s="10">
        <f>+P245+Q245+R245+S245</f>
        <v>10000</v>
      </c>
      <c r="U245" s="10"/>
      <c r="V245" s="4"/>
      <c r="W245" s="4" t="s">
        <v>273</v>
      </c>
      <c r="X245" s="4"/>
      <c r="Y245" s="41"/>
      <c r="Z245" s="41"/>
    </row>
    <row r="246" spans="1:33" s="41" customFormat="1" x14ac:dyDescent="0.35">
      <c r="A246" s="8" t="s">
        <v>267</v>
      </c>
      <c r="B246" s="1" t="s">
        <v>1</v>
      </c>
      <c r="C246" s="1"/>
      <c r="D246" s="8"/>
      <c r="E246" s="8"/>
      <c r="F246" s="1" t="s">
        <v>86</v>
      </c>
      <c r="G246" s="1" t="s">
        <v>99</v>
      </c>
      <c r="H246" s="1" t="s">
        <v>122</v>
      </c>
      <c r="I246" s="1" t="s">
        <v>10</v>
      </c>
      <c r="J246" s="1" t="s">
        <v>51</v>
      </c>
      <c r="K246" s="6"/>
      <c r="L246" s="6"/>
      <c r="M246" s="4"/>
      <c r="N246" s="3">
        <v>0.25</v>
      </c>
      <c r="O246" s="9">
        <f>40*1000</f>
        <v>40000</v>
      </c>
      <c r="P246" s="13"/>
      <c r="Q246" s="10">
        <f>+O246*N246</f>
        <v>10000</v>
      </c>
      <c r="R246" s="10"/>
      <c r="S246" s="10"/>
      <c r="T246" s="26">
        <f>+P246+Q246+R246+S246</f>
        <v>10000</v>
      </c>
      <c r="U246" s="4"/>
      <c r="V246" s="4"/>
      <c r="W246" s="76" t="s">
        <v>268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s="90" customFormat="1" x14ac:dyDescent="0.35">
      <c r="A247" s="8" t="s">
        <v>303</v>
      </c>
      <c r="B247" s="1" t="s">
        <v>1</v>
      </c>
      <c r="C247" s="1"/>
      <c r="D247" s="8"/>
      <c r="E247" s="8"/>
      <c r="F247" s="1" t="s">
        <v>73</v>
      </c>
      <c r="G247" s="1" t="s">
        <v>99</v>
      </c>
      <c r="H247" s="1" t="s">
        <v>122</v>
      </c>
      <c r="I247" s="1" t="s">
        <v>10</v>
      </c>
      <c r="J247" s="6" t="s">
        <v>51</v>
      </c>
      <c r="K247" s="6"/>
      <c r="L247" s="6"/>
      <c r="M247" s="4"/>
      <c r="N247" s="3">
        <v>0.25</v>
      </c>
      <c r="O247" s="9">
        <v>30000</v>
      </c>
      <c r="P247" s="13"/>
      <c r="Q247" s="10">
        <f>+O247*N247</f>
        <v>7500</v>
      </c>
      <c r="R247" s="10"/>
      <c r="S247" s="10"/>
      <c r="T247" s="10">
        <f>+P247+Q247+R247+S247</f>
        <v>7500</v>
      </c>
      <c r="U247" s="10"/>
      <c r="V247" s="4"/>
      <c r="W247" s="4" t="s">
        <v>304</v>
      </c>
      <c r="X247" s="4"/>
      <c r="Y247" s="4"/>
      <c r="Z247" s="4"/>
    </row>
    <row r="248" spans="1:33" s="41" customFormat="1" x14ac:dyDescent="0.35">
      <c r="A248" s="8" t="s">
        <v>285</v>
      </c>
      <c r="B248" s="1" t="s">
        <v>1</v>
      </c>
      <c r="C248" s="1"/>
      <c r="D248" s="8"/>
      <c r="E248" s="8"/>
      <c r="F248" s="1" t="s">
        <v>76</v>
      </c>
      <c r="G248" s="1" t="s">
        <v>99</v>
      </c>
      <c r="H248" s="1" t="s">
        <v>122</v>
      </c>
      <c r="I248" s="1" t="s">
        <v>10</v>
      </c>
      <c r="J248" s="6" t="s">
        <v>51</v>
      </c>
      <c r="K248" s="6"/>
      <c r="L248" s="6"/>
      <c r="M248" s="4"/>
      <c r="N248" s="3">
        <v>0.25</v>
      </c>
      <c r="O248" s="45">
        <v>20000</v>
      </c>
      <c r="P248" s="10"/>
      <c r="Q248" s="10">
        <f>+O248*N248</f>
        <v>5000</v>
      </c>
      <c r="R248" s="10"/>
      <c r="S248" s="10"/>
      <c r="T248" s="10">
        <f>+P248+Q248+R248+S248</f>
        <v>5000</v>
      </c>
      <c r="U248" s="4" t="s">
        <v>124</v>
      </c>
      <c r="V248" s="4"/>
      <c r="W248" s="4"/>
      <c r="X248" s="4"/>
      <c r="Y248" s="4"/>
      <c r="Z248" s="60"/>
    </row>
    <row r="249" spans="1:33" x14ac:dyDescent="0.35">
      <c r="A249" s="8" t="s">
        <v>423</v>
      </c>
      <c r="B249" s="1" t="s">
        <v>1</v>
      </c>
      <c r="F249" s="1" t="s">
        <v>76</v>
      </c>
      <c r="G249" s="1" t="s">
        <v>99</v>
      </c>
      <c r="H249" s="1" t="s">
        <v>122</v>
      </c>
      <c r="I249" s="1" t="s">
        <v>10</v>
      </c>
      <c r="J249" s="6" t="s">
        <v>51</v>
      </c>
      <c r="K249" s="6"/>
      <c r="L249" s="6"/>
      <c r="N249" s="3">
        <v>0.25</v>
      </c>
      <c r="O249" s="45">
        <v>15000</v>
      </c>
      <c r="P249" s="10"/>
      <c r="Q249" s="10">
        <f>+O249*N249</f>
        <v>3750</v>
      </c>
      <c r="R249" s="10"/>
      <c r="S249" s="10"/>
      <c r="T249" s="10">
        <f>+P249+Q249+R249+S249</f>
        <v>3750</v>
      </c>
      <c r="Y249" s="72"/>
    </row>
    <row r="250" spans="1:33" x14ac:dyDescent="0.35">
      <c r="A250" s="63" t="s">
        <v>216</v>
      </c>
      <c r="B250" s="1" t="s">
        <v>1</v>
      </c>
      <c r="F250" s="1" t="s">
        <v>80</v>
      </c>
      <c r="G250" s="1" t="s">
        <v>99</v>
      </c>
      <c r="H250" s="1" t="s">
        <v>122</v>
      </c>
      <c r="I250" s="1" t="s">
        <v>10</v>
      </c>
      <c r="J250" s="6" t="s">
        <v>51</v>
      </c>
      <c r="K250" s="6"/>
      <c r="L250" s="6"/>
      <c r="N250" s="3">
        <v>0.25</v>
      </c>
      <c r="O250" s="9">
        <v>10000</v>
      </c>
      <c r="P250" s="10"/>
      <c r="Q250" s="10">
        <f>+O250*N250</f>
        <v>2500</v>
      </c>
      <c r="R250" s="10"/>
      <c r="S250" s="10"/>
      <c r="T250" s="10">
        <v>2500</v>
      </c>
      <c r="W250" s="4" t="s">
        <v>217</v>
      </c>
      <c r="Y250" s="72"/>
      <c r="Z250" s="72"/>
    </row>
    <row r="251" spans="1:33" x14ac:dyDescent="0.35">
      <c r="A251" s="39" t="s">
        <v>306</v>
      </c>
      <c r="B251" s="14" t="s">
        <v>1</v>
      </c>
      <c r="C251" s="14"/>
      <c r="D251" s="39"/>
      <c r="E251" s="39"/>
      <c r="F251" s="14" t="s">
        <v>73</v>
      </c>
      <c r="G251" s="14" t="s">
        <v>99</v>
      </c>
      <c r="H251" s="14" t="s">
        <v>122</v>
      </c>
      <c r="I251" s="14" t="s">
        <v>10</v>
      </c>
      <c r="J251" s="40" t="s">
        <v>11</v>
      </c>
      <c r="K251" s="40"/>
      <c r="L251" s="40"/>
      <c r="M251" s="41"/>
      <c r="N251" s="42">
        <v>1</v>
      </c>
      <c r="O251" s="43">
        <v>22000</v>
      </c>
      <c r="P251" s="43">
        <f>+O251*N251</f>
        <v>22000</v>
      </c>
      <c r="Q251" s="43"/>
      <c r="R251" s="43"/>
      <c r="S251" s="43"/>
      <c r="T251" s="43">
        <f>+P251+Q251+R251+S251</f>
        <v>22000</v>
      </c>
      <c r="U251" s="76"/>
      <c r="V251" s="76"/>
      <c r="W251" s="76" t="s">
        <v>442</v>
      </c>
      <c r="X251" s="73"/>
      <c r="AA251" s="60"/>
      <c r="AB251" s="60"/>
      <c r="AC251" s="60"/>
      <c r="AD251" s="60"/>
      <c r="AE251" s="60"/>
      <c r="AF251" s="60"/>
      <c r="AG251" s="60"/>
    </row>
    <row r="252" spans="1:33" s="60" customFormat="1" x14ac:dyDescent="0.35">
      <c r="A252" s="8" t="s">
        <v>416</v>
      </c>
      <c r="B252" s="1" t="s">
        <v>2</v>
      </c>
      <c r="C252" s="1"/>
      <c r="D252" s="8"/>
      <c r="E252" s="8"/>
      <c r="F252" s="1" t="s">
        <v>79</v>
      </c>
      <c r="G252" s="1" t="s">
        <v>99</v>
      </c>
      <c r="H252" s="1" t="s">
        <v>10</v>
      </c>
      <c r="I252" s="1" t="s">
        <v>10</v>
      </c>
      <c r="J252" s="6" t="s">
        <v>50</v>
      </c>
      <c r="K252" s="6"/>
      <c r="L252" s="6"/>
      <c r="M252" s="4"/>
      <c r="N252" s="3">
        <v>0.1</v>
      </c>
      <c r="O252" s="9">
        <v>10000</v>
      </c>
      <c r="P252" s="13"/>
      <c r="Q252" s="10"/>
      <c r="R252" s="10">
        <v>1400</v>
      </c>
      <c r="S252" s="10"/>
      <c r="T252" s="10">
        <f>+P252+Q252+R252+S252</f>
        <v>1400</v>
      </c>
      <c r="U252" s="4" t="s">
        <v>414</v>
      </c>
      <c r="V252" s="4"/>
      <c r="W252" s="4" t="s">
        <v>417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x14ac:dyDescent="0.35">
      <c r="A253" s="63" t="s">
        <v>210</v>
      </c>
      <c r="B253" s="56" t="s">
        <v>0</v>
      </c>
      <c r="C253" s="56"/>
      <c r="F253" s="1" t="s">
        <v>80</v>
      </c>
      <c r="G253" s="1" t="s">
        <v>44</v>
      </c>
      <c r="H253" s="1" t="s">
        <v>44</v>
      </c>
      <c r="I253" s="1" t="s">
        <v>211</v>
      </c>
      <c r="J253" s="6" t="s">
        <v>51</v>
      </c>
      <c r="K253" s="6"/>
      <c r="L253" s="6"/>
      <c r="N253" s="3">
        <v>0.25</v>
      </c>
      <c r="O253" s="9">
        <v>10000</v>
      </c>
      <c r="P253" s="10">
        <f>+O253*N253</f>
        <v>2500</v>
      </c>
      <c r="Q253" s="10"/>
      <c r="R253" s="10"/>
      <c r="S253" s="10"/>
      <c r="T253" s="10">
        <f>+P253+Q253+R253+S253</f>
        <v>2500</v>
      </c>
      <c r="W253" s="4" t="s">
        <v>482</v>
      </c>
    </row>
    <row r="254" spans="1:33" x14ac:dyDescent="0.35">
      <c r="A254" s="63" t="s">
        <v>502</v>
      </c>
      <c r="B254" s="56" t="s">
        <v>0</v>
      </c>
      <c r="C254" s="56"/>
      <c r="D254" s="63"/>
      <c r="E254" s="63"/>
      <c r="F254" s="56" t="s">
        <v>77</v>
      </c>
      <c r="G254" s="56" t="s">
        <v>44</v>
      </c>
      <c r="H254" s="56" t="s">
        <v>13</v>
      </c>
      <c r="I254" s="56" t="s">
        <v>13</v>
      </c>
      <c r="J254" s="66" t="s">
        <v>51</v>
      </c>
      <c r="K254" s="66"/>
      <c r="L254" s="66"/>
      <c r="M254" s="67"/>
      <c r="N254" s="68">
        <v>0.1</v>
      </c>
      <c r="O254" s="26">
        <v>10000</v>
      </c>
      <c r="P254" s="69"/>
      <c r="Q254" s="10">
        <f>+O254*N254</f>
        <v>1000</v>
      </c>
      <c r="R254" s="69"/>
      <c r="S254" s="69"/>
      <c r="T254" s="26">
        <f>+P254+Q254+R254+S254</f>
        <v>1000</v>
      </c>
      <c r="U254" s="10"/>
      <c r="W254" s="67" t="s">
        <v>469</v>
      </c>
      <c r="X254" s="67"/>
    </row>
    <row r="255" spans="1:33" x14ac:dyDescent="0.35">
      <c r="A255" s="39" t="s">
        <v>300</v>
      </c>
      <c r="B255" s="101" t="s">
        <v>0</v>
      </c>
      <c r="C255" s="101"/>
      <c r="D255" s="39"/>
      <c r="E255" s="39"/>
      <c r="F255" s="14" t="s">
        <v>73</v>
      </c>
      <c r="G255" s="14" t="s">
        <v>44</v>
      </c>
      <c r="H255" s="14" t="s">
        <v>44</v>
      </c>
      <c r="I255" s="14" t="s">
        <v>13</v>
      </c>
      <c r="J255" s="40" t="s">
        <v>11</v>
      </c>
      <c r="K255" s="40"/>
      <c r="L255" s="40"/>
      <c r="M255" s="41"/>
      <c r="N255" s="42">
        <v>1</v>
      </c>
      <c r="O255" s="47">
        <f>13000000/1500</f>
        <v>8666.6666666666661</v>
      </c>
      <c r="P255" s="47">
        <f>+O255*N255</f>
        <v>8666.6666666666661</v>
      </c>
      <c r="Q255" s="47"/>
      <c r="R255" s="47"/>
      <c r="S255" s="47"/>
      <c r="T255" s="43">
        <f>+P255+Q255+R255+S255</f>
        <v>8666.6666666666661</v>
      </c>
      <c r="U255" s="43"/>
      <c r="V255" s="41"/>
      <c r="W255" s="41"/>
      <c r="X255" s="41"/>
    </row>
    <row r="256" spans="1:33" x14ac:dyDescent="0.35">
      <c r="A256" s="39" t="s">
        <v>316</v>
      </c>
      <c r="B256" s="101" t="s">
        <v>0</v>
      </c>
      <c r="C256" s="101"/>
      <c r="D256" s="39"/>
      <c r="E256" s="39"/>
      <c r="F256" s="14" t="s">
        <v>75</v>
      </c>
      <c r="G256" s="14" t="s">
        <v>44</v>
      </c>
      <c r="H256" s="14" t="s">
        <v>44</v>
      </c>
      <c r="I256" s="14" t="s">
        <v>13</v>
      </c>
      <c r="J256" s="40" t="s">
        <v>11</v>
      </c>
      <c r="K256" s="40"/>
      <c r="L256" s="40"/>
      <c r="M256" s="41"/>
      <c r="N256" s="42">
        <v>1</v>
      </c>
      <c r="O256" s="47">
        <v>5800</v>
      </c>
      <c r="P256" s="47">
        <f>+O256*N256</f>
        <v>5800</v>
      </c>
      <c r="Q256" s="47"/>
      <c r="R256" s="47"/>
      <c r="S256" s="47"/>
      <c r="T256" s="43">
        <f>+P256+Q256+R256+S256</f>
        <v>5800</v>
      </c>
      <c r="U256" s="43"/>
      <c r="V256" s="41"/>
      <c r="W256" s="43" t="s">
        <v>252</v>
      </c>
      <c r="X256" s="41"/>
    </row>
    <row r="257" spans="1:27" x14ac:dyDescent="0.35">
      <c r="A257" s="89" t="s">
        <v>496</v>
      </c>
      <c r="B257" s="120" t="s">
        <v>0</v>
      </c>
      <c r="C257" s="120"/>
      <c r="D257" s="89"/>
      <c r="E257" s="89"/>
      <c r="F257" s="120" t="s">
        <v>79</v>
      </c>
      <c r="G257" s="120" t="s">
        <v>44</v>
      </c>
      <c r="H257" s="120" t="s">
        <v>44</v>
      </c>
      <c r="I257" s="120" t="s">
        <v>13</v>
      </c>
      <c r="J257" s="121" t="s">
        <v>11</v>
      </c>
      <c r="K257" s="121"/>
      <c r="L257" s="121"/>
      <c r="M257" s="90"/>
      <c r="N257" s="122">
        <v>1</v>
      </c>
      <c r="O257" s="129">
        <f>1200*4</f>
        <v>4800</v>
      </c>
      <c r="P257" s="124">
        <f>+O257*N257</f>
        <v>4800</v>
      </c>
      <c r="Q257" s="124"/>
      <c r="R257" s="124"/>
      <c r="S257" s="124"/>
      <c r="T257" s="124">
        <f>+P257+Q257+R257+S257</f>
        <v>4800</v>
      </c>
      <c r="U257" s="124"/>
      <c r="V257" s="90"/>
      <c r="W257" s="125" t="s">
        <v>475</v>
      </c>
      <c r="X257" s="125"/>
      <c r="Y257" s="90"/>
      <c r="Z257" s="90"/>
    </row>
    <row r="258" spans="1:27" x14ac:dyDescent="0.35">
      <c r="A258" s="39" t="s">
        <v>338</v>
      </c>
      <c r="B258" s="101" t="s">
        <v>0</v>
      </c>
      <c r="C258" s="101"/>
      <c r="D258" s="39"/>
      <c r="E258" s="39"/>
      <c r="F258" s="14" t="s">
        <v>75</v>
      </c>
      <c r="G258" s="14" t="s">
        <v>44</v>
      </c>
      <c r="H258" s="14" t="s">
        <v>117</v>
      </c>
      <c r="I258" s="14" t="s">
        <v>337</v>
      </c>
      <c r="J258" s="40" t="s">
        <v>11</v>
      </c>
      <c r="K258" s="40"/>
      <c r="L258" s="40"/>
      <c r="M258" s="41"/>
      <c r="N258" s="42">
        <v>1</v>
      </c>
      <c r="O258" s="43">
        <v>4000</v>
      </c>
      <c r="P258" s="44">
        <f>+O258*N258</f>
        <v>4000</v>
      </c>
      <c r="Q258" s="44"/>
      <c r="R258" s="44"/>
      <c r="S258" s="44"/>
      <c r="T258" s="43">
        <f>+P258+Q258+R258+S258</f>
        <v>4000</v>
      </c>
      <c r="U258" s="43"/>
      <c r="V258" s="41"/>
      <c r="W258" s="41"/>
      <c r="X258" s="41"/>
      <c r="Y258" s="67"/>
    </row>
    <row r="259" spans="1:27" x14ac:dyDescent="0.35">
      <c r="A259" s="39" t="s">
        <v>260</v>
      </c>
      <c r="B259" s="101" t="s">
        <v>0</v>
      </c>
      <c r="C259" s="101"/>
      <c r="D259" s="39"/>
      <c r="E259" s="39"/>
      <c r="F259" s="14" t="s">
        <v>75</v>
      </c>
      <c r="G259" s="14" t="s">
        <v>44</v>
      </c>
      <c r="H259" s="14" t="s">
        <v>44</v>
      </c>
      <c r="I259" s="14" t="s">
        <v>162</v>
      </c>
      <c r="J259" s="40" t="s">
        <v>11</v>
      </c>
      <c r="K259" s="40"/>
      <c r="L259" s="40"/>
      <c r="M259" s="41"/>
      <c r="N259" s="42">
        <v>1</v>
      </c>
      <c r="O259" s="71">
        <v>3000</v>
      </c>
      <c r="P259" s="43">
        <f>+O259*N259</f>
        <v>3000</v>
      </c>
      <c r="Q259" s="43"/>
      <c r="R259" s="43"/>
      <c r="S259" s="43"/>
      <c r="T259" s="43">
        <f>+P259+Q259+R259+S259</f>
        <v>3000</v>
      </c>
      <c r="W259" s="41"/>
      <c r="X259" s="41"/>
    </row>
    <row r="260" spans="1:27" x14ac:dyDescent="0.35">
      <c r="A260" s="88" t="s">
        <v>368</v>
      </c>
      <c r="B260" s="101" t="s">
        <v>0</v>
      </c>
      <c r="C260" s="101"/>
      <c r="D260" s="39"/>
      <c r="E260" s="39"/>
      <c r="F260" s="14" t="s">
        <v>76</v>
      </c>
      <c r="G260" s="14" t="s">
        <v>44</v>
      </c>
      <c r="H260" s="14" t="s">
        <v>44</v>
      </c>
      <c r="I260" s="14" t="s">
        <v>162</v>
      </c>
      <c r="J260" s="40" t="s">
        <v>11</v>
      </c>
      <c r="K260" s="40"/>
      <c r="L260" s="40"/>
      <c r="M260" s="41"/>
      <c r="N260" s="42">
        <v>1</v>
      </c>
      <c r="O260" s="47">
        <v>374</v>
      </c>
      <c r="P260" s="47">
        <f>+O260*N260</f>
        <v>374</v>
      </c>
      <c r="Q260" s="47"/>
      <c r="R260" s="47"/>
      <c r="S260" s="47"/>
      <c r="T260" s="43">
        <f>+P260+Q260+R260+S260</f>
        <v>374</v>
      </c>
      <c r="U260" s="43"/>
      <c r="V260" s="41"/>
      <c r="W260" s="41"/>
      <c r="X260" s="41"/>
    </row>
    <row r="261" spans="1:27" x14ac:dyDescent="0.35">
      <c r="A261" s="39" t="s">
        <v>12</v>
      </c>
      <c r="B261" s="101" t="s">
        <v>0</v>
      </c>
      <c r="C261" s="101"/>
      <c r="D261" s="39"/>
      <c r="E261" s="39"/>
      <c r="F261" s="14" t="s">
        <v>88</v>
      </c>
      <c r="G261" s="14" t="s">
        <v>44</v>
      </c>
      <c r="H261" s="14" t="s">
        <v>44</v>
      </c>
      <c r="I261" s="14" t="s">
        <v>13</v>
      </c>
      <c r="J261" s="40" t="s">
        <v>11</v>
      </c>
      <c r="K261" s="40"/>
      <c r="L261" s="40"/>
      <c r="M261" s="41"/>
      <c r="N261" s="42">
        <v>1</v>
      </c>
      <c r="O261" s="47">
        <v>250</v>
      </c>
      <c r="P261" s="44">
        <f>+O261*N261</f>
        <v>250</v>
      </c>
      <c r="Q261" s="43"/>
      <c r="R261" s="43"/>
      <c r="S261" s="43"/>
      <c r="T261" s="43">
        <f>+P261+Q261+R261+S261</f>
        <v>250</v>
      </c>
      <c r="U261" s="43"/>
      <c r="V261" s="41"/>
      <c r="W261" s="41"/>
      <c r="X261" s="41"/>
    </row>
    <row r="262" spans="1:27" x14ac:dyDescent="0.35">
      <c r="A262" s="39" t="s">
        <v>120</v>
      </c>
      <c r="B262" s="14" t="s">
        <v>420</v>
      </c>
      <c r="C262" s="14"/>
      <c r="D262" s="39"/>
      <c r="E262" s="39"/>
      <c r="F262" s="14" t="s">
        <v>76</v>
      </c>
      <c r="G262" s="14" t="s">
        <v>44</v>
      </c>
      <c r="H262" s="14" t="s">
        <v>117</v>
      </c>
      <c r="I262" s="14" t="s">
        <v>118</v>
      </c>
      <c r="J262" s="40" t="s">
        <v>11</v>
      </c>
      <c r="K262" s="40"/>
      <c r="L262" s="40"/>
      <c r="M262" s="41"/>
      <c r="N262" s="42">
        <v>1</v>
      </c>
      <c r="O262" s="43">
        <f>+T262</f>
        <v>123661.01694915254</v>
      </c>
      <c r="P262" s="44">
        <f>+(3800000/1475)*12</f>
        <v>30915.254237288136</v>
      </c>
      <c r="Q262" s="44">
        <f>+(3800000/1475)*12</f>
        <v>30915.254237288136</v>
      </c>
      <c r="R262" s="44">
        <f>+(3800000/1475)*12</f>
        <v>30915.254237288136</v>
      </c>
      <c r="S262" s="44">
        <f>+(3800000/1475)*12</f>
        <v>30915.254237288136</v>
      </c>
      <c r="T262" s="43">
        <f>+P262+Q262+R262+S262</f>
        <v>123661.01694915254</v>
      </c>
      <c r="U262" s="43"/>
      <c r="V262" s="41"/>
      <c r="W262" s="41" t="s">
        <v>403</v>
      </c>
      <c r="X262" s="41"/>
    </row>
    <row r="263" spans="1:27" x14ac:dyDescent="0.35">
      <c r="A263" s="39" t="s">
        <v>121</v>
      </c>
      <c r="B263" s="14" t="s">
        <v>420</v>
      </c>
      <c r="C263" s="14"/>
      <c r="D263" s="39"/>
      <c r="E263" s="39"/>
      <c r="F263" s="14" t="s">
        <v>76</v>
      </c>
      <c r="G263" s="14" t="s">
        <v>44</v>
      </c>
      <c r="H263" s="14" t="s">
        <v>117</v>
      </c>
      <c r="I263" s="14" t="s">
        <v>118</v>
      </c>
      <c r="J263" s="40" t="s">
        <v>11</v>
      </c>
      <c r="K263" s="40"/>
      <c r="L263" s="40"/>
      <c r="M263" s="41"/>
      <c r="N263" s="42">
        <v>1</v>
      </c>
      <c r="O263" s="47">
        <f>+T263</f>
        <v>109830.50847457626</v>
      </c>
      <c r="P263" s="47">
        <f>(12000000/1475)*3</f>
        <v>24406.77966101695</v>
      </c>
      <c r="Q263" s="47">
        <f>(13000000/1475)*3</f>
        <v>26440.677966101692</v>
      </c>
      <c r="R263" s="47">
        <f>(14000000/1475)*3</f>
        <v>28474.576271186441</v>
      </c>
      <c r="S263" s="47">
        <f>(15000000/1475)*3</f>
        <v>30508.47457627119</v>
      </c>
      <c r="T263" s="43">
        <f>+P263+Q263+R263+S263</f>
        <v>109830.50847457626</v>
      </c>
      <c r="U263" s="43"/>
      <c r="V263" s="41"/>
      <c r="W263" s="41" t="s">
        <v>404</v>
      </c>
      <c r="X263" s="41"/>
    </row>
    <row r="264" spans="1:27" x14ac:dyDescent="0.35">
      <c r="A264" s="63" t="s">
        <v>223</v>
      </c>
      <c r="B264" s="56" t="s">
        <v>1</v>
      </c>
      <c r="C264" s="56"/>
      <c r="F264" s="1" t="s">
        <v>79</v>
      </c>
      <c r="G264" s="1" t="s">
        <v>44</v>
      </c>
      <c r="H264" s="1" t="s">
        <v>44</v>
      </c>
      <c r="I264" s="1" t="s">
        <v>13</v>
      </c>
      <c r="J264" s="6" t="s">
        <v>50</v>
      </c>
      <c r="K264" s="6"/>
      <c r="L264" s="6"/>
      <c r="N264" s="3">
        <v>0.1</v>
      </c>
      <c r="O264" s="9">
        <v>400000</v>
      </c>
      <c r="P264" s="10"/>
      <c r="Q264" s="10">
        <f>+O264*N264</f>
        <v>40000</v>
      </c>
      <c r="R264" s="10"/>
      <c r="S264" s="10"/>
      <c r="T264" s="10">
        <f>+P264+Q264+R264+S264</f>
        <v>40000</v>
      </c>
      <c r="U264" s="10"/>
      <c r="W264" s="4" t="s">
        <v>415</v>
      </c>
    </row>
    <row r="265" spans="1:27" x14ac:dyDescent="0.35">
      <c r="A265" s="8" t="s">
        <v>529</v>
      </c>
      <c r="B265" s="1" t="s">
        <v>1</v>
      </c>
      <c r="F265" s="1" t="s">
        <v>75</v>
      </c>
      <c r="G265" s="1" t="s">
        <v>44</v>
      </c>
      <c r="H265" s="1" t="s">
        <v>44</v>
      </c>
      <c r="I265" s="1" t="s">
        <v>13</v>
      </c>
      <c r="J265" s="6" t="s">
        <v>50</v>
      </c>
      <c r="K265" s="6"/>
      <c r="L265" s="6"/>
      <c r="N265" s="3">
        <v>0.1</v>
      </c>
      <c r="O265" s="9">
        <v>50000</v>
      </c>
      <c r="P265" s="13"/>
      <c r="Q265" s="10">
        <f>+O265*N265</f>
        <v>5000</v>
      </c>
      <c r="R265" s="10"/>
      <c r="S265" s="10"/>
      <c r="T265" s="10">
        <f>+P265+Q265+R265+S265</f>
        <v>5000</v>
      </c>
      <c r="U265" s="10"/>
      <c r="W265" s="4" t="s">
        <v>254</v>
      </c>
    </row>
    <row r="266" spans="1:27" x14ac:dyDescent="0.35">
      <c r="A266" s="8" t="s">
        <v>527</v>
      </c>
      <c r="B266" s="1" t="s">
        <v>1</v>
      </c>
      <c r="F266" s="1" t="s">
        <v>75</v>
      </c>
      <c r="G266" s="1" t="s">
        <v>44</v>
      </c>
      <c r="H266" s="1" t="s">
        <v>44</v>
      </c>
      <c r="I266" s="1" t="s">
        <v>528</v>
      </c>
      <c r="J266" s="6" t="s">
        <v>50</v>
      </c>
      <c r="K266" s="6"/>
      <c r="L266" s="6"/>
      <c r="N266" s="3">
        <v>0.1</v>
      </c>
      <c r="O266" s="9">
        <v>20000</v>
      </c>
      <c r="P266" s="13"/>
      <c r="Q266" s="10">
        <f>+O266*N266</f>
        <v>2000</v>
      </c>
      <c r="R266" s="10"/>
      <c r="S266" s="10"/>
      <c r="T266" s="10">
        <f>+P266+Q266+R266+S266</f>
        <v>2000</v>
      </c>
      <c r="U266" s="10"/>
      <c r="W266" s="4" t="s">
        <v>254</v>
      </c>
    </row>
    <row r="267" spans="1:27" x14ac:dyDescent="0.35">
      <c r="A267" s="8" t="s">
        <v>530</v>
      </c>
      <c r="B267" s="1" t="s">
        <v>1</v>
      </c>
      <c r="F267" s="1" t="s">
        <v>76</v>
      </c>
      <c r="G267" s="1" t="s">
        <v>44</v>
      </c>
      <c r="H267" s="1" t="s">
        <v>13</v>
      </c>
      <c r="I267" s="1" t="s">
        <v>13</v>
      </c>
      <c r="J267" s="6" t="s">
        <v>50</v>
      </c>
      <c r="K267" s="6"/>
      <c r="L267" s="6"/>
      <c r="N267" s="3">
        <v>0.1</v>
      </c>
      <c r="O267" s="45">
        <v>10000</v>
      </c>
      <c r="P267" s="10"/>
      <c r="Q267" s="10">
        <v>1000</v>
      </c>
      <c r="R267" s="10"/>
      <c r="S267" s="10"/>
      <c r="T267" s="10">
        <f>+P267+Q267+R267+S267</f>
        <v>1000</v>
      </c>
      <c r="W267" s="4" t="s">
        <v>428</v>
      </c>
      <c r="X267" s="73"/>
    </row>
    <row r="268" spans="1:27" x14ac:dyDescent="0.35">
      <c r="A268" s="8" t="s">
        <v>478</v>
      </c>
      <c r="B268" s="1" t="s">
        <v>1</v>
      </c>
      <c r="F268" s="1" t="s">
        <v>80</v>
      </c>
      <c r="G268" s="1" t="s">
        <v>44</v>
      </c>
      <c r="H268" s="1" t="s">
        <v>44</v>
      </c>
      <c r="I268" s="1" t="s">
        <v>13</v>
      </c>
      <c r="J268" s="6" t="s">
        <v>51</v>
      </c>
      <c r="K268" s="6"/>
      <c r="L268" s="6"/>
      <c r="N268" s="3">
        <v>0.5</v>
      </c>
      <c r="O268" s="9">
        <f>120000/0.8</f>
        <v>150000</v>
      </c>
      <c r="P268" s="10"/>
      <c r="Q268" s="10">
        <f>+O268*N268</f>
        <v>75000</v>
      </c>
      <c r="R268" s="10"/>
      <c r="S268" s="10"/>
      <c r="T268" s="10">
        <f>+P268+Q268+R268+S268</f>
        <v>75000</v>
      </c>
      <c r="U268" s="10"/>
      <c r="W268" s="4" t="s">
        <v>477</v>
      </c>
      <c r="Y268" s="41"/>
      <c r="Z268" s="67"/>
    </row>
    <row r="269" spans="1:27" x14ac:dyDescent="0.35">
      <c r="A269" s="8" t="s">
        <v>203</v>
      </c>
      <c r="B269" s="1" t="s">
        <v>1</v>
      </c>
      <c r="F269" s="1" t="s">
        <v>80</v>
      </c>
      <c r="G269" s="1" t="s">
        <v>44</v>
      </c>
      <c r="H269" s="1" t="s">
        <v>44</v>
      </c>
      <c r="I269" s="1" t="s">
        <v>100</v>
      </c>
      <c r="J269" s="6" t="s">
        <v>51</v>
      </c>
      <c r="K269" s="6"/>
      <c r="L269" s="6"/>
      <c r="N269" s="3">
        <v>0.5</v>
      </c>
      <c r="O269" s="9">
        <f>35000/0.8</f>
        <v>43750</v>
      </c>
      <c r="P269" s="10"/>
      <c r="Q269" s="10">
        <f>+O269*N269</f>
        <v>21875</v>
      </c>
      <c r="R269" s="10"/>
      <c r="S269" s="10"/>
      <c r="T269" s="10">
        <f>+P269+Q269+R269+S269</f>
        <v>21875</v>
      </c>
      <c r="U269" s="10"/>
      <c r="W269" s="4" t="s">
        <v>479</v>
      </c>
    </row>
    <row r="270" spans="1:27" x14ac:dyDescent="0.35">
      <c r="A270" s="8" t="s">
        <v>525</v>
      </c>
      <c r="B270" s="1" t="s">
        <v>1</v>
      </c>
      <c r="F270" s="1" t="s">
        <v>76</v>
      </c>
      <c r="G270" s="1" t="s">
        <v>44</v>
      </c>
      <c r="H270" s="1" t="s">
        <v>44</v>
      </c>
      <c r="I270" s="1" t="s">
        <v>13</v>
      </c>
      <c r="J270" s="6" t="s">
        <v>51</v>
      </c>
      <c r="K270" s="6"/>
      <c r="L270" s="6"/>
      <c r="N270" s="3">
        <v>0.5</v>
      </c>
      <c r="O270" s="9">
        <v>36000</v>
      </c>
      <c r="P270" s="10"/>
      <c r="Q270" s="10"/>
      <c r="R270" s="10">
        <f>+O270*N270</f>
        <v>18000</v>
      </c>
      <c r="S270" s="10"/>
      <c r="T270" s="10">
        <f>+P270+Q270+R270+S270</f>
        <v>18000</v>
      </c>
      <c r="U270" s="10"/>
      <c r="W270" s="4" t="s">
        <v>524</v>
      </c>
    </row>
    <row r="271" spans="1:27" x14ac:dyDescent="0.35">
      <c r="A271" s="8" t="s">
        <v>283</v>
      </c>
      <c r="B271" s="1" t="s">
        <v>1</v>
      </c>
      <c r="F271" s="1" t="s">
        <v>76</v>
      </c>
      <c r="G271" s="1" t="s">
        <v>44</v>
      </c>
      <c r="H271" s="1" t="s">
        <v>44</v>
      </c>
      <c r="I271" s="1" t="s">
        <v>13</v>
      </c>
      <c r="J271" s="6" t="s">
        <v>51</v>
      </c>
      <c r="K271" s="6"/>
      <c r="L271" s="6"/>
      <c r="N271" s="3">
        <v>0.5</v>
      </c>
      <c r="O271" s="9">
        <v>35000</v>
      </c>
      <c r="P271" s="10"/>
      <c r="Q271" s="10"/>
      <c r="R271" s="10">
        <f>+O271*N271</f>
        <v>17500</v>
      </c>
      <c r="S271" s="10"/>
      <c r="T271" s="10">
        <f>+P271+Q271+R271+S271</f>
        <v>17500</v>
      </c>
      <c r="U271" s="10"/>
      <c r="W271" s="4" t="s">
        <v>524</v>
      </c>
      <c r="AA271" s="67"/>
    </row>
    <row r="272" spans="1:27" s="41" customFormat="1" x14ac:dyDescent="0.35">
      <c r="A272" s="8" t="s">
        <v>481</v>
      </c>
      <c r="B272" s="1" t="s">
        <v>1</v>
      </c>
      <c r="C272" s="1"/>
      <c r="D272" s="8"/>
      <c r="E272" s="8"/>
      <c r="F272" s="1" t="s">
        <v>80</v>
      </c>
      <c r="G272" s="1" t="s">
        <v>44</v>
      </c>
      <c r="H272" s="1" t="s">
        <v>44</v>
      </c>
      <c r="I272" s="1" t="s">
        <v>13</v>
      </c>
      <c r="J272" s="6" t="s">
        <v>51</v>
      </c>
      <c r="K272" s="6"/>
      <c r="L272" s="6"/>
      <c r="M272" s="4"/>
      <c r="N272" s="3">
        <v>0.25</v>
      </c>
      <c r="O272" s="45">
        <v>130000</v>
      </c>
      <c r="P272" s="10"/>
      <c r="Q272" s="10">
        <f>+O272*N272</f>
        <v>32500</v>
      </c>
      <c r="R272" s="10"/>
      <c r="S272" s="10"/>
      <c r="T272" s="10">
        <f>+P272+Q272+R272+S272</f>
        <v>32500</v>
      </c>
      <c r="U272" s="10"/>
      <c r="V272" s="4"/>
      <c r="W272" s="4" t="s">
        <v>480</v>
      </c>
      <c r="X272" s="4"/>
      <c r="Y272" s="4"/>
    </row>
    <row r="273" spans="1:41" s="41" customFormat="1" x14ac:dyDescent="0.35">
      <c r="A273" s="63" t="s">
        <v>161</v>
      </c>
      <c r="B273" s="56" t="s">
        <v>1</v>
      </c>
      <c r="C273" s="56"/>
      <c r="D273" s="8"/>
      <c r="E273" s="8"/>
      <c r="F273" s="1" t="s">
        <v>75</v>
      </c>
      <c r="G273" s="1" t="s">
        <v>44</v>
      </c>
      <c r="H273" s="1" t="s">
        <v>44</v>
      </c>
      <c r="I273" s="1" t="s">
        <v>162</v>
      </c>
      <c r="J273" s="6" t="s">
        <v>51</v>
      </c>
      <c r="K273" s="6"/>
      <c r="L273" s="6"/>
      <c r="M273" s="4"/>
      <c r="N273" s="3">
        <v>0.25</v>
      </c>
      <c r="O273" s="9">
        <v>15000</v>
      </c>
      <c r="P273" s="13"/>
      <c r="Q273" s="10">
        <f>+O273*N273</f>
        <v>3750</v>
      </c>
      <c r="R273" s="10"/>
      <c r="S273" s="10"/>
      <c r="T273" s="10">
        <f>+P273+Q273+R273+S273</f>
        <v>3750</v>
      </c>
      <c r="U273" s="10"/>
      <c r="V273" s="4"/>
      <c r="W273" s="4" t="s">
        <v>427</v>
      </c>
      <c r="X273" s="4"/>
      <c r="Y273" s="4"/>
      <c r="Z273" s="4"/>
    </row>
    <row r="274" spans="1:41" x14ac:dyDescent="0.35">
      <c r="A274" s="8" t="s">
        <v>531</v>
      </c>
      <c r="B274" s="1" t="s">
        <v>1</v>
      </c>
      <c r="F274" s="1" t="s">
        <v>77</v>
      </c>
      <c r="G274" s="1" t="s">
        <v>44</v>
      </c>
      <c r="H274" s="1" t="s">
        <v>44</v>
      </c>
      <c r="I274" s="1" t="s">
        <v>528</v>
      </c>
      <c r="J274" s="6" t="s">
        <v>51</v>
      </c>
      <c r="K274" s="6"/>
      <c r="L274" s="6"/>
      <c r="N274" s="3">
        <v>0.1</v>
      </c>
      <c r="O274" s="9">
        <v>50000</v>
      </c>
      <c r="P274" s="13"/>
      <c r="Q274" s="10">
        <f>+O274*N274</f>
        <v>5000</v>
      </c>
      <c r="R274" s="10"/>
      <c r="S274" s="10"/>
      <c r="T274" s="10">
        <f>+P274+Q274+R274+S274</f>
        <v>5000</v>
      </c>
      <c r="U274" s="10"/>
      <c r="W274" s="4" t="s">
        <v>534</v>
      </c>
      <c r="Z274" s="41"/>
    </row>
    <row r="275" spans="1:41" x14ac:dyDescent="0.35">
      <c r="A275" s="8" t="s">
        <v>532</v>
      </c>
      <c r="B275" s="1" t="s">
        <v>1</v>
      </c>
      <c r="F275" s="1" t="s">
        <v>77</v>
      </c>
      <c r="G275" s="1" t="s">
        <v>44</v>
      </c>
      <c r="H275" s="1" t="s">
        <v>44</v>
      </c>
      <c r="I275" s="1" t="s">
        <v>533</v>
      </c>
      <c r="J275" s="6" t="s">
        <v>51</v>
      </c>
      <c r="K275" s="6"/>
      <c r="L275" s="6"/>
      <c r="N275" s="3">
        <v>0.1</v>
      </c>
      <c r="O275" s="9">
        <v>50000</v>
      </c>
      <c r="P275" s="13"/>
      <c r="Q275" s="10">
        <f>+O275*N275</f>
        <v>5000</v>
      </c>
      <c r="R275" s="10"/>
      <c r="S275" s="10"/>
      <c r="T275" s="10">
        <f>+P275+Q275+R275+S275</f>
        <v>5000</v>
      </c>
      <c r="U275" s="10"/>
      <c r="Z275" s="67"/>
      <c r="AA275" s="41"/>
      <c r="AB275" s="41"/>
      <c r="AC275" s="41"/>
      <c r="AD275" s="41"/>
      <c r="AE275" s="41"/>
      <c r="AF275" s="41"/>
      <c r="AG275" s="41"/>
      <c r="AH275" s="41"/>
      <c r="AI275" s="41"/>
    </row>
    <row r="276" spans="1:41" x14ac:dyDescent="0.35">
      <c r="A276" s="8" t="s">
        <v>535</v>
      </c>
      <c r="B276" s="1" t="s">
        <v>1</v>
      </c>
      <c r="F276" s="1" t="s">
        <v>80</v>
      </c>
      <c r="G276" s="1" t="s">
        <v>44</v>
      </c>
      <c r="H276" s="1" t="s">
        <v>44</v>
      </c>
      <c r="I276" s="1" t="s">
        <v>528</v>
      </c>
      <c r="J276" s="6" t="s">
        <v>51</v>
      </c>
      <c r="K276" s="6"/>
      <c r="L276" s="6"/>
      <c r="N276" s="3">
        <v>0.1</v>
      </c>
      <c r="O276" s="9">
        <v>5000</v>
      </c>
      <c r="P276" s="13"/>
      <c r="Q276" s="10">
        <f>+O276*N276</f>
        <v>500</v>
      </c>
      <c r="R276" s="10"/>
      <c r="S276" s="10"/>
      <c r="T276" s="10">
        <f>+P276+Q276+R276+S276</f>
        <v>500</v>
      </c>
      <c r="U276" s="10"/>
      <c r="AJ276" s="41"/>
      <c r="AK276" s="41"/>
      <c r="AL276" s="41"/>
      <c r="AM276" s="41"/>
      <c r="AN276" s="41"/>
      <c r="AO276" s="41"/>
    </row>
    <row r="277" spans="1:41" x14ac:dyDescent="0.35">
      <c r="A277" s="8" t="s">
        <v>102</v>
      </c>
      <c r="B277" s="1" t="s">
        <v>2</v>
      </c>
      <c r="F277" s="1" t="s">
        <v>75</v>
      </c>
      <c r="G277" s="1" t="s">
        <v>44</v>
      </c>
      <c r="H277" s="1" t="s">
        <v>44</v>
      </c>
      <c r="I277" s="1" t="s">
        <v>100</v>
      </c>
      <c r="J277" s="6" t="s">
        <v>50</v>
      </c>
      <c r="N277" s="3">
        <v>0.1</v>
      </c>
      <c r="O277" s="9">
        <f>80000/0.8</f>
        <v>100000</v>
      </c>
      <c r="P277" s="10"/>
      <c r="Q277" s="10"/>
      <c r="R277" s="10">
        <f>+O277*N277</f>
        <v>10000</v>
      </c>
      <c r="S277" s="10"/>
      <c r="T277" s="10">
        <f>+P277+Q277+R277+S277</f>
        <v>10000</v>
      </c>
      <c r="U277" s="10"/>
      <c r="W277" s="4" t="s">
        <v>253</v>
      </c>
    </row>
    <row r="278" spans="1:41" x14ac:dyDescent="0.35">
      <c r="A278" s="8" t="s">
        <v>255</v>
      </c>
      <c r="B278" s="1" t="s">
        <v>2</v>
      </c>
      <c r="F278" s="1" t="s">
        <v>75</v>
      </c>
      <c r="G278" s="1" t="s">
        <v>44</v>
      </c>
      <c r="H278" s="1" t="s">
        <v>117</v>
      </c>
      <c r="I278" s="1" t="s">
        <v>163</v>
      </c>
      <c r="J278" s="6" t="s">
        <v>50</v>
      </c>
      <c r="K278" s="6"/>
      <c r="L278" s="6"/>
      <c r="N278" s="3">
        <v>0.1</v>
      </c>
      <c r="O278" s="9">
        <f>8000*12</f>
        <v>96000</v>
      </c>
      <c r="P278" s="13"/>
      <c r="Q278" s="10"/>
      <c r="R278" s="10">
        <f>8000*3*N278</f>
        <v>2400</v>
      </c>
      <c r="S278" s="10">
        <f>8000*3*N278</f>
        <v>2400</v>
      </c>
      <c r="T278" s="10">
        <f>+P278+Q278+R278+S278</f>
        <v>4800</v>
      </c>
      <c r="U278" s="10"/>
      <c r="W278" s="4" t="s">
        <v>256</v>
      </c>
    </row>
    <row r="279" spans="1:41" x14ac:dyDescent="0.35">
      <c r="A279" s="8" t="s">
        <v>284</v>
      </c>
      <c r="B279" s="1" t="s">
        <v>2</v>
      </c>
      <c r="F279" s="1" t="s">
        <v>76</v>
      </c>
      <c r="G279" s="1" t="s">
        <v>44</v>
      </c>
      <c r="H279" s="1" t="s">
        <v>44</v>
      </c>
      <c r="I279" s="1" t="s">
        <v>101</v>
      </c>
      <c r="J279" s="6" t="s">
        <v>51</v>
      </c>
      <c r="K279" s="6"/>
      <c r="L279" s="6"/>
      <c r="N279" s="3">
        <v>0.5</v>
      </c>
      <c r="O279" s="9">
        <f>40000/0.8</f>
        <v>50000</v>
      </c>
      <c r="P279" s="10"/>
      <c r="Q279" s="10"/>
      <c r="R279" s="10">
        <f>+O279*N279</f>
        <v>25000</v>
      </c>
      <c r="S279" s="10"/>
      <c r="T279" s="10">
        <f>+P279+Q279+R279+S279</f>
        <v>25000</v>
      </c>
      <c r="U279" s="10"/>
      <c r="W279" s="4" t="s">
        <v>523</v>
      </c>
    </row>
    <row r="280" spans="1:41" x14ac:dyDescent="0.35">
      <c r="A280" s="8" t="s">
        <v>103</v>
      </c>
      <c r="B280" s="1" t="s">
        <v>2</v>
      </c>
      <c r="F280" s="1" t="s">
        <v>75</v>
      </c>
      <c r="G280" s="1" t="s">
        <v>44</v>
      </c>
      <c r="H280" s="1" t="s">
        <v>44</v>
      </c>
      <c r="I280" s="1" t="s">
        <v>100</v>
      </c>
      <c r="J280" s="6" t="s">
        <v>51</v>
      </c>
      <c r="K280" s="6"/>
      <c r="L280" s="6"/>
      <c r="N280" s="3">
        <v>0.5</v>
      </c>
      <c r="O280" s="9">
        <f>14000/0.8</f>
        <v>17500</v>
      </c>
      <c r="P280" s="10"/>
      <c r="Q280" s="10"/>
      <c r="R280" s="10">
        <f>+O280*N280</f>
        <v>8750</v>
      </c>
      <c r="S280" s="10"/>
      <c r="T280" s="10">
        <f>+P280+Q280+R280+S280</f>
        <v>8750</v>
      </c>
      <c r="U280" s="10"/>
      <c r="W280" s="10" t="s">
        <v>526</v>
      </c>
    </row>
    <row r="281" spans="1:41" x14ac:dyDescent="0.35">
      <c r="A281" s="63" t="s">
        <v>208</v>
      </c>
      <c r="B281" s="56" t="s">
        <v>2</v>
      </c>
      <c r="C281" s="56"/>
      <c r="F281" s="1" t="s">
        <v>80</v>
      </c>
      <c r="G281" s="1" t="s">
        <v>44</v>
      </c>
      <c r="H281" s="1" t="s">
        <v>44</v>
      </c>
      <c r="I281" s="1" t="s">
        <v>13</v>
      </c>
      <c r="J281" s="6" t="s">
        <v>51</v>
      </c>
      <c r="K281" s="6"/>
      <c r="L281" s="6"/>
      <c r="N281" s="3">
        <v>0.25</v>
      </c>
      <c r="O281" s="9">
        <v>80000</v>
      </c>
      <c r="P281" s="10"/>
      <c r="Q281" s="10">
        <f>+O281*N281</f>
        <v>20000</v>
      </c>
      <c r="R281" s="10"/>
      <c r="S281" s="10"/>
      <c r="T281" s="10">
        <f>+P281+Q281+R281+S281</f>
        <v>20000</v>
      </c>
      <c r="U281" s="10"/>
      <c r="W281" s="4" t="s">
        <v>209</v>
      </c>
    </row>
    <row r="282" spans="1:41" x14ac:dyDescent="0.35">
      <c r="A282" t="s">
        <v>408</v>
      </c>
      <c r="B282" s="105" t="s">
        <v>2</v>
      </c>
      <c r="C282" s="105"/>
      <c r="F282" s="1" t="s">
        <v>80</v>
      </c>
      <c r="G282" s="1" t="s">
        <v>44</v>
      </c>
      <c r="H282" s="1" t="s">
        <v>44</v>
      </c>
      <c r="I282" s="1" t="s">
        <v>13</v>
      </c>
      <c r="J282" s="6" t="s">
        <v>51</v>
      </c>
      <c r="K282" s="6"/>
      <c r="L282" s="6"/>
      <c r="N282" s="3">
        <v>0.25</v>
      </c>
      <c r="O282" s="9">
        <f>30000/0.8</f>
        <v>37500</v>
      </c>
      <c r="P282" s="10"/>
      <c r="Q282" s="10"/>
      <c r="R282" s="10">
        <f>+O282*N282</f>
        <v>9375</v>
      </c>
      <c r="S282" s="10"/>
      <c r="T282" s="10">
        <f>+P282+Q282+R282+S282</f>
        <v>9375</v>
      </c>
      <c r="U282" s="10"/>
      <c r="W282" s="4" t="s">
        <v>409</v>
      </c>
    </row>
    <row r="283" spans="1:41" x14ac:dyDescent="0.35">
      <c r="A283" s="8" t="s">
        <v>106</v>
      </c>
      <c r="B283" s="1" t="s">
        <v>2</v>
      </c>
      <c r="F283" s="1" t="s">
        <v>80</v>
      </c>
      <c r="G283" s="1" t="s">
        <v>44</v>
      </c>
      <c r="H283" s="1" t="s">
        <v>44</v>
      </c>
      <c r="I283" s="1" t="s">
        <v>13</v>
      </c>
      <c r="J283" s="6" t="s">
        <v>51</v>
      </c>
      <c r="K283" s="6"/>
      <c r="L283" s="6"/>
      <c r="N283" s="3">
        <v>0.1</v>
      </c>
      <c r="O283" s="9">
        <f>160000/0.8</f>
        <v>200000</v>
      </c>
      <c r="P283" s="10"/>
      <c r="Q283" s="10"/>
      <c r="R283" s="10">
        <f>+O283*N283</f>
        <v>20000</v>
      </c>
      <c r="S283" s="10"/>
      <c r="T283" s="10">
        <f>+P283+Q283+R283+S283</f>
        <v>20000</v>
      </c>
      <c r="U283" s="10"/>
      <c r="W283" s="4" t="s">
        <v>204</v>
      </c>
    </row>
    <row r="284" spans="1:41" x14ac:dyDescent="0.35">
      <c r="A284" s="8" t="s">
        <v>149</v>
      </c>
      <c r="B284" s="1" t="s">
        <v>2</v>
      </c>
      <c r="F284" s="1" t="s">
        <v>87</v>
      </c>
      <c r="G284" s="56" t="s">
        <v>44</v>
      </c>
      <c r="H284" s="56" t="s">
        <v>117</v>
      </c>
      <c r="I284" s="56" t="s">
        <v>100</v>
      </c>
      <c r="J284" s="6" t="s">
        <v>51</v>
      </c>
      <c r="K284" s="6"/>
      <c r="L284" s="6"/>
      <c r="N284" s="3">
        <v>0.1</v>
      </c>
      <c r="O284" s="9">
        <v>7361</v>
      </c>
      <c r="P284" s="10"/>
      <c r="Q284" s="10"/>
      <c r="R284" s="10">
        <f>+O284*N284</f>
        <v>736.1</v>
      </c>
      <c r="S284" s="10"/>
      <c r="T284" s="10">
        <f>+P284+Q284+R284+S284</f>
        <v>736.1</v>
      </c>
      <c r="U284" s="10"/>
      <c r="W284" s="4" t="s">
        <v>150</v>
      </c>
    </row>
    <row r="285" spans="1:41" x14ac:dyDescent="0.35">
      <c r="A285" s="8" t="s">
        <v>105</v>
      </c>
      <c r="B285" s="1" t="s">
        <v>3</v>
      </c>
      <c r="F285" s="1" t="s">
        <v>80</v>
      </c>
      <c r="G285" s="1" t="s">
        <v>44</v>
      </c>
      <c r="H285" s="1" t="s">
        <v>44</v>
      </c>
      <c r="I285" s="1" t="s">
        <v>13</v>
      </c>
      <c r="J285" s="6" t="s">
        <v>51</v>
      </c>
      <c r="K285" s="6"/>
      <c r="L285" s="6"/>
      <c r="N285" s="3">
        <v>0.25</v>
      </c>
      <c r="O285" s="9">
        <f>30000/0.8</f>
        <v>37500</v>
      </c>
      <c r="P285" s="10"/>
      <c r="Q285" s="10"/>
      <c r="R285" s="10">
        <f>+O285*N285</f>
        <v>9375</v>
      </c>
      <c r="S285" s="10"/>
      <c r="T285" s="10">
        <f>+P285+Q285+R285+S285</f>
        <v>9375</v>
      </c>
      <c r="U285" s="10"/>
      <c r="W285" s="4" t="s">
        <v>186</v>
      </c>
      <c r="Y285" s="72"/>
    </row>
    <row r="286" spans="1:41" x14ac:dyDescent="0.35">
      <c r="F286" s="1"/>
      <c r="G286" s="1"/>
      <c r="H286" s="1"/>
      <c r="I286" s="1"/>
      <c r="J286" s="6"/>
      <c r="K286" s="46"/>
      <c r="L286" s="46"/>
      <c r="N286" s="3"/>
      <c r="O286" s="9"/>
      <c r="P286" s="10"/>
      <c r="Q286" s="10"/>
      <c r="R286" s="10"/>
      <c r="S286" s="10"/>
      <c r="T286" s="10"/>
      <c r="U286" s="10"/>
    </row>
    <row r="287" spans="1:41" x14ac:dyDescent="0.35">
      <c r="D287" s="1"/>
      <c r="E287" s="1"/>
      <c r="F287" s="1"/>
      <c r="G287" s="1"/>
      <c r="H287" s="1"/>
      <c r="I287" s="6"/>
      <c r="J287" s="6"/>
      <c r="L287" s="3"/>
      <c r="M287" s="9"/>
      <c r="N287" s="3"/>
      <c r="O287" s="10"/>
      <c r="P287" s="12"/>
      <c r="Q287" s="10"/>
      <c r="R287" s="10"/>
      <c r="T287" s="10"/>
    </row>
    <row r="288" spans="1:41" x14ac:dyDescent="0.35">
      <c r="H288" s="1"/>
      <c r="I288" s="1"/>
      <c r="J288" s="6"/>
      <c r="K288" s="6"/>
      <c r="L288" s="6"/>
      <c r="N288" s="3"/>
      <c r="O288" s="9"/>
      <c r="P288" s="10"/>
      <c r="Q288" s="10"/>
      <c r="R288" s="10"/>
      <c r="S288" s="10"/>
      <c r="T288" s="10"/>
      <c r="U288" s="10"/>
    </row>
    <row r="289" spans="1:39" x14ac:dyDescent="0.35">
      <c r="F289" s="1"/>
      <c r="G289" s="1"/>
      <c r="H289" s="1"/>
      <c r="I289" s="1"/>
      <c r="J289" s="6"/>
      <c r="K289" s="6"/>
      <c r="L289" s="6"/>
      <c r="N289" s="3"/>
      <c r="O289" s="9"/>
      <c r="P289" s="10"/>
      <c r="Q289" s="10"/>
      <c r="R289" s="10"/>
      <c r="S289" s="10"/>
      <c r="T289" s="10"/>
      <c r="U289" s="10"/>
    </row>
    <row r="290" spans="1:39" x14ac:dyDescent="0.35">
      <c r="F290" s="1"/>
      <c r="G290" s="1"/>
      <c r="H290" s="1"/>
      <c r="I290" s="1"/>
      <c r="J290" s="6"/>
      <c r="K290" s="6"/>
      <c r="L290" s="6"/>
      <c r="N290" s="3"/>
      <c r="O290" s="9"/>
      <c r="P290" s="10"/>
      <c r="Q290" s="10"/>
      <c r="R290" s="10"/>
      <c r="S290" s="10"/>
      <c r="T290" s="10"/>
      <c r="U290" s="10"/>
    </row>
    <row r="291" spans="1:39" x14ac:dyDescent="0.35">
      <c r="F291" s="1"/>
      <c r="G291" s="1"/>
      <c r="H291" s="1"/>
      <c r="I291" s="1"/>
      <c r="J291" s="6"/>
      <c r="K291" s="6"/>
      <c r="L291" s="6"/>
      <c r="N291" s="3"/>
      <c r="O291" s="9"/>
      <c r="P291" s="10"/>
      <c r="Q291" s="10"/>
      <c r="R291" s="10"/>
      <c r="S291" s="10"/>
      <c r="T291" s="10"/>
      <c r="U291" s="10"/>
    </row>
    <row r="292" spans="1:39" x14ac:dyDescent="0.35">
      <c r="F292" s="1"/>
      <c r="G292" s="1"/>
      <c r="H292" s="1"/>
      <c r="I292" s="1"/>
      <c r="J292" s="6"/>
      <c r="K292" s="6"/>
      <c r="L292" s="6"/>
      <c r="N292" s="3"/>
      <c r="O292" s="9"/>
      <c r="P292" s="10"/>
      <c r="Q292" s="10"/>
      <c r="R292" s="10"/>
      <c r="S292" s="10"/>
      <c r="T292" s="10"/>
      <c r="U292" s="10"/>
    </row>
    <row r="293" spans="1:39" x14ac:dyDescent="0.35">
      <c r="F293" s="1"/>
      <c r="G293" s="1"/>
      <c r="H293" s="1"/>
      <c r="I293" s="1"/>
      <c r="J293" s="6"/>
      <c r="K293" s="6"/>
      <c r="L293" s="6"/>
      <c r="N293" s="3"/>
      <c r="O293" s="48"/>
      <c r="P293" s="48"/>
      <c r="Q293" s="48"/>
      <c r="R293" s="48"/>
      <c r="S293" s="48"/>
      <c r="T293" s="10"/>
    </row>
    <row r="294" spans="1:39" x14ac:dyDescent="0.35">
      <c r="A294" s="22"/>
      <c r="B294" s="100"/>
      <c r="C294" s="100"/>
      <c r="G294" s="1"/>
      <c r="H294" s="1"/>
      <c r="I294" s="1"/>
      <c r="J294" s="6"/>
      <c r="K294" s="6"/>
      <c r="L294" s="6"/>
      <c r="N294" s="3"/>
      <c r="O294" s="23">
        <f t="shared" ref="O294:T294" si="3">SUM(O23:O292)</f>
        <v>15437905.353279205</v>
      </c>
      <c r="P294" s="49">
        <f t="shared" si="3"/>
        <v>3389850.5625230134</v>
      </c>
      <c r="Q294" s="50">
        <f t="shared" si="3"/>
        <v>3210230.1252803127</v>
      </c>
      <c r="R294" s="50">
        <f t="shared" si="3"/>
        <v>385976.79358539765</v>
      </c>
      <c r="S294" s="50">
        <f t="shared" si="3"/>
        <v>186910.09189048241</v>
      </c>
      <c r="T294" s="51">
        <f t="shared" si="3"/>
        <v>7041115.5732792066</v>
      </c>
      <c r="U294" s="10">
        <f>+K9</f>
        <v>26000000</v>
      </c>
      <c r="V294" s="20">
        <f>+T294-U294</f>
        <v>-18958884.426720794</v>
      </c>
    </row>
    <row r="295" spans="1:39" s="16" customFormat="1" x14ac:dyDescent="0.35">
      <c r="A295" s="15"/>
      <c r="B295" s="29"/>
      <c r="C295" s="29"/>
      <c r="D295" s="15"/>
      <c r="E295" s="15"/>
      <c r="F295" s="15"/>
      <c r="G295" s="15"/>
      <c r="H295" s="15"/>
      <c r="I295" s="15"/>
      <c r="J295" s="30"/>
      <c r="K295" s="30"/>
      <c r="L295" s="30"/>
      <c r="N295" s="30"/>
      <c r="O295" s="30"/>
      <c r="P295" s="30"/>
      <c r="Q295" s="30"/>
      <c r="R295" s="30"/>
      <c r="S295" s="30"/>
      <c r="T295" s="30"/>
    </row>
    <row r="296" spans="1:39" x14ac:dyDescent="0.35">
      <c r="A296" s="17" t="s">
        <v>107</v>
      </c>
      <c r="B296" s="2"/>
      <c r="C296" s="2"/>
      <c r="D296" s="17"/>
      <c r="E296" s="17"/>
      <c r="F296" s="7" t="s">
        <v>16</v>
      </c>
      <c r="G296" s="7" t="s">
        <v>0</v>
      </c>
      <c r="H296" s="7" t="s">
        <v>1</v>
      </c>
      <c r="I296" s="7" t="s">
        <v>2</v>
      </c>
      <c r="J296" s="7" t="s">
        <v>3</v>
      </c>
      <c r="K296" s="7" t="s">
        <v>4</v>
      </c>
      <c r="L296" s="7"/>
      <c r="M296" s="7"/>
      <c r="N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x14ac:dyDescent="0.35">
      <c r="A297" s="8" t="s">
        <v>76</v>
      </c>
      <c r="F297" s="9">
        <f>SUMIF($F23:$F293,"Milton Gallo",O23:O293)</f>
        <v>2942634.1943048476</v>
      </c>
      <c r="G297" s="9">
        <f>SUMIF($F23:$F293,"Milton Gallo",P23:P293)</f>
        <v>423964.70277942403</v>
      </c>
      <c r="H297" s="9">
        <f>SUMIF($F23:$F293,"Milton Gallo",Q23:Q293)</f>
        <v>814154.93220338982</v>
      </c>
      <c r="I297" s="9">
        <f>SUMIF($F23:$F293,"Milton Gallo",R23:R293)</f>
        <v>227836.08050847458</v>
      </c>
      <c r="J297" s="9">
        <f>SUMIF($F23:$F293,"Milton Gallo",S23:S293)</f>
        <v>102705.47881355934</v>
      </c>
      <c r="K297" s="9">
        <f>G297+H297+I297+J297</f>
        <v>1568661.1943048476</v>
      </c>
      <c r="L297" s="6"/>
      <c r="N297" s="6"/>
    </row>
    <row r="298" spans="1:39" x14ac:dyDescent="0.35">
      <c r="A298" s="8" t="s">
        <v>80</v>
      </c>
      <c r="F298" s="9">
        <f>SUMIF(F23:F293,"Carlos Lopez",O23:O293)</f>
        <v>2072057.1935664336</v>
      </c>
      <c r="G298" s="9">
        <f>SUMIF($F23:$F293,"Carlos Lopez",P23:P293)</f>
        <v>652477.43356643361</v>
      </c>
      <c r="H298" s="9">
        <f>SUMIF($F23:$F293,"Carlos Lopez",Q23:Q293)</f>
        <v>306289.88</v>
      </c>
      <c r="I298" s="9">
        <f>SUMIF($F23:$F293,"Carlos Lopez",R23:R293)</f>
        <v>42750</v>
      </c>
      <c r="J298" s="9">
        <f>SUMIF($F23:$F293,"Carlos Lopez",S23:S293)</f>
        <v>0</v>
      </c>
      <c r="K298" s="9">
        <f>G298+H298+I298+J298</f>
        <v>1001517.3135664336</v>
      </c>
      <c r="L298" s="6"/>
      <c r="N298" s="6"/>
    </row>
    <row r="299" spans="1:39" x14ac:dyDescent="0.35">
      <c r="A299" s="8" t="s">
        <v>79</v>
      </c>
      <c r="F299" s="9">
        <f>SUMIF(F23:F293,"Florencia Vargas",O23:O293)</f>
        <v>924100</v>
      </c>
      <c r="G299" s="9">
        <f>SUMIF($F23:$F293,"Florencia Vargas",P23:P293)</f>
        <v>28100</v>
      </c>
      <c r="H299" s="9">
        <f>SUMIF($F23:$F293,"Florencia Vargas",Q23:Q293)</f>
        <v>290500</v>
      </c>
      <c r="I299" s="9">
        <f>SUMIF($F23:$F293,"Florencia Vargas",R23:R293)</f>
        <v>4200</v>
      </c>
      <c r="J299" s="9">
        <f>SUMIF($F23:$F293,"Florencia Vargas",S23:S293)</f>
        <v>6000</v>
      </c>
      <c r="K299" s="9">
        <f t="shared" ref="K299:K305" si="4">G299+H299+I299+J299</f>
        <v>328800</v>
      </c>
      <c r="L299" s="6"/>
      <c r="N299" s="6"/>
    </row>
    <row r="300" spans="1:39" x14ac:dyDescent="0.35">
      <c r="A300" s="8" t="s">
        <v>86</v>
      </c>
      <c r="F300" s="9">
        <f>SUMIF(F23:F293,"Sandra Tedesco",O23:O293)</f>
        <v>105985</v>
      </c>
      <c r="G300" s="9">
        <f>SUMIF($F23:$F293,"Sandra Tedesco",P23:P293)</f>
        <v>2985</v>
      </c>
      <c r="H300" s="9">
        <f>SUMIF($F23:$F293,"Sandra Tedesco",Q23:Q293)</f>
        <v>22500</v>
      </c>
      <c r="I300" s="9">
        <f>SUMIF($F23:$F293,"Sandra Tedesco",R23:R293)</f>
        <v>0</v>
      </c>
      <c r="J300" s="9">
        <f>SUMIF($F23:$F293,"Sandra Tedesco",S23:S293)</f>
        <v>1300</v>
      </c>
      <c r="K300" s="9">
        <f t="shared" si="4"/>
        <v>26785</v>
      </c>
      <c r="L300" s="6"/>
      <c r="N300" s="6"/>
    </row>
    <row r="301" spans="1:39" x14ac:dyDescent="0.35">
      <c r="A301" s="8" t="s">
        <v>75</v>
      </c>
      <c r="F301" s="9">
        <f>SUMIF(F23:F293,"Fabio Villamayor",O23:O293)</f>
        <v>895618.95104895101</v>
      </c>
      <c r="G301" s="9">
        <f>SUMIF($F23:$F293,"Fabio Villamayor",P23:P293)</f>
        <v>185118.95104895104</v>
      </c>
      <c r="H301" s="9">
        <f>SUMIF($F23:$F293,"Fabio Villamayor",Q23:Q293)</f>
        <v>23250</v>
      </c>
      <c r="I301" s="9">
        <f>SUMIF($F23:$F293,"Fabio Villamayor",R23:R293)</f>
        <v>62150</v>
      </c>
      <c r="J301" s="9">
        <f>SUMIF($F23:$F293,"Fabio Villamayor",S23:S293)</f>
        <v>3400</v>
      </c>
      <c r="K301" s="9">
        <f t="shared" si="4"/>
        <v>273918.95104895101</v>
      </c>
      <c r="L301" s="6"/>
      <c r="N301" s="6"/>
    </row>
    <row r="302" spans="1:39" x14ac:dyDescent="0.35">
      <c r="A302" s="8" t="s">
        <v>77</v>
      </c>
      <c r="F302" s="9">
        <f>SUMIF(F23:F293,"Christian Braun",O23:O293)</f>
        <v>3143552.307692308</v>
      </c>
      <c r="G302" s="9">
        <f>SUMIF($F23:$F293,"Christian Braun",P23:P293)</f>
        <v>1071071.5384615385</v>
      </c>
      <c r="H302" s="9">
        <f>SUMIF($F23:$F293,"Christian Braun",Q23:Q293)</f>
        <v>432676.92307692306</v>
      </c>
      <c r="I302" s="9">
        <f>SUMIF($F23:$F293,"Christian Braun",R23:R293)</f>
        <v>17276.923076923078</v>
      </c>
      <c r="J302" s="9">
        <f>SUMIF($F23:$F293,"Christian Braun",S23:S293)</f>
        <v>3276.9230769230771</v>
      </c>
      <c r="K302" s="9">
        <f t="shared" si="4"/>
        <v>1524302.3076923075</v>
      </c>
      <c r="L302" s="6"/>
      <c r="N302" s="6"/>
    </row>
    <row r="303" spans="1:39" x14ac:dyDescent="0.35">
      <c r="A303" s="5" t="s">
        <v>73</v>
      </c>
      <c r="D303" s="5"/>
      <c r="E303" s="5"/>
      <c r="F303" s="9">
        <f>SUMIF(F23:F293,"Mathias Villamayor",O23:O293)</f>
        <v>977015.42666666664</v>
      </c>
      <c r="G303" s="9">
        <f>SUMIF($F23:$F293,"Mathias Villamayor",P23:P293)</f>
        <v>735682.35666666657</v>
      </c>
      <c r="H303" s="9">
        <f>SUMIF($F23:$F293,"Mathias Villamayor",Q23:Q293)</f>
        <v>119777.69</v>
      </c>
      <c r="I303" s="9">
        <f>SUMIF($F23:$F293,"Mathias Villamayor",R23:R293)</f>
        <v>21027.69</v>
      </c>
      <c r="J303" s="9">
        <f>SUMIF($F23:$F293,"Mathias Villamayor",S23:S293)</f>
        <v>8527.6899999999987</v>
      </c>
      <c r="K303" s="9">
        <f t="shared" ref="K303" si="5">G303+H303+I303+J303</f>
        <v>885015.42666666652</v>
      </c>
      <c r="L303" s="6"/>
      <c r="N303" s="6"/>
    </row>
    <row r="304" spans="1:39" x14ac:dyDescent="0.35">
      <c r="A304" s="8" t="s">
        <v>78</v>
      </c>
      <c r="F304" s="9">
        <f>SUMIF(F23:F293,"Oscar Ontano",O23:O293)</f>
        <v>308264.25</v>
      </c>
      <c r="G304" s="9">
        <f>SUMIF($F23:$F293,"Oscar Ontano",P23:P293)</f>
        <v>82264.25</v>
      </c>
      <c r="H304" s="9">
        <f>SUMIF($F23:$F293,"Oscar Ontano",Q23:Q293)</f>
        <v>119450</v>
      </c>
      <c r="I304" s="9">
        <f>SUMIF($F23:$F293,"Oscar Ontano",R23:R293)</f>
        <v>0</v>
      </c>
      <c r="J304" s="9">
        <f>SUMIF($F23:$F293,"Oscar Ontano",S23:S293)</f>
        <v>0</v>
      </c>
      <c r="K304" s="9">
        <f t="shared" si="4"/>
        <v>201714.25</v>
      </c>
      <c r="L304" s="6"/>
      <c r="N304" s="6"/>
    </row>
    <row r="305" spans="1:14" x14ac:dyDescent="0.35">
      <c r="A305" s="8" t="s">
        <v>87</v>
      </c>
      <c r="F305" s="9">
        <f>SUMIF(F23:F293,"Mariano Basso",O23:O293)</f>
        <v>1510361</v>
      </c>
      <c r="G305" s="9">
        <f>SUMIF($F23:$F293,"Mariano Basso",P23:P293)</f>
        <v>750</v>
      </c>
      <c r="H305" s="9">
        <f>SUMIF($F23:$F293,"Mariano Basso",Q23:Q293)</f>
        <v>750000</v>
      </c>
      <c r="I305" s="9">
        <f>SUMIF($F23:$F293,"Mariano Basso",R23:R293)</f>
        <v>736.1</v>
      </c>
      <c r="J305" s="9">
        <f>SUMIF($F23:$F293,"Mariano Basso",S23:S293)</f>
        <v>0</v>
      </c>
      <c r="K305" s="9">
        <f t="shared" si="4"/>
        <v>751486.1</v>
      </c>
      <c r="L305" s="6"/>
      <c r="M305" s="8"/>
      <c r="N305" s="6"/>
    </row>
    <row r="306" spans="1:14" x14ac:dyDescent="0.35">
      <c r="A306" s="5" t="s">
        <v>74</v>
      </c>
      <c r="D306" s="5"/>
      <c r="E306" s="5"/>
      <c r="F306" s="9">
        <f>SUMIF(F23:F293,"Alejandro Simeone",O23:O293)</f>
        <v>1237905.03</v>
      </c>
      <c r="G306" s="9">
        <f>SUMIF($F23:$F293,"Alejandro Simeone",P23:P293)</f>
        <v>77655.03</v>
      </c>
      <c r="H306" s="9">
        <f>SUMIF($F23:$F293,"Alejandro Simeone",Q23:Q293)</f>
        <v>38750</v>
      </c>
      <c r="I306" s="9">
        <f>SUMIF($F23:$F293,"Alejandro Simeone",R23:R293)</f>
        <v>0</v>
      </c>
      <c r="J306" s="9">
        <f>SUMIF($F23:$F293,"Alejandro Simeone",S23:S293)</f>
        <v>50000</v>
      </c>
      <c r="K306" s="9">
        <f t="shared" ref="K306" si="6">G306+H306+I306+J306</f>
        <v>166405.03</v>
      </c>
      <c r="L306" s="6"/>
      <c r="M306" s="5"/>
      <c r="N306" s="6"/>
    </row>
    <row r="307" spans="1:14" x14ac:dyDescent="0.35">
      <c r="A307" s="8" t="s">
        <v>88</v>
      </c>
      <c r="F307" s="9">
        <f>SUMIF(F23:F293,"NEW CLIENT",O23:O293)</f>
        <v>946554.7</v>
      </c>
      <c r="G307" s="9">
        <f>SUMIF($F23:$F293,"NEW CLIENT",P23:P293)</f>
        <v>115924</v>
      </c>
      <c r="H307" s="9">
        <f>SUMIF($F23:$F293,"NEW CLIENT",Q23:Q293)</f>
        <v>211880.7</v>
      </c>
      <c r="I307" s="9">
        <f>SUMIF($F23:$F293,"NEW CLIENT",R23:R293)</f>
        <v>10000</v>
      </c>
      <c r="J307" s="9">
        <f>SUMIF($F23:$F293,"NEW CLIENT",S23:S293)</f>
        <v>11700</v>
      </c>
      <c r="K307" s="9">
        <f t="shared" ref="K307" si="7">G307+H307+I307+J307</f>
        <v>349504.7</v>
      </c>
      <c r="L307" s="6"/>
      <c r="N307" s="6"/>
    </row>
    <row r="308" spans="1:14" x14ac:dyDescent="0.35">
      <c r="F308" s="52">
        <f t="shared" ref="F308:K308" si="8">SUM(F297:F307)</f>
        <v>15064048.053279204</v>
      </c>
      <c r="G308" s="53">
        <f t="shared" si="8"/>
        <v>3375993.2625230136</v>
      </c>
      <c r="H308" s="53">
        <f t="shared" si="8"/>
        <v>3129230.1252803132</v>
      </c>
      <c r="I308" s="53">
        <f t="shared" si="8"/>
        <v>385976.79358539765</v>
      </c>
      <c r="J308" s="53">
        <f t="shared" si="8"/>
        <v>186910.09189048241</v>
      </c>
      <c r="K308" s="52">
        <f t="shared" si="8"/>
        <v>7078110.2732792068</v>
      </c>
      <c r="L308" s="6"/>
      <c r="N308" s="6"/>
    </row>
    <row r="309" spans="1:14" s="16" customFormat="1" x14ac:dyDescent="0.35">
      <c r="A309" s="15"/>
      <c r="B309" s="29"/>
      <c r="C309" s="29"/>
      <c r="D309" s="15"/>
      <c r="E309" s="15"/>
      <c r="F309" s="15"/>
      <c r="G309" s="15"/>
      <c r="H309" s="15"/>
      <c r="I309" s="15"/>
    </row>
  </sheetData>
  <autoFilter ref="A22:XFD22"/>
  <sortState ref="A23:Z285">
    <sortCondition ref="G23:G285"/>
    <sortCondition ref="B23:B285"/>
    <sortCondition ref="J23:J285"/>
    <sortCondition descending="1" ref="N23:N285"/>
    <sortCondition descending="1" ref="O23:O285"/>
  </sortState>
  <pageMargins left="0" right="0" top="0.15748031496062992" bottom="0.15748031496062992" header="0" footer="0"/>
  <pageSetup paperSize="9" scale="30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B16"/>
  <sheetViews>
    <sheetView workbookViewId="0">
      <selection activeCell="A16" sqref="A16:V16"/>
    </sheetView>
  </sheetViews>
  <sheetFormatPr baseColWidth="10" defaultRowHeight="14.5" x14ac:dyDescent="0.35"/>
  <cols>
    <col min="1" max="1" width="41.54296875" bestFit="1" customWidth="1"/>
  </cols>
  <sheetData>
    <row r="2" spans="1:16382" s="4" customFormat="1" ht="31.5" x14ac:dyDescent="0.35">
      <c r="A2" s="2" t="s">
        <v>8</v>
      </c>
      <c r="B2" s="11" t="s">
        <v>95</v>
      </c>
      <c r="C2" s="11" t="s">
        <v>96</v>
      </c>
      <c r="D2" s="2" t="s">
        <v>72</v>
      </c>
      <c r="E2" s="2" t="s">
        <v>43</v>
      </c>
      <c r="F2" s="2" t="s">
        <v>33</v>
      </c>
      <c r="G2" s="2" t="s">
        <v>32</v>
      </c>
      <c r="H2" s="7" t="s">
        <v>7</v>
      </c>
      <c r="I2" s="7" t="s">
        <v>24</v>
      </c>
      <c r="J2" s="7" t="s">
        <v>93</v>
      </c>
      <c r="K2" s="7" t="s">
        <v>82</v>
      </c>
      <c r="L2" s="7" t="s">
        <v>15</v>
      </c>
      <c r="M2" s="7" t="s">
        <v>16</v>
      </c>
      <c r="N2" s="7" t="s">
        <v>0</v>
      </c>
      <c r="O2" s="7" t="s">
        <v>1</v>
      </c>
      <c r="P2" s="7" t="s">
        <v>2</v>
      </c>
      <c r="Q2" s="7" t="s">
        <v>3</v>
      </c>
      <c r="R2" s="7" t="s">
        <v>97</v>
      </c>
      <c r="S2" s="7" t="s">
        <v>57</v>
      </c>
      <c r="T2" s="7"/>
      <c r="U2" s="7" t="s">
        <v>153</v>
      </c>
      <c r="V2" s="7" t="s">
        <v>152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16382" s="41" customFormat="1" ht="29" x14ac:dyDescent="0.35">
      <c r="A3" s="57" t="s">
        <v>140</v>
      </c>
      <c r="B3" s="8"/>
      <c r="C3" s="8"/>
      <c r="D3" s="58" t="s">
        <v>78</v>
      </c>
      <c r="E3" s="58" t="s">
        <v>85</v>
      </c>
      <c r="F3" s="58" t="s">
        <v>71</v>
      </c>
      <c r="G3" s="58" t="s">
        <v>141</v>
      </c>
      <c r="H3" s="59" t="s">
        <v>182</v>
      </c>
      <c r="I3" s="59"/>
      <c r="J3" s="59"/>
      <c r="K3" s="60"/>
      <c r="L3" s="61">
        <v>0</v>
      </c>
      <c r="M3" s="62">
        <v>20000</v>
      </c>
      <c r="N3" s="20"/>
      <c r="O3" s="20"/>
      <c r="P3" s="20">
        <f>+M3*L3</f>
        <v>0</v>
      </c>
      <c r="Q3" s="20"/>
      <c r="R3" s="20">
        <f t="shared" ref="R3:R10" si="0">+N3+O3+P3+Q3</f>
        <v>0</v>
      </c>
      <c r="S3" s="10"/>
      <c r="T3" s="4"/>
      <c r="U3" s="60" t="s">
        <v>183</v>
      </c>
      <c r="V3" s="60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</row>
    <row r="4" spans="1:16382" s="4" customFormat="1" ht="29" x14ac:dyDescent="0.35">
      <c r="A4" s="57" t="s">
        <v>6</v>
      </c>
      <c r="B4" s="57"/>
      <c r="C4" s="57"/>
      <c r="D4" s="58" t="s">
        <v>76</v>
      </c>
      <c r="E4" s="58" t="s">
        <v>48</v>
      </c>
      <c r="F4" s="58" t="s">
        <v>38</v>
      </c>
      <c r="G4" s="58" t="s">
        <v>9</v>
      </c>
      <c r="H4" s="59" t="s">
        <v>182</v>
      </c>
      <c r="I4" s="64"/>
      <c r="J4" s="64"/>
      <c r="K4" s="60"/>
      <c r="L4" s="61">
        <v>0</v>
      </c>
      <c r="M4" s="62">
        <v>400000</v>
      </c>
      <c r="N4" s="20">
        <f>+M4*L4</f>
        <v>0</v>
      </c>
      <c r="O4" s="20"/>
      <c r="P4" s="20"/>
      <c r="Q4" s="20"/>
      <c r="R4" s="20">
        <f t="shared" si="0"/>
        <v>0</v>
      </c>
      <c r="S4" s="20"/>
      <c r="T4" s="60"/>
      <c r="U4" s="60" t="s">
        <v>165</v>
      </c>
      <c r="V4" s="60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</row>
    <row r="5" spans="1:16382" s="4" customFormat="1" ht="29" x14ac:dyDescent="0.35">
      <c r="A5" s="57" t="s">
        <v>23</v>
      </c>
      <c r="B5" s="57"/>
      <c r="C5" s="57"/>
      <c r="D5" s="58" t="s">
        <v>80</v>
      </c>
      <c r="E5" s="58" t="s">
        <v>48</v>
      </c>
      <c r="F5" s="58" t="s">
        <v>46</v>
      </c>
      <c r="G5" s="58" t="s">
        <v>22</v>
      </c>
      <c r="H5" s="59" t="s">
        <v>182</v>
      </c>
      <c r="I5" s="64" t="s">
        <v>26</v>
      </c>
      <c r="J5" s="64" t="s">
        <v>30</v>
      </c>
      <c r="K5" s="60"/>
      <c r="L5" s="61">
        <v>0</v>
      </c>
      <c r="M5" s="62">
        <v>150000</v>
      </c>
      <c r="N5" s="20"/>
      <c r="O5" s="20"/>
      <c r="P5" s="20"/>
      <c r="Q5" s="20">
        <f>+M5*L5</f>
        <v>0</v>
      </c>
      <c r="R5" s="20">
        <f t="shared" si="0"/>
        <v>0</v>
      </c>
      <c r="S5" s="20"/>
      <c r="T5" s="60"/>
      <c r="U5" s="60" t="s">
        <v>166</v>
      </c>
      <c r="V5" s="60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</row>
    <row r="6" spans="1:16382" s="4" customFormat="1" ht="29" x14ac:dyDescent="0.35">
      <c r="A6" s="57" t="s">
        <v>139</v>
      </c>
      <c r="B6" s="57"/>
      <c r="C6" s="57"/>
      <c r="D6" s="58" t="s">
        <v>77</v>
      </c>
      <c r="E6" s="58" t="s">
        <v>48</v>
      </c>
      <c r="F6" s="58" t="s">
        <v>38</v>
      </c>
      <c r="G6" s="58" t="s">
        <v>9</v>
      </c>
      <c r="H6" s="59" t="s">
        <v>182</v>
      </c>
      <c r="I6" s="59"/>
      <c r="J6" s="59"/>
      <c r="K6" s="60"/>
      <c r="L6" s="61">
        <v>0</v>
      </c>
      <c r="M6" s="62">
        <v>70000</v>
      </c>
      <c r="N6" s="20">
        <f>+M6*L6</f>
        <v>0</v>
      </c>
      <c r="O6" s="20"/>
      <c r="P6" s="20"/>
      <c r="Q6" s="20"/>
      <c r="R6" s="20">
        <f t="shared" si="0"/>
        <v>0</v>
      </c>
      <c r="S6" s="20"/>
      <c r="T6" s="60"/>
      <c r="U6" s="60" t="s">
        <v>156</v>
      </c>
      <c r="V6" s="60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</row>
    <row r="7" spans="1:16382" s="4" customFormat="1" ht="29" x14ac:dyDescent="0.35">
      <c r="A7" s="57" t="s">
        <v>58</v>
      </c>
      <c r="B7" s="57"/>
      <c r="C7" s="57"/>
      <c r="D7" s="58" t="s">
        <v>76</v>
      </c>
      <c r="E7" s="58" t="s">
        <v>48</v>
      </c>
      <c r="F7" s="58" t="s">
        <v>46</v>
      </c>
      <c r="G7" s="58" t="s">
        <v>10</v>
      </c>
      <c r="H7" s="59" t="s">
        <v>182</v>
      </c>
      <c r="I7" s="59"/>
      <c r="J7" s="59"/>
      <c r="K7" s="60"/>
      <c r="L7" s="61">
        <v>0</v>
      </c>
      <c r="M7" s="62">
        <v>55000</v>
      </c>
      <c r="N7" s="20">
        <f>+M7*L7</f>
        <v>0</v>
      </c>
      <c r="O7" s="20"/>
      <c r="P7" s="20"/>
      <c r="Q7" s="20"/>
      <c r="R7" s="20">
        <f t="shared" si="0"/>
        <v>0</v>
      </c>
      <c r="S7" s="20"/>
      <c r="T7" s="60"/>
      <c r="U7" s="60"/>
      <c r="V7" s="60"/>
    </row>
    <row r="8" spans="1:16382" s="41" customFormat="1" ht="29" x14ac:dyDescent="0.35">
      <c r="A8" s="57" t="s">
        <v>104</v>
      </c>
      <c r="B8" s="57"/>
      <c r="C8" s="57"/>
      <c r="D8" s="58" t="s">
        <v>80</v>
      </c>
      <c r="E8" s="58" t="s">
        <v>44</v>
      </c>
      <c r="F8" s="58" t="s">
        <v>44</v>
      </c>
      <c r="G8" s="58" t="s">
        <v>13</v>
      </c>
      <c r="H8" s="59" t="s">
        <v>182</v>
      </c>
      <c r="I8" s="59"/>
      <c r="J8" s="59"/>
      <c r="K8" s="60"/>
      <c r="L8" s="61">
        <v>0</v>
      </c>
      <c r="M8" s="62">
        <f>40000/0.8</f>
        <v>50000</v>
      </c>
      <c r="N8" s="20"/>
      <c r="O8" s="20">
        <f>+M8*L8</f>
        <v>0</v>
      </c>
      <c r="P8" s="20"/>
      <c r="Q8" s="20"/>
      <c r="R8" s="20">
        <f t="shared" si="0"/>
        <v>0</v>
      </c>
      <c r="S8" s="10"/>
      <c r="T8" s="4"/>
      <c r="U8" s="60" t="s">
        <v>202</v>
      </c>
      <c r="V8" s="60"/>
    </row>
    <row r="9" spans="1:16382" s="60" customFormat="1" x14ac:dyDescent="0.35">
      <c r="A9" s="57" t="s">
        <v>154</v>
      </c>
      <c r="B9" s="8"/>
      <c r="C9" s="8"/>
      <c r="D9" s="58" t="s">
        <v>88</v>
      </c>
      <c r="E9" s="58" t="s">
        <v>48</v>
      </c>
      <c r="F9" s="58" t="s">
        <v>46</v>
      </c>
      <c r="G9" s="58" t="s">
        <v>10</v>
      </c>
      <c r="H9" s="59" t="s">
        <v>182</v>
      </c>
      <c r="I9" s="64"/>
      <c r="J9" s="64"/>
      <c r="L9" s="61">
        <v>0</v>
      </c>
      <c r="M9" s="62">
        <v>17000</v>
      </c>
      <c r="N9" s="20">
        <f>+M9*L9</f>
        <v>0</v>
      </c>
      <c r="O9" s="20"/>
      <c r="P9" s="20"/>
      <c r="Q9" s="20"/>
      <c r="R9" s="20">
        <f t="shared" si="0"/>
        <v>0</v>
      </c>
      <c r="S9" s="10"/>
      <c r="T9" s="4"/>
    </row>
    <row r="10" spans="1:16382" s="60" customFormat="1" x14ac:dyDescent="0.35">
      <c r="A10" s="57" t="s">
        <v>185</v>
      </c>
      <c r="B10" s="8"/>
      <c r="C10" s="8"/>
      <c r="D10" s="58" t="s">
        <v>78</v>
      </c>
      <c r="E10" s="58" t="s">
        <v>48</v>
      </c>
      <c r="F10" s="58" t="s">
        <v>46</v>
      </c>
      <c r="G10" s="58" t="s">
        <v>10</v>
      </c>
      <c r="H10" s="98" t="s">
        <v>182</v>
      </c>
      <c r="I10" s="59"/>
      <c r="J10" s="59"/>
      <c r="L10" s="61">
        <v>0</v>
      </c>
      <c r="M10" s="62">
        <v>30000</v>
      </c>
      <c r="N10" s="20">
        <f>+M10*L10</f>
        <v>0</v>
      </c>
      <c r="O10" s="20"/>
      <c r="P10" s="20"/>
      <c r="Q10" s="20"/>
      <c r="R10" s="20">
        <f t="shared" si="0"/>
        <v>0</v>
      </c>
      <c r="S10" s="10"/>
      <c r="T10" s="4"/>
      <c r="U10" s="60" t="s">
        <v>294</v>
      </c>
      <c r="W10" s="65"/>
    </row>
    <row r="11" spans="1:16382" ht="29" x14ac:dyDescent="0.35">
      <c r="A11" s="57" t="s">
        <v>412</v>
      </c>
      <c r="B11" s="57"/>
      <c r="C11" s="57"/>
      <c r="D11" s="58" t="s">
        <v>79</v>
      </c>
      <c r="E11" s="58" t="s">
        <v>48</v>
      </c>
      <c r="F11" s="58" t="s">
        <v>38</v>
      </c>
      <c r="G11" s="58" t="s">
        <v>413</v>
      </c>
      <c r="H11" s="59" t="s">
        <v>182</v>
      </c>
      <c r="I11" s="59"/>
      <c r="J11" s="59"/>
      <c r="K11" s="60"/>
      <c r="L11" s="61">
        <v>0</v>
      </c>
      <c r="M11" s="62">
        <v>0</v>
      </c>
      <c r="N11" s="99"/>
      <c r="O11" s="20"/>
      <c r="P11" s="20">
        <v>0</v>
      </c>
      <c r="Q11" s="20"/>
      <c r="R11" s="20">
        <v>0</v>
      </c>
      <c r="S11" s="60" t="s">
        <v>288</v>
      </c>
      <c r="T11" s="60"/>
      <c r="U11" s="65"/>
      <c r="V11" s="60"/>
      <c r="W11" s="60"/>
      <c r="X11" s="60"/>
      <c r="Y11" s="60"/>
      <c r="Z11" s="60"/>
      <c r="AA11" s="60"/>
      <c r="AB11" s="65"/>
      <c r="AC11" s="65"/>
      <c r="AD11" s="65"/>
      <c r="AE11" s="65"/>
      <c r="AF11" s="65"/>
      <c r="AG11" s="65"/>
      <c r="AH11" s="65"/>
      <c r="AI11" s="65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P11" s="60"/>
      <c r="GQ11" s="60"/>
      <c r="GR11" s="60"/>
      <c r="GS11" s="60"/>
      <c r="GT11" s="60"/>
      <c r="GU11" s="60"/>
      <c r="GV11" s="60"/>
      <c r="GW11" s="60"/>
      <c r="GX11" s="60"/>
      <c r="GY11" s="60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L11" s="60"/>
      <c r="HM11" s="60"/>
      <c r="HN11" s="60"/>
      <c r="HO11" s="60"/>
      <c r="HP11" s="60"/>
      <c r="HQ11" s="60"/>
      <c r="HR11" s="60"/>
      <c r="HS11" s="60"/>
      <c r="HT11" s="60"/>
      <c r="HU11" s="60"/>
      <c r="HV11" s="60"/>
      <c r="HW11" s="60"/>
      <c r="HX11" s="60"/>
      <c r="HY11" s="60"/>
      <c r="HZ11" s="60"/>
      <c r="IA11" s="60"/>
      <c r="IB11" s="60"/>
      <c r="IC11" s="60"/>
      <c r="ID11" s="60"/>
      <c r="IE11" s="60"/>
      <c r="IF11" s="60"/>
      <c r="IG11" s="60"/>
      <c r="IH11" s="60"/>
      <c r="II11" s="60"/>
      <c r="IJ11" s="60"/>
      <c r="IK11" s="60"/>
      <c r="IL11" s="60"/>
      <c r="IM11" s="60"/>
      <c r="IN11" s="60"/>
      <c r="IO11" s="60"/>
      <c r="IP11" s="60"/>
      <c r="IQ11" s="60"/>
      <c r="IR11" s="60"/>
      <c r="IS11" s="60"/>
      <c r="IT11" s="60"/>
      <c r="IU11" s="60"/>
      <c r="IV11" s="60"/>
      <c r="IW11" s="60"/>
      <c r="IX11" s="60"/>
      <c r="IY11" s="60"/>
      <c r="IZ11" s="60"/>
      <c r="JA11" s="60"/>
      <c r="JB11" s="60"/>
      <c r="JC11" s="60"/>
      <c r="JD11" s="60"/>
      <c r="JE11" s="60"/>
      <c r="JF11" s="60"/>
      <c r="JG11" s="60"/>
      <c r="JH11" s="60"/>
      <c r="JI11" s="60"/>
      <c r="JJ11" s="60"/>
      <c r="JK11" s="60"/>
      <c r="JL11" s="60"/>
      <c r="JM11" s="60"/>
      <c r="JN11" s="60"/>
      <c r="JO11" s="60"/>
      <c r="JP11" s="60"/>
      <c r="JQ11" s="60"/>
      <c r="JR11" s="60"/>
      <c r="JS11" s="60"/>
      <c r="JT11" s="60"/>
      <c r="JU11" s="60"/>
      <c r="JV11" s="60"/>
      <c r="JW11" s="60"/>
      <c r="JX11" s="60"/>
      <c r="JY11" s="60"/>
      <c r="JZ11" s="60"/>
      <c r="KA11" s="60"/>
      <c r="KB11" s="60"/>
      <c r="KC11" s="60"/>
      <c r="KD11" s="60"/>
      <c r="KE11" s="60"/>
      <c r="KF11" s="60"/>
      <c r="KG11" s="60"/>
      <c r="KH11" s="60"/>
      <c r="KI11" s="60"/>
      <c r="KJ11" s="60"/>
      <c r="KK11" s="60"/>
      <c r="KL11" s="60"/>
      <c r="KM11" s="60"/>
      <c r="KN11" s="60"/>
      <c r="KO11" s="60"/>
      <c r="KP11" s="60"/>
      <c r="KQ11" s="60"/>
      <c r="KR11" s="60"/>
      <c r="KS11" s="60"/>
      <c r="KT11" s="60"/>
      <c r="KU11" s="60"/>
      <c r="KV11" s="60"/>
      <c r="KW11" s="60"/>
      <c r="KX11" s="60"/>
      <c r="KY11" s="60"/>
      <c r="KZ11" s="60"/>
      <c r="LA11" s="60"/>
      <c r="LB11" s="60"/>
      <c r="LC11" s="60"/>
      <c r="LD11" s="60"/>
      <c r="LE11" s="60"/>
      <c r="LF11" s="60"/>
      <c r="LG11" s="60"/>
      <c r="LH11" s="60"/>
      <c r="LI11" s="60"/>
      <c r="LJ11" s="60"/>
      <c r="LK11" s="60"/>
      <c r="LL11" s="60"/>
      <c r="LM11" s="60"/>
      <c r="LN11" s="60"/>
      <c r="LO11" s="60"/>
      <c r="LP11" s="60"/>
      <c r="LQ11" s="60"/>
      <c r="LR11" s="60"/>
      <c r="LS11" s="60"/>
      <c r="LT11" s="60"/>
      <c r="LU11" s="60"/>
      <c r="LV11" s="60"/>
      <c r="LW11" s="60"/>
      <c r="LX11" s="60"/>
      <c r="LY11" s="60"/>
      <c r="LZ11" s="60"/>
      <c r="MA11" s="60"/>
      <c r="MB11" s="60"/>
      <c r="MC11" s="60"/>
      <c r="MD11" s="60"/>
      <c r="ME11" s="60"/>
      <c r="MF11" s="60"/>
      <c r="MG11" s="60"/>
      <c r="MH11" s="60"/>
      <c r="MI11" s="60"/>
      <c r="MJ11" s="60"/>
      <c r="MK11" s="60"/>
      <c r="ML11" s="60"/>
      <c r="MM11" s="60"/>
      <c r="MN11" s="60"/>
      <c r="MO11" s="60"/>
      <c r="MP11" s="60"/>
      <c r="MQ11" s="60"/>
      <c r="MR11" s="60"/>
      <c r="MS11" s="60"/>
      <c r="MT11" s="60"/>
      <c r="MU11" s="60"/>
      <c r="MV11" s="60"/>
      <c r="MW11" s="60"/>
      <c r="MX11" s="60"/>
      <c r="MY11" s="60"/>
      <c r="MZ11" s="60"/>
      <c r="NA11" s="60"/>
      <c r="NB11" s="60"/>
      <c r="NC11" s="60"/>
      <c r="ND11" s="60"/>
      <c r="NE11" s="60"/>
      <c r="NF11" s="60"/>
      <c r="NG11" s="60"/>
      <c r="NH11" s="60"/>
      <c r="NI11" s="60"/>
      <c r="NJ11" s="60"/>
      <c r="NK11" s="60"/>
      <c r="NL11" s="60"/>
      <c r="NM11" s="60"/>
      <c r="NN11" s="60"/>
      <c r="NO11" s="60"/>
      <c r="NP11" s="60"/>
      <c r="NQ11" s="60"/>
      <c r="NR11" s="60"/>
      <c r="NS11" s="60"/>
      <c r="NT11" s="60"/>
      <c r="NU11" s="60"/>
      <c r="NV11" s="60"/>
      <c r="NW11" s="60"/>
      <c r="NX11" s="60"/>
      <c r="NY11" s="60"/>
      <c r="NZ11" s="60"/>
      <c r="OA11" s="60"/>
      <c r="OB11" s="60"/>
      <c r="OC11" s="60"/>
      <c r="OD11" s="60"/>
      <c r="OE11" s="60"/>
      <c r="OF11" s="60"/>
      <c r="OG11" s="60"/>
      <c r="OH11" s="60"/>
      <c r="OI11" s="60"/>
      <c r="OJ11" s="60"/>
      <c r="OK11" s="60"/>
      <c r="OL11" s="60"/>
      <c r="OM11" s="60"/>
      <c r="ON11" s="60"/>
      <c r="OO11" s="60"/>
      <c r="OP11" s="60"/>
      <c r="OQ11" s="60"/>
      <c r="OR11" s="60"/>
      <c r="OS11" s="60"/>
      <c r="OT11" s="60"/>
      <c r="OU11" s="60"/>
      <c r="OV11" s="60"/>
      <c r="OW11" s="60"/>
      <c r="OX11" s="60"/>
      <c r="OY11" s="60"/>
      <c r="OZ11" s="60"/>
      <c r="PA11" s="60"/>
      <c r="PB11" s="60"/>
      <c r="PC11" s="60"/>
      <c r="PD11" s="60"/>
      <c r="PE11" s="60"/>
      <c r="PF11" s="60"/>
      <c r="PG11" s="60"/>
      <c r="PH11" s="60"/>
      <c r="PI11" s="60"/>
      <c r="PJ11" s="60"/>
      <c r="PK11" s="60"/>
      <c r="PL11" s="60"/>
      <c r="PM11" s="60"/>
      <c r="PN11" s="60"/>
      <c r="PO11" s="60"/>
      <c r="PP11" s="60"/>
      <c r="PQ11" s="60"/>
      <c r="PR11" s="60"/>
      <c r="PS11" s="60"/>
      <c r="PT11" s="60"/>
      <c r="PU11" s="60"/>
      <c r="PV11" s="60"/>
      <c r="PW11" s="60"/>
      <c r="PX11" s="60"/>
      <c r="PY11" s="60"/>
      <c r="PZ11" s="60"/>
      <c r="QA11" s="60"/>
      <c r="QB11" s="60"/>
      <c r="QC11" s="60"/>
      <c r="QD11" s="60"/>
      <c r="QE11" s="60"/>
      <c r="QF11" s="60"/>
      <c r="QG11" s="60"/>
      <c r="QH11" s="60"/>
      <c r="QI11" s="60"/>
      <c r="QJ11" s="60"/>
      <c r="QK11" s="60"/>
      <c r="QL11" s="60"/>
      <c r="QM11" s="60"/>
      <c r="QN11" s="60"/>
      <c r="QO11" s="60"/>
      <c r="QP11" s="60"/>
      <c r="QQ11" s="60"/>
      <c r="QR11" s="60"/>
      <c r="QS11" s="60"/>
      <c r="QT11" s="60"/>
      <c r="QU11" s="60"/>
      <c r="QV11" s="60"/>
      <c r="QW11" s="60"/>
      <c r="QX11" s="60"/>
      <c r="QY11" s="60"/>
      <c r="QZ11" s="60"/>
      <c r="RA11" s="60"/>
      <c r="RB11" s="60"/>
      <c r="RC11" s="60"/>
      <c r="RD11" s="60"/>
      <c r="RE11" s="60"/>
      <c r="RF11" s="60"/>
      <c r="RG11" s="60"/>
      <c r="RH11" s="60"/>
      <c r="RI11" s="60"/>
      <c r="RJ11" s="60"/>
      <c r="RK11" s="60"/>
      <c r="RL11" s="60"/>
      <c r="RM11" s="60"/>
      <c r="RN11" s="60"/>
      <c r="RO11" s="60"/>
      <c r="RP11" s="60"/>
      <c r="RQ11" s="60"/>
      <c r="RR11" s="60"/>
      <c r="RS11" s="60"/>
      <c r="RT11" s="60"/>
      <c r="RU11" s="60"/>
      <c r="RV11" s="60"/>
      <c r="RW11" s="60"/>
      <c r="RX11" s="60"/>
      <c r="RY11" s="60"/>
      <c r="RZ11" s="60"/>
      <c r="SA11" s="60"/>
      <c r="SB11" s="60"/>
      <c r="SC11" s="60"/>
      <c r="SD11" s="60"/>
      <c r="SE11" s="60"/>
      <c r="SF11" s="60"/>
      <c r="SG11" s="60"/>
      <c r="SH11" s="60"/>
      <c r="SI11" s="60"/>
      <c r="SJ11" s="60"/>
      <c r="SK11" s="60"/>
      <c r="SL11" s="60"/>
      <c r="SM11" s="60"/>
      <c r="SN11" s="60"/>
      <c r="SO11" s="60"/>
      <c r="SP11" s="60"/>
      <c r="SQ11" s="60"/>
      <c r="SR11" s="60"/>
      <c r="SS11" s="60"/>
      <c r="ST11" s="60"/>
      <c r="SU11" s="60"/>
      <c r="SV11" s="60"/>
      <c r="SW11" s="60"/>
      <c r="SX11" s="60"/>
      <c r="SY11" s="60"/>
      <c r="SZ11" s="60"/>
      <c r="TA11" s="60"/>
      <c r="TB11" s="60"/>
      <c r="TC11" s="60"/>
      <c r="TD11" s="60"/>
      <c r="TE11" s="60"/>
      <c r="TF11" s="60"/>
      <c r="TG11" s="60"/>
      <c r="TH11" s="60"/>
      <c r="TI11" s="60"/>
      <c r="TJ11" s="60"/>
      <c r="TK11" s="60"/>
      <c r="TL11" s="60"/>
      <c r="TM11" s="60"/>
      <c r="TN11" s="60"/>
      <c r="TO11" s="60"/>
      <c r="TP11" s="60"/>
      <c r="TQ11" s="60"/>
      <c r="TR11" s="60"/>
      <c r="TS11" s="60"/>
      <c r="TT11" s="60"/>
      <c r="TU11" s="60"/>
      <c r="TV11" s="60"/>
      <c r="TW11" s="60"/>
      <c r="TX11" s="60"/>
      <c r="TY11" s="60"/>
      <c r="TZ11" s="60"/>
      <c r="UA11" s="60"/>
      <c r="UB11" s="60"/>
      <c r="UC11" s="60"/>
      <c r="UD11" s="60"/>
      <c r="UE11" s="60"/>
      <c r="UF11" s="60"/>
      <c r="UG11" s="60"/>
      <c r="UH11" s="60"/>
      <c r="UI11" s="60"/>
      <c r="UJ11" s="60"/>
      <c r="UK11" s="60"/>
      <c r="UL11" s="60"/>
      <c r="UM11" s="60"/>
      <c r="UN11" s="60"/>
      <c r="UO11" s="60"/>
      <c r="UP11" s="60"/>
      <c r="UQ11" s="60"/>
      <c r="UR11" s="60"/>
      <c r="US11" s="60"/>
      <c r="UT11" s="60"/>
      <c r="UU11" s="60"/>
      <c r="UV11" s="60"/>
      <c r="UW11" s="60"/>
      <c r="UX11" s="60"/>
      <c r="UY11" s="60"/>
      <c r="UZ11" s="60"/>
      <c r="VA11" s="60"/>
      <c r="VB11" s="60"/>
      <c r="VC11" s="60"/>
      <c r="VD11" s="60"/>
      <c r="VE11" s="60"/>
      <c r="VF11" s="60"/>
      <c r="VG11" s="60"/>
      <c r="VH11" s="60"/>
      <c r="VI11" s="60"/>
      <c r="VJ11" s="60"/>
      <c r="VK11" s="60"/>
      <c r="VL11" s="60"/>
      <c r="VM11" s="60"/>
      <c r="VN11" s="60"/>
      <c r="VO11" s="60"/>
      <c r="VP11" s="60"/>
      <c r="VQ11" s="60"/>
      <c r="VR11" s="60"/>
      <c r="VS11" s="60"/>
      <c r="VT11" s="60"/>
      <c r="VU11" s="60"/>
      <c r="VV11" s="60"/>
      <c r="VW11" s="60"/>
      <c r="VX11" s="60"/>
      <c r="VY11" s="60"/>
      <c r="VZ11" s="60"/>
      <c r="WA11" s="60"/>
      <c r="WB11" s="60"/>
      <c r="WC11" s="60"/>
      <c r="WD11" s="60"/>
      <c r="WE11" s="60"/>
      <c r="WF11" s="60"/>
      <c r="WG11" s="60"/>
      <c r="WH11" s="60"/>
      <c r="WI11" s="60"/>
      <c r="WJ11" s="60"/>
      <c r="WK11" s="60"/>
      <c r="WL11" s="60"/>
      <c r="WM11" s="60"/>
      <c r="WN11" s="60"/>
      <c r="WO11" s="60"/>
      <c r="WP11" s="60"/>
      <c r="WQ11" s="60"/>
      <c r="WR11" s="60"/>
      <c r="WS11" s="60"/>
      <c r="WT11" s="60"/>
      <c r="WU11" s="60"/>
      <c r="WV11" s="60"/>
      <c r="WW11" s="60"/>
      <c r="WX11" s="60"/>
      <c r="WY11" s="60"/>
      <c r="WZ11" s="60"/>
      <c r="XA11" s="60"/>
      <c r="XB11" s="60"/>
      <c r="XC11" s="60"/>
      <c r="XD11" s="60"/>
      <c r="XE11" s="60"/>
      <c r="XF11" s="60"/>
      <c r="XG11" s="60"/>
      <c r="XH11" s="60"/>
      <c r="XI11" s="60"/>
      <c r="XJ11" s="60"/>
      <c r="XK11" s="60"/>
      <c r="XL11" s="60"/>
      <c r="XM11" s="60"/>
      <c r="XN11" s="60"/>
      <c r="XO11" s="60"/>
      <c r="XP11" s="60"/>
      <c r="XQ11" s="60"/>
      <c r="XR11" s="60"/>
      <c r="XS11" s="60"/>
      <c r="XT11" s="60"/>
      <c r="XU11" s="60"/>
      <c r="XV11" s="60"/>
      <c r="XW11" s="60"/>
      <c r="XX11" s="60"/>
      <c r="XY11" s="60"/>
      <c r="XZ11" s="60"/>
      <c r="YA11" s="60"/>
      <c r="YB11" s="60"/>
      <c r="YC11" s="60"/>
      <c r="YD11" s="60"/>
      <c r="YE11" s="60"/>
      <c r="YF11" s="60"/>
      <c r="YG11" s="60"/>
      <c r="YH11" s="60"/>
      <c r="YI11" s="60"/>
      <c r="YJ11" s="60"/>
      <c r="YK11" s="60"/>
      <c r="YL11" s="60"/>
      <c r="YM11" s="60"/>
      <c r="YN11" s="60"/>
      <c r="YO11" s="60"/>
      <c r="YP11" s="60"/>
      <c r="YQ11" s="60"/>
      <c r="YR11" s="60"/>
      <c r="YS11" s="60"/>
      <c r="YT11" s="60"/>
      <c r="YU11" s="60"/>
      <c r="YV11" s="60"/>
      <c r="YW11" s="60"/>
      <c r="YX11" s="60"/>
      <c r="YY11" s="60"/>
      <c r="YZ11" s="60"/>
      <c r="ZA11" s="60"/>
      <c r="ZB11" s="60"/>
      <c r="ZC11" s="60"/>
      <c r="ZD11" s="60"/>
      <c r="ZE11" s="60"/>
      <c r="ZF11" s="60"/>
      <c r="ZG11" s="60"/>
      <c r="ZH11" s="60"/>
      <c r="ZI11" s="60"/>
      <c r="ZJ11" s="60"/>
      <c r="ZK11" s="60"/>
      <c r="ZL11" s="60"/>
      <c r="ZM11" s="60"/>
      <c r="ZN11" s="60"/>
      <c r="ZO11" s="60"/>
      <c r="ZP11" s="60"/>
      <c r="ZQ11" s="60"/>
      <c r="ZR11" s="60"/>
      <c r="ZS11" s="60"/>
      <c r="ZT11" s="60"/>
      <c r="ZU11" s="60"/>
      <c r="ZV11" s="60"/>
      <c r="ZW11" s="60"/>
      <c r="ZX11" s="60"/>
      <c r="ZY11" s="60"/>
      <c r="ZZ11" s="60"/>
      <c r="AAA11" s="60"/>
      <c r="AAB11" s="60"/>
      <c r="AAC11" s="60"/>
      <c r="AAD11" s="60"/>
      <c r="AAE11" s="60"/>
      <c r="AAF11" s="60"/>
      <c r="AAG11" s="60"/>
      <c r="AAH11" s="60"/>
      <c r="AAI11" s="60"/>
      <c r="AAJ11" s="60"/>
      <c r="AAK11" s="60"/>
      <c r="AAL11" s="60"/>
      <c r="AAM11" s="60"/>
      <c r="AAN11" s="60"/>
      <c r="AAO11" s="60"/>
      <c r="AAP11" s="60"/>
      <c r="AAQ11" s="60"/>
      <c r="AAR11" s="60"/>
      <c r="AAS11" s="60"/>
      <c r="AAT11" s="60"/>
      <c r="AAU11" s="60"/>
      <c r="AAV11" s="60"/>
      <c r="AAW11" s="60"/>
      <c r="AAX11" s="60"/>
      <c r="AAY11" s="60"/>
      <c r="AAZ11" s="60"/>
      <c r="ABA11" s="60"/>
      <c r="ABB11" s="60"/>
      <c r="ABC11" s="60"/>
      <c r="ABD11" s="60"/>
      <c r="ABE11" s="60"/>
      <c r="ABF11" s="60"/>
      <c r="ABG11" s="60"/>
      <c r="ABH11" s="60"/>
      <c r="ABI11" s="60"/>
      <c r="ABJ11" s="60"/>
      <c r="ABK11" s="60"/>
      <c r="ABL11" s="60"/>
      <c r="ABM11" s="60"/>
      <c r="ABN11" s="60"/>
      <c r="ABO11" s="60"/>
      <c r="ABP11" s="60"/>
      <c r="ABQ11" s="60"/>
      <c r="ABR11" s="60"/>
      <c r="ABS11" s="60"/>
      <c r="ABT11" s="60"/>
      <c r="ABU11" s="60"/>
      <c r="ABV11" s="60"/>
      <c r="ABW11" s="60"/>
      <c r="ABX11" s="60"/>
      <c r="ABY11" s="60"/>
      <c r="ABZ11" s="60"/>
      <c r="ACA11" s="60"/>
      <c r="ACB11" s="60"/>
      <c r="ACC11" s="60"/>
      <c r="ACD11" s="60"/>
      <c r="ACE11" s="60"/>
      <c r="ACF11" s="60"/>
      <c r="ACG11" s="60"/>
      <c r="ACH11" s="60"/>
      <c r="ACI11" s="60"/>
      <c r="ACJ11" s="60"/>
      <c r="ACK11" s="60"/>
      <c r="ACL11" s="60"/>
      <c r="ACM11" s="60"/>
      <c r="ACN11" s="60"/>
      <c r="ACO11" s="60"/>
      <c r="ACP11" s="60"/>
      <c r="ACQ11" s="60"/>
      <c r="ACR11" s="60"/>
      <c r="ACS11" s="60"/>
      <c r="ACT11" s="60"/>
      <c r="ACU11" s="60"/>
      <c r="ACV11" s="60"/>
      <c r="ACW11" s="60"/>
      <c r="ACX11" s="60"/>
      <c r="ACY11" s="60"/>
      <c r="ACZ11" s="60"/>
      <c r="ADA11" s="60"/>
      <c r="ADB11" s="60"/>
      <c r="ADC11" s="60"/>
      <c r="ADD11" s="60"/>
      <c r="ADE11" s="60"/>
      <c r="ADF11" s="60"/>
      <c r="ADG11" s="60"/>
      <c r="ADH11" s="60"/>
      <c r="ADI11" s="60"/>
      <c r="ADJ11" s="60"/>
      <c r="ADK11" s="60"/>
      <c r="ADL11" s="60"/>
      <c r="ADM11" s="60"/>
      <c r="ADN11" s="60"/>
      <c r="ADO11" s="60"/>
      <c r="ADP11" s="60"/>
      <c r="ADQ11" s="60"/>
      <c r="ADR11" s="60"/>
      <c r="ADS11" s="60"/>
      <c r="ADT11" s="60"/>
      <c r="ADU11" s="60"/>
      <c r="ADV11" s="60"/>
      <c r="ADW11" s="60"/>
      <c r="ADX11" s="60"/>
      <c r="ADY11" s="60"/>
      <c r="ADZ11" s="60"/>
      <c r="AEA11" s="60"/>
      <c r="AEB11" s="60"/>
      <c r="AEC11" s="60"/>
      <c r="AED11" s="60"/>
      <c r="AEE11" s="60"/>
      <c r="AEF11" s="60"/>
      <c r="AEG11" s="60"/>
      <c r="AEH11" s="60"/>
      <c r="AEI11" s="60"/>
      <c r="AEJ11" s="60"/>
      <c r="AEK11" s="60"/>
      <c r="AEL11" s="60"/>
      <c r="AEM11" s="60"/>
      <c r="AEN11" s="60"/>
      <c r="AEO11" s="60"/>
      <c r="AEP11" s="60"/>
      <c r="AEQ11" s="60"/>
      <c r="AER11" s="60"/>
      <c r="AES11" s="60"/>
      <c r="AET11" s="60"/>
      <c r="AEU11" s="60"/>
      <c r="AEV11" s="60"/>
      <c r="AEW11" s="60"/>
      <c r="AEX11" s="60"/>
      <c r="AEY11" s="60"/>
      <c r="AEZ11" s="60"/>
      <c r="AFA11" s="60"/>
      <c r="AFB11" s="60"/>
      <c r="AFC11" s="60"/>
      <c r="AFD11" s="60"/>
      <c r="AFE11" s="60"/>
      <c r="AFF11" s="60"/>
      <c r="AFG11" s="60"/>
      <c r="AFH11" s="60"/>
      <c r="AFI11" s="60"/>
      <c r="AFJ11" s="60"/>
      <c r="AFK11" s="60"/>
      <c r="AFL11" s="60"/>
      <c r="AFM11" s="60"/>
      <c r="AFN11" s="60"/>
      <c r="AFO11" s="60"/>
      <c r="AFP11" s="60"/>
      <c r="AFQ11" s="60"/>
      <c r="AFR11" s="60"/>
      <c r="AFS11" s="60"/>
      <c r="AFT11" s="60"/>
      <c r="AFU11" s="60"/>
      <c r="AFV11" s="60"/>
      <c r="AFW11" s="60"/>
      <c r="AFX11" s="60"/>
      <c r="AFY11" s="60"/>
      <c r="AFZ11" s="60"/>
      <c r="AGA11" s="60"/>
      <c r="AGB11" s="60"/>
      <c r="AGC11" s="60"/>
      <c r="AGD11" s="60"/>
      <c r="AGE11" s="60"/>
      <c r="AGF11" s="60"/>
      <c r="AGG11" s="60"/>
      <c r="AGH11" s="60"/>
      <c r="AGI11" s="60"/>
      <c r="AGJ11" s="60"/>
      <c r="AGK11" s="60"/>
      <c r="AGL11" s="60"/>
      <c r="AGM11" s="60"/>
      <c r="AGN11" s="60"/>
      <c r="AGO11" s="60"/>
      <c r="AGP11" s="60"/>
      <c r="AGQ11" s="60"/>
      <c r="AGR11" s="60"/>
      <c r="AGS11" s="60"/>
      <c r="AGT11" s="60"/>
      <c r="AGU11" s="60"/>
      <c r="AGV11" s="60"/>
      <c r="AGW11" s="60"/>
      <c r="AGX11" s="60"/>
      <c r="AGY11" s="60"/>
      <c r="AGZ11" s="60"/>
      <c r="AHA11" s="60"/>
      <c r="AHB11" s="60"/>
      <c r="AHC11" s="60"/>
      <c r="AHD11" s="60"/>
      <c r="AHE11" s="60"/>
      <c r="AHF11" s="60"/>
      <c r="AHG11" s="60"/>
      <c r="AHH11" s="60"/>
      <c r="AHI11" s="60"/>
      <c r="AHJ11" s="60"/>
      <c r="AHK11" s="60"/>
      <c r="AHL11" s="60"/>
      <c r="AHM11" s="60"/>
      <c r="AHN11" s="60"/>
      <c r="AHO11" s="60"/>
      <c r="AHP11" s="60"/>
      <c r="AHQ11" s="60"/>
      <c r="AHR11" s="60"/>
      <c r="AHS11" s="60"/>
      <c r="AHT11" s="60"/>
      <c r="AHU11" s="60"/>
      <c r="AHV11" s="60"/>
      <c r="AHW11" s="60"/>
      <c r="AHX11" s="60"/>
      <c r="AHY11" s="60"/>
      <c r="AHZ11" s="60"/>
      <c r="AIA11" s="60"/>
      <c r="AIB11" s="60"/>
      <c r="AIC11" s="60"/>
      <c r="AID11" s="60"/>
      <c r="AIE11" s="60"/>
      <c r="AIF11" s="60"/>
      <c r="AIG11" s="60"/>
      <c r="AIH11" s="60"/>
      <c r="AII11" s="60"/>
      <c r="AIJ11" s="60"/>
      <c r="AIK11" s="60"/>
      <c r="AIL11" s="60"/>
      <c r="AIM11" s="60"/>
      <c r="AIN11" s="60"/>
      <c r="AIO11" s="60"/>
      <c r="AIP11" s="60"/>
      <c r="AIQ11" s="60"/>
      <c r="AIR11" s="60"/>
      <c r="AIS11" s="60"/>
      <c r="AIT11" s="60"/>
      <c r="AIU11" s="60"/>
      <c r="AIV11" s="60"/>
      <c r="AIW11" s="60"/>
      <c r="AIX11" s="60"/>
      <c r="AIY11" s="60"/>
      <c r="AIZ11" s="60"/>
      <c r="AJA11" s="60"/>
      <c r="AJB11" s="60"/>
      <c r="AJC11" s="60"/>
      <c r="AJD11" s="60"/>
      <c r="AJE11" s="60"/>
      <c r="AJF11" s="60"/>
      <c r="AJG11" s="60"/>
      <c r="AJH11" s="60"/>
      <c r="AJI11" s="60"/>
      <c r="AJJ11" s="60"/>
      <c r="AJK11" s="60"/>
      <c r="AJL11" s="60"/>
      <c r="AJM11" s="60"/>
      <c r="AJN11" s="60"/>
      <c r="AJO11" s="60"/>
      <c r="AJP11" s="60"/>
      <c r="AJQ11" s="60"/>
      <c r="AJR11" s="60"/>
      <c r="AJS11" s="60"/>
      <c r="AJT11" s="60"/>
      <c r="AJU11" s="60"/>
      <c r="AJV11" s="60"/>
      <c r="AJW11" s="60"/>
      <c r="AJX11" s="60"/>
      <c r="AJY11" s="60"/>
      <c r="AJZ11" s="60"/>
      <c r="AKA11" s="60"/>
      <c r="AKB11" s="60"/>
      <c r="AKC11" s="60"/>
      <c r="AKD11" s="60"/>
      <c r="AKE11" s="60"/>
      <c r="AKF11" s="60"/>
      <c r="AKG11" s="60"/>
      <c r="AKH11" s="60"/>
      <c r="AKI11" s="60"/>
      <c r="AKJ11" s="60"/>
      <c r="AKK11" s="60"/>
      <c r="AKL11" s="60"/>
      <c r="AKM11" s="60"/>
      <c r="AKN11" s="60"/>
      <c r="AKO11" s="60"/>
      <c r="AKP11" s="60"/>
      <c r="AKQ11" s="60"/>
      <c r="AKR11" s="60"/>
      <c r="AKS11" s="60"/>
      <c r="AKT11" s="60"/>
      <c r="AKU11" s="60"/>
      <c r="AKV11" s="60"/>
      <c r="AKW11" s="60"/>
      <c r="AKX11" s="60"/>
      <c r="AKY11" s="60"/>
      <c r="AKZ11" s="60"/>
      <c r="ALA11" s="60"/>
      <c r="ALB11" s="60"/>
      <c r="ALC11" s="60"/>
      <c r="ALD11" s="60"/>
      <c r="ALE11" s="60"/>
      <c r="ALF11" s="60"/>
      <c r="ALG11" s="60"/>
      <c r="ALH11" s="60"/>
      <c r="ALI11" s="60"/>
      <c r="ALJ11" s="60"/>
      <c r="ALK11" s="60"/>
      <c r="ALL11" s="60"/>
      <c r="ALM11" s="60"/>
      <c r="ALN11" s="60"/>
      <c r="ALO11" s="60"/>
      <c r="ALP11" s="60"/>
      <c r="ALQ11" s="60"/>
      <c r="ALR11" s="60"/>
      <c r="ALS11" s="60"/>
      <c r="ALT11" s="60"/>
      <c r="ALU11" s="60"/>
      <c r="ALV11" s="60"/>
      <c r="ALW11" s="60"/>
      <c r="ALX11" s="60"/>
      <c r="ALY11" s="60"/>
      <c r="ALZ11" s="60"/>
      <c r="AMA11" s="60"/>
      <c r="AMB11" s="60"/>
      <c r="AMC11" s="60"/>
      <c r="AMD11" s="60"/>
      <c r="AME11" s="60"/>
      <c r="AMF11" s="60"/>
      <c r="AMG11" s="60"/>
      <c r="AMH11" s="60"/>
      <c r="AMI11" s="60"/>
      <c r="AMJ11" s="60"/>
      <c r="AMK11" s="60"/>
      <c r="AML11" s="60"/>
      <c r="AMM11" s="60"/>
      <c r="AMN11" s="60"/>
      <c r="AMO11" s="60"/>
      <c r="AMP11" s="60"/>
      <c r="AMQ11" s="60"/>
      <c r="AMR11" s="60"/>
      <c r="AMS11" s="60"/>
      <c r="AMT11" s="60"/>
      <c r="AMU11" s="60"/>
      <c r="AMV11" s="60"/>
      <c r="AMW11" s="60"/>
      <c r="AMX11" s="60"/>
      <c r="AMY11" s="60"/>
      <c r="AMZ11" s="60"/>
      <c r="ANA11" s="60"/>
      <c r="ANB11" s="60"/>
      <c r="ANC11" s="60"/>
      <c r="AND11" s="60"/>
      <c r="ANE11" s="60"/>
      <c r="ANF11" s="60"/>
      <c r="ANG11" s="60"/>
      <c r="ANH11" s="60"/>
      <c r="ANI11" s="60"/>
      <c r="ANJ11" s="60"/>
      <c r="ANK11" s="60"/>
      <c r="ANL11" s="60"/>
      <c r="ANM11" s="60"/>
      <c r="ANN11" s="60"/>
      <c r="ANO11" s="60"/>
      <c r="ANP11" s="60"/>
      <c r="ANQ11" s="60"/>
      <c r="ANR11" s="60"/>
      <c r="ANS11" s="60"/>
      <c r="ANT11" s="60"/>
      <c r="ANU11" s="60"/>
      <c r="ANV11" s="60"/>
      <c r="ANW11" s="60"/>
      <c r="ANX11" s="60"/>
      <c r="ANY11" s="60"/>
      <c r="ANZ11" s="60"/>
      <c r="AOA11" s="60"/>
      <c r="AOB11" s="60"/>
      <c r="AOC11" s="60"/>
      <c r="AOD11" s="60"/>
      <c r="AOE11" s="60"/>
      <c r="AOF11" s="60"/>
      <c r="AOG11" s="60"/>
      <c r="AOH11" s="60"/>
      <c r="AOI11" s="60"/>
      <c r="AOJ11" s="60"/>
      <c r="AOK11" s="60"/>
      <c r="AOL11" s="60"/>
      <c r="AOM11" s="60"/>
      <c r="AON11" s="60"/>
      <c r="AOO11" s="60"/>
      <c r="AOP11" s="60"/>
      <c r="AOQ11" s="60"/>
      <c r="AOR11" s="60"/>
      <c r="AOS11" s="60"/>
      <c r="AOT11" s="60"/>
      <c r="AOU11" s="60"/>
      <c r="AOV11" s="60"/>
      <c r="AOW11" s="60"/>
      <c r="AOX11" s="60"/>
      <c r="AOY11" s="60"/>
      <c r="AOZ11" s="60"/>
      <c r="APA11" s="60"/>
      <c r="APB11" s="60"/>
      <c r="APC11" s="60"/>
      <c r="APD11" s="60"/>
      <c r="APE11" s="60"/>
      <c r="APF11" s="60"/>
      <c r="APG11" s="60"/>
      <c r="APH11" s="60"/>
      <c r="API11" s="60"/>
      <c r="APJ11" s="60"/>
      <c r="APK11" s="60"/>
      <c r="APL11" s="60"/>
      <c r="APM11" s="60"/>
      <c r="APN11" s="60"/>
      <c r="APO11" s="60"/>
      <c r="APP11" s="60"/>
      <c r="APQ11" s="60"/>
      <c r="APR11" s="60"/>
      <c r="APS11" s="60"/>
      <c r="APT11" s="60"/>
      <c r="APU11" s="60"/>
      <c r="APV11" s="60"/>
      <c r="APW11" s="60"/>
      <c r="APX11" s="60"/>
      <c r="APY11" s="60"/>
      <c r="APZ11" s="60"/>
      <c r="AQA11" s="60"/>
      <c r="AQB11" s="60"/>
      <c r="AQC11" s="60"/>
      <c r="AQD11" s="60"/>
      <c r="AQE11" s="60"/>
      <c r="AQF11" s="60"/>
      <c r="AQG11" s="60"/>
      <c r="AQH11" s="60"/>
      <c r="AQI11" s="60"/>
      <c r="AQJ11" s="60"/>
      <c r="AQK11" s="60"/>
      <c r="AQL11" s="60"/>
      <c r="AQM11" s="60"/>
      <c r="AQN11" s="60"/>
      <c r="AQO11" s="60"/>
      <c r="AQP11" s="60"/>
      <c r="AQQ11" s="60"/>
      <c r="AQR11" s="60"/>
      <c r="AQS11" s="60"/>
      <c r="AQT11" s="60"/>
      <c r="AQU11" s="60"/>
      <c r="AQV11" s="60"/>
      <c r="AQW11" s="60"/>
      <c r="AQX11" s="60"/>
      <c r="AQY11" s="60"/>
      <c r="AQZ11" s="60"/>
      <c r="ARA11" s="60"/>
      <c r="ARB11" s="60"/>
      <c r="ARC11" s="60"/>
      <c r="ARD11" s="60"/>
      <c r="ARE11" s="60"/>
      <c r="ARF11" s="60"/>
      <c r="ARG11" s="60"/>
      <c r="ARH11" s="60"/>
      <c r="ARI11" s="60"/>
      <c r="ARJ11" s="60"/>
      <c r="ARK11" s="60"/>
      <c r="ARL11" s="60"/>
      <c r="ARM11" s="60"/>
      <c r="ARN11" s="60"/>
      <c r="ARO11" s="60"/>
      <c r="ARP11" s="60"/>
      <c r="ARQ11" s="60"/>
      <c r="ARR11" s="60"/>
      <c r="ARS11" s="60"/>
      <c r="ART11" s="60"/>
      <c r="ARU11" s="60"/>
      <c r="ARV11" s="60"/>
      <c r="ARW11" s="60"/>
      <c r="ARX11" s="60"/>
      <c r="ARY11" s="60"/>
      <c r="ARZ11" s="60"/>
      <c r="ASA11" s="60"/>
      <c r="ASB11" s="60"/>
      <c r="ASC11" s="60"/>
      <c r="ASD11" s="60"/>
      <c r="ASE11" s="60"/>
      <c r="ASF11" s="60"/>
      <c r="ASG11" s="60"/>
      <c r="ASH11" s="60"/>
      <c r="ASI11" s="60"/>
      <c r="ASJ11" s="60"/>
      <c r="ASK11" s="60"/>
      <c r="ASL11" s="60"/>
      <c r="ASM11" s="60"/>
      <c r="ASN11" s="60"/>
      <c r="ASO11" s="60"/>
      <c r="ASP11" s="60"/>
      <c r="ASQ11" s="60"/>
      <c r="ASR11" s="60"/>
      <c r="ASS11" s="60"/>
      <c r="AST11" s="60"/>
      <c r="ASU11" s="60"/>
      <c r="ASV11" s="60"/>
      <c r="ASW11" s="60"/>
      <c r="ASX11" s="60"/>
      <c r="ASY11" s="60"/>
      <c r="ASZ11" s="60"/>
      <c r="ATA11" s="60"/>
      <c r="ATB11" s="60"/>
      <c r="ATC11" s="60"/>
      <c r="ATD11" s="60"/>
      <c r="ATE11" s="60"/>
      <c r="ATF11" s="60"/>
      <c r="ATG11" s="60"/>
      <c r="ATH11" s="60"/>
      <c r="ATI11" s="60"/>
      <c r="ATJ11" s="60"/>
      <c r="ATK11" s="60"/>
      <c r="ATL11" s="60"/>
      <c r="ATM11" s="60"/>
      <c r="ATN11" s="60"/>
      <c r="ATO11" s="60"/>
      <c r="ATP11" s="60"/>
      <c r="ATQ11" s="60"/>
      <c r="ATR11" s="60"/>
      <c r="ATS11" s="60"/>
      <c r="ATT11" s="60"/>
      <c r="ATU11" s="60"/>
      <c r="ATV11" s="60"/>
      <c r="ATW11" s="60"/>
      <c r="ATX11" s="60"/>
      <c r="ATY11" s="60"/>
      <c r="ATZ11" s="60"/>
      <c r="AUA11" s="60"/>
      <c r="AUB11" s="60"/>
      <c r="AUC11" s="60"/>
      <c r="AUD11" s="60"/>
      <c r="AUE11" s="60"/>
      <c r="AUF11" s="60"/>
      <c r="AUG11" s="60"/>
      <c r="AUH11" s="60"/>
      <c r="AUI11" s="60"/>
      <c r="AUJ11" s="60"/>
      <c r="AUK11" s="60"/>
      <c r="AUL11" s="60"/>
      <c r="AUM11" s="60"/>
      <c r="AUN11" s="60"/>
      <c r="AUO11" s="60"/>
      <c r="AUP11" s="60"/>
      <c r="AUQ11" s="60"/>
      <c r="AUR11" s="60"/>
      <c r="AUS11" s="60"/>
      <c r="AUT11" s="60"/>
      <c r="AUU11" s="60"/>
      <c r="AUV11" s="60"/>
      <c r="AUW11" s="60"/>
      <c r="AUX11" s="60"/>
      <c r="AUY11" s="60"/>
      <c r="AUZ11" s="60"/>
      <c r="AVA11" s="60"/>
      <c r="AVB11" s="60"/>
      <c r="AVC11" s="60"/>
      <c r="AVD11" s="60"/>
      <c r="AVE11" s="60"/>
      <c r="AVF11" s="60"/>
      <c r="AVG11" s="60"/>
      <c r="AVH11" s="60"/>
      <c r="AVI11" s="60"/>
      <c r="AVJ11" s="60"/>
      <c r="AVK11" s="60"/>
      <c r="AVL11" s="60"/>
      <c r="AVM11" s="60"/>
      <c r="AVN11" s="60"/>
      <c r="AVO11" s="60"/>
      <c r="AVP11" s="60"/>
      <c r="AVQ11" s="60"/>
      <c r="AVR11" s="60"/>
      <c r="AVS11" s="60"/>
      <c r="AVT11" s="60"/>
      <c r="AVU11" s="60"/>
      <c r="AVV11" s="60"/>
      <c r="AVW11" s="60"/>
      <c r="AVX11" s="60"/>
      <c r="AVY11" s="60"/>
      <c r="AVZ11" s="60"/>
      <c r="AWA11" s="60"/>
      <c r="AWB11" s="60"/>
      <c r="AWC11" s="60"/>
      <c r="AWD11" s="60"/>
      <c r="AWE11" s="60"/>
      <c r="AWF11" s="60"/>
      <c r="AWG11" s="60"/>
      <c r="AWH11" s="60"/>
      <c r="AWI11" s="60"/>
      <c r="AWJ11" s="60"/>
      <c r="AWK11" s="60"/>
      <c r="AWL11" s="60"/>
      <c r="AWM11" s="60"/>
      <c r="AWN11" s="60"/>
      <c r="AWO11" s="60"/>
      <c r="AWP11" s="60"/>
      <c r="AWQ11" s="60"/>
      <c r="AWR11" s="60"/>
      <c r="AWS11" s="60"/>
      <c r="AWT11" s="60"/>
      <c r="AWU11" s="60"/>
      <c r="AWV11" s="60"/>
      <c r="AWW11" s="60"/>
      <c r="AWX11" s="60"/>
      <c r="AWY11" s="60"/>
      <c r="AWZ11" s="60"/>
      <c r="AXA11" s="60"/>
      <c r="AXB11" s="60"/>
      <c r="AXC11" s="60"/>
      <c r="AXD11" s="60"/>
      <c r="AXE11" s="60"/>
      <c r="AXF11" s="60"/>
      <c r="AXG11" s="60"/>
      <c r="AXH11" s="60"/>
      <c r="AXI11" s="60"/>
      <c r="AXJ11" s="60"/>
      <c r="AXK11" s="60"/>
      <c r="AXL11" s="60"/>
      <c r="AXM11" s="60"/>
      <c r="AXN11" s="60"/>
      <c r="AXO11" s="60"/>
      <c r="AXP11" s="60"/>
      <c r="AXQ11" s="60"/>
      <c r="AXR11" s="60"/>
      <c r="AXS11" s="60"/>
      <c r="AXT11" s="60"/>
      <c r="AXU11" s="60"/>
      <c r="AXV11" s="60"/>
      <c r="AXW11" s="60"/>
      <c r="AXX11" s="60"/>
      <c r="AXY11" s="60"/>
      <c r="AXZ11" s="60"/>
      <c r="AYA11" s="60"/>
      <c r="AYB11" s="60"/>
      <c r="AYC11" s="60"/>
      <c r="AYD11" s="60"/>
      <c r="AYE11" s="60"/>
      <c r="AYF11" s="60"/>
      <c r="AYG11" s="60"/>
      <c r="AYH11" s="60"/>
      <c r="AYI11" s="60"/>
      <c r="AYJ11" s="60"/>
      <c r="AYK11" s="60"/>
      <c r="AYL11" s="60"/>
      <c r="AYM11" s="60"/>
      <c r="AYN11" s="60"/>
      <c r="AYO11" s="60"/>
      <c r="AYP11" s="60"/>
      <c r="AYQ11" s="60"/>
      <c r="AYR11" s="60"/>
      <c r="AYS11" s="60"/>
      <c r="AYT11" s="60"/>
      <c r="AYU11" s="60"/>
      <c r="AYV11" s="60"/>
      <c r="AYW11" s="60"/>
      <c r="AYX11" s="60"/>
      <c r="AYY11" s="60"/>
      <c r="AYZ11" s="60"/>
      <c r="AZA11" s="60"/>
      <c r="AZB11" s="60"/>
      <c r="AZC11" s="60"/>
      <c r="AZD11" s="60"/>
      <c r="AZE11" s="60"/>
      <c r="AZF11" s="60"/>
      <c r="AZG11" s="60"/>
      <c r="AZH11" s="60"/>
      <c r="AZI11" s="60"/>
      <c r="AZJ11" s="60"/>
      <c r="AZK11" s="60"/>
      <c r="AZL11" s="60"/>
      <c r="AZM11" s="60"/>
      <c r="AZN11" s="60"/>
      <c r="AZO11" s="60"/>
      <c r="AZP11" s="60"/>
      <c r="AZQ11" s="60"/>
      <c r="AZR11" s="60"/>
      <c r="AZS11" s="60"/>
      <c r="AZT11" s="60"/>
      <c r="AZU11" s="60"/>
      <c r="AZV11" s="60"/>
      <c r="AZW11" s="60"/>
      <c r="AZX11" s="60"/>
      <c r="AZY11" s="60"/>
      <c r="AZZ11" s="60"/>
      <c r="BAA11" s="60"/>
      <c r="BAB11" s="60"/>
      <c r="BAC11" s="60"/>
      <c r="BAD11" s="60"/>
      <c r="BAE11" s="60"/>
      <c r="BAF11" s="60"/>
      <c r="BAG11" s="60"/>
      <c r="BAH11" s="60"/>
      <c r="BAI11" s="60"/>
      <c r="BAJ11" s="60"/>
      <c r="BAK11" s="60"/>
      <c r="BAL11" s="60"/>
      <c r="BAM11" s="60"/>
      <c r="BAN11" s="60"/>
      <c r="BAO11" s="60"/>
      <c r="BAP11" s="60"/>
      <c r="BAQ11" s="60"/>
      <c r="BAR11" s="60"/>
      <c r="BAS11" s="60"/>
      <c r="BAT11" s="60"/>
      <c r="BAU11" s="60"/>
      <c r="BAV11" s="60"/>
      <c r="BAW11" s="60"/>
      <c r="BAX11" s="60"/>
      <c r="BAY11" s="60"/>
      <c r="BAZ11" s="60"/>
      <c r="BBA11" s="60"/>
      <c r="BBB11" s="60"/>
      <c r="BBC11" s="60"/>
      <c r="BBD11" s="60"/>
      <c r="BBE11" s="60"/>
      <c r="BBF11" s="60"/>
      <c r="BBG11" s="60"/>
      <c r="BBH11" s="60"/>
      <c r="BBI11" s="60"/>
      <c r="BBJ11" s="60"/>
      <c r="BBK11" s="60"/>
      <c r="BBL11" s="60"/>
      <c r="BBM11" s="60"/>
      <c r="BBN11" s="60"/>
      <c r="BBO11" s="60"/>
      <c r="BBP11" s="60"/>
      <c r="BBQ11" s="60"/>
      <c r="BBR11" s="60"/>
      <c r="BBS11" s="60"/>
      <c r="BBT11" s="60"/>
      <c r="BBU11" s="60"/>
      <c r="BBV11" s="60"/>
      <c r="BBW11" s="60"/>
      <c r="BBX11" s="60"/>
      <c r="BBY11" s="60"/>
      <c r="BBZ11" s="60"/>
      <c r="BCA11" s="60"/>
      <c r="BCB11" s="60"/>
      <c r="BCC11" s="60"/>
      <c r="BCD11" s="60"/>
      <c r="BCE11" s="60"/>
      <c r="BCF11" s="60"/>
      <c r="BCG11" s="60"/>
      <c r="BCH11" s="60"/>
      <c r="BCI11" s="60"/>
      <c r="BCJ11" s="60"/>
      <c r="BCK11" s="60"/>
      <c r="BCL11" s="60"/>
      <c r="BCM11" s="60"/>
      <c r="BCN11" s="60"/>
      <c r="BCO11" s="60"/>
      <c r="BCP11" s="60"/>
      <c r="BCQ11" s="60"/>
      <c r="BCR11" s="60"/>
      <c r="BCS11" s="60"/>
      <c r="BCT11" s="60"/>
      <c r="BCU11" s="60"/>
      <c r="BCV11" s="60"/>
      <c r="BCW11" s="60"/>
      <c r="BCX11" s="60"/>
      <c r="BCY11" s="60"/>
      <c r="BCZ11" s="60"/>
      <c r="BDA11" s="60"/>
      <c r="BDB11" s="60"/>
      <c r="BDC11" s="60"/>
      <c r="BDD11" s="60"/>
      <c r="BDE11" s="60"/>
      <c r="BDF11" s="60"/>
      <c r="BDG11" s="60"/>
      <c r="BDH11" s="60"/>
      <c r="BDI11" s="60"/>
      <c r="BDJ11" s="60"/>
      <c r="BDK11" s="60"/>
      <c r="BDL11" s="60"/>
      <c r="BDM11" s="60"/>
      <c r="BDN11" s="60"/>
      <c r="BDO11" s="60"/>
      <c r="BDP11" s="60"/>
      <c r="BDQ11" s="60"/>
      <c r="BDR11" s="60"/>
      <c r="BDS11" s="60"/>
      <c r="BDT11" s="60"/>
      <c r="BDU11" s="60"/>
      <c r="BDV11" s="60"/>
      <c r="BDW11" s="60"/>
      <c r="BDX11" s="60"/>
      <c r="BDY11" s="60"/>
      <c r="BDZ11" s="60"/>
      <c r="BEA11" s="60"/>
      <c r="BEB11" s="60"/>
      <c r="BEC11" s="60"/>
      <c r="BED11" s="60"/>
      <c r="BEE11" s="60"/>
      <c r="BEF11" s="60"/>
      <c r="BEG11" s="60"/>
      <c r="BEH11" s="60"/>
      <c r="BEI11" s="60"/>
      <c r="BEJ11" s="60"/>
      <c r="BEK11" s="60"/>
      <c r="BEL11" s="60"/>
      <c r="BEM11" s="60"/>
      <c r="BEN11" s="60"/>
      <c r="BEO11" s="60"/>
      <c r="BEP11" s="60"/>
      <c r="BEQ11" s="60"/>
      <c r="BER11" s="60"/>
      <c r="BES11" s="60"/>
      <c r="BET11" s="60"/>
      <c r="BEU11" s="60"/>
      <c r="BEV11" s="60"/>
      <c r="BEW11" s="60"/>
      <c r="BEX11" s="60"/>
      <c r="BEY11" s="60"/>
      <c r="BEZ11" s="60"/>
      <c r="BFA11" s="60"/>
      <c r="BFB11" s="60"/>
      <c r="BFC11" s="60"/>
      <c r="BFD11" s="60"/>
      <c r="BFE11" s="60"/>
      <c r="BFF11" s="60"/>
      <c r="BFG11" s="60"/>
      <c r="BFH11" s="60"/>
      <c r="BFI11" s="60"/>
      <c r="BFJ11" s="60"/>
      <c r="BFK11" s="60"/>
      <c r="BFL11" s="60"/>
      <c r="BFM11" s="60"/>
      <c r="BFN11" s="60"/>
      <c r="BFO11" s="60"/>
      <c r="BFP11" s="60"/>
      <c r="BFQ11" s="60"/>
      <c r="BFR11" s="60"/>
      <c r="BFS11" s="60"/>
      <c r="BFT11" s="60"/>
      <c r="BFU11" s="60"/>
      <c r="BFV11" s="60"/>
      <c r="BFW11" s="60"/>
      <c r="BFX11" s="60"/>
      <c r="BFY11" s="60"/>
      <c r="BFZ11" s="60"/>
      <c r="BGA11" s="60"/>
      <c r="BGB11" s="60"/>
      <c r="BGC11" s="60"/>
      <c r="BGD11" s="60"/>
      <c r="BGE11" s="60"/>
      <c r="BGF11" s="60"/>
      <c r="BGG11" s="60"/>
      <c r="BGH11" s="60"/>
      <c r="BGI11" s="60"/>
      <c r="BGJ11" s="60"/>
      <c r="BGK11" s="60"/>
      <c r="BGL11" s="60"/>
      <c r="BGM11" s="60"/>
      <c r="BGN11" s="60"/>
      <c r="BGO11" s="60"/>
      <c r="BGP11" s="60"/>
      <c r="BGQ11" s="60"/>
      <c r="BGR11" s="60"/>
      <c r="BGS11" s="60"/>
      <c r="BGT11" s="60"/>
      <c r="BGU11" s="60"/>
      <c r="BGV11" s="60"/>
      <c r="BGW11" s="60"/>
      <c r="BGX11" s="60"/>
      <c r="BGY11" s="60"/>
      <c r="BGZ11" s="60"/>
      <c r="BHA11" s="60"/>
      <c r="BHB11" s="60"/>
      <c r="BHC11" s="60"/>
      <c r="BHD11" s="60"/>
      <c r="BHE11" s="60"/>
      <c r="BHF11" s="60"/>
      <c r="BHG11" s="60"/>
      <c r="BHH11" s="60"/>
      <c r="BHI11" s="60"/>
      <c r="BHJ11" s="60"/>
      <c r="BHK11" s="60"/>
      <c r="BHL11" s="60"/>
      <c r="BHM11" s="60"/>
      <c r="BHN11" s="60"/>
      <c r="BHO11" s="60"/>
      <c r="BHP11" s="60"/>
      <c r="BHQ11" s="60"/>
      <c r="BHR11" s="60"/>
      <c r="BHS11" s="60"/>
      <c r="BHT11" s="60"/>
      <c r="BHU11" s="60"/>
      <c r="BHV11" s="60"/>
      <c r="BHW11" s="60"/>
      <c r="BHX11" s="60"/>
      <c r="BHY11" s="60"/>
      <c r="BHZ11" s="60"/>
      <c r="BIA11" s="60"/>
      <c r="BIB11" s="60"/>
      <c r="BIC11" s="60"/>
      <c r="BID11" s="60"/>
      <c r="BIE11" s="60"/>
      <c r="BIF11" s="60"/>
      <c r="BIG11" s="60"/>
      <c r="BIH11" s="60"/>
      <c r="BII11" s="60"/>
      <c r="BIJ11" s="60"/>
      <c r="BIK11" s="60"/>
      <c r="BIL11" s="60"/>
      <c r="BIM11" s="60"/>
      <c r="BIN11" s="60"/>
      <c r="BIO11" s="60"/>
      <c r="BIP11" s="60"/>
      <c r="BIQ11" s="60"/>
      <c r="BIR11" s="60"/>
      <c r="BIS11" s="60"/>
      <c r="BIT11" s="60"/>
      <c r="BIU11" s="60"/>
      <c r="BIV11" s="60"/>
      <c r="BIW11" s="60"/>
      <c r="BIX11" s="60"/>
      <c r="BIY11" s="60"/>
      <c r="BIZ11" s="60"/>
      <c r="BJA11" s="60"/>
      <c r="BJB11" s="60"/>
      <c r="BJC11" s="60"/>
      <c r="BJD11" s="60"/>
      <c r="BJE11" s="60"/>
      <c r="BJF11" s="60"/>
      <c r="BJG11" s="60"/>
      <c r="BJH11" s="60"/>
      <c r="BJI11" s="60"/>
      <c r="BJJ11" s="60"/>
      <c r="BJK11" s="60"/>
      <c r="BJL11" s="60"/>
      <c r="BJM11" s="60"/>
      <c r="BJN11" s="60"/>
      <c r="BJO11" s="60"/>
      <c r="BJP11" s="60"/>
      <c r="BJQ11" s="60"/>
      <c r="BJR11" s="60"/>
      <c r="BJS11" s="60"/>
      <c r="BJT11" s="60"/>
      <c r="BJU11" s="60"/>
      <c r="BJV11" s="60"/>
      <c r="BJW11" s="60"/>
      <c r="BJX11" s="60"/>
      <c r="BJY11" s="60"/>
      <c r="BJZ11" s="60"/>
      <c r="BKA11" s="60"/>
      <c r="BKB11" s="60"/>
      <c r="BKC11" s="60"/>
      <c r="BKD11" s="60"/>
      <c r="BKE11" s="60"/>
      <c r="BKF11" s="60"/>
      <c r="BKG11" s="60"/>
      <c r="BKH11" s="60"/>
      <c r="BKI11" s="60"/>
      <c r="BKJ11" s="60"/>
      <c r="BKK11" s="60"/>
      <c r="BKL11" s="60"/>
      <c r="BKM11" s="60"/>
      <c r="BKN11" s="60"/>
      <c r="BKO11" s="60"/>
      <c r="BKP11" s="60"/>
      <c r="BKQ11" s="60"/>
      <c r="BKR11" s="60"/>
      <c r="BKS11" s="60"/>
      <c r="BKT11" s="60"/>
      <c r="BKU11" s="60"/>
      <c r="BKV11" s="60"/>
      <c r="BKW11" s="60"/>
      <c r="BKX11" s="60"/>
      <c r="BKY11" s="60"/>
      <c r="BKZ11" s="60"/>
      <c r="BLA11" s="60"/>
      <c r="BLB11" s="60"/>
      <c r="BLC11" s="60"/>
      <c r="BLD11" s="60"/>
      <c r="BLE11" s="60"/>
      <c r="BLF11" s="60"/>
      <c r="BLG11" s="60"/>
      <c r="BLH11" s="60"/>
      <c r="BLI11" s="60"/>
      <c r="BLJ11" s="60"/>
      <c r="BLK11" s="60"/>
      <c r="BLL11" s="60"/>
      <c r="BLM11" s="60"/>
      <c r="BLN11" s="60"/>
      <c r="BLO11" s="60"/>
      <c r="BLP11" s="60"/>
      <c r="BLQ11" s="60"/>
      <c r="BLR11" s="60"/>
      <c r="BLS11" s="60"/>
      <c r="BLT11" s="60"/>
      <c r="BLU11" s="60"/>
      <c r="BLV11" s="60"/>
      <c r="BLW11" s="60"/>
      <c r="BLX11" s="60"/>
      <c r="BLY11" s="60"/>
      <c r="BLZ11" s="60"/>
      <c r="BMA11" s="60"/>
      <c r="BMB11" s="60"/>
      <c r="BMC11" s="60"/>
      <c r="BMD11" s="60"/>
      <c r="BME11" s="60"/>
      <c r="BMF11" s="60"/>
      <c r="BMG11" s="60"/>
      <c r="BMH11" s="60"/>
      <c r="BMI11" s="60"/>
      <c r="BMJ11" s="60"/>
      <c r="BMK11" s="60"/>
      <c r="BML11" s="60"/>
      <c r="BMM11" s="60"/>
      <c r="BMN11" s="60"/>
      <c r="BMO11" s="60"/>
      <c r="BMP11" s="60"/>
      <c r="BMQ11" s="60"/>
      <c r="BMR11" s="60"/>
      <c r="BMS11" s="60"/>
      <c r="BMT11" s="60"/>
      <c r="BMU11" s="60"/>
      <c r="BMV11" s="60"/>
      <c r="BMW11" s="60"/>
      <c r="BMX11" s="60"/>
      <c r="BMY11" s="60"/>
      <c r="BMZ11" s="60"/>
      <c r="BNA11" s="60"/>
      <c r="BNB11" s="60"/>
      <c r="BNC11" s="60"/>
      <c r="BND11" s="60"/>
      <c r="BNE11" s="60"/>
      <c r="BNF11" s="60"/>
      <c r="BNG11" s="60"/>
      <c r="BNH11" s="60"/>
      <c r="BNI11" s="60"/>
      <c r="BNJ11" s="60"/>
      <c r="BNK11" s="60"/>
      <c r="BNL11" s="60"/>
      <c r="BNM11" s="60"/>
      <c r="BNN11" s="60"/>
      <c r="BNO11" s="60"/>
      <c r="BNP11" s="60"/>
      <c r="BNQ11" s="60"/>
      <c r="BNR11" s="60"/>
      <c r="BNS11" s="60"/>
      <c r="BNT11" s="60"/>
      <c r="BNU11" s="60"/>
      <c r="BNV11" s="60"/>
      <c r="BNW11" s="60"/>
      <c r="BNX11" s="60"/>
      <c r="BNY11" s="60"/>
      <c r="BNZ11" s="60"/>
      <c r="BOA11" s="60"/>
      <c r="BOB11" s="60"/>
      <c r="BOC11" s="60"/>
      <c r="BOD11" s="60"/>
      <c r="BOE11" s="60"/>
      <c r="BOF11" s="60"/>
      <c r="BOG11" s="60"/>
      <c r="BOH11" s="60"/>
      <c r="BOI11" s="60"/>
      <c r="BOJ11" s="60"/>
      <c r="BOK11" s="60"/>
      <c r="BOL11" s="60"/>
      <c r="BOM11" s="60"/>
      <c r="BON11" s="60"/>
      <c r="BOO11" s="60"/>
      <c r="BOP11" s="60"/>
      <c r="BOQ11" s="60"/>
      <c r="BOR11" s="60"/>
      <c r="BOS11" s="60"/>
      <c r="BOT11" s="60"/>
      <c r="BOU11" s="60"/>
      <c r="BOV11" s="60"/>
      <c r="BOW11" s="60"/>
      <c r="BOX11" s="60"/>
      <c r="BOY11" s="60"/>
      <c r="BOZ11" s="60"/>
      <c r="BPA11" s="60"/>
      <c r="BPB11" s="60"/>
      <c r="BPC11" s="60"/>
      <c r="BPD11" s="60"/>
      <c r="BPE11" s="60"/>
      <c r="BPF11" s="60"/>
      <c r="BPG11" s="60"/>
      <c r="BPH11" s="60"/>
      <c r="BPI11" s="60"/>
      <c r="BPJ11" s="60"/>
      <c r="BPK11" s="60"/>
      <c r="BPL11" s="60"/>
      <c r="BPM11" s="60"/>
      <c r="BPN11" s="60"/>
      <c r="BPO11" s="60"/>
      <c r="BPP11" s="60"/>
      <c r="BPQ11" s="60"/>
      <c r="BPR11" s="60"/>
      <c r="BPS11" s="60"/>
      <c r="BPT11" s="60"/>
      <c r="BPU11" s="60"/>
      <c r="BPV11" s="60"/>
      <c r="BPW11" s="60"/>
      <c r="BPX11" s="60"/>
      <c r="BPY11" s="60"/>
      <c r="BPZ11" s="60"/>
      <c r="BQA11" s="60"/>
      <c r="BQB11" s="60"/>
      <c r="BQC11" s="60"/>
      <c r="BQD11" s="60"/>
      <c r="BQE11" s="60"/>
      <c r="BQF11" s="60"/>
      <c r="BQG11" s="60"/>
      <c r="BQH11" s="60"/>
      <c r="BQI11" s="60"/>
      <c r="BQJ11" s="60"/>
      <c r="BQK11" s="60"/>
      <c r="BQL11" s="60"/>
      <c r="BQM11" s="60"/>
      <c r="BQN11" s="60"/>
      <c r="BQO11" s="60"/>
      <c r="BQP11" s="60"/>
      <c r="BQQ11" s="60"/>
      <c r="BQR11" s="60"/>
      <c r="BQS11" s="60"/>
      <c r="BQT11" s="60"/>
      <c r="BQU11" s="60"/>
      <c r="BQV11" s="60"/>
      <c r="BQW11" s="60"/>
      <c r="BQX11" s="60"/>
      <c r="BQY11" s="60"/>
      <c r="BQZ11" s="60"/>
      <c r="BRA11" s="60"/>
      <c r="BRB11" s="60"/>
      <c r="BRC11" s="60"/>
      <c r="BRD11" s="60"/>
      <c r="BRE11" s="60"/>
      <c r="BRF11" s="60"/>
      <c r="BRG11" s="60"/>
      <c r="BRH11" s="60"/>
      <c r="BRI11" s="60"/>
      <c r="BRJ11" s="60"/>
      <c r="BRK11" s="60"/>
      <c r="BRL11" s="60"/>
      <c r="BRM11" s="60"/>
      <c r="BRN11" s="60"/>
      <c r="BRO11" s="60"/>
      <c r="BRP11" s="60"/>
      <c r="BRQ11" s="60"/>
      <c r="BRR11" s="60"/>
      <c r="BRS11" s="60"/>
      <c r="BRT11" s="60"/>
      <c r="BRU11" s="60"/>
      <c r="BRV11" s="60"/>
      <c r="BRW11" s="60"/>
      <c r="BRX11" s="60"/>
      <c r="BRY11" s="60"/>
      <c r="BRZ11" s="60"/>
      <c r="BSA11" s="60"/>
      <c r="BSB11" s="60"/>
      <c r="BSC11" s="60"/>
      <c r="BSD11" s="60"/>
      <c r="BSE11" s="60"/>
      <c r="BSF11" s="60"/>
      <c r="BSG11" s="60"/>
      <c r="BSH11" s="60"/>
      <c r="BSI11" s="60"/>
      <c r="BSJ11" s="60"/>
      <c r="BSK11" s="60"/>
      <c r="BSL11" s="60"/>
      <c r="BSM11" s="60"/>
      <c r="BSN11" s="60"/>
      <c r="BSO11" s="60"/>
      <c r="BSP11" s="60"/>
      <c r="BSQ11" s="60"/>
      <c r="BSR11" s="60"/>
      <c r="BSS11" s="60"/>
      <c r="BST11" s="60"/>
      <c r="BSU11" s="60"/>
      <c r="BSV11" s="60"/>
      <c r="BSW11" s="60"/>
      <c r="BSX11" s="60"/>
      <c r="BSY11" s="60"/>
      <c r="BSZ11" s="60"/>
      <c r="BTA11" s="60"/>
      <c r="BTB11" s="60"/>
      <c r="BTC11" s="60"/>
      <c r="BTD11" s="60"/>
      <c r="BTE11" s="60"/>
      <c r="BTF11" s="60"/>
      <c r="BTG11" s="60"/>
      <c r="BTH11" s="60"/>
      <c r="BTI11" s="60"/>
      <c r="BTJ11" s="60"/>
      <c r="BTK11" s="60"/>
      <c r="BTL11" s="60"/>
      <c r="BTM11" s="60"/>
      <c r="BTN11" s="60"/>
      <c r="BTO11" s="60"/>
      <c r="BTP11" s="60"/>
      <c r="BTQ11" s="60"/>
      <c r="BTR11" s="60"/>
      <c r="BTS11" s="60"/>
      <c r="BTT11" s="60"/>
      <c r="BTU11" s="60"/>
      <c r="BTV11" s="60"/>
      <c r="BTW11" s="60"/>
      <c r="BTX11" s="60"/>
      <c r="BTY11" s="60"/>
      <c r="BTZ11" s="60"/>
      <c r="BUA11" s="60"/>
      <c r="BUB11" s="60"/>
      <c r="BUC11" s="60"/>
      <c r="BUD11" s="60"/>
      <c r="BUE11" s="60"/>
      <c r="BUF11" s="60"/>
      <c r="BUG11" s="60"/>
      <c r="BUH11" s="60"/>
      <c r="BUI11" s="60"/>
      <c r="BUJ11" s="60"/>
      <c r="BUK11" s="60"/>
      <c r="BUL11" s="60"/>
      <c r="BUM11" s="60"/>
      <c r="BUN11" s="60"/>
      <c r="BUO11" s="60"/>
      <c r="BUP11" s="60"/>
      <c r="BUQ11" s="60"/>
      <c r="BUR11" s="60"/>
      <c r="BUS11" s="60"/>
      <c r="BUT11" s="60"/>
      <c r="BUU11" s="60"/>
      <c r="BUV11" s="60"/>
      <c r="BUW11" s="60"/>
      <c r="BUX11" s="60"/>
      <c r="BUY11" s="60"/>
      <c r="BUZ11" s="60"/>
      <c r="BVA11" s="60"/>
      <c r="BVB11" s="60"/>
      <c r="BVC11" s="60"/>
      <c r="BVD11" s="60"/>
      <c r="BVE11" s="60"/>
      <c r="BVF11" s="60"/>
      <c r="BVG11" s="60"/>
      <c r="BVH11" s="60"/>
      <c r="BVI11" s="60"/>
      <c r="BVJ11" s="60"/>
      <c r="BVK11" s="60"/>
      <c r="BVL11" s="60"/>
      <c r="BVM11" s="60"/>
      <c r="BVN11" s="60"/>
      <c r="BVO11" s="60"/>
      <c r="BVP11" s="60"/>
      <c r="BVQ11" s="60"/>
      <c r="BVR11" s="60"/>
      <c r="BVS11" s="60"/>
      <c r="BVT11" s="60"/>
      <c r="BVU11" s="60"/>
      <c r="BVV11" s="60"/>
      <c r="BVW11" s="60"/>
      <c r="BVX11" s="60"/>
      <c r="BVY11" s="60"/>
      <c r="BVZ11" s="60"/>
      <c r="BWA11" s="60"/>
      <c r="BWB11" s="60"/>
      <c r="BWC11" s="60"/>
      <c r="BWD11" s="60"/>
      <c r="BWE11" s="60"/>
      <c r="BWF11" s="60"/>
      <c r="BWG11" s="60"/>
      <c r="BWH11" s="60"/>
      <c r="BWI11" s="60"/>
      <c r="BWJ11" s="60"/>
      <c r="BWK11" s="60"/>
      <c r="BWL11" s="60"/>
      <c r="BWM11" s="60"/>
      <c r="BWN11" s="60"/>
      <c r="BWO11" s="60"/>
      <c r="BWP11" s="60"/>
      <c r="BWQ11" s="60"/>
      <c r="BWR11" s="60"/>
      <c r="BWS11" s="60"/>
      <c r="BWT11" s="60"/>
      <c r="BWU11" s="60"/>
      <c r="BWV11" s="60"/>
      <c r="BWW11" s="60"/>
      <c r="BWX11" s="60"/>
      <c r="BWY11" s="60"/>
      <c r="BWZ11" s="60"/>
      <c r="BXA11" s="60"/>
      <c r="BXB11" s="60"/>
      <c r="BXC11" s="60"/>
      <c r="BXD11" s="60"/>
      <c r="BXE11" s="60"/>
      <c r="BXF11" s="60"/>
      <c r="BXG11" s="60"/>
      <c r="BXH11" s="60"/>
      <c r="BXI11" s="60"/>
      <c r="BXJ11" s="60"/>
      <c r="BXK11" s="60"/>
      <c r="BXL11" s="60"/>
      <c r="BXM11" s="60"/>
      <c r="BXN11" s="60"/>
      <c r="BXO11" s="60"/>
      <c r="BXP11" s="60"/>
      <c r="BXQ11" s="60"/>
      <c r="BXR11" s="60"/>
      <c r="BXS11" s="60"/>
      <c r="BXT11" s="60"/>
      <c r="BXU11" s="60"/>
      <c r="BXV11" s="60"/>
      <c r="BXW11" s="60"/>
      <c r="BXX11" s="60"/>
      <c r="BXY11" s="60"/>
      <c r="BXZ11" s="60"/>
      <c r="BYA11" s="60"/>
      <c r="BYB11" s="60"/>
      <c r="BYC11" s="60"/>
      <c r="BYD11" s="60"/>
      <c r="BYE11" s="60"/>
      <c r="BYF11" s="60"/>
      <c r="BYG11" s="60"/>
      <c r="BYH11" s="60"/>
      <c r="BYI11" s="60"/>
      <c r="BYJ11" s="60"/>
      <c r="BYK11" s="60"/>
      <c r="BYL11" s="60"/>
      <c r="BYM11" s="60"/>
      <c r="BYN11" s="60"/>
      <c r="BYO11" s="60"/>
      <c r="BYP11" s="60"/>
      <c r="BYQ11" s="60"/>
      <c r="BYR11" s="60"/>
      <c r="BYS11" s="60"/>
      <c r="BYT11" s="60"/>
      <c r="BYU11" s="60"/>
      <c r="BYV11" s="60"/>
      <c r="BYW11" s="60"/>
      <c r="BYX11" s="60"/>
      <c r="BYY11" s="60"/>
      <c r="BYZ11" s="60"/>
      <c r="BZA11" s="60"/>
      <c r="BZB11" s="60"/>
      <c r="BZC11" s="60"/>
      <c r="BZD11" s="60"/>
      <c r="BZE11" s="60"/>
      <c r="BZF11" s="60"/>
      <c r="BZG11" s="60"/>
      <c r="BZH11" s="60"/>
      <c r="BZI11" s="60"/>
      <c r="BZJ11" s="60"/>
      <c r="BZK11" s="60"/>
      <c r="BZL11" s="60"/>
      <c r="BZM11" s="60"/>
      <c r="BZN11" s="60"/>
      <c r="BZO11" s="60"/>
      <c r="BZP11" s="60"/>
      <c r="BZQ11" s="60"/>
      <c r="BZR11" s="60"/>
      <c r="BZS11" s="60"/>
      <c r="BZT11" s="60"/>
      <c r="BZU11" s="60"/>
      <c r="BZV11" s="60"/>
      <c r="BZW11" s="60"/>
      <c r="BZX11" s="60"/>
      <c r="BZY11" s="60"/>
      <c r="BZZ11" s="60"/>
      <c r="CAA11" s="60"/>
      <c r="CAB11" s="60"/>
      <c r="CAC11" s="60"/>
      <c r="CAD11" s="60"/>
      <c r="CAE11" s="60"/>
      <c r="CAF11" s="60"/>
      <c r="CAG11" s="60"/>
      <c r="CAH11" s="60"/>
      <c r="CAI11" s="60"/>
      <c r="CAJ11" s="60"/>
      <c r="CAK11" s="60"/>
      <c r="CAL11" s="60"/>
      <c r="CAM11" s="60"/>
      <c r="CAN11" s="60"/>
      <c r="CAO11" s="60"/>
      <c r="CAP11" s="60"/>
      <c r="CAQ11" s="60"/>
      <c r="CAR11" s="60"/>
      <c r="CAS11" s="60"/>
      <c r="CAT11" s="60"/>
      <c r="CAU11" s="60"/>
      <c r="CAV11" s="60"/>
      <c r="CAW11" s="60"/>
      <c r="CAX11" s="60"/>
      <c r="CAY11" s="60"/>
      <c r="CAZ11" s="60"/>
      <c r="CBA11" s="60"/>
      <c r="CBB11" s="60"/>
      <c r="CBC11" s="60"/>
      <c r="CBD11" s="60"/>
      <c r="CBE11" s="60"/>
      <c r="CBF11" s="60"/>
      <c r="CBG11" s="60"/>
      <c r="CBH11" s="60"/>
      <c r="CBI11" s="60"/>
      <c r="CBJ11" s="60"/>
      <c r="CBK11" s="60"/>
      <c r="CBL11" s="60"/>
      <c r="CBM11" s="60"/>
      <c r="CBN11" s="60"/>
      <c r="CBO11" s="60"/>
      <c r="CBP11" s="60"/>
      <c r="CBQ11" s="60"/>
      <c r="CBR11" s="60"/>
      <c r="CBS11" s="60"/>
      <c r="CBT11" s="60"/>
      <c r="CBU11" s="60"/>
      <c r="CBV11" s="60"/>
      <c r="CBW11" s="60"/>
      <c r="CBX11" s="60"/>
      <c r="CBY11" s="60"/>
      <c r="CBZ11" s="60"/>
      <c r="CCA11" s="60"/>
      <c r="CCB11" s="60"/>
      <c r="CCC11" s="60"/>
      <c r="CCD11" s="60"/>
      <c r="CCE11" s="60"/>
      <c r="CCF11" s="60"/>
      <c r="CCG11" s="60"/>
      <c r="CCH11" s="60"/>
      <c r="CCI11" s="60"/>
      <c r="CCJ11" s="60"/>
      <c r="CCK11" s="60"/>
      <c r="CCL11" s="60"/>
      <c r="CCM11" s="60"/>
      <c r="CCN11" s="60"/>
      <c r="CCO11" s="60"/>
      <c r="CCP11" s="60"/>
      <c r="CCQ11" s="60"/>
      <c r="CCR11" s="60"/>
      <c r="CCS11" s="60"/>
      <c r="CCT11" s="60"/>
      <c r="CCU11" s="60"/>
      <c r="CCV11" s="60"/>
      <c r="CCW11" s="60"/>
      <c r="CCX11" s="60"/>
      <c r="CCY11" s="60"/>
      <c r="CCZ11" s="60"/>
      <c r="CDA11" s="60"/>
      <c r="CDB11" s="60"/>
      <c r="CDC11" s="60"/>
      <c r="CDD11" s="60"/>
      <c r="CDE11" s="60"/>
      <c r="CDF11" s="60"/>
      <c r="CDG11" s="60"/>
      <c r="CDH11" s="60"/>
      <c r="CDI11" s="60"/>
      <c r="CDJ11" s="60"/>
      <c r="CDK11" s="60"/>
      <c r="CDL11" s="60"/>
      <c r="CDM11" s="60"/>
      <c r="CDN11" s="60"/>
      <c r="CDO11" s="60"/>
      <c r="CDP11" s="60"/>
      <c r="CDQ11" s="60"/>
      <c r="CDR11" s="60"/>
      <c r="CDS11" s="60"/>
      <c r="CDT11" s="60"/>
      <c r="CDU11" s="60"/>
      <c r="CDV11" s="60"/>
      <c r="CDW11" s="60"/>
      <c r="CDX11" s="60"/>
      <c r="CDY11" s="60"/>
      <c r="CDZ11" s="60"/>
      <c r="CEA11" s="60"/>
      <c r="CEB11" s="60"/>
      <c r="CEC11" s="60"/>
      <c r="CED11" s="60"/>
      <c r="CEE11" s="60"/>
      <c r="CEF11" s="60"/>
      <c r="CEG11" s="60"/>
      <c r="CEH11" s="60"/>
      <c r="CEI11" s="60"/>
      <c r="CEJ11" s="60"/>
      <c r="CEK11" s="60"/>
      <c r="CEL11" s="60"/>
      <c r="CEM11" s="60"/>
      <c r="CEN11" s="60"/>
      <c r="CEO11" s="60"/>
      <c r="CEP11" s="60"/>
      <c r="CEQ11" s="60"/>
      <c r="CER11" s="60"/>
      <c r="CES11" s="60"/>
      <c r="CET11" s="60"/>
      <c r="CEU11" s="60"/>
      <c r="CEV11" s="60"/>
      <c r="CEW11" s="60"/>
      <c r="CEX11" s="60"/>
      <c r="CEY11" s="60"/>
      <c r="CEZ11" s="60"/>
      <c r="CFA11" s="60"/>
      <c r="CFB11" s="60"/>
      <c r="CFC11" s="60"/>
      <c r="CFD11" s="60"/>
      <c r="CFE11" s="60"/>
      <c r="CFF11" s="60"/>
      <c r="CFG11" s="60"/>
      <c r="CFH11" s="60"/>
      <c r="CFI11" s="60"/>
      <c r="CFJ11" s="60"/>
      <c r="CFK11" s="60"/>
      <c r="CFL11" s="60"/>
      <c r="CFM11" s="60"/>
      <c r="CFN11" s="60"/>
      <c r="CFO11" s="60"/>
      <c r="CFP11" s="60"/>
      <c r="CFQ11" s="60"/>
      <c r="CFR11" s="60"/>
      <c r="CFS11" s="60"/>
      <c r="CFT11" s="60"/>
      <c r="CFU11" s="60"/>
      <c r="CFV11" s="60"/>
      <c r="CFW11" s="60"/>
      <c r="CFX11" s="60"/>
      <c r="CFY11" s="60"/>
      <c r="CFZ11" s="60"/>
      <c r="CGA11" s="60"/>
      <c r="CGB11" s="60"/>
      <c r="CGC11" s="60"/>
      <c r="CGD11" s="60"/>
      <c r="CGE11" s="60"/>
      <c r="CGF11" s="60"/>
      <c r="CGG11" s="60"/>
      <c r="CGH11" s="60"/>
      <c r="CGI11" s="60"/>
      <c r="CGJ11" s="60"/>
      <c r="CGK11" s="60"/>
      <c r="CGL11" s="60"/>
      <c r="CGM11" s="60"/>
      <c r="CGN11" s="60"/>
      <c r="CGO11" s="60"/>
      <c r="CGP11" s="60"/>
      <c r="CGQ11" s="60"/>
      <c r="CGR11" s="60"/>
      <c r="CGS11" s="60"/>
      <c r="CGT11" s="60"/>
      <c r="CGU11" s="60"/>
      <c r="CGV11" s="60"/>
      <c r="CGW11" s="60"/>
      <c r="CGX11" s="60"/>
      <c r="CGY11" s="60"/>
      <c r="CGZ11" s="60"/>
      <c r="CHA11" s="60"/>
      <c r="CHB11" s="60"/>
      <c r="CHC11" s="60"/>
      <c r="CHD11" s="60"/>
      <c r="CHE11" s="60"/>
      <c r="CHF11" s="60"/>
      <c r="CHG11" s="60"/>
      <c r="CHH11" s="60"/>
      <c r="CHI11" s="60"/>
      <c r="CHJ11" s="60"/>
      <c r="CHK11" s="60"/>
      <c r="CHL11" s="60"/>
      <c r="CHM11" s="60"/>
      <c r="CHN11" s="60"/>
      <c r="CHO11" s="60"/>
      <c r="CHP11" s="60"/>
      <c r="CHQ11" s="60"/>
      <c r="CHR11" s="60"/>
      <c r="CHS11" s="60"/>
      <c r="CHT11" s="60"/>
      <c r="CHU11" s="60"/>
      <c r="CHV11" s="60"/>
      <c r="CHW11" s="60"/>
      <c r="CHX11" s="60"/>
      <c r="CHY11" s="60"/>
      <c r="CHZ11" s="60"/>
      <c r="CIA11" s="60"/>
      <c r="CIB11" s="60"/>
      <c r="CIC11" s="60"/>
      <c r="CID11" s="60"/>
      <c r="CIE11" s="60"/>
      <c r="CIF11" s="60"/>
      <c r="CIG11" s="60"/>
      <c r="CIH11" s="60"/>
      <c r="CII11" s="60"/>
      <c r="CIJ11" s="60"/>
      <c r="CIK11" s="60"/>
      <c r="CIL11" s="60"/>
      <c r="CIM11" s="60"/>
      <c r="CIN11" s="60"/>
      <c r="CIO11" s="60"/>
      <c r="CIP11" s="60"/>
      <c r="CIQ11" s="60"/>
      <c r="CIR11" s="60"/>
      <c r="CIS11" s="60"/>
      <c r="CIT11" s="60"/>
      <c r="CIU11" s="60"/>
      <c r="CIV11" s="60"/>
      <c r="CIW11" s="60"/>
      <c r="CIX11" s="60"/>
      <c r="CIY11" s="60"/>
      <c r="CIZ11" s="60"/>
      <c r="CJA11" s="60"/>
      <c r="CJB11" s="60"/>
      <c r="CJC11" s="60"/>
      <c r="CJD11" s="60"/>
      <c r="CJE11" s="60"/>
      <c r="CJF11" s="60"/>
      <c r="CJG11" s="60"/>
      <c r="CJH11" s="60"/>
      <c r="CJI11" s="60"/>
      <c r="CJJ11" s="60"/>
      <c r="CJK11" s="60"/>
      <c r="CJL11" s="60"/>
      <c r="CJM11" s="60"/>
      <c r="CJN11" s="60"/>
      <c r="CJO11" s="60"/>
      <c r="CJP11" s="60"/>
      <c r="CJQ11" s="60"/>
      <c r="CJR11" s="60"/>
      <c r="CJS11" s="60"/>
      <c r="CJT11" s="60"/>
      <c r="CJU11" s="60"/>
      <c r="CJV11" s="60"/>
      <c r="CJW11" s="60"/>
      <c r="CJX11" s="60"/>
      <c r="CJY11" s="60"/>
      <c r="CJZ11" s="60"/>
      <c r="CKA11" s="60"/>
      <c r="CKB11" s="60"/>
      <c r="CKC11" s="60"/>
      <c r="CKD11" s="60"/>
      <c r="CKE11" s="60"/>
      <c r="CKF11" s="60"/>
      <c r="CKG11" s="60"/>
      <c r="CKH11" s="60"/>
      <c r="CKI11" s="60"/>
      <c r="CKJ11" s="60"/>
      <c r="CKK11" s="60"/>
      <c r="CKL11" s="60"/>
      <c r="CKM11" s="60"/>
      <c r="CKN11" s="60"/>
      <c r="CKO11" s="60"/>
      <c r="CKP11" s="60"/>
      <c r="CKQ11" s="60"/>
      <c r="CKR11" s="60"/>
      <c r="CKS11" s="60"/>
      <c r="CKT11" s="60"/>
      <c r="CKU11" s="60"/>
      <c r="CKV11" s="60"/>
      <c r="CKW11" s="60"/>
      <c r="CKX11" s="60"/>
      <c r="CKY11" s="60"/>
      <c r="CKZ11" s="60"/>
      <c r="CLA11" s="60"/>
      <c r="CLB11" s="60"/>
      <c r="CLC11" s="60"/>
      <c r="CLD11" s="60"/>
      <c r="CLE11" s="60"/>
      <c r="CLF11" s="60"/>
      <c r="CLG11" s="60"/>
      <c r="CLH11" s="60"/>
      <c r="CLI11" s="60"/>
      <c r="CLJ11" s="60"/>
      <c r="CLK11" s="60"/>
      <c r="CLL11" s="60"/>
      <c r="CLM11" s="60"/>
      <c r="CLN11" s="60"/>
      <c r="CLO11" s="60"/>
      <c r="CLP11" s="60"/>
      <c r="CLQ11" s="60"/>
      <c r="CLR11" s="60"/>
      <c r="CLS11" s="60"/>
      <c r="CLT11" s="60"/>
      <c r="CLU11" s="60"/>
      <c r="CLV11" s="60"/>
      <c r="CLW11" s="60"/>
      <c r="CLX11" s="60"/>
      <c r="CLY11" s="60"/>
      <c r="CLZ11" s="60"/>
      <c r="CMA11" s="60"/>
      <c r="CMB11" s="60"/>
      <c r="CMC11" s="60"/>
      <c r="CMD11" s="60"/>
      <c r="CME11" s="60"/>
      <c r="CMF11" s="60"/>
      <c r="CMG11" s="60"/>
      <c r="CMH11" s="60"/>
      <c r="CMI11" s="60"/>
      <c r="CMJ11" s="60"/>
      <c r="CMK11" s="60"/>
      <c r="CML11" s="60"/>
      <c r="CMM11" s="60"/>
      <c r="CMN11" s="60"/>
      <c r="CMO11" s="60"/>
      <c r="CMP11" s="60"/>
      <c r="CMQ11" s="60"/>
      <c r="CMR11" s="60"/>
      <c r="CMS11" s="60"/>
      <c r="CMT11" s="60"/>
      <c r="CMU11" s="60"/>
      <c r="CMV11" s="60"/>
      <c r="CMW11" s="60"/>
      <c r="CMX11" s="60"/>
      <c r="CMY11" s="60"/>
      <c r="CMZ11" s="60"/>
      <c r="CNA11" s="60"/>
      <c r="CNB11" s="60"/>
      <c r="CNC11" s="60"/>
      <c r="CND11" s="60"/>
      <c r="CNE11" s="60"/>
      <c r="CNF11" s="60"/>
      <c r="CNG11" s="60"/>
      <c r="CNH11" s="60"/>
      <c r="CNI11" s="60"/>
      <c r="CNJ11" s="60"/>
      <c r="CNK11" s="60"/>
      <c r="CNL11" s="60"/>
      <c r="CNM11" s="60"/>
      <c r="CNN11" s="60"/>
      <c r="CNO11" s="60"/>
      <c r="CNP11" s="60"/>
      <c r="CNQ11" s="60"/>
      <c r="CNR11" s="60"/>
      <c r="CNS11" s="60"/>
      <c r="CNT11" s="60"/>
      <c r="CNU11" s="60"/>
      <c r="CNV11" s="60"/>
      <c r="CNW11" s="60"/>
      <c r="CNX11" s="60"/>
      <c r="CNY11" s="60"/>
      <c r="CNZ11" s="60"/>
      <c r="COA11" s="60"/>
      <c r="COB11" s="60"/>
      <c r="COC11" s="60"/>
      <c r="COD11" s="60"/>
      <c r="COE11" s="60"/>
      <c r="COF11" s="60"/>
      <c r="COG11" s="60"/>
      <c r="COH11" s="60"/>
      <c r="COI11" s="60"/>
      <c r="COJ11" s="60"/>
      <c r="COK11" s="60"/>
      <c r="COL11" s="60"/>
      <c r="COM11" s="60"/>
      <c r="CON11" s="60"/>
      <c r="COO11" s="60"/>
      <c r="COP11" s="60"/>
      <c r="COQ11" s="60"/>
      <c r="COR11" s="60"/>
      <c r="COS11" s="60"/>
      <c r="COT11" s="60"/>
      <c r="COU11" s="60"/>
      <c r="COV11" s="60"/>
      <c r="COW11" s="60"/>
      <c r="COX11" s="60"/>
      <c r="COY11" s="60"/>
      <c r="COZ11" s="60"/>
      <c r="CPA11" s="60"/>
      <c r="CPB11" s="60"/>
      <c r="CPC11" s="60"/>
      <c r="CPD11" s="60"/>
      <c r="CPE11" s="60"/>
      <c r="CPF11" s="60"/>
      <c r="CPG11" s="60"/>
      <c r="CPH11" s="60"/>
      <c r="CPI11" s="60"/>
      <c r="CPJ11" s="60"/>
      <c r="CPK11" s="60"/>
      <c r="CPL11" s="60"/>
      <c r="CPM11" s="60"/>
      <c r="CPN11" s="60"/>
      <c r="CPO11" s="60"/>
      <c r="CPP11" s="60"/>
      <c r="CPQ11" s="60"/>
      <c r="CPR11" s="60"/>
      <c r="CPS11" s="60"/>
      <c r="CPT11" s="60"/>
      <c r="CPU11" s="60"/>
      <c r="CPV11" s="60"/>
      <c r="CPW11" s="60"/>
      <c r="CPX11" s="60"/>
      <c r="CPY11" s="60"/>
      <c r="CPZ11" s="60"/>
      <c r="CQA11" s="60"/>
      <c r="CQB11" s="60"/>
      <c r="CQC11" s="60"/>
      <c r="CQD11" s="60"/>
      <c r="CQE11" s="60"/>
      <c r="CQF11" s="60"/>
      <c r="CQG11" s="60"/>
      <c r="CQH11" s="60"/>
      <c r="CQI11" s="60"/>
      <c r="CQJ11" s="60"/>
      <c r="CQK11" s="60"/>
      <c r="CQL11" s="60"/>
      <c r="CQM11" s="60"/>
      <c r="CQN11" s="60"/>
      <c r="CQO11" s="60"/>
      <c r="CQP11" s="60"/>
      <c r="CQQ11" s="60"/>
      <c r="CQR11" s="60"/>
      <c r="CQS11" s="60"/>
      <c r="CQT11" s="60"/>
      <c r="CQU11" s="60"/>
      <c r="CQV11" s="60"/>
      <c r="CQW11" s="60"/>
      <c r="CQX11" s="60"/>
      <c r="CQY11" s="60"/>
      <c r="CQZ11" s="60"/>
      <c r="CRA11" s="60"/>
      <c r="CRB11" s="60"/>
      <c r="CRC11" s="60"/>
      <c r="CRD11" s="60"/>
      <c r="CRE11" s="60"/>
      <c r="CRF11" s="60"/>
      <c r="CRG11" s="60"/>
      <c r="CRH11" s="60"/>
      <c r="CRI11" s="60"/>
      <c r="CRJ11" s="60"/>
      <c r="CRK11" s="60"/>
      <c r="CRL11" s="60"/>
      <c r="CRM11" s="60"/>
      <c r="CRN11" s="60"/>
      <c r="CRO11" s="60"/>
      <c r="CRP11" s="60"/>
      <c r="CRQ11" s="60"/>
      <c r="CRR11" s="60"/>
      <c r="CRS11" s="60"/>
      <c r="CRT11" s="60"/>
      <c r="CRU11" s="60"/>
      <c r="CRV11" s="60"/>
      <c r="CRW11" s="60"/>
      <c r="CRX11" s="60"/>
      <c r="CRY11" s="60"/>
      <c r="CRZ11" s="60"/>
      <c r="CSA11" s="60"/>
      <c r="CSB11" s="60"/>
      <c r="CSC11" s="60"/>
      <c r="CSD11" s="60"/>
      <c r="CSE11" s="60"/>
      <c r="CSF11" s="60"/>
      <c r="CSG11" s="60"/>
      <c r="CSH11" s="60"/>
      <c r="CSI11" s="60"/>
      <c r="CSJ11" s="60"/>
      <c r="CSK11" s="60"/>
      <c r="CSL11" s="60"/>
      <c r="CSM11" s="60"/>
      <c r="CSN11" s="60"/>
      <c r="CSO11" s="60"/>
      <c r="CSP11" s="60"/>
      <c r="CSQ11" s="60"/>
      <c r="CSR11" s="60"/>
      <c r="CSS11" s="60"/>
      <c r="CST11" s="60"/>
      <c r="CSU11" s="60"/>
      <c r="CSV11" s="60"/>
      <c r="CSW11" s="60"/>
      <c r="CSX11" s="60"/>
      <c r="CSY11" s="60"/>
      <c r="CSZ11" s="60"/>
      <c r="CTA11" s="60"/>
      <c r="CTB11" s="60"/>
      <c r="CTC11" s="60"/>
      <c r="CTD11" s="60"/>
      <c r="CTE11" s="60"/>
      <c r="CTF11" s="60"/>
      <c r="CTG11" s="60"/>
      <c r="CTH11" s="60"/>
      <c r="CTI11" s="60"/>
      <c r="CTJ11" s="60"/>
      <c r="CTK11" s="60"/>
      <c r="CTL11" s="60"/>
      <c r="CTM11" s="60"/>
      <c r="CTN11" s="60"/>
      <c r="CTO11" s="60"/>
      <c r="CTP11" s="60"/>
      <c r="CTQ11" s="60"/>
      <c r="CTR11" s="60"/>
      <c r="CTS11" s="60"/>
      <c r="CTT11" s="60"/>
      <c r="CTU11" s="60"/>
      <c r="CTV11" s="60"/>
      <c r="CTW11" s="60"/>
      <c r="CTX11" s="60"/>
      <c r="CTY11" s="60"/>
      <c r="CTZ11" s="60"/>
      <c r="CUA11" s="60"/>
      <c r="CUB11" s="60"/>
      <c r="CUC11" s="60"/>
      <c r="CUD11" s="60"/>
      <c r="CUE11" s="60"/>
      <c r="CUF11" s="60"/>
      <c r="CUG11" s="60"/>
      <c r="CUH11" s="60"/>
      <c r="CUI11" s="60"/>
      <c r="CUJ11" s="60"/>
      <c r="CUK11" s="60"/>
      <c r="CUL11" s="60"/>
      <c r="CUM11" s="60"/>
      <c r="CUN11" s="60"/>
      <c r="CUO11" s="60"/>
      <c r="CUP11" s="60"/>
      <c r="CUQ11" s="60"/>
      <c r="CUR11" s="60"/>
      <c r="CUS11" s="60"/>
      <c r="CUT11" s="60"/>
      <c r="CUU11" s="60"/>
      <c r="CUV11" s="60"/>
      <c r="CUW11" s="60"/>
      <c r="CUX11" s="60"/>
      <c r="CUY11" s="60"/>
      <c r="CUZ11" s="60"/>
      <c r="CVA11" s="60"/>
      <c r="CVB11" s="60"/>
      <c r="CVC11" s="60"/>
      <c r="CVD11" s="60"/>
      <c r="CVE11" s="60"/>
      <c r="CVF11" s="60"/>
      <c r="CVG11" s="60"/>
      <c r="CVH11" s="60"/>
      <c r="CVI11" s="60"/>
      <c r="CVJ11" s="60"/>
      <c r="CVK11" s="60"/>
      <c r="CVL11" s="60"/>
      <c r="CVM11" s="60"/>
      <c r="CVN11" s="60"/>
      <c r="CVO11" s="60"/>
      <c r="CVP11" s="60"/>
      <c r="CVQ11" s="60"/>
      <c r="CVR11" s="60"/>
      <c r="CVS11" s="60"/>
      <c r="CVT11" s="60"/>
      <c r="CVU11" s="60"/>
      <c r="CVV11" s="60"/>
      <c r="CVW11" s="60"/>
      <c r="CVX11" s="60"/>
      <c r="CVY11" s="60"/>
      <c r="CVZ11" s="60"/>
      <c r="CWA11" s="60"/>
      <c r="CWB11" s="60"/>
      <c r="CWC11" s="60"/>
      <c r="CWD11" s="60"/>
      <c r="CWE11" s="60"/>
      <c r="CWF11" s="60"/>
      <c r="CWG11" s="60"/>
      <c r="CWH11" s="60"/>
      <c r="CWI11" s="60"/>
      <c r="CWJ11" s="60"/>
      <c r="CWK11" s="60"/>
      <c r="CWL11" s="60"/>
      <c r="CWM11" s="60"/>
      <c r="CWN11" s="60"/>
      <c r="CWO11" s="60"/>
      <c r="CWP11" s="60"/>
      <c r="CWQ11" s="60"/>
      <c r="CWR11" s="60"/>
      <c r="CWS11" s="60"/>
      <c r="CWT11" s="60"/>
      <c r="CWU11" s="60"/>
      <c r="CWV11" s="60"/>
      <c r="CWW11" s="60"/>
      <c r="CWX11" s="60"/>
      <c r="CWY11" s="60"/>
      <c r="CWZ11" s="60"/>
      <c r="CXA11" s="60"/>
      <c r="CXB11" s="60"/>
      <c r="CXC11" s="60"/>
      <c r="CXD11" s="60"/>
      <c r="CXE11" s="60"/>
      <c r="CXF11" s="60"/>
      <c r="CXG11" s="60"/>
      <c r="CXH11" s="60"/>
      <c r="CXI11" s="60"/>
      <c r="CXJ11" s="60"/>
      <c r="CXK11" s="60"/>
      <c r="CXL11" s="60"/>
      <c r="CXM11" s="60"/>
      <c r="CXN11" s="60"/>
      <c r="CXO11" s="60"/>
      <c r="CXP11" s="60"/>
      <c r="CXQ11" s="60"/>
      <c r="CXR11" s="60"/>
      <c r="CXS11" s="60"/>
      <c r="CXT11" s="60"/>
      <c r="CXU11" s="60"/>
      <c r="CXV11" s="60"/>
      <c r="CXW11" s="60"/>
      <c r="CXX11" s="60"/>
      <c r="CXY11" s="60"/>
      <c r="CXZ11" s="60"/>
      <c r="CYA11" s="60"/>
      <c r="CYB11" s="60"/>
      <c r="CYC11" s="60"/>
      <c r="CYD11" s="60"/>
      <c r="CYE11" s="60"/>
      <c r="CYF11" s="60"/>
      <c r="CYG11" s="60"/>
      <c r="CYH11" s="60"/>
      <c r="CYI11" s="60"/>
      <c r="CYJ11" s="60"/>
      <c r="CYK11" s="60"/>
      <c r="CYL11" s="60"/>
      <c r="CYM11" s="60"/>
      <c r="CYN11" s="60"/>
      <c r="CYO11" s="60"/>
      <c r="CYP11" s="60"/>
      <c r="CYQ11" s="60"/>
      <c r="CYR11" s="60"/>
      <c r="CYS11" s="60"/>
      <c r="CYT11" s="60"/>
      <c r="CYU11" s="60"/>
      <c r="CYV11" s="60"/>
      <c r="CYW11" s="60"/>
      <c r="CYX11" s="60"/>
      <c r="CYY11" s="60"/>
      <c r="CYZ11" s="60"/>
      <c r="CZA11" s="60"/>
      <c r="CZB11" s="60"/>
      <c r="CZC11" s="60"/>
      <c r="CZD11" s="60"/>
      <c r="CZE11" s="60"/>
      <c r="CZF11" s="60"/>
      <c r="CZG11" s="60"/>
      <c r="CZH11" s="60"/>
      <c r="CZI11" s="60"/>
      <c r="CZJ11" s="60"/>
      <c r="CZK11" s="60"/>
      <c r="CZL11" s="60"/>
      <c r="CZM11" s="60"/>
      <c r="CZN11" s="60"/>
      <c r="CZO11" s="60"/>
      <c r="CZP11" s="60"/>
      <c r="CZQ11" s="60"/>
      <c r="CZR11" s="60"/>
      <c r="CZS11" s="60"/>
      <c r="CZT11" s="60"/>
      <c r="CZU11" s="60"/>
      <c r="CZV11" s="60"/>
      <c r="CZW11" s="60"/>
      <c r="CZX11" s="60"/>
      <c r="CZY11" s="60"/>
      <c r="CZZ11" s="60"/>
      <c r="DAA11" s="60"/>
      <c r="DAB11" s="60"/>
      <c r="DAC11" s="60"/>
      <c r="DAD11" s="60"/>
      <c r="DAE11" s="60"/>
      <c r="DAF11" s="60"/>
      <c r="DAG11" s="60"/>
      <c r="DAH11" s="60"/>
      <c r="DAI11" s="60"/>
      <c r="DAJ11" s="60"/>
      <c r="DAK11" s="60"/>
      <c r="DAL11" s="60"/>
      <c r="DAM11" s="60"/>
      <c r="DAN11" s="60"/>
      <c r="DAO11" s="60"/>
      <c r="DAP11" s="60"/>
      <c r="DAQ11" s="60"/>
      <c r="DAR11" s="60"/>
      <c r="DAS11" s="60"/>
      <c r="DAT11" s="60"/>
      <c r="DAU11" s="60"/>
      <c r="DAV11" s="60"/>
      <c r="DAW11" s="60"/>
      <c r="DAX11" s="60"/>
      <c r="DAY11" s="60"/>
      <c r="DAZ11" s="60"/>
      <c r="DBA11" s="60"/>
      <c r="DBB11" s="60"/>
      <c r="DBC11" s="60"/>
      <c r="DBD11" s="60"/>
      <c r="DBE11" s="60"/>
      <c r="DBF11" s="60"/>
      <c r="DBG11" s="60"/>
      <c r="DBH11" s="60"/>
      <c r="DBI11" s="60"/>
      <c r="DBJ11" s="60"/>
      <c r="DBK11" s="60"/>
      <c r="DBL11" s="60"/>
      <c r="DBM11" s="60"/>
      <c r="DBN11" s="60"/>
      <c r="DBO11" s="60"/>
      <c r="DBP11" s="60"/>
      <c r="DBQ11" s="60"/>
      <c r="DBR11" s="60"/>
      <c r="DBS11" s="60"/>
      <c r="DBT11" s="60"/>
      <c r="DBU11" s="60"/>
      <c r="DBV11" s="60"/>
      <c r="DBW11" s="60"/>
      <c r="DBX11" s="60"/>
      <c r="DBY11" s="60"/>
      <c r="DBZ11" s="60"/>
      <c r="DCA11" s="60"/>
      <c r="DCB11" s="60"/>
      <c r="DCC11" s="60"/>
      <c r="DCD11" s="60"/>
      <c r="DCE11" s="60"/>
      <c r="DCF11" s="60"/>
      <c r="DCG11" s="60"/>
      <c r="DCH11" s="60"/>
      <c r="DCI11" s="60"/>
      <c r="DCJ11" s="60"/>
      <c r="DCK11" s="60"/>
      <c r="DCL11" s="60"/>
      <c r="DCM11" s="60"/>
      <c r="DCN11" s="60"/>
      <c r="DCO11" s="60"/>
      <c r="DCP11" s="60"/>
      <c r="DCQ11" s="60"/>
      <c r="DCR11" s="60"/>
      <c r="DCS11" s="60"/>
      <c r="DCT11" s="60"/>
      <c r="DCU11" s="60"/>
      <c r="DCV11" s="60"/>
      <c r="DCW11" s="60"/>
      <c r="DCX11" s="60"/>
      <c r="DCY11" s="60"/>
      <c r="DCZ11" s="60"/>
      <c r="DDA11" s="60"/>
      <c r="DDB11" s="60"/>
      <c r="DDC11" s="60"/>
      <c r="DDD11" s="60"/>
      <c r="DDE11" s="60"/>
      <c r="DDF11" s="60"/>
      <c r="DDG11" s="60"/>
      <c r="DDH11" s="60"/>
      <c r="DDI11" s="60"/>
      <c r="DDJ11" s="60"/>
      <c r="DDK11" s="60"/>
      <c r="DDL11" s="60"/>
      <c r="DDM11" s="60"/>
      <c r="DDN11" s="60"/>
      <c r="DDO11" s="60"/>
      <c r="DDP11" s="60"/>
      <c r="DDQ11" s="60"/>
      <c r="DDR11" s="60"/>
      <c r="DDS11" s="60"/>
      <c r="DDT11" s="60"/>
      <c r="DDU11" s="60"/>
      <c r="DDV11" s="60"/>
      <c r="DDW11" s="60"/>
      <c r="DDX11" s="60"/>
      <c r="DDY11" s="60"/>
      <c r="DDZ11" s="60"/>
      <c r="DEA11" s="60"/>
      <c r="DEB11" s="60"/>
      <c r="DEC11" s="60"/>
      <c r="DED11" s="60"/>
      <c r="DEE11" s="60"/>
      <c r="DEF11" s="60"/>
      <c r="DEG11" s="60"/>
      <c r="DEH11" s="60"/>
      <c r="DEI11" s="60"/>
      <c r="DEJ11" s="60"/>
      <c r="DEK11" s="60"/>
      <c r="DEL11" s="60"/>
      <c r="DEM11" s="60"/>
      <c r="DEN11" s="60"/>
      <c r="DEO11" s="60"/>
      <c r="DEP11" s="60"/>
      <c r="DEQ11" s="60"/>
      <c r="DER11" s="60"/>
      <c r="DES11" s="60"/>
      <c r="DET11" s="60"/>
      <c r="DEU11" s="60"/>
      <c r="DEV11" s="60"/>
      <c r="DEW11" s="60"/>
      <c r="DEX11" s="60"/>
      <c r="DEY11" s="60"/>
      <c r="DEZ11" s="60"/>
      <c r="DFA11" s="60"/>
      <c r="DFB11" s="60"/>
      <c r="DFC11" s="60"/>
      <c r="DFD11" s="60"/>
      <c r="DFE11" s="60"/>
      <c r="DFF11" s="60"/>
      <c r="DFG11" s="60"/>
      <c r="DFH11" s="60"/>
      <c r="DFI11" s="60"/>
      <c r="DFJ11" s="60"/>
      <c r="DFK11" s="60"/>
      <c r="DFL11" s="60"/>
      <c r="DFM11" s="60"/>
      <c r="DFN11" s="60"/>
      <c r="DFO11" s="60"/>
      <c r="DFP11" s="60"/>
      <c r="DFQ11" s="60"/>
      <c r="DFR11" s="60"/>
      <c r="DFS11" s="60"/>
      <c r="DFT11" s="60"/>
      <c r="DFU11" s="60"/>
      <c r="DFV11" s="60"/>
      <c r="DFW11" s="60"/>
      <c r="DFX11" s="60"/>
      <c r="DFY11" s="60"/>
      <c r="DFZ11" s="60"/>
      <c r="DGA11" s="60"/>
      <c r="DGB11" s="60"/>
      <c r="DGC11" s="60"/>
      <c r="DGD11" s="60"/>
      <c r="DGE11" s="60"/>
      <c r="DGF11" s="60"/>
      <c r="DGG11" s="60"/>
      <c r="DGH11" s="60"/>
      <c r="DGI11" s="60"/>
      <c r="DGJ11" s="60"/>
      <c r="DGK11" s="60"/>
      <c r="DGL11" s="60"/>
      <c r="DGM11" s="60"/>
      <c r="DGN11" s="60"/>
      <c r="DGO11" s="60"/>
      <c r="DGP11" s="60"/>
      <c r="DGQ11" s="60"/>
      <c r="DGR11" s="60"/>
      <c r="DGS11" s="60"/>
      <c r="DGT11" s="60"/>
      <c r="DGU11" s="60"/>
      <c r="DGV11" s="60"/>
      <c r="DGW11" s="60"/>
      <c r="DGX11" s="60"/>
      <c r="DGY11" s="60"/>
      <c r="DGZ11" s="60"/>
      <c r="DHA11" s="60"/>
      <c r="DHB11" s="60"/>
      <c r="DHC11" s="60"/>
      <c r="DHD11" s="60"/>
      <c r="DHE11" s="60"/>
      <c r="DHF11" s="60"/>
      <c r="DHG11" s="60"/>
      <c r="DHH11" s="60"/>
      <c r="DHI11" s="60"/>
      <c r="DHJ11" s="60"/>
      <c r="DHK11" s="60"/>
      <c r="DHL11" s="60"/>
      <c r="DHM11" s="60"/>
      <c r="DHN11" s="60"/>
      <c r="DHO11" s="60"/>
      <c r="DHP11" s="60"/>
      <c r="DHQ11" s="60"/>
      <c r="DHR11" s="60"/>
      <c r="DHS11" s="60"/>
      <c r="DHT11" s="60"/>
      <c r="DHU11" s="60"/>
      <c r="DHV11" s="60"/>
      <c r="DHW11" s="60"/>
      <c r="DHX11" s="60"/>
      <c r="DHY11" s="60"/>
      <c r="DHZ11" s="60"/>
      <c r="DIA11" s="60"/>
      <c r="DIB11" s="60"/>
      <c r="DIC11" s="60"/>
      <c r="DID11" s="60"/>
      <c r="DIE11" s="60"/>
      <c r="DIF11" s="60"/>
      <c r="DIG11" s="60"/>
      <c r="DIH11" s="60"/>
      <c r="DII11" s="60"/>
      <c r="DIJ11" s="60"/>
      <c r="DIK11" s="60"/>
      <c r="DIL11" s="60"/>
      <c r="DIM11" s="60"/>
      <c r="DIN11" s="60"/>
      <c r="DIO11" s="60"/>
      <c r="DIP11" s="60"/>
      <c r="DIQ11" s="60"/>
      <c r="DIR11" s="60"/>
      <c r="DIS11" s="60"/>
      <c r="DIT11" s="60"/>
      <c r="DIU11" s="60"/>
      <c r="DIV11" s="60"/>
      <c r="DIW11" s="60"/>
      <c r="DIX11" s="60"/>
      <c r="DIY11" s="60"/>
      <c r="DIZ11" s="60"/>
      <c r="DJA11" s="60"/>
      <c r="DJB11" s="60"/>
      <c r="DJC11" s="60"/>
      <c r="DJD11" s="60"/>
      <c r="DJE11" s="60"/>
      <c r="DJF11" s="60"/>
      <c r="DJG11" s="60"/>
      <c r="DJH11" s="60"/>
      <c r="DJI11" s="60"/>
      <c r="DJJ11" s="60"/>
      <c r="DJK11" s="60"/>
      <c r="DJL11" s="60"/>
      <c r="DJM11" s="60"/>
      <c r="DJN11" s="60"/>
      <c r="DJO11" s="60"/>
      <c r="DJP11" s="60"/>
      <c r="DJQ11" s="60"/>
      <c r="DJR11" s="60"/>
      <c r="DJS11" s="60"/>
      <c r="DJT11" s="60"/>
      <c r="DJU11" s="60"/>
      <c r="DJV11" s="60"/>
      <c r="DJW11" s="60"/>
      <c r="DJX11" s="60"/>
      <c r="DJY11" s="60"/>
      <c r="DJZ11" s="60"/>
      <c r="DKA11" s="60"/>
      <c r="DKB11" s="60"/>
      <c r="DKC11" s="60"/>
      <c r="DKD11" s="60"/>
      <c r="DKE11" s="60"/>
      <c r="DKF11" s="60"/>
      <c r="DKG11" s="60"/>
      <c r="DKH11" s="60"/>
      <c r="DKI11" s="60"/>
      <c r="DKJ11" s="60"/>
      <c r="DKK11" s="60"/>
      <c r="DKL11" s="60"/>
      <c r="DKM11" s="60"/>
      <c r="DKN11" s="60"/>
      <c r="DKO11" s="60"/>
      <c r="DKP11" s="60"/>
      <c r="DKQ11" s="60"/>
      <c r="DKR11" s="60"/>
      <c r="DKS11" s="60"/>
      <c r="DKT11" s="60"/>
      <c r="DKU11" s="60"/>
      <c r="DKV11" s="60"/>
      <c r="DKW11" s="60"/>
      <c r="DKX11" s="60"/>
      <c r="DKY11" s="60"/>
      <c r="DKZ11" s="60"/>
      <c r="DLA11" s="60"/>
      <c r="DLB11" s="60"/>
      <c r="DLC11" s="60"/>
      <c r="DLD11" s="60"/>
      <c r="DLE11" s="60"/>
      <c r="DLF11" s="60"/>
      <c r="DLG11" s="60"/>
      <c r="DLH11" s="60"/>
      <c r="DLI11" s="60"/>
      <c r="DLJ11" s="60"/>
      <c r="DLK11" s="60"/>
      <c r="DLL11" s="60"/>
      <c r="DLM11" s="60"/>
      <c r="DLN11" s="60"/>
      <c r="DLO11" s="60"/>
      <c r="DLP11" s="60"/>
      <c r="DLQ11" s="60"/>
      <c r="DLR11" s="60"/>
      <c r="DLS11" s="60"/>
      <c r="DLT11" s="60"/>
      <c r="DLU11" s="60"/>
      <c r="DLV11" s="60"/>
      <c r="DLW11" s="60"/>
      <c r="DLX11" s="60"/>
      <c r="DLY11" s="60"/>
      <c r="DLZ11" s="60"/>
      <c r="DMA11" s="60"/>
      <c r="DMB11" s="60"/>
      <c r="DMC11" s="60"/>
      <c r="DMD11" s="60"/>
      <c r="DME11" s="60"/>
      <c r="DMF11" s="60"/>
      <c r="DMG11" s="60"/>
      <c r="DMH11" s="60"/>
      <c r="DMI11" s="60"/>
      <c r="DMJ11" s="60"/>
      <c r="DMK11" s="60"/>
      <c r="DML11" s="60"/>
      <c r="DMM11" s="60"/>
      <c r="DMN11" s="60"/>
      <c r="DMO11" s="60"/>
      <c r="DMP11" s="60"/>
      <c r="DMQ11" s="60"/>
      <c r="DMR11" s="60"/>
      <c r="DMS11" s="60"/>
      <c r="DMT11" s="60"/>
      <c r="DMU11" s="60"/>
      <c r="DMV11" s="60"/>
      <c r="DMW11" s="60"/>
      <c r="DMX11" s="60"/>
      <c r="DMY11" s="60"/>
      <c r="DMZ11" s="60"/>
      <c r="DNA11" s="60"/>
      <c r="DNB11" s="60"/>
      <c r="DNC11" s="60"/>
      <c r="DND11" s="60"/>
      <c r="DNE11" s="60"/>
      <c r="DNF11" s="60"/>
      <c r="DNG11" s="60"/>
      <c r="DNH11" s="60"/>
      <c r="DNI11" s="60"/>
      <c r="DNJ11" s="60"/>
      <c r="DNK11" s="60"/>
      <c r="DNL11" s="60"/>
      <c r="DNM11" s="60"/>
      <c r="DNN11" s="60"/>
      <c r="DNO11" s="60"/>
      <c r="DNP11" s="60"/>
      <c r="DNQ11" s="60"/>
      <c r="DNR11" s="60"/>
      <c r="DNS11" s="60"/>
      <c r="DNT11" s="60"/>
      <c r="DNU11" s="60"/>
      <c r="DNV11" s="60"/>
      <c r="DNW11" s="60"/>
      <c r="DNX11" s="60"/>
      <c r="DNY11" s="60"/>
      <c r="DNZ11" s="60"/>
      <c r="DOA11" s="60"/>
      <c r="DOB11" s="60"/>
      <c r="DOC11" s="60"/>
      <c r="DOD11" s="60"/>
      <c r="DOE11" s="60"/>
      <c r="DOF11" s="60"/>
      <c r="DOG11" s="60"/>
      <c r="DOH11" s="60"/>
      <c r="DOI11" s="60"/>
      <c r="DOJ11" s="60"/>
      <c r="DOK11" s="60"/>
      <c r="DOL11" s="60"/>
      <c r="DOM11" s="60"/>
      <c r="DON11" s="60"/>
      <c r="DOO11" s="60"/>
      <c r="DOP11" s="60"/>
      <c r="DOQ11" s="60"/>
      <c r="DOR11" s="60"/>
      <c r="DOS11" s="60"/>
      <c r="DOT11" s="60"/>
      <c r="DOU11" s="60"/>
      <c r="DOV11" s="60"/>
      <c r="DOW11" s="60"/>
      <c r="DOX11" s="60"/>
      <c r="DOY11" s="60"/>
      <c r="DOZ11" s="60"/>
      <c r="DPA11" s="60"/>
      <c r="DPB11" s="60"/>
      <c r="DPC11" s="60"/>
      <c r="DPD11" s="60"/>
      <c r="DPE11" s="60"/>
      <c r="DPF11" s="60"/>
      <c r="DPG11" s="60"/>
      <c r="DPH11" s="60"/>
      <c r="DPI11" s="60"/>
      <c r="DPJ11" s="60"/>
      <c r="DPK11" s="60"/>
      <c r="DPL11" s="60"/>
      <c r="DPM11" s="60"/>
      <c r="DPN11" s="60"/>
      <c r="DPO11" s="60"/>
      <c r="DPP11" s="60"/>
      <c r="DPQ11" s="60"/>
      <c r="DPR11" s="60"/>
      <c r="DPS11" s="60"/>
      <c r="DPT11" s="60"/>
      <c r="DPU11" s="60"/>
      <c r="DPV11" s="60"/>
      <c r="DPW11" s="60"/>
      <c r="DPX11" s="60"/>
      <c r="DPY11" s="60"/>
      <c r="DPZ11" s="60"/>
      <c r="DQA11" s="60"/>
      <c r="DQB11" s="60"/>
      <c r="DQC11" s="60"/>
      <c r="DQD11" s="60"/>
      <c r="DQE11" s="60"/>
      <c r="DQF11" s="60"/>
      <c r="DQG11" s="60"/>
      <c r="DQH11" s="60"/>
      <c r="DQI11" s="60"/>
      <c r="DQJ11" s="60"/>
      <c r="DQK11" s="60"/>
      <c r="DQL11" s="60"/>
      <c r="DQM11" s="60"/>
      <c r="DQN11" s="60"/>
      <c r="DQO11" s="60"/>
      <c r="DQP11" s="60"/>
      <c r="DQQ11" s="60"/>
      <c r="DQR11" s="60"/>
      <c r="DQS11" s="60"/>
      <c r="DQT11" s="60"/>
      <c r="DQU11" s="60"/>
      <c r="DQV11" s="60"/>
      <c r="DQW11" s="60"/>
      <c r="DQX11" s="60"/>
      <c r="DQY11" s="60"/>
      <c r="DQZ11" s="60"/>
      <c r="DRA11" s="60"/>
      <c r="DRB11" s="60"/>
      <c r="DRC11" s="60"/>
      <c r="DRD11" s="60"/>
      <c r="DRE11" s="60"/>
      <c r="DRF11" s="60"/>
      <c r="DRG11" s="60"/>
      <c r="DRH11" s="60"/>
      <c r="DRI11" s="60"/>
      <c r="DRJ11" s="60"/>
      <c r="DRK11" s="60"/>
      <c r="DRL11" s="60"/>
      <c r="DRM11" s="60"/>
      <c r="DRN11" s="60"/>
      <c r="DRO11" s="60"/>
      <c r="DRP11" s="60"/>
      <c r="DRQ11" s="60"/>
      <c r="DRR11" s="60"/>
      <c r="DRS11" s="60"/>
      <c r="DRT11" s="60"/>
      <c r="DRU11" s="60"/>
      <c r="DRV11" s="60"/>
      <c r="DRW11" s="60"/>
      <c r="DRX11" s="60"/>
      <c r="DRY11" s="60"/>
      <c r="DRZ11" s="60"/>
      <c r="DSA11" s="60"/>
      <c r="DSB11" s="60"/>
      <c r="DSC11" s="60"/>
      <c r="DSD11" s="60"/>
      <c r="DSE11" s="60"/>
      <c r="DSF11" s="60"/>
      <c r="DSG11" s="60"/>
      <c r="DSH11" s="60"/>
      <c r="DSI11" s="60"/>
      <c r="DSJ11" s="60"/>
      <c r="DSK11" s="60"/>
      <c r="DSL11" s="60"/>
      <c r="DSM11" s="60"/>
      <c r="DSN11" s="60"/>
      <c r="DSO11" s="60"/>
      <c r="DSP11" s="60"/>
      <c r="DSQ11" s="60"/>
      <c r="DSR11" s="60"/>
      <c r="DSS11" s="60"/>
      <c r="DST11" s="60"/>
      <c r="DSU11" s="60"/>
      <c r="DSV11" s="60"/>
      <c r="DSW11" s="60"/>
      <c r="DSX11" s="60"/>
      <c r="DSY11" s="60"/>
      <c r="DSZ11" s="60"/>
      <c r="DTA11" s="60"/>
      <c r="DTB11" s="60"/>
      <c r="DTC11" s="60"/>
      <c r="DTD11" s="60"/>
      <c r="DTE11" s="60"/>
      <c r="DTF11" s="60"/>
      <c r="DTG11" s="60"/>
      <c r="DTH11" s="60"/>
      <c r="DTI11" s="60"/>
      <c r="DTJ11" s="60"/>
      <c r="DTK11" s="60"/>
      <c r="DTL11" s="60"/>
      <c r="DTM11" s="60"/>
      <c r="DTN11" s="60"/>
      <c r="DTO11" s="60"/>
      <c r="DTP11" s="60"/>
      <c r="DTQ11" s="60"/>
      <c r="DTR11" s="60"/>
      <c r="DTS11" s="60"/>
      <c r="DTT11" s="60"/>
      <c r="DTU11" s="60"/>
      <c r="DTV11" s="60"/>
      <c r="DTW11" s="60"/>
      <c r="DTX11" s="60"/>
      <c r="DTY11" s="60"/>
      <c r="DTZ11" s="60"/>
      <c r="DUA11" s="60"/>
      <c r="DUB11" s="60"/>
      <c r="DUC11" s="60"/>
      <c r="DUD11" s="60"/>
      <c r="DUE11" s="60"/>
      <c r="DUF11" s="60"/>
      <c r="DUG11" s="60"/>
      <c r="DUH11" s="60"/>
      <c r="DUI11" s="60"/>
      <c r="DUJ11" s="60"/>
      <c r="DUK11" s="60"/>
      <c r="DUL11" s="60"/>
      <c r="DUM11" s="60"/>
      <c r="DUN11" s="60"/>
      <c r="DUO11" s="60"/>
      <c r="DUP11" s="60"/>
      <c r="DUQ11" s="60"/>
      <c r="DUR11" s="60"/>
      <c r="DUS11" s="60"/>
      <c r="DUT11" s="60"/>
      <c r="DUU11" s="60"/>
      <c r="DUV11" s="60"/>
      <c r="DUW11" s="60"/>
      <c r="DUX11" s="60"/>
      <c r="DUY11" s="60"/>
      <c r="DUZ11" s="60"/>
      <c r="DVA11" s="60"/>
      <c r="DVB11" s="60"/>
      <c r="DVC11" s="60"/>
      <c r="DVD11" s="60"/>
      <c r="DVE11" s="60"/>
      <c r="DVF11" s="60"/>
      <c r="DVG11" s="60"/>
      <c r="DVH11" s="60"/>
      <c r="DVI11" s="60"/>
      <c r="DVJ11" s="60"/>
      <c r="DVK11" s="60"/>
      <c r="DVL11" s="60"/>
      <c r="DVM11" s="60"/>
      <c r="DVN11" s="60"/>
      <c r="DVO11" s="60"/>
      <c r="DVP11" s="60"/>
      <c r="DVQ11" s="60"/>
      <c r="DVR11" s="60"/>
      <c r="DVS11" s="60"/>
      <c r="DVT11" s="60"/>
      <c r="DVU11" s="60"/>
      <c r="DVV11" s="60"/>
      <c r="DVW11" s="60"/>
      <c r="DVX11" s="60"/>
      <c r="DVY11" s="60"/>
      <c r="DVZ11" s="60"/>
      <c r="DWA11" s="60"/>
      <c r="DWB11" s="60"/>
      <c r="DWC11" s="60"/>
      <c r="DWD11" s="60"/>
      <c r="DWE11" s="60"/>
      <c r="DWF11" s="60"/>
      <c r="DWG11" s="60"/>
      <c r="DWH11" s="60"/>
      <c r="DWI11" s="60"/>
      <c r="DWJ11" s="60"/>
      <c r="DWK11" s="60"/>
      <c r="DWL11" s="60"/>
      <c r="DWM11" s="60"/>
      <c r="DWN11" s="60"/>
      <c r="DWO11" s="60"/>
      <c r="DWP11" s="60"/>
      <c r="DWQ11" s="60"/>
      <c r="DWR11" s="60"/>
      <c r="DWS11" s="60"/>
      <c r="DWT11" s="60"/>
      <c r="DWU11" s="60"/>
      <c r="DWV11" s="60"/>
      <c r="DWW11" s="60"/>
      <c r="DWX11" s="60"/>
      <c r="DWY11" s="60"/>
      <c r="DWZ11" s="60"/>
      <c r="DXA11" s="60"/>
      <c r="DXB11" s="60"/>
      <c r="DXC11" s="60"/>
      <c r="DXD11" s="60"/>
      <c r="DXE11" s="60"/>
      <c r="DXF11" s="60"/>
      <c r="DXG11" s="60"/>
      <c r="DXH11" s="60"/>
      <c r="DXI11" s="60"/>
      <c r="DXJ11" s="60"/>
      <c r="DXK11" s="60"/>
      <c r="DXL11" s="60"/>
      <c r="DXM11" s="60"/>
      <c r="DXN11" s="60"/>
      <c r="DXO11" s="60"/>
      <c r="DXP11" s="60"/>
      <c r="DXQ11" s="60"/>
      <c r="DXR11" s="60"/>
      <c r="DXS11" s="60"/>
      <c r="DXT11" s="60"/>
      <c r="DXU11" s="60"/>
      <c r="DXV11" s="60"/>
      <c r="DXW11" s="60"/>
      <c r="DXX11" s="60"/>
      <c r="DXY11" s="60"/>
      <c r="DXZ11" s="60"/>
      <c r="DYA11" s="60"/>
      <c r="DYB11" s="60"/>
      <c r="DYC11" s="60"/>
      <c r="DYD11" s="60"/>
      <c r="DYE11" s="60"/>
      <c r="DYF11" s="60"/>
      <c r="DYG11" s="60"/>
      <c r="DYH11" s="60"/>
      <c r="DYI11" s="60"/>
      <c r="DYJ11" s="60"/>
      <c r="DYK11" s="60"/>
      <c r="DYL11" s="60"/>
      <c r="DYM11" s="60"/>
      <c r="DYN11" s="60"/>
      <c r="DYO11" s="60"/>
      <c r="DYP11" s="60"/>
      <c r="DYQ11" s="60"/>
      <c r="DYR11" s="60"/>
      <c r="DYS11" s="60"/>
      <c r="DYT11" s="60"/>
      <c r="DYU11" s="60"/>
      <c r="DYV11" s="60"/>
      <c r="DYW11" s="60"/>
      <c r="DYX11" s="60"/>
      <c r="DYY11" s="60"/>
      <c r="DYZ11" s="60"/>
      <c r="DZA11" s="60"/>
      <c r="DZB11" s="60"/>
      <c r="DZC11" s="60"/>
      <c r="DZD11" s="60"/>
      <c r="DZE11" s="60"/>
      <c r="DZF11" s="60"/>
      <c r="DZG11" s="60"/>
      <c r="DZH11" s="60"/>
      <c r="DZI11" s="60"/>
      <c r="DZJ11" s="60"/>
      <c r="DZK11" s="60"/>
      <c r="DZL11" s="60"/>
      <c r="DZM11" s="60"/>
      <c r="DZN11" s="60"/>
      <c r="DZO11" s="60"/>
      <c r="DZP11" s="60"/>
      <c r="DZQ11" s="60"/>
      <c r="DZR11" s="60"/>
      <c r="DZS11" s="60"/>
      <c r="DZT11" s="60"/>
      <c r="DZU11" s="60"/>
      <c r="DZV11" s="60"/>
      <c r="DZW11" s="60"/>
      <c r="DZX11" s="60"/>
      <c r="DZY11" s="60"/>
      <c r="DZZ11" s="60"/>
      <c r="EAA11" s="60"/>
      <c r="EAB11" s="60"/>
      <c r="EAC11" s="60"/>
      <c r="EAD11" s="60"/>
      <c r="EAE11" s="60"/>
      <c r="EAF11" s="60"/>
      <c r="EAG11" s="60"/>
      <c r="EAH11" s="60"/>
      <c r="EAI11" s="60"/>
      <c r="EAJ11" s="60"/>
      <c r="EAK11" s="60"/>
      <c r="EAL11" s="60"/>
      <c r="EAM11" s="60"/>
      <c r="EAN11" s="60"/>
      <c r="EAO11" s="60"/>
      <c r="EAP11" s="60"/>
      <c r="EAQ11" s="60"/>
      <c r="EAR11" s="60"/>
      <c r="EAS11" s="60"/>
      <c r="EAT11" s="60"/>
      <c r="EAU11" s="60"/>
      <c r="EAV11" s="60"/>
      <c r="EAW11" s="60"/>
      <c r="EAX11" s="60"/>
      <c r="EAY11" s="60"/>
      <c r="EAZ11" s="60"/>
      <c r="EBA11" s="60"/>
      <c r="EBB11" s="60"/>
      <c r="EBC11" s="60"/>
      <c r="EBD11" s="60"/>
      <c r="EBE11" s="60"/>
      <c r="EBF11" s="60"/>
      <c r="EBG11" s="60"/>
      <c r="EBH11" s="60"/>
      <c r="EBI11" s="60"/>
      <c r="EBJ11" s="60"/>
      <c r="EBK11" s="60"/>
      <c r="EBL11" s="60"/>
      <c r="EBM11" s="60"/>
      <c r="EBN11" s="60"/>
      <c r="EBO11" s="60"/>
      <c r="EBP11" s="60"/>
      <c r="EBQ11" s="60"/>
      <c r="EBR11" s="60"/>
      <c r="EBS11" s="60"/>
      <c r="EBT11" s="60"/>
      <c r="EBU11" s="60"/>
      <c r="EBV11" s="60"/>
      <c r="EBW11" s="60"/>
      <c r="EBX11" s="60"/>
      <c r="EBY11" s="60"/>
      <c r="EBZ11" s="60"/>
      <c r="ECA11" s="60"/>
      <c r="ECB11" s="60"/>
      <c r="ECC11" s="60"/>
      <c r="ECD11" s="60"/>
      <c r="ECE11" s="60"/>
      <c r="ECF11" s="60"/>
      <c r="ECG11" s="60"/>
      <c r="ECH11" s="60"/>
      <c r="ECI11" s="60"/>
      <c r="ECJ11" s="60"/>
      <c r="ECK11" s="60"/>
      <c r="ECL11" s="60"/>
      <c r="ECM11" s="60"/>
      <c r="ECN11" s="60"/>
      <c r="ECO11" s="60"/>
      <c r="ECP11" s="60"/>
      <c r="ECQ11" s="60"/>
      <c r="ECR11" s="60"/>
      <c r="ECS11" s="60"/>
      <c r="ECT11" s="60"/>
      <c r="ECU11" s="60"/>
      <c r="ECV11" s="60"/>
      <c r="ECW11" s="60"/>
      <c r="ECX11" s="60"/>
      <c r="ECY11" s="60"/>
      <c r="ECZ11" s="60"/>
      <c r="EDA11" s="60"/>
      <c r="EDB11" s="60"/>
      <c r="EDC11" s="60"/>
      <c r="EDD11" s="60"/>
      <c r="EDE11" s="60"/>
      <c r="EDF11" s="60"/>
      <c r="EDG11" s="60"/>
      <c r="EDH11" s="60"/>
      <c r="EDI11" s="60"/>
      <c r="EDJ11" s="60"/>
      <c r="EDK11" s="60"/>
      <c r="EDL11" s="60"/>
      <c r="EDM11" s="60"/>
      <c r="EDN11" s="60"/>
      <c r="EDO11" s="60"/>
      <c r="EDP11" s="60"/>
      <c r="EDQ11" s="60"/>
      <c r="EDR11" s="60"/>
      <c r="EDS11" s="60"/>
      <c r="EDT11" s="60"/>
      <c r="EDU11" s="60"/>
      <c r="EDV11" s="60"/>
      <c r="EDW11" s="60"/>
      <c r="EDX11" s="60"/>
      <c r="EDY11" s="60"/>
      <c r="EDZ11" s="60"/>
      <c r="EEA11" s="60"/>
      <c r="EEB11" s="60"/>
      <c r="EEC11" s="60"/>
      <c r="EED11" s="60"/>
      <c r="EEE11" s="60"/>
      <c r="EEF11" s="60"/>
      <c r="EEG11" s="60"/>
      <c r="EEH11" s="60"/>
      <c r="EEI11" s="60"/>
      <c r="EEJ11" s="60"/>
      <c r="EEK11" s="60"/>
      <c r="EEL11" s="60"/>
      <c r="EEM11" s="60"/>
      <c r="EEN11" s="60"/>
      <c r="EEO11" s="60"/>
      <c r="EEP11" s="60"/>
      <c r="EEQ11" s="60"/>
      <c r="EER11" s="60"/>
      <c r="EES11" s="60"/>
      <c r="EET11" s="60"/>
      <c r="EEU11" s="60"/>
      <c r="EEV11" s="60"/>
      <c r="EEW11" s="60"/>
      <c r="EEX11" s="60"/>
      <c r="EEY11" s="60"/>
      <c r="EEZ11" s="60"/>
      <c r="EFA11" s="60"/>
      <c r="EFB11" s="60"/>
      <c r="EFC11" s="60"/>
      <c r="EFD11" s="60"/>
      <c r="EFE11" s="60"/>
      <c r="EFF11" s="60"/>
      <c r="EFG11" s="60"/>
      <c r="EFH11" s="60"/>
      <c r="EFI11" s="60"/>
      <c r="EFJ11" s="60"/>
      <c r="EFK11" s="60"/>
      <c r="EFL11" s="60"/>
      <c r="EFM11" s="60"/>
      <c r="EFN11" s="60"/>
      <c r="EFO11" s="60"/>
      <c r="EFP11" s="60"/>
      <c r="EFQ11" s="60"/>
      <c r="EFR11" s="60"/>
      <c r="EFS11" s="60"/>
      <c r="EFT11" s="60"/>
      <c r="EFU11" s="60"/>
      <c r="EFV11" s="60"/>
      <c r="EFW11" s="60"/>
      <c r="EFX11" s="60"/>
      <c r="EFY11" s="60"/>
      <c r="EFZ11" s="60"/>
      <c r="EGA11" s="60"/>
      <c r="EGB11" s="60"/>
      <c r="EGC11" s="60"/>
      <c r="EGD11" s="60"/>
      <c r="EGE11" s="60"/>
      <c r="EGF11" s="60"/>
      <c r="EGG11" s="60"/>
      <c r="EGH11" s="60"/>
      <c r="EGI11" s="60"/>
      <c r="EGJ11" s="60"/>
      <c r="EGK11" s="60"/>
      <c r="EGL11" s="60"/>
      <c r="EGM11" s="60"/>
      <c r="EGN11" s="60"/>
      <c r="EGO11" s="60"/>
      <c r="EGP11" s="60"/>
      <c r="EGQ11" s="60"/>
      <c r="EGR11" s="60"/>
      <c r="EGS11" s="60"/>
      <c r="EGT11" s="60"/>
      <c r="EGU11" s="60"/>
      <c r="EGV11" s="60"/>
      <c r="EGW11" s="60"/>
      <c r="EGX11" s="60"/>
      <c r="EGY11" s="60"/>
      <c r="EGZ11" s="60"/>
      <c r="EHA11" s="60"/>
      <c r="EHB11" s="60"/>
      <c r="EHC11" s="60"/>
      <c r="EHD11" s="60"/>
      <c r="EHE11" s="60"/>
      <c r="EHF11" s="60"/>
      <c r="EHG11" s="60"/>
      <c r="EHH11" s="60"/>
      <c r="EHI11" s="60"/>
      <c r="EHJ11" s="60"/>
      <c r="EHK11" s="60"/>
      <c r="EHL11" s="60"/>
      <c r="EHM11" s="60"/>
      <c r="EHN11" s="60"/>
      <c r="EHO11" s="60"/>
      <c r="EHP11" s="60"/>
      <c r="EHQ11" s="60"/>
      <c r="EHR11" s="60"/>
      <c r="EHS11" s="60"/>
      <c r="EHT11" s="60"/>
      <c r="EHU11" s="60"/>
      <c r="EHV11" s="60"/>
      <c r="EHW11" s="60"/>
      <c r="EHX11" s="60"/>
      <c r="EHY11" s="60"/>
      <c r="EHZ11" s="60"/>
      <c r="EIA11" s="60"/>
      <c r="EIB11" s="60"/>
      <c r="EIC11" s="60"/>
      <c r="EID11" s="60"/>
      <c r="EIE11" s="60"/>
      <c r="EIF11" s="60"/>
      <c r="EIG11" s="60"/>
      <c r="EIH11" s="60"/>
      <c r="EII11" s="60"/>
      <c r="EIJ11" s="60"/>
      <c r="EIK11" s="60"/>
      <c r="EIL11" s="60"/>
      <c r="EIM11" s="60"/>
      <c r="EIN11" s="60"/>
      <c r="EIO11" s="60"/>
      <c r="EIP11" s="60"/>
      <c r="EIQ11" s="60"/>
      <c r="EIR11" s="60"/>
      <c r="EIS11" s="60"/>
      <c r="EIT11" s="60"/>
      <c r="EIU11" s="60"/>
      <c r="EIV11" s="60"/>
      <c r="EIW11" s="60"/>
      <c r="EIX11" s="60"/>
      <c r="EIY11" s="60"/>
      <c r="EIZ11" s="60"/>
      <c r="EJA11" s="60"/>
      <c r="EJB11" s="60"/>
      <c r="EJC11" s="60"/>
      <c r="EJD11" s="60"/>
      <c r="EJE11" s="60"/>
      <c r="EJF11" s="60"/>
      <c r="EJG11" s="60"/>
      <c r="EJH11" s="60"/>
      <c r="EJI11" s="60"/>
      <c r="EJJ11" s="60"/>
      <c r="EJK11" s="60"/>
      <c r="EJL11" s="60"/>
      <c r="EJM11" s="60"/>
      <c r="EJN11" s="60"/>
      <c r="EJO11" s="60"/>
      <c r="EJP11" s="60"/>
      <c r="EJQ11" s="60"/>
      <c r="EJR11" s="60"/>
      <c r="EJS11" s="60"/>
      <c r="EJT11" s="60"/>
      <c r="EJU11" s="60"/>
      <c r="EJV11" s="60"/>
      <c r="EJW11" s="60"/>
      <c r="EJX11" s="60"/>
      <c r="EJY11" s="60"/>
      <c r="EJZ11" s="60"/>
      <c r="EKA11" s="60"/>
      <c r="EKB11" s="60"/>
      <c r="EKC11" s="60"/>
      <c r="EKD11" s="60"/>
      <c r="EKE11" s="60"/>
      <c r="EKF11" s="60"/>
      <c r="EKG11" s="60"/>
      <c r="EKH11" s="60"/>
      <c r="EKI11" s="60"/>
      <c r="EKJ11" s="60"/>
      <c r="EKK11" s="60"/>
      <c r="EKL11" s="60"/>
      <c r="EKM11" s="60"/>
      <c r="EKN11" s="60"/>
      <c r="EKO11" s="60"/>
      <c r="EKP11" s="60"/>
      <c r="EKQ11" s="60"/>
      <c r="EKR11" s="60"/>
      <c r="EKS11" s="60"/>
      <c r="EKT11" s="60"/>
      <c r="EKU11" s="60"/>
      <c r="EKV11" s="60"/>
      <c r="EKW11" s="60"/>
      <c r="EKX11" s="60"/>
      <c r="EKY11" s="60"/>
      <c r="EKZ11" s="60"/>
      <c r="ELA11" s="60"/>
      <c r="ELB11" s="60"/>
      <c r="ELC11" s="60"/>
      <c r="ELD11" s="60"/>
      <c r="ELE11" s="60"/>
      <c r="ELF11" s="60"/>
      <c r="ELG11" s="60"/>
      <c r="ELH11" s="60"/>
      <c r="ELI11" s="60"/>
      <c r="ELJ11" s="60"/>
      <c r="ELK11" s="60"/>
      <c r="ELL11" s="60"/>
      <c r="ELM11" s="60"/>
      <c r="ELN11" s="60"/>
      <c r="ELO11" s="60"/>
      <c r="ELP11" s="60"/>
      <c r="ELQ11" s="60"/>
      <c r="ELR11" s="60"/>
      <c r="ELS11" s="60"/>
      <c r="ELT11" s="60"/>
      <c r="ELU11" s="60"/>
      <c r="ELV11" s="60"/>
      <c r="ELW11" s="60"/>
      <c r="ELX11" s="60"/>
      <c r="ELY11" s="60"/>
      <c r="ELZ11" s="60"/>
      <c r="EMA11" s="60"/>
      <c r="EMB11" s="60"/>
      <c r="EMC11" s="60"/>
      <c r="EMD11" s="60"/>
      <c r="EME11" s="60"/>
      <c r="EMF11" s="60"/>
      <c r="EMG11" s="60"/>
      <c r="EMH11" s="60"/>
      <c r="EMI11" s="60"/>
      <c r="EMJ11" s="60"/>
      <c r="EMK11" s="60"/>
      <c r="EML11" s="60"/>
      <c r="EMM11" s="60"/>
      <c r="EMN11" s="60"/>
      <c r="EMO11" s="60"/>
      <c r="EMP11" s="60"/>
      <c r="EMQ11" s="60"/>
      <c r="EMR11" s="60"/>
      <c r="EMS11" s="60"/>
      <c r="EMT11" s="60"/>
      <c r="EMU11" s="60"/>
      <c r="EMV11" s="60"/>
      <c r="EMW11" s="60"/>
      <c r="EMX11" s="60"/>
      <c r="EMY11" s="60"/>
      <c r="EMZ11" s="60"/>
      <c r="ENA11" s="60"/>
      <c r="ENB11" s="60"/>
      <c r="ENC11" s="60"/>
      <c r="END11" s="60"/>
      <c r="ENE11" s="60"/>
      <c r="ENF11" s="60"/>
      <c r="ENG11" s="60"/>
      <c r="ENH11" s="60"/>
      <c r="ENI11" s="60"/>
      <c r="ENJ11" s="60"/>
      <c r="ENK11" s="60"/>
      <c r="ENL11" s="60"/>
      <c r="ENM11" s="60"/>
      <c r="ENN11" s="60"/>
      <c r="ENO11" s="60"/>
      <c r="ENP11" s="60"/>
      <c r="ENQ11" s="60"/>
      <c r="ENR11" s="60"/>
      <c r="ENS11" s="60"/>
      <c r="ENT11" s="60"/>
      <c r="ENU11" s="60"/>
      <c r="ENV11" s="60"/>
      <c r="ENW11" s="60"/>
      <c r="ENX11" s="60"/>
      <c r="ENY11" s="60"/>
      <c r="ENZ11" s="60"/>
      <c r="EOA11" s="60"/>
      <c r="EOB11" s="60"/>
      <c r="EOC11" s="60"/>
      <c r="EOD11" s="60"/>
      <c r="EOE11" s="60"/>
      <c r="EOF11" s="60"/>
      <c r="EOG11" s="60"/>
      <c r="EOH11" s="60"/>
      <c r="EOI11" s="60"/>
      <c r="EOJ11" s="60"/>
      <c r="EOK11" s="60"/>
      <c r="EOL11" s="60"/>
      <c r="EOM11" s="60"/>
      <c r="EON11" s="60"/>
      <c r="EOO11" s="60"/>
      <c r="EOP11" s="60"/>
      <c r="EOQ11" s="60"/>
      <c r="EOR11" s="60"/>
      <c r="EOS11" s="60"/>
      <c r="EOT11" s="60"/>
      <c r="EOU11" s="60"/>
      <c r="EOV11" s="60"/>
      <c r="EOW11" s="60"/>
      <c r="EOX11" s="60"/>
      <c r="EOY11" s="60"/>
      <c r="EOZ11" s="60"/>
      <c r="EPA11" s="60"/>
      <c r="EPB11" s="60"/>
      <c r="EPC11" s="60"/>
      <c r="EPD11" s="60"/>
      <c r="EPE11" s="60"/>
      <c r="EPF11" s="60"/>
      <c r="EPG11" s="60"/>
      <c r="EPH11" s="60"/>
      <c r="EPI11" s="60"/>
      <c r="EPJ11" s="60"/>
      <c r="EPK11" s="60"/>
      <c r="EPL11" s="60"/>
      <c r="EPM11" s="60"/>
      <c r="EPN11" s="60"/>
      <c r="EPO11" s="60"/>
      <c r="EPP11" s="60"/>
      <c r="EPQ11" s="60"/>
      <c r="EPR11" s="60"/>
      <c r="EPS11" s="60"/>
      <c r="EPT11" s="60"/>
      <c r="EPU11" s="60"/>
      <c r="EPV11" s="60"/>
      <c r="EPW11" s="60"/>
      <c r="EPX11" s="60"/>
      <c r="EPY11" s="60"/>
      <c r="EPZ11" s="60"/>
      <c r="EQA11" s="60"/>
      <c r="EQB11" s="60"/>
      <c r="EQC11" s="60"/>
      <c r="EQD11" s="60"/>
      <c r="EQE11" s="60"/>
      <c r="EQF11" s="60"/>
      <c r="EQG11" s="60"/>
      <c r="EQH11" s="60"/>
      <c r="EQI11" s="60"/>
      <c r="EQJ11" s="60"/>
      <c r="EQK11" s="60"/>
      <c r="EQL11" s="60"/>
      <c r="EQM11" s="60"/>
      <c r="EQN11" s="60"/>
      <c r="EQO11" s="60"/>
      <c r="EQP11" s="60"/>
      <c r="EQQ11" s="60"/>
      <c r="EQR11" s="60"/>
      <c r="EQS11" s="60"/>
      <c r="EQT11" s="60"/>
      <c r="EQU11" s="60"/>
      <c r="EQV11" s="60"/>
      <c r="EQW11" s="60"/>
      <c r="EQX11" s="60"/>
      <c r="EQY11" s="60"/>
      <c r="EQZ11" s="60"/>
      <c r="ERA11" s="60"/>
      <c r="ERB11" s="60"/>
      <c r="ERC11" s="60"/>
      <c r="ERD11" s="60"/>
      <c r="ERE11" s="60"/>
      <c r="ERF11" s="60"/>
      <c r="ERG11" s="60"/>
      <c r="ERH11" s="60"/>
      <c r="ERI11" s="60"/>
      <c r="ERJ11" s="60"/>
      <c r="ERK11" s="60"/>
      <c r="ERL11" s="60"/>
      <c r="ERM11" s="60"/>
      <c r="ERN11" s="60"/>
      <c r="ERO11" s="60"/>
      <c r="ERP11" s="60"/>
      <c r="ERQ11" s="60"/>
      <c r="ERR11" s="60"/>
      <c r="ERS11" s="60"/>
      <c r="ERT11" s="60"/>
      <c r="ERU11" s="60"/>
      <c r="ERV11" s="60"/>
      <c r="ERW11" s="60"/>
      <c r="ERX11" s="60"/>
      <c r="ERY11" s="60"/>
      <c r="ERZ11" s="60"/>
      <c r="ESA11" s="60"/>
      <c r="ESB11" s="60"/>
      <c r="ESC11" s="60"/>
      <c r="ESD11" s="60"/>
      <c r="ESE11" s="60"/>
      <c r="ESF11" s="60"/>
      <c r="ESG11" s="60"/>
      <c r="ESH11" s="60"/>
      <c r="ESI11" s="60"/>
      <c r="ESJ11" s="60"/>
      <c r="ESK11" s="60"/>
      <c r="ESL11" s="60"/>
      <c r="ESM11" s="60"/>
      <c r="ESN11" s="60"/>
      <c r="ESO11" s="60"/>
      <c r="ESP11" s="60"/>
      <c r="ESQ11" s="60"/>
      <c r="ESR11" s="60"/>
      <c r="ESS11" s="60"/>
      <c r="EST11" s="60"/>
      <c r="ESU11" s="60"/>
      <c r="ESV11" s="60"/>
      <c r="ESW11" s="60"/>
      <c r="ESX11" s="60"/>
      <c r="ESY11" s="60"/>
      <c r="ESZ11" s="60"/>
      <c r="ETA11" s="60"/>
      <c r="ETB11" s="60"/>
      <c r="ETC11" s="60"/>
      <c r="ETD11" s="60"/>
      <c r="ETE11" s="60"/>
      <c r="ETF11" s="60"/>
      <c r="ETG11" s="60"/>
      <c r="ETH11" s="60"/>
      <c r="ETI11" s="60"/>
      <c r="ETJ11" s="60"/>
      <c r="ETK11" s="60"/>
      <c r="ETL11" s="60"/>
      <c r="ETM11" s="60"/>
      <c r="ETN11" s="60"/>
      <c r="ETO11" s="60"/>
      <c r="ETP11" s="60"/>
      <c r="ETQ11" s="60"/>
      <c r="ETR11" s="60"/>
      <c r="ETS11" s="60"/>
      <c r="ETT11" s="60"/>
      <c r="ETU11" s="60"/>
      <c r="ETV11" s="60"/>
      <c r="ETW11" s="60"/>
      <c r="ETX11" s="60"/>
      <c r="ETY11" s="60"/>
      <c r="ETZ11" s="60"/>
      <c r="EUA11" s="60"/>
      <c r="EUB11" s="60"/>
      <c r="EUC11" s="60"/>
      <c r="EUD11" s="60"/>
      <c r="EUE11" s="60"/>
      <c r="EUF11" s="60"/>
      <c r="EUG11" s="60"/>
      <c r="EUH11" s="60"/>
      <c r="EUI11" s="60"/>
      <c r="EUJ11" s="60"/>
      <c r="EUK11" s="60"/>
      <c r="EUL11" s="60"/>
      <c r="EUM11" s="60"/>
      <c r="EUN11" s="60"/>
      <c r="EUO11" s="60"/>
      <c r="EUP11" s="60"/>
      <c r="EUQ11" s="60"/>
      <c r="EUR11" s="60"/>
      <c r="EUS11" s="60"/>
      <c r="EUT11" s="60"/>
      <c r="EUU11" s="60"/>
      <c r="EUV11" s="60"/>
      <c r="EUW11" s="60"/>
      <c r="EUX11" s="60"/>
      <c r="EUY11" s="60"/>
      <c r="EUZ11" s="60"/>
      <c r="EVA11" s="60"/>
      <c r="EVB11" s="60"/>
      <c r="EVC11" s="60"/>
      <c r="EVD11" s="60"/>
      <c r="EVE11" s="60"/>
      <c r="EVF11" s="60"/>
      <c r="EVG11" s="60"/>
      <c r="EVH11" s="60"/>
      <c r="EVI11" s="60"/>
      <c r="EVJ11" s="60"/>
      <c r="EVK11" s="60"/>
      <c r="EVL11" s="60"/>
      <c r="EVM11" s="60"/>
      <c r="EVN11" s="60"/>
      <c r="EVO11" s="60"/>
      <c r="EVP11" s="60"/>
      <c r="EVQ11" s="60"/>
      <c r="EVR11" s="60"/>
      <c r="EVS11" s="60"/>
      <c r="EVT11" s="60"/>
      <c r="EVU11" s="60"/>
      <c r="EVV11" s="60"/>
      <c r="EVW11" s="60"/>
      <c r="EVX11" s="60"/>
      <c r="EVY11" s="60"/>
      <c r="EVZ11" s="60"/>
      <c r="EWA11" s="60"/>
      <c r="EWB11" s="60"/>
      <c r="EWC11" s="60"/>
      <c r="EWD11" s="60"/>
      <c r="EWE11" s="60"/>
      <c r="EWF11" s="60"/>
      <c r="EWG11" s="60"/>
      <c r="EWH11" s="60"/>
      <c r="EWI11" s="60"/>
      <c r="EWJ11" s="60"/>
      <c r="EWK11" s="60"/>
      <c r="EWL11" s="60"/>
      <c r="EWM11" s="60"/>
      <c r="EWN11" s="60"/>
      <c r="EWO11" s="60"/>
      <c r="EWP11" s="60"/>
      <c r="EWQ11" s="60"/>
      <c r="EWR11" s="60"/>
      <c r="EWS11" s="60"/>
      <c r="EWT11" s="60"/>
      <c r="EWU11" s="60"/>
      <c r="EWV11" s="60"/>
      <c r="EWW11" s="60"/>
      <c r="EWX11" s="60"/>
      <c r="EWY11" s="60"/>
      <c r="EWZ11" s="60"/>
      <c r="EXA11" s="60"/>
      <c r="EXB11" s="60"/>
      <c r="EXC11" s="60"/>
      <c r="EXD11" s="60"/>
      <c r="EXE11" s="60"/>
      <c r="EXF11" s="60"/>
      <c r="EXG11" s="60"/>
      <c r="EXH11" s="60"/>
      <c r="EXI11" s="60"/>
      <c r="EXJ11" s="60"/>
      <c r="EXK11" s="60"/>
      <c r="EXL11" s="60"/>
      <c r="EXM11" s="60"/>
      <c r="EXN11" s="60"/>
      <c r="EXO11" s="60"/>
      <c r="EXP11" s="60"/>
      <c r="EXQ11" s="60"/>
      <c r="EXR11" s="60"/>
      <c r="EXS11" s="60"/>
      <c r="EXT11" s="60"/>
      <c r="EXU11" s="60"/>
      <c r="EXV11" s="60"/>
      <c r="EXW11" s="60"/>
      <c r="EXX11" s="60"/>
      <c r="EXY11" s="60"/>
      <c r="EXZ11" s="60"/>
      <c r="EYA11" s="60"/>
      <c r="EYB11" s="60"/>
      <c r="EYC11" s="60"/>
      <c r="EYD11" s="60"/>
      <c r="EYE11" s="60"/>
      <c r="EYF11" s="60"/>
      <c r="EYG11" s="60"/>
      <c r="EYH11" s="60"/>
      <c r="EYI11" s="60"/>
      <c r="EYJ11" s="60"/>
      <c r="EYK11" s="60"/>
      <c r="EYL11" s="60"/>
      <c r="EYM11" s="60"/>
      <c r="EYN11" s="60"/>
      <c r="EYO11" s="60"/>
      <c r="EYP11" s="60"/>
      <c r="EYQ11" s="60"/>
      <c r="EYR11" s="60"/>
      <c r="EYS11" s="60"/>
      <c r="EYT11" s="60"/>
      <c r="EYU11" s="60"/>
      <c r="EYV11" s="60"/>
      <c r="EYW11" s="60"/>
      <c r="EYX11" s="60"/>
      <c r="EYY11" s="60"/>
      <c r="EYZ11" s="60"/>
      <c r="EZA11" s="60"/>
      <c r="EZB11" s="60"/>
      <c r="EZC11" s="60"/>
      <c r="EZD11" s="60"/>
      <c r="EZE11" s="60"/>
      <c r="EZF11" s="60"/>
      <c r="EZG11" s="60"/>
      <c r="EZH11" s="60"/>
      <c r="EZI11" s="60"/>
      <c r="EZJ11" s="60"/>
      <c r="EZK11" s="60"/>
      <c r="EZL11" s="60"/>
      <c r="EZM11" s="60"/>
      <c r="EZN11" s="60"/>
      <c r="EZO11" s="60"/>
      <c r="EZP11" s="60"/>
      <c r="EZQ11" s="60"/>
      <c r="EZR11" s="60"/>
      <c r="EZS11" s="60"/>
      <c r="EZT11" s="60"/>
      <c r="EZU11" s="60"/>
      <c r="EZV11" s="60"/>
      <c r="EZW11" s="60"/>
      <c r="EZX11" s="60"/>
      <c r="EZY11" s="60"/>
      <c r="EZZ11" s="60"/>
      <c r="FAA11" s="60"/>
      <c r="FAB11" s="60"/>
      <c r="FAC11" s="60"/>
      <c r="FAD11" s="60"/>
      <c r="FAE11" s="60"/>
      <c r="FAF11" s="60"/>
      <c r="FAG11" s="60"/>
      <c r="FAH11" s="60"/>
      <c r="FAI11" s="60"/>
      <c r="FAJ11" s="60"/>
      <c r="FAK11" s="60"/>
      <c r="FAL11" s="60"/>
      <c r="FAM11" s="60"/>
      <c r="FAN11" s="60"/>
      <c r="FAO11" s="60"/>
      <c r="FAP11" s="60"/>
      <c r="FAQ11" s="60"/>
      <c r="FAR11" s="60"/>
      <c r="FAS11" s="60"/>
      <c r="FAT11" s="60"/>
      <c r="FAU11" s="60"/>
      <c r="FAV11" s="60"/>
      <c r="FAW11" s="60"/>
      <c r="FAX11" s="60"/>
      <c r="FAY11" s="60"/>
      <c r="FAZ11" s="60"/>
      <c r="FBA11" s="60"/>
      <c r="FBB11" s="60"/>
      <c r="FBC11" s="60"/>
      <c r="FBD11" s="60"/>
      <c r="FBE11" s="60"/>
      <c r="FBF11" s="60"/>
      <c r="FBG11" s="60"/>
      <c r="FBH11" s="60"/>
      <c r="FBI11" s="60"/>
      <c r="FBJ11" s="60"/>
      <c r="FBK11" s="60"/>
      <c r="FBL11" s="60"/>
      <c r="FBM11" s="60"/>
      <c r="FBN11" s="60"/>
      <c r="FBO11" s="60"/>
      <c r="FBP11" s="60"/>
      <c r="FBQ11" s="60"/>
      <c r="FBR11" s="60"/>
      <c r="FBS11" s="60"/>
      <c r="FBT11" s="60"/>
      <c r="FBU11" s="60"/>
      <c r="FBV11" s="60"/>
      <c r="FBW11" s="60"/>
      <c r="FBX11" s="60"/>
      <c r="FBY11" s="60"/>
      <c r="FBZ11" s="60"/>
      <c r="FCA11" s="60"/>
      <c r="FCB11" s="60"/>
      <c r="FCC11" s="60"/>
      <c r="FCD11" s="60"/>
      <c r="FCE11" s="60"/>
      <c r="FCF11" s="60"/>
      <c r="FCG11" s="60"/>
      <c r="FCH11" s="60"/>
      <c r="FCI11" s="60"/>
      <c r="FCJ11" s="60"/>
      <c r="FCK11" s="60"/>
      <c r="FCL11" s="60"/>
      <c r="FCM11" s="60"/>
      <c r="FCN11" s="60"/>
      <c r="FCO11" s="60"/>
      <c r="FCP11" s="60"/>
      <c r="FCQ11" s="60"/>
      <c r="FCR11" s="60"/>
      <c r="FCS11" s="60"/>
      <c r="FCT11" s="60"/>
      <c r="FCU11" s="60"/>
      <c r="FCV11" s="60"/>
      <c r="FCW11" s="60"/>
      <c r="FCX11" s="60"/>
      <c r="FCY11" s="60"/>
      <c r="FCZ11" s="60"/>
      <c r="FDA11" s="60"/>
      <c r="FDB11" s="60"/>
      <c r="FDC11" s="60"/>
      <c r="FDD11" s="60"/>
      <c r="FDE11" s="60"/>
      <c r="FDF11" s="60"/>
      <c r="FDG11" s="60"/>
      <c r="FDH11" s="60"/>
      <c r="FDI11" s="60"/>
      <c r="FDJ11" s="60"/>
      <c r="FDK11" s="60"/>
      <c r="FDL11" s="60"/>
      <c r="FDM11" s="60"/>
      <c r="FDN11" s="60"/>
      <c r="FDO11" s="60"/>
      <c r="FDP11" s="60"/>
      <c r="FDQ11" s="60"/>
      <c r="FDR11" s="60"/>
      <c r="FDS11" s="60"/>
      <c r="FDT11" s="60"/>
      <c r="FDU11" s="60"/>
      <c r="FDV11" s="60"/>
      <c r="FDW11" s="60"/>
      <c r="FDX11" s="60"/>
      <c r="FDY11" s="60"/>
      <c r="FDZ11" s="60"/>
      <c r="FEA11" s="60"/>
      <c r="FEB11" s="60"/>
      <c r="FEC11" s="60"/>
      <c r="FED11" s="60"/>
      <c r="FEE11" s="60"/>
      <c r="FEF11" s="60"/>
      <c r="FEG11" s="60"/>
      <c r="FEH11" s="60"/>
      <c r="FEI11" s="60"/>
      <c r="FEJ11" s="60"/>
      <c r="FEK11" s="60"/>
      <c r="FEL11" s="60"/>
      <c r="FEM11" s="60"/>
      <c r="FEN11" s="60"/>
      <c r="FEO11" s="60"/>
      <c r="FEP11" s="60"/>
      <c r="FEQ11" s="60"/>
      <c r="FER11" s="60"/>
      <c r="FES11" s="60"/>
      <c r="FET11" s="60"/>
      <c r="FEU11" s="60"/>
      <c r="FEV11" s="60"/>
      <c r="FEW11" s="60"/>
      <c r="FEX11" s="60"/>
      <c r="FEY11" s="60"/>
      <c r="FEZ11" s="60"/>
      <c r="FFA11" s="60"/>
      <c r="FFB11" s="60"/>
      <c r="FFC11" s="60"/>
      <c r="FFD11" s="60"/>
      <c r="FFE11" s="60"/>
      <c r="FFF11" s="60"/>
      <c r="FFG11" s="60"/>
      <c r="FFH11" s="60"/>
      <c r="FFI11" s="60"/>
      <c r="FFJ11" s="60"/>
      <c r="FFK11" s="60"/>
      <c r="FFL11" s="60"/>
      <c r="FFM11" s="60"/>
      <c r="FFN11" s="60"/>
      <c r="FFO11" s="60"/>
      <c r="FFP11" s="60"/>
      <c r="FFQ11" s="60"/>
      <c r="FFR11" s="60"/>
      <c r="FFS11" s="60"/>
      <c r="FFT11" s="60"/>
      <c r="FFU11" s="60"/>
      <c r="FFV11" s="60"/>
      <c r="FFW11" s="60"/>
      <c r="FFX11" s="60"/>
      <c r="FFY11" s="60"/>
      <c r="FFZ11" s="60"/>
      <c r="FGA11" s="60"/>
      <c r="FGB11" s="60"/>
      <c r="FGC11" s="60"/>
      <c r="FGD11" s="60"/>
      <c r="FGE11" s="60"/>
      <c r="FGF11" s="60"/>
      <c r="FGG11" s="60"/>
      <c r="FGH11" s="60"/>
      <c r="FGI11" s="60"/>
      <c r="FGJ11" s="60"/>
      <c r="FGK11" s="60"/>
      <c r="FGL11" s="60"/>
      <c r="FGM11" s="60"/>
      <c r="FGN11" s="60"/>
      <c r="FGO11" s="60"/>
      <c r="FGP11" s="60"/>
      <c r="FGQ11" s="60"/>
      <c r="FGR11" s="60"/>
      <c r="FGS11" s="60"/>
      <c r="FGT11" s="60"/>
      <c r="FGU11" s="60"/>
      <c r="FGV11" s="60"/>
      <c r="FGW11" s="60"/>
      <c r="FGX11" s="60"/>
      <c r="FGY11" s="60"/>
      <c r="FGZ11" s="60"/>
      <c r="FHA11" s="60"/>
      <c r="FHB11" s="60"/>
      <c r="FHC11" s="60"/>
      <c r="FHD11" s="60"/>
      <c r="FHE11" s="60"/>
      <c r="FHF11" s="60"/>
      <c r="FHG11" s="60"/>
      <c r="FHH11" s="60"/>
      <c r="FHI11" s="60"/>
      <c r="FHJ11" s="60"/>
      <c r="FHK11" s="60"/>
      <c r="FHL11" s="60"/>
      <c r="FHM11" s="60"/>
      <c r="FHN11" s="60"/>
      <c r="FHO11" s="60"/>
      <c r="FHP11" s="60"/>
      <c r="FHQ11" s="60"/>
      <c r="FHR11" s="60"/>
      <c r="FHS11" s="60"/>
      <c r="FHT11" s="60"/>
      <c r="FHU11" s="60"/>
      <c r="FHV11" s="60"/>
      <c r="FHW11" s="60"/>
      <c r="FHX11" s="60"/>
      <c r="FHY11" s="60"/>
      <c r="FHZ11" s="60"/>
      <c r="FIA11" s="60"/>
      <c r="FIB11" s="60"/>
      <c r="FIC11" s="60"/>
      <c r="FID11" s="60"/>
      <c r="FIE11" s="60"/>
      <c r="FIF11" s="60"/>
      <c r="FIG11" s="60"/>
      <c r="FIH11" s="60"/>
      <c r="FII11" s="60"/>
      <c r="FIJ11" s="60"/>
      <c r="FIK11" s="60"/>
      <c r="FIL11" s="60"/>
      <c r="FIM11" s="60"/>
      <c r="FIN11" s="60"/>
      <c r="FIO11" s="60"/>
      <c r="FIP11" s="60"/>
      <c r="FIQ11" s="60"/>
      <c r="FIR11" s="60"/>
      <c r="FIS11" s="60"/>
      <c r="FIT11" s="60"/>
      <c r="FIU11" s="60"/>
      <c r="FIV11" s="60"/>
      <c r="FIW11" s="60"/>
      <c r="FIX11" s="60"/>
      <c r="FIY11" s="60"/>
      <c r="FIZ11" s="60"/>
      <c r="FJA11" s="60"/>
      <c r="FJB11" s="60"/>
      <c r="FJC11" s="60"/>
      <c r="FJD11" s="60"/>
      <c r="FJE11" s="60"/>
      <c r="FJF11" s="60"/>
      <c r="FJG11" s="60"/>
      <c r="FJH11" s="60"/>
      <c r="FJI11" s="60"/>
      <c r="FJJ11" s="60"/>
      <c r="FJK11" s="60"/>
      <c r="FJL11" s="60"/>
      <c r="FJM11" s="60"/>
      <c r="FJN11" s="60"/>
      <c r="FJO11" s="60"/>
      <c r="FJP11" s="60"/>
      <c r="FJQ11" s="60"/>
      <c r="FJR11" s="60"/>
      <c r="FJS11" s="60"/>
      <c r="FJT11" s="60"/>
      <c r="FJU11" s="60"/>
      <c r="FJV11" s="60"/>
      <c r="FJW11" s="60"/>
      <c r="FJX11" s="60"/>
      <c r="FJY11" s="60"/>
      <c r="FJZ11" s="60"/>
      <c r="FKA11" s="60"/>
      <c r="FKB11" s="60"/>
      <c r="FKC11" s="60"/>
      <c r="FKD11" s="60"/>
      <c r="FKE11" s="60"/>
      <c r="FKF11" s="60"/>
      <c r="FKG11" s="60"/>
      <c r="FKH11" s="60"/>
      <c r="FKI11" s="60"/>
      <c r="FKJ11" s="60"/>
      <c r="FKK11" s="60"/>
      <c r="FKL11" s="60"/>
      <c r="FKM11" s="60"/>
      <c r="FKN11" s="60"/>
      <c r="FKO11" s="60"/>
      <c r="FKP11" s="60"/>
      <c r="FKQ11" s="60"/>
      <c r="FKR11" s="60"/>
      <c r="FKS11" s="60"/>
      <c r="FKT11" s="60"/>
      <c r="FKU11" s="60"/>
      <c r="FKV11" s="60"/>
      <c r="FKW11" s="60"/>
      <c r="FKX11" s="60"/>
      <c r="FKY11" s="60"/>
      <c r="FKZ11" s="60"/>
      <c r="FLA11" s="60"/>
      <c r="FLB11" s="60"/>
      <c r="FLC11" s="60"/>
      <c r="FLD11" s="60"/>
      <c r="FLE11" s="60"/>
      <c r="FLF11" s="60"/>
      <c r="FLG11" s="60"/>
      <c r="FLH11" s="60"/>
      <c r="FLI11" s="60"/>
      <c r="FLJ11" s="60"/>
      <c r="FLK11" s="60"/>
      <c r="FLL11" s="60"/>
      <c r="FLM11" s="60"/>
      <c r="FLN11" s="60"/>
      <c r="FLO11" s="60"/>
      <c r="FLP11" s="60"/>
      <c r="FLQ11" s="60"/>
      <c r="FLR11" s="60"/>
      <c r="FLS11" s="60"/>
      <c r="FLT11" s="60"/>
      <c r="FLU11" s="60"/>
      <c r="FLV11" s="60"/>
      <c r="FLW11" s="60"/>
      <c r="FLX11" s="60"/>
      <c r="FLY11" s="60"/>
      <c r="FLZ11" s="60"/>
      <c r="FMA11" s="60"/>
      <c r="FMB11" s="60"/>
      <c r="FMC11" s="60"/>
      <c r="FMD11" s="60"/>
      <c r="FME11" s="60"/>
      <c r="FMF11" s="60"/>
      <c r="FMG11" s="60"/>
      <c r="FMH11" s="60"/>
      <c r="FMI11" s="60"/>
      <c r="FMJ11" s="60"/>
      <c r="FMK11" s="60"/>
      <c r="FML11" s="60"/>
      <c r="FMM11" s="60"/>
      <c r="FMN11" s="60"/>
      <c r="FMO11" s="60"/>
      <c r="FMP11" s="60"/>
      <c r="FMQ11" s="60"/>
      <c r="FMR11" s="60"/>
      <c r="FMS11" s="60"/>
      <c r="FMT11" s="60"/>
      <c r="FMU11" s="60"/>
      <c r="FMV11" s="60"/>
      <c r="FMW11" s="60"/>
      <c r="FMX11" s="60"/>
      <c r="FMY11" s="60"/>
      <c r="FMZ11" s="60"/>
      <c r="FNA11" s="60"/>
      <c r="FNB11" s="60"/>
      <c r="FNC11" s="60"/>
      <c r="FND11" s="60"/>
      <c r="FNE11" s="60"/>
      <c r="FNF11" s="60"/>
      <c r="FNG11" s="60"/>
      <c r="FNH11" s="60"/>
      <c r="FNI11" s="60"/>
      <c r="FNJ11" s="60"/>
      <c r="FNK11" s="60"/>
      <c r="FNL11" s="60"/>
      <c r="FNM11" s="60"/>
      <c r="FNN11" s="60"/>
      <c r="FNO11" s="60"/>
      <c r="FNP11" s="60"/>
      <c r="FNQ11" s="60"/>
      <c r="FNR11" s="60"/>
      <c r="FNS11" s="60"/>
      <c r="FNT11" s="60"/>
      <c r="FNU11" s="60"/>
      <c r="FNV11" s="60"/>
      <c r="FNW11" s="60"/>
      <c r="FNX11" s="60"/>
      <c r="FNY11" s="60"/>
      <c r="FNZ11" s="60"/>
      <c r="FOA11" s="60"/>
      <c r="FOB11" s="60"/>
      <c r="FOC11" s="60"/>
      <c r="FOD11" s="60"/>
      <c r="FOE11" s="60"/>
      <c r="FOF11" s="60"/>
      <c r="FOG11" s="60"/>
      <c r="FOH11" s="60"/>
      <c r="FOI11" s="60"/>
      <c r="FOJ11" s="60"/>
      <c r="FOK11" s="60"/>
      <c r="FOL11" s="60"/>
      <c r="FOM11" s="60"/>
      <c r="FON11" s="60"/>
      <c r="FOO11" s="60"/>
      <c r="FOP11" s="60"/>
      <c r="FOQ11" s="60"/>
      <c r="FOR11" s="60"/>
      <c r="FOS11" s="60"/>
      <c r="FOT11" s="60"/>
      <c r="FOU11" s="60"/>
      <c r="FOV11" s="60"/>
      <c r="FOW11" s="60"/>
      <c r="FOX11" s="60"/>
      <c r="FOY11" s="60"/>
      <c r="FOZ11" s="60"/>
      <c r="FPA11" s="60"/>
      <c r="FPB11" s="60"/>
      <c r="FPC11" s="60"/>
      <c r="FPD11" s="60"/>
      <c r="FPE11" s="60"/>
      <c r="FPF11" s="60"/>
      <c r="FPG11" s="60"/>
      <c r="FPH11" s="60"/>
      <c r="FPI11" s="60"/>
      <c r="FPJ11" s="60"/>
      <c r="FPK11" s="60"/>
      <c r="FPL11" s="60"/>
      <c r="FPM11" s="60"/>
      <c r="FPN11" s="60"/>
      <c r="FPO11" s="60"/>
      <c r="FPP11" s="60"/>
      <c r="FPQ11" s="60"/>
      <c r="FPR11" s="60"/>
      <c r="FPS11" s="60"/>
      <c r="FPT11" s="60"/>
      <c r="FPU11" s="60"/>
      <c r="FPV11" s="60"/>
      <c r="FPW11" s="60"/>
      <c r="FPX11" s="60"/>
      <c r="FPY11" s="60"/>
      <c r="FPZ11" s="60"/>
      <c r="FQA11" s="60"/>
      <c r="FQB11" s="60"/>
      <c r="FQC11" s="60"/>
      <c r="FQD11" s="60"/>
      <c r="FQE11" s="60"/>
      <c r="FQF11" s="60"/>
      <c r="FQG11" s="60"/>
      <c r="FQH11" s="60"/>
      <c r="FQI11" s="60"/>
      <c r="FQJ11" s="60"/>
      <c r="FQK11" s="60"/>
      <c r="FQL11" s="60"/>
      <c r="FQM11" s="60"/>
      <c r="FQN11" s="60"/>
      <c r="FQO11" s="60"/>
      <c r="FQP11" s="60"/>
      <c r="FQQ11" s="60"/>
      <c r="FQR11" s="60"/>
      <c r="FQS11" s="60"/>
      <c r="FQT11" s="60"/>
      <c r="FQU11" s="60"/>
      <c r="FQV11" s="60"/>
      <c r="FQW11" s="60"/>
      <c r="FQX11" s="60"/>
      <c r="FQY11" s="60"/>
      <c r="FQZ11" s="60"/>
      <c r="FRA11" s="60"/>
      <c r="FRB11" s="60"/>
      <c r="FRC11" s="60"/>
      <c r="FRD11" s="60"/>
      <c r="FRE11" s="60"/>
      <c r="FRF11" s="60"/>
      <c r="FRG11" s="60"/>
      <c r="FRH11" s="60"/>
      <c r="FRI11" s="60"/>
      <c r="FRJ11" s="60"/>
      <c r="FRK11" s="60"/>
      <c r="FRL11" s="60"/>
      <c r="FRM11" s="60"/>
      <c r="FRN11" s="60"/>
      <c r="FRO11" s="60"/>
      <c r="FRP11" s="60"/>
      <c r="FRQ11" s="60"/>
      <c r="FRR11" s="60"/>
      <c r="FRS11" s="60"/>
      <c r="FRT11" s="60"/>
      <c r="FRU11" s="60"/>
      <c r="FRV11" s="60"/>
      <c r="FRW11" s="60"/>
      <c r="FRX11" s="60"/>
      <c r="FRY11" s="60"/>
      <c r="FRZ11" s="60"/>
      <c r="FSA11" s="60"/>
      <c r="FSB11" s="60"/>
      <c r="FSC11" s="60"/>
      <c r="FSD11" s="60"/>
      <c r="FSE11" s="60"/>
      <c r="FSF11" s="60"/>
      <c r="FSG11" s="60"/>
      <c r="FSH11" s="60"/>
      <c r="FSI11" s="60"/>
      <c r="FSJ11" s="60"/>
      <c r="FSK11" s="60"/>
      <c r="FSL11" s="60"/>
      <c r="FSM11" s="60"/>
      <c r="FSN11" s="60"/>
      <c r="FSO11" s="60"/>
      <c r="FSP11" s="60"/>
      <c r="FSQ11" s="60"/>
      <c r="FSR11" s="60"/>
      <c r="FSS11" s="60"/>
      <c r="FST11" s="60"/>
      <c r="FSU11" s="60"/>
      <c r="FSV11" s="60"/>
      <c r="FSW11" s="60"/>
      <c r="FSX11" s="60"/>
      <c r="FSY11" s="60"/>
      <c r="FSZ11" s="60"/>
      <c r="FTA11" s="60"/>
      <c r="FTB11" s="60"/>
      <c r="FTC11" s="60"/>
      <c r="FTD11" s="60"/>
      <c r="FTE11" s="60"/>
      <c r="FTF11" s="60"/>
      <c r="FTG11" s="60"/>
      <c r="FTH11" s="60"/>
      <c r="FTI11" s="60"/>
      <c r="FTJ11" s="60"/>
      <c r="FTK11" s="60"/>
      <c r="FTL11" s="60"/>
      <c r="FTM11" s="60"/>
      <c r="FTN11" s="60"/>
      <c r="FTO11" s="60"/>
      <c r="FTP11" s="60"/>
      <c r="FTQ11" s="60"/>
      <c r="FTR11" s="60"/>
      <c r="FTS11" s="60"/>
      <c r="FTT11" s="60"/>
      <c r="FTU11" s="60"/>
      <c r="FTV11" s="60"/>
      <c r="FTW11" s="60"/>
      <c r="FTX11" s="60"/>
      <c r="FTY11" s="60"/>
      <c r="FTZ11" s="60"/>
      <c r="FUA11" s="60"/>
      <c r="FUB11" s="60"/>
      <c r="FUC11" s="60"/>
      <c r="FUD11" s="60"/>
      <c r="FUE11" s="60"/>
      <c r="FUF11" s="60"/>
      <c r="FUG11" s="60"/>
      <c r="FUH11" s="60"/>
      <c r="FUI11" s="60"/>
      <c r="FUJ11" s="60"/>
      <c r="FUK11" s="60"/>
      <c r="FUL11" s="60"/>
      <c r="FUM11" s="60"/>
      <c r="FUN11" s="60"/>
      <c r="FUO11" s="60"/>
      <c r="FUP11" s="60"/>
      <c r="FUQ11" s="60"/>
      <c r="FUR11" s="60"/>
      <c r="FUS11" s="60"/>
      <c r="FUT11" s="60"/>
      <c r="FUU11" s="60"/>
      <c r="FUV11" s="60"/>
      <c r="FUW11" s="60"/>
      <c r="FUX11" s="60"/>
      <c r="FUY11" s="60"/>
      <c r="FUZ11" s="60"/>
      <c r="FVA11" s="60"/>
      <c r="FVB11" s="60"/>
      <c r="FVC11" s="60"/>
      <c r="FVD11" s="60"/>
      <c r="FVE11" s="60"/>
      <c r="FVF11" s="60"/>
      <c r="FVG11" s="60"/>
      <c r="FVH11" s="60"/>
      <c r="FVI11" s="60"/>
      <c r="FVJ11" s="60"/>
      <c r="FVK11" s="60"/>
      <c r="FVL11" s="60"/>
      <c r="FVM11" s="60"/>
      <c r="FVN11" s="60"/>
      <c r="FVO11" s="60"/>
      <c r="FVP11" s="60"/>
      <c r="FVQ11" s="60"/>
      <c r="FVR11" s="60"/>
      <c r="FVS11" s="60"/>
      <c r="FVT11" s="60"/>
      <c r="FVU11" s="60"/>
      <c r="FVV11" s="60"/>
      <c r="FVW11" s="60"/>
      <c r="FVX11" s="60"/>
      <c r="FVY11" s="60"/>
      <c r="FVZ11" s="60"/>
      <c r="FWA11" s="60"/>
      <c r="FWB11" s="60"/>
      <c r="FWC11" s="60"/>
      <c r="FWD11" s="60"/>
      <c r="FWE11" s="60"/>
      <c r="FWF11" s="60"/>
      <c r="FWG11" s="60"/>
      <c r="FWH11" s="60"/>
      <c r="FWI11" s="60"/>
      <c r="FWJ11" s="60"/>
      <c r="FWK11" s="60"/>
      <c r="FWL11" s="60"/>
      <c r="FWM11" s="60"/>
      <c r="FWN11" s="60"/>
      <c r="FWO11" s="60"/>
      <c r="FWP11" s="60"/>
      <c r="FWQ11" s="60"/>
      <c r="FWR11" s="60"/>
      <c r="FWS11" s="60"/>
      <c r="FWT11" s="60"/>
      <c r="FWU11" s="60"/>
      <c r="FWV11" s="60"/>
      <c r="FWW11" s="60"/>
      <c r="FWX11" s="60"/>
      <c r="FWY11" s="60"/>
      <c r="FWZ11" s="60"/>
      <c r="FXA11" s="60"/>
      <c r="FXB11" s="60"/>
      <c r="FXC11" s="60"/>
      <c r="FXD11" s="60"/>
      <c r="FXE11" s="60"/>
      <c r="FXF11" s="60"/>
      <c r="FXG11" s="60"/>
      <c r="FXH11" s="60"/>
      <c r="FXI11" s="60"/>
      <c r="FXJ11" s="60"/>
      <c r="FXK11" s="60"/>
      <c r="FXL11" s="60"/>
      <c r="FXM11" s="60"/>
      <c r="FXN11" s="60"/>
      <c r="FXO11" s="60"/>
      <c r="FXP11" s="60"/>
      <c r="FXQ11" s="60"/>
      <c r="FXR11" s="60"/>
      <c r="FXS11" s="60"/>
      <c r="FXT11" s="60"/>
      <c r="FXU11" s="60"/>
      <c r="FXV11" s="60"/>
      <c r="FXW11" s="60"/>
      <c r="FXX11" s="60"/>
      <c r="FXY11" s="60"/>
      <c r="FXZ11" s="60"/>
      <c r="FYA11" s="60"/>
      <c r="FYB11" s="60"/>
      <c r="FYC11" s="60"/>
      <c r="FYD11" s="60"/>
      <c r="FYE11" s="60"/>
      <c r="FYF11" s="60"/>
      <c r="FYG11" s="60"/>
      <c r="FYH11" s="60"/>
      <c r="FYI11" s="60"/>
      <c r="FYJ11" s="60"/>
      <c r="FYK11" s="60"/>
      <c r="FYL11" s="60"/>
      <c r="FYM11" s="60"/>
      <c r="FYN11" s="60"/>
      <c r="FYO11" s="60"/>
      <c r="FYP11" s="60"/>
      <c r="FYQ11" s="60"/>
      <c r="FYR11" s="60"/>
      <c r="FYS11" s="60"/>
      <c r="FYT11" s="60"/>
      <c r="FYU11" s="60"/>
      <c r="FYV11" s="60"/>
      <c r="FYW11" s="60"/>
      <c r="FYX11" s="60"/>
      <c r="FYY11" s="60"/>
      <c r="FYZ11" s="60"/>
      <c r="FZA11" s="60"/>
      <c r="FZB11" s="60"/>
      <c r="FZC11" s="60"/>
      <c r="FZD11" s="60"/>
      <c r="FZE11" s="60"/>
      <c r="FZF11" s="60"/>
      <c r="FZG11" s="60"/>
      <c r="FZH11" s="60"/>
      <c r="FZI11" s="60"/>
      <c r="FZJ11" s="60"/>
      <c r="FZK11" s="60"/>
      <c r="FZL11" s="60"/>
      <c r="FZM11" s="60"/>
      <c r="FZN11" s="60"/>
      <c r="FZO11" s="60"/>
      <c r="FZP11" s="60"/>
      <c r="FZQ11" s="60"/>
      <c r="FZR11" s="60"/>
      <c r="FZS11" s="60"/>
      <c r="FZT11" s="60"/>
      <c r="FZU11" s="60"/>
      <c r="FZV11" s="60"/>
      <c r="FZW11" s="60"/>
      <c r="FZX11" s="60"/>
      <c r="FZY11" s="60"/>
      <c r="FZZ11" s="60"/>
      <c r="GAA11" s="60"/>
      <c r="GAB11" s="60"/>
      <c r="GAC11" s="60"/>
      <c r="GAD11" s="60"/>
      <c r="GAE11" s="60"/>
      <c r="GAF11" s="60"/>
      <c r="GAG11" s="60"/>
      <c r="GAH11" s="60"/>
      <c r="GAI11" s="60"/>
      <c r="GAJ11" s="60"/>
      <c r="GAK11" s="60"/>
      <c r="GAL11" s="60"/>
      <c r="GAM11" s="60"/>
      <c r="GAN11" s="60"/>
      <c r="GAO11" s="60"/>
      <c r="GAP11" s="60"/>
      <c r="GAQ11" s="60"/>
      <c r="GAR11" s="60"/>
      <c r="GAS11" s="60"/>
      <c r="GAT11" s="60"/>
      <c r="GAU11" s="60"/>
      <c r="GAV11" s="60"/>
      <c r="GAW11" s="60"/>
      <c r="GAX11" s="60"/>
      <c r="GAY11" s="60"/>
      <c r="GAZ11" s="60"/>
      <c r="GBA11" s="60"/>
      <c r="GBB11" s="60"/>
      <c r="GBC11" s="60"/>
      <c r="GBD11" s="60"/>
      <c r="GBE11" s="60"/>
      <c r="GBF11" s="60"/>
      <c r="GBG11" s="60"/>
      <c r="GBH11" s="60"/>
      <c r="GBI11" s="60"/>
      <c r="GBJ11" s="60"/>
      <c r="GBK11" s="60"/>
      <c r="GBL11" s="60"/>
      <c r="GBM11" s="60"/>
      <c r="GBN11" s="60"/>
      <c r="GBO11" s="60"/>
      <c r="GBP11" s="60"/>
      <c r="GBQ11" s="60"/>
      <c r="GBR11" s="60"/>
      <c r="GBS11" s="60"/>
      <c r="GBT11" s="60"/>
      <c r="GBU11" s="60"/>
      <c r="GBV11" s="60"/>
      <c r="GBW11" s="60"/>
      <c r="GBX11" s="60"/>
      <c r="GBY11" s="60"/>
      <c r="GBZ11" s="60"/>
      <c r="GCA11" s="60"/>
      <c r="GCB11" s="60"/>
      <c r="GCC11" s="60"/>
      <c r="GCD11" s="60"/>
      <c r="GCE11" s="60"/>
      <c r="GCF11" s="60"/>
      <c r="GCG11" s="60"/>
      <c r="GCH11" s="60"/>
      <c r="GCI11" s="60"/>
      <c r="GCJ11" s="60"/>
      <c r="GCK11" s="60"/>
      <c r="GCL11" s="60"/>
      <c r="GCM11" s="60"/>
      <c r="GCN11" s="60"/>
      <c r="GCO11" s="60"/>
      <c r="GCP11" s="60"/>
      <c r="GCQ11" s="60"/>
      <c r="GCR11" s="60"/>
      <c r="GCS11" s="60"/>
      <c r="GCT11" s="60"/>
      <c r="GCU11" s="60"/>
      <c r="GCV11" s="60"/>
      <c r="GCW11" s="60"/>
      <c r="GCX11" s="60"/>
      <c r="GCY11" s="60"/>
      <c r="GCZ11" s="60"/>
      <c r="GDA11" s="60"/>
      <c r="GDB11" s="60"/>
      <c r="GDC11" s="60"/>
      <c r="GDD11" s="60"/>
      <c r="GDE11" s="60"/>
      <c r="GDF11" s="60"/>
      <c r="GDG11" s="60"/>
      <c r="GDH11" s="60"/>
      <c r="GDI11" s="60"/>
      <c r="GDJ11" s="60"/>
      <c r="GDK11" s="60"/>
      <c r="GDL11" s="60"/>
      <c r="GDM11" s="60"/>
      <c r="GDN11" s="60"/>
      <c r="GDO11" s="60"/>
      <c r="GDP11" s="60"/>
      <c r="GDQ11" s="60"/>
      <c r="GDR11" s="60"/>
      <c r="GDS11" s="60"/>
      <c r="GDT11" s="60"/>
      <c r="GDU11" s="60"/>
      <c r="GDV11" s="60"/>
      <c r="GDW11" s="60"/>
      <c r="GDX11" s="60"/>
      <c r="GDY11" s="60"/>
      <c r="GDZ11" s="60"/>
      <c r="GEA11" s="60"/>
      <c r="GEB11" s="60"/>
      <c r="GEC11" s="60"/>
      <c r="GED11" s="60"/>
      <c r="GEE11" s="60"/>
      <c r="GEF11" s="60"/>
      <c r="GEG11" s="60"/>
      <c r="GEH11" s="60"/>
      <c r="GEI11" s="60"/>
      <c r="GEJ11" s="60"/>
      <c r="GEK11" s="60"/>
      <c r="GEL11" s="60"/>
      <c r="GEM11" s="60"/>
      <c r="GEN11" s="60"/>
      <c r="GEO11" s="60"/>
      <c r="GEP11" s="60"/>
      <c r="GEQ11" s="60"/>
      <c r="GER11" s="60"/>
      <c r="GES11" s="60"/>
      <c r="GET11" s="60"/>
      <c r="GEU11" s="60"/>
      <c r="GEV11" s="60"/>
      <c r="GEW11" s="60"/>
      <c r="GEX11" s="60"/>
      <c r="GEY11" s="60"/>
      <c r="GEZ11" s="60"/>
      <c r="GFA11" s="60"/>
      <c r="GFB11" s="60"/>
      <c r="GFC11" s="60"/>
      <c r="GFD11" s="60"/>
      <c r="GFE11" s="60"/>
      <c r="GFF11" s="60"/>
      <c r="GFG11" s="60"/>
      <c r="GFH11" s="60"/>
      <c r="GFI11" s="60"/>
      <c r="GFJ11" s="60"/>
      <c r="GFK11" s="60"/>
      <c r="GFL11" s="60"/>
      <c r="GFM11" s="60"/>
      <c r="GFN11" s="60"/>
      <c r="GFO11" s="60"/>
      <c r="GFP11" s="60"/>
      <c r="GFQ11" s="60"/>
      <c r="GFR11" s="60"/>
      <c r="GFS11" s="60"/>
      <c r="GFT11" s="60"/>
      <c r="GFU11" s="60"/>
      <c r="GFV11" s="60"/>
      <c r="GFW11" s="60"/>
      <c r="GFX11" s="60"/>
      <c r="GFY11" s="60"/>
      <c r="GFZ11" s="60"/>
      <c r="GGA11" s="60"/>
      <c r="GGB11" s="60"/>
      <c r="GGC11" s="60"/>
      <c r="GGD11" s="60"/>
      <c r="GGE11" s="60"/>
      <c r="GGF11" s="60"/>
      <c r="GGG11" s="60"/>
      <c r="GGH11" s="60"/>
      <c r="GGI11" s="60"/>
      <c r="GGJ11" s="60"/>
      <c r="GGK11" s="60"/>
      <c r="GGL11" s="60"/>
      <c r="GGM11" s="60"/>
      <c r="GGN11" s="60"/>
      <c r="GGO11" s="60"/>
      <c r="GGP11" s="60"/>
      <c r="GGQ11" s="60"/>
      <c r="GGR11" s="60"/>
      <c r="GGS11" s="60"/>
      <c r="GGT11" s="60"/>
      <c r="GGU11" s="60"/>
      <c r="GGV11" s="60"/>
      <c r="GGW11" s="60"/>
      <c r="GGX11" s="60"/>
      <c r="GGY11" s="60"/>
      <c r="GGZ11" s="60"/>
      <c r="GHA11" s="60"/>
      <c r="GHB11" s="60"/>
      <c r="GHC11" s="60"/>
      <c r="GHD11" s="60"/>
      <c r="GHE11" s="60"/>
      <c r="GHF11" s="60"/>
      <c r="GHG11" s="60"/>
      <c r="GHH11" s="60"/>
      <c r="GHI11" s="60"/>
      <c r="GHJ11" s="60"/>
      <c r="GHK11" s="60"/>
      <c r="GHL11" s="60"/>
      <c r="GHM11" s="60"/>
      <c r="GHN11" s="60"/>
      <c r="GHO11" s="60"/>
      <c r="GHP11" s="60"/>
      <c r="GHQ11" s="60"/>
      <c r="GHR11" s="60"/>
      <c r="GHS11" s="60"/>
      <c r="GHT11" s="60"/>
      <c r="GHU11" s="60"/>
      <c r="GHV11" s="60"/>
      <c r="GHW11" s="60"/>
      <c r="GHX11" s="60"/>
      <c r="GHY11" s="60"/>
      <c r="GHZ11" s="60"/>
      <c r="GIA11" s="60"/>
      <c r="GIB11" s="60"/>
      <c r="GIC11" s="60"/>
      <c r="GID11" s="60"/>
      <c r="GIE11" s="60"/>
      <c r="GIF11" s="60"/>
      <c r="GIG11" s="60"/>
      <c r="GIH11" s="60"/>
      <c r="GII11" s="60"/>
      <c r="GIJ11" s="60"/>
      <c r="GIK11" s="60"/>
      <c r="GIL11" s="60"/>
      <c r="GIM11" s="60"/>
      <c r="GIN11" s="60"/>
      <c r="GIO11" s="60"/>
      <c r="GIP11" s="60"/>
      <c r="GIQ11" s="60"/>
      <c r="GIR11" s="60"/>
      <c r="GIS11" s="60"/>
      <c r="GIT11" s="60"/>
      <c r="GIU11" s="60"/>
      <c r="GIV11" s="60"/>
      <c r="GIW11" s="60"/>
      <c r="GIX11" s="60"/>
      <c r="GIY11" s="60"/>
      <c r="GIZ11" s="60"/>
      <c r="GJA11" s="60"/>
      <c r="GJB11" s="60"/>
      <c r="GJC11" s="60"/>
      <c r="GJD11" s="60"/>
      <c r="GJE11" s="60"/>
      <c r="GJF11" s="60"/>
      <c r="GJG11" s="60"/>
      <c r="GJH11" s="60"/>
      <c r="GJI11" s="60"/>
      <c r="GJJ11" s="60"/>
      <c r="GJK11" s="60"/>
      <c r="GJL11" s="60"/>
      <c r="GJM11" s="60"/>
      <c r="GJN11" s="60"/>
      <c r="GJO11" s="60"/>
      <c r="GJP11" s="60"/>
      <c r="GJQ11" s="60"/>
      <c r="GJR11" s="60"/>
      <c r="GJS11" s="60"/>
      <c r="GJT11" s="60"/>
      <c r="GJU11" s="60"/>
      <c r="GJV11" s="60"/>
      <c r="GJW11" s="60"/>
      <c r="GJX11" s="60"/>
      <c r="GJY11" s="60"/>
      <c r="GJZ11" s="60"/>
      <c r="GKA11" s="60"/>
      <c r="GKB11" s="60"/>
      <c r="GKC11" s="60"/>
      <c r="GKD11" s="60"/>
      <c r="GKE11" s="60"/>
      <c r="GKF11" s="60"/>
      <c r="GKG11" s="60"/>
      <c r="GKH11" s="60"/>
      <c r="GKI11" s="60"/>
      <c r="GKJ11" s="60"/>
      <c r="GKK11" s="60"/>
      <c r="GKL11" s="60"/>
      <c r="GKM11" s="60"/>
      <c r="GKN11" s="60"/>
      <c r="GKO11" s="60"/>
      <c r="GKP11" s="60"/>
      <c r="GKQ11" s="60"/>
      <c r="GKR11" s="60"/>
      <c r="GKS11" s="60"/>
      <c r="GKT11" s="60"/>
      <c r="GKU11" s="60"/>
      <c r="GKV11" s="60"/>
      <c r="GKW11" s="60"/>
      <c r="GKX11" s="60"/>
      <c r="GKY11" s="60"/>
      <c r="GKZ11" s="60"/>
      <c r="GLA11" s="60"/>
      <c r="GLB11" s="60"/>
      <c r="GLC11" s="60"/>
      <c r="GLD11" s="60"/>
      <c r="GLE11" s="60"/>
      <c r="GLF11" s="60"/>
      <c r="GLG11" s="60"/>
      <c r="GLH11" s="60"/>
      <c r="GLI11" s="60"/>
      <c r="GLJ11" s="60"/>
      <c r="GLK11" s="60"/>
      <c r="GLL11" s="60"/>
      <c r="GLM11" s="60"/>
      <c r="GLN11" s="60"/>
      <c r="GLO11" s="60"/>
      <c r="GLP11" s="60"/>
      <c r="GLQ11" s="60"/>
      <c r="GLR11" s="60"/>
      <c r="GLS11" s="60"/>
      <c r="GLT11" s="60"/>
      <c r="GLU11" s="60"/>
      <c r="GLV11" s="60"/>
      <c r="GLW11" s="60"/>
      <c r="GLX11" s="60"/>
      <c r="GLY11" s="60"/>
      <c r="GLZ11" s="60"/>
      <c r="GMA11" s="60"/>
      <c r="GMB11" s="60"/>
      <c r="GMC11" s="60"/>
      <c r="GMD11" s="60"/>
      <c r="GME11" s="60"/>
      <c r="GMF11" s="60"/>
      <c r="GMG11" s="60"/>
      <c r="GMH11" s="60"/>
      <c r="GMI11" s="60"/>
      <c r="GMJ11" s="60"/>
      <c r="GMK11" s="60"/>
      <c r="GML11" s="60"/>
      <c r="GMM11" s="60"/>
      <c r="GMN11" s="60"/>
      <c r="GMO11" s="60"/>
      <c r="GMP11" s="60"/>
      <c r="GMQ11" s="60"/>
      <c r="GMR11" s="60"/>
      <c r="GMS11" s="60"/>
      <c r="GMT11" s="60"/>
      <c r="GMU11" s="60"/>
      <c r="GMV11" s="60"/>
      <c r="GMW11" s="60"/>
      <c r="GMX11" s="60"/>
      <c r="GMY11" s="60"/>
      <c r="GMZ11" s="60"/>
      <c r="GNA11" s="60"/>
      <c r="GNB11" s="60"/>
      <c r="GNC11" s="60"/>
      <c r="GND11" s="60"/>
      <c r="GNE11" s="60"/>
      <c r="GNF11" s="60"/>
      <c r="GNG11" s="60"/>
      <c r="GNH11" s="60"/>
      <c r="GNI11" s="60"/>
      <c r="GNJ11" s="60"/>
      <c r="GNK11" s="60"/>
      <c r="GNL11" s="60"/>
      <c r="GNM11" s="60"/>
      <c r="GNN11" s="60"/>
      <c r="GNO11" s="60"/>
      <c r="GNP11" s="60"/>
      <c r="GNQ11" s="60"/>
      <c r="GNR11" s="60"/>
      <c r="GNS11" s="60"/>
      <c r="GNT11" s="60"/>
      <c r="GNU11" s="60"/>
      <c r="GNV11" s="60"/>
      <c r="GNW11" s="60"/>
      <c r="GNX11" s="60"/>
      <c r="GNY11" s="60"/>
      <c r="GNZ11" s="60"/>
      <c r="GOA11" s="60"/>
      <c r="GOB11" s="60"/>
      <c r="GOC11" s="60"/>
      <c r="GOD11" s="60"/>
      <c r="GOE11" s="60"/>
      <c r="GOF11" s="60"/>
      <c r="GOG11" s="60"/>
      <c r="GOH11" s="60"/>
      <c r="GOI11" s="60"/>
      <c r="GOJ11" s="60"/>
      <c r="GOK11" s="60"/>
      <c r="GOL11" s="60"/>
      <c r="GOM11" s="60"/>
      <c r="GON11" s="60"/>
      <c r="GOO11" s="60"/>
      <c r="GOP11" s="60"/>
      <c r="GOQ11" s="60"/>
      <c r="GOR11" s="60"/>
      <c r="GOS11" s="60"/>
      <c r="GOT11" s="60"/>
      <c r="GOU11" s="60"/>
      <c r="GOV11" s="60"/>
      <c r="GOW11" s="60"/>
      <c r="GOX11" s="60"/>
      <c r="GOY11" s="60"/>
      <c r="GOZ11" s="60"/>
      <c r="GPA11" s="60"/>
      <c r="GPB11" s="60"/>
      <c r="GPC11" s="60"/>
      <c r="GPD11" s="60"/>
      <c r="GPE11" s="60"/>
      <c r="GPF11" s="60"/>
      <c r="GPG11" s="60"/>
      <c r="GPH11" s="60"/>
      <c r="GPI11" s="60"/>
      <c r="GPJ11" s="60"/>
      <c r="GPK11" s="60"/>
      <c r="GPL11" s="60"/>
      <c r="GPM11" s="60"/>
      <c r="GPN11" s="60"/>
      <c r="GPO11" s="60"/>
      <c r="GPP11" s="60"/>
      <c r="GPQ11" s="60"/>
      <c r="GPR11" s="60"/>
      <c r="GPS11" s="60"/>
      <c r="GPT11" s="60"/>
      <c r="GPU11" s="60"/>
      <c r="GPV11" s="60"/>
      <c r="GPW11" s="60"/>
      <c r="GPX11" s="60"/>
      <c r="GPY11" s="60"/>
      <c r="GPZ11" s="60"/>
      <c r="GQA11" s="60"/>
      <c r="GQB11" s="60"/>
      <c r="GQC11" s="60"/>
      <c r="GQD11" s="60"/>
      <c r="GQE11" s="60"/>
      <c r="GQF11" s="60"/>
      <c r="GQG11" s="60"/>
      <c r="GQH11" s="60"/>
      <c r="GQI11" s="60"/>
      <c r="GQJ11" s="60"/>
      <c r="GQK11" s="60"/>
      <c r="GQL11" s="60"/>
      <c r="GQM11" s="60"/>
      <c r="GQN11" s="60"/>
      <c r="GQO11" s="60"/>
      <c r="GQP11" s="60"/>
      <c r="GQQ11" s="60"/>
      <c r="GQR11" s="60"/>
      <c r="GQS11" s="60"/>
      <c r="GQT11" s="60"/>
      <c r="GQU11" s="60"/>
      <c r="GQV11" s="60"/>
      <c r="GQW11" s="60"/>
      <c r="GQX11" s="60"/>
      <c r="GQY11" s="60"/>
      <c r="GQZ11" s="60"/>
      <c r="GRA11" s="60"/>
      <c r="GRB11" s="60"/>
      <c r="GRC11" s="60"/>
      <c r="GRD11" s="60"/>
      <c r="GRE11" s="60"/>
      <c r="GRF11" s="60"/>
      <c r="GRG11" s="60"/>
      <c r="GRH11" s="60"/>
      <c r="GRI11" s="60"/>
      <c r="GRJ11" s="60"/>
      <c r="GRK11" s="60"/>
      <c r="GRL11" s="60"/>
      <c r="GRM11" s="60"/>
      <c r="GRN11" s="60"/>
      <c r="GRO11" s="60"/>
      <c r="GRP11" s="60"/>
      <c r="GRQ11" s="60"/>
      <c r="GRR11" s="60"/>
      <c r="GRS11" s="60"/>
      <c r="GRT11" s="60"/>
      <c r="GRU11" s="60"/>
      <c r="GRV11" s="60"/>
      <c r="GRW11" s="60"/>
      <c r="GRX11" s="60"/>
      <c r="GRY11" s="60"/>
      <c r="GRZ11" s="60"/>
      <c r="GSA11" s="60"/>
      <c r="GSB11" s="60"/>
      <c r="GSC11" s="60"/>
      <c r="GSD11" s="60"/>
      <c r="GSE11" s="60"/>
      <c r="GSF11" s="60"/>
      <c r="GSG11" s="60"/>
      <c r="GSH11" s="60"/>
      <c r="GSI11" s="60"/>
      <c r="GSJ11" s="60"/>
      <c r="GSK11" s="60"/>
      <c r="GSL11" s="60"/>
      <c r="GSM11" s="60"/>
      <c r="GSN11" s="60"/>
      <c r="GSO11" s="60"/>
      <c r="GSP11" s="60"/>
      <c r="GSQ11" s="60"/>
      <c r="GSR11" s="60"/>
      <c r="GSS11" s="60"/>
      <c r="GST11" s="60"/>
      <c r="GSU11" s="60"/>
      <c r="GSV11" s="60"/>
      <c r="GSW11" s="60"/>
      <c r="GSX11" s="60"/>
      <c r="GSY11" s="60"/>
      <c r="GSZ11" s="60"/>
      <c r="GTA11" s="60"/>
      <c r="GTB11" s="60"/>
      <c r="GTC11" s="60"/>
      <c r="GTD11" s="60"/>
      <c r="GTE11" s="60"/>
      <c r="GTF11" s="60"/>
      <c r="GTG11" s="60"/>
      <c r="GTH11" s="60"/>
      <c r="GTI11" s="60"/>
      <c r="GTJ11" s="60"/>
      <c r="GTK11" s="60"/>
      <c r="GTL11" s="60"/>
      <c r="GTM11" s="60"/>
      <c r="GTN11" s="60"/>
      <c r="GTO11" s="60"/>
      <c r="GTP11" s="60"/>
      <c r="GTQ11" s="60"/>
      <c r="GTR11" s="60"/>
      <c r="GTS11" s="60"/>
      <c r="GTT11" s="60"/>
      <c r="GTU11" s="60"/>
      <c r="GTV11" s="60"/>
      <c r="GTW11" s="60"/>
      <c r="GTX11" s="60"/>
      <c r="GTY11" s="60"/>
      <c r="GTZ11" s="60"/>
      <c r="GUA11" s="60"/>
      <c r="GUB11" s="60"/>
      <c r="GUC11" s="60"/>
      <c r="GUD11" s="60"/>
      <c r="GUE11" s="60"/>
      <c r="GUF11" s="60"/>
      <c r="GUG11" s="60"/>
      <c r="GUH11" s="60"/>
      <c r="GUI11" s="60"/>
      <c r="GUJ11" s="60"/>
      <c r="GUK11" s="60"/>
      <c r="GUL11" s="60"/>
      <c r="GUM11" s="60"/>
      <c r="GUN11" s="60"/>
      <c r="GUO11" s="60"/>
      <c r="GUP11" s="60"/>
      <c r="GUQ11" s="60"/>
      <c r="GUR11" s="60"/>
      <c r="GUS11" s="60"/>
      <c r="GUT11" s="60"/>
      <c r="GUU11" s="60"/>
      <c r="GUV11" s="60"/>
      <c r="GUW11" s="60"/>
      <c r="GUX11" s="60"/>
      <c r="GUY11" s="60"/>
      <c r="GUZ11" s="60"/>
      <c r="GVA11" s="60"/>
      <c r="GVB11" s="60"/>
      <c r="GVC11" s="60"/>
      <c r="GVD11" s="60"/>
      <c r="GVE11" s="60"/>
      <c r="GVF11" s="60"/>
      <c r="GVG11" s="60"/>
      <c r="GVH11" s="60"/>
      <c r="GVI11" s="60"/>
      <c r="GVJ11" s="60"/>
      <c r="GVK11" s="60"/>
      <c r="GVL11" s="60"/>
      <c r="GVM11" s="60"/>
      <c r="GVN11" s="60"/>
      <c r="GVO11" s="60"/>
      <c r="GVP11" s="60"/>
      <c r="GVQ11" s="60"/>
      <c r="GVR11" s="60"/>
      <c r="GVS11" s="60"/>
      <c r="GVT11" s="60"/>
      <c r="GVU11" s="60"/>
      <c r="GVV11" s="60"/>
      <c r="GVW11" s="60"/>
      <c r="GVX11" s="60"/>
      <c r="GVY11" s="60"/>
      <c r="GVZ11" s="60"/>
      <c r="GWA11" s="60"/>
      <c r="GWB11" s="60"/>
      <c r="GWC11" s="60"/>
      <c r="GWD11" s="60"/>
      <c r="GWE11" s="60"/>
      <c r="GWF11" s="60"/>
      <c r="GWG11" s="60"/>
      <c r="GWH11" s="60"/>
      <c r="GWI11" s="60"/>
      <c r="GWJ11" s="60"/>
      <c r="GWK11" s="60"/>
      <c r="GWL11" s="60"/>
      <c r="GWM11" s="60"/>
      <c r="GWN11" s="60"/>
      <c r="GWO11" s="60"/>
      <c r="GWP11" s="60"/>
      <c r="GWQ11" s="60"/>
      <c r="GWR11" s="60"/>
      <c r="GWS11" s="60"/>
      <c r="GWT11" s="60"/>
      <c r="GWU11" s="60"/>
      <c r="GWV11" s="60"/>
      <c r="GWW11" s="60"/>
      <c r="GWX11" s="60"/>
      <c r="GWY11" s="60"/>
      <c r="GWZ11" s="60"/>
      <c r="GXA11" s="60"/>
      <c r="GXB11" s="60"/>
      <c r="GXC11" s="60"/>
      <c r="GXD11" s="60"/>
      <c r="GXE11" s="60"/>
      <c r="GXF11" s="60"/>
      <c r="GXG11" s="60"/>
      <c r="GXH11" s="60"/>
      <c r="GXI11" s="60"/>
      <c r="GXJ11" s="60"/>
      <c r="GXK11" s="60"/>
      <c r="GXL11" s="60"/>
      <c r="GXM11" s="60"/>
      <c r="GXN11" s="60"/>
      <c r="GXO11" s="60"/>
      <c r="GXP11" s="60"/>
      <c r="GXQ11" s="60"/>
      <c r="GXR11" s="60"/>
      <c r="GXS11" s="60"/>
      <c r="GXT11" s="60"/>
      <c r="GXU11" s="60"/>
      <c r="GXV11" s="60"/>
      <c r="GXW11" s="60"/>
      <c r="GXX11" s="60"/>
      <c r="GXY11" s="60"/>
      <c r="GXZ11" s="60"/>
      <c r="GYA11" s="60"/>
      <c r="GYB11" s="60"/>
      <c r="GYC11" s="60"/>
      <c r="GYD11" s="60"/>
      <c r="GYE11" s="60"/>
      <c r="GYF11" s="60"/>
      <c r="GYG11" s="60"/>
      <c r="GYH11" s="60"/>
      <c r="GYI11" s="60"/>
      <c r="GYJ11" s="60"/>
      <c r="GYK11" s="60"/>
      <c r="GYL11" s="60"/>
      <c r="GYM11" s="60"/>
      <c r="GYN11" s="60"/>
      <c r="GYO11" s="60"/>
      <c r="GYP11" s="60"/>
      <c r="GYQ11" s="60"/>
      <c r="GYR11" s="60"/>
      <c r="GYS11" s="60"/>
      <c r="GYT11" s="60"/>
      <c r="GYU11" s="60"/>
      <c r="GYV11" s="60"/>
      <c r="GYW11" s="60"/>
      <c r="GYX11" s="60"/>
      <c r="GYY11" s="60"/>
      <c r="GYZ11" s="60"/>
      <c r="GZA11" s="60"/>
      <c r="GZB11" s="60"/>
      <c r="GZC11" s="60"/>
      <c r="GZD11" s="60"/>
      <c r="GZE11" s="60"/>
      <c r="GZF11" s="60"/>
      <c r="GZG11" s="60"/>
      <c r="GZH11" s="60"/>
      <c r="GZI11" s="60"/>
      <c r="GZJ11" s="60"/>
      <c r="GZK11" s="60"/>
      <c r="GZL11" s="60"/>
      <c r="GZM11" s="60"/>
      <c r="GZN11" s="60"/>
      <c r="GZO11" s="60"/>
      <c r="GZP11" s="60"/>
      <c r="GZQ11" s="60"/>
      <c r="GZR11" s="60"/>
      <c r="GZS11" s="60"/>
      <c r="GZT11" s="60"/>
      <c r="GZU11" s="60"/>
      <c r="GZV11" s="60"/>
      <c r="GZW11" s="60"/>
      <c r="GZX11" s="60"/>
      <c r="GZY11" s="60"/>
      <c r="GZZ11" s="60"/>
      <c r="HAA11" s="60"/>
      <c r="HAB11" s="60"/>
      <c r="HAC11" s="60"/>
      <c r="HAD11" s="60"/>
      <c r="HAE11" s="60"/>
      <c r="HAF11" s="60"/>
      <c r="HAG11" s="60"/>
      <c r="HAH11" s="60"/>
      <c r="HAI11" s="60"/>
      <c r="HAJ11" s="60"/>
      <c r="HAK11" s="60"/>
      <c r="HAL11" s="60"/>
      <c r="HAM11" s="60"/>
      <c r="HAN11" s="60"/>
      <c r="HAO11" s="60"/>
      <c r="HAP11" s="60"/>
      <c r="HAQ11" s="60"/>
      <c r="HAR11" s="60"/>
      <c r="HAS11" s="60"/>
      <c r="HAT11" s="60"/>
      <c r="HAU11" s="60"/>
      <c r="HAV11" s="60"/>
      <c r="HAW11" s="60"/>
      <c r="HAX11" s="60"/>
      <c r="HAY11" s="60"/>
      <c r="HAZ11" s="60"/>
      <c r="HBA11" s="60"/>
      <c r="HBB11" s="60"/>
      <c r="HBC11" s="60"/>
      <c r="HBD11" s="60"/>
      <c r="HBE11" s="60"/>
      <c r="HBF11" s="60"/>
      <c r="HBG11" s="60"/>
      <c r="HBH11" s="60"/>
      <c r="HBI11" s="60"/>
      <c r="HBJ11" s="60"/>
      <c r="HBK11" s="60"/>
      <c r="HBL11" s="60"/>
      <c r="HBM11" s="60"/>
      <c r="HBN11" s="60"/>
      <c r="HBO11" s="60"/>
      <c r="HBP11" s="60"/>
      <c r="HBQ11" s="60"/>
      <c r="HBR11" s="60"/>
      <c r="HBS11" s="60"/>
      <c r="HBT11" s="60"/>
      <c r="HBU11" s="60"/>
      <c r="HBV11" s="60"/>
      <c r="HBW11" s="60"/>
      <c r="HBX11" s="60"/>
      <c r="HBY11" s="60"/>
      <c r="HBZ11" s="60"/>
      <c r="HCA11" s="60"/>
      <c r="HCB11" s="60"/>
      <c r="HCC11" s="60"/>
      <c r="HCD11" s="60"/>
      <c r="HCE11" s="60"/>
      <c r="HCF11" s="60"/>
      <c r="HCG11" s="60"/>
      <c r="HCH11" s="60"/>
      <c r="HCI11" s="60"/>
      <c r="HCJ11" s="60"/>
      <c r="HCK11" s="60"/>
      <c r="HCL11" s="60"/>
      <c r="HCM11" s="60"/>
      <c r="HCN11" s="60"/>
      <c r="HCO11" s="60"/>
      <c r="HCP11" s="60"/>
      <c r="HCQ11" s="60"/>
      <c r="HCR11" s="60"/>
      <c r="HCS11" s="60"/>
      <c r="HCT11" s="60"/>
      <c r="HCU11" s="60"/>
      <c r="HCV11" s="60"/>
      <c r="HCW11" s="60"/>
      <c r="HCX11" s="60"/>
      <c r="HCY11" s="60"/>
      <c r="HCZ11" s="60"/>
      <c r="HDA11" s="60"/>
      <c r="HDB11" s="60"/>
      <c r="HDC11" s="60"/>
      <c r="HDD11" s="60"/>
      <c r="HDE11" s="60"/>
      <c r="HDF11" s="60"/>
      <c r="HDG11" s="60"/>
      <c r="HDH11" s="60"/>
      <c r="HDI11" s="60"/>
      <c r="HDJ11" s="60"/>
      <c r="HDK11" s="60"/>
      <c r="HDL11" s="60"/>
      <c r="HDM11" s="60"/>
      <c r="HDN11" s="60"/>
      <c r="HDO11" s="60"/>
      <c r="HDP11" s="60"/>
      <c r="HDQ11" s="60"/>
      <c r="HDR11" s="60"/>
      <c r="HDS11" s="60"/>
      <c r="HDT11" s="60"/>
      <c r="HDU11" s="60"/>
      <c r="HDV11" s="60"/>
      <c r="HDW11" s="60"/>
      <c r="HDX11" s="60"/>
      <c r="HDY11" s="60"/>
      <c r="HDZ11" s="60"/>
      <c r="HEA11" s="60"/>
      <c r="HEB11" s="60"/>
      <c r="HEC11" s="60"/>
      <c r="HED11" s="60"/>
      <c r="HEE11" s="60"/>
      <c r="HEF11" s="60"/>
      <c r="HEG11" s="60"/>
      <c r="HEH11" s="60"/>
      <c r="HEI11" s="60"/>
      <c r="HEJ11" s="60"/>
      <c r="HEK11" s="60"/>
      <c r="HEL11" s="60"/>
      <c r="HEM11" s="60"/>
      <c r="HEN11" s="60"/>
      <c r="HEO11" s="60"/>
      <c r="HEP11" s="60"/>
      <c r="HEQ11" s="60"/>
      <c r="HER11" s="60"/>
      <c r="HES11" s="60"/>
      <c r="HET11" s="60"/>
      <c r="HEU11" s="60"/>
      <c r="HEV11" s="60"/>
      <c r="HEW11" s="60"/>
      <c r="HEX11" s="60"/>
      <c r="HEY11" s="60"/>
      <c r="HEZ11" s="60"/>
      <c r="HFA11" s="60"/>
      <c r="HFB11" s="60"/>
      <c r="HFC11" s="60"/>
      <c r="HFD11" s="60"/>
      <c r="HFE11" s="60"/>
      <c r="HFF11" s="60"/>
      <c r="HFG11" s="60"/>
      <c r="HFH11" s="60"/>
      <c r="HFI11" s="60"/>
      <c r="HFJ11" s="60"/>
      <c r="HFK11" s="60"/>
      <c r="HFL11" s="60"/>
      <c r="HFM11" s="60"/>
      <c r="HFN11" s="60"/>
      <c r="HFO11" s="60"/>
      <c r="HFP11" s="60"/>
      <c r="HFQ11" s="60"/>
      <c r="HFR11" s="60"/>
      <c r="HFS11" s="60"/>
      <c r="HFT11" s="60"/>
      <c r="HFU11" s="60"/>
      <c r="HFV11" s="60"/>
      <c r="HFW11" s="60"/>
      <c r="HFX11" s="60"/>
      <c r="HFY11" s="60"/>
      <c r="HFZ11" s="60"/>
      <c r="HGA11" s="60"/>
      <c r="HGB11" s="60"/>
      <c r="HGC11" s="60"/>
      <c r="HGD11" s="60"/>
      <c r="HGE11" s="60"/>
      <c r="HGF11" s="60"/>
      <c r="HGG11" s="60"/>
      <c r="HGH11" s="60"/>
      <c r="HGI11" s="60"/>
      <c r="HGJ11" s="60"/>
      <c r="HGK11" s="60"/>
      <c r="HGL11" s="60"/>
      <c r="HGM11" s="60"/>
      <c r="HGN11" s="60"/>
      <c r="HGO11" s="60"/>
      <c r="HGP11" s="60"/>
      <c r="HGQ11" s="60"/>
      <c r="HGR11" s="60"/>
      <c r="HGS11" s="60"/>
      <c r="HGT11" s="60"/>
      <c r="HGU11" s="60"/>
      <c r="HGV11" s="60"/>
      <c r="HGW11" s="60"/>
      <c r="HGX11" s="60"/>
      <c r="HGY11" s="60"/>
      <c r="HGZ11" s="60"/>
      <c r="HHA11" s="60"/>
      <c r="HHB11" s="60"/>
      <c r="HHC11" s="60"/>
      <c r="HHD11" s="60"/>
      <c r="HHE11" s="60"/>
      <c r="HHF11" s="60"/>
      <c r="HHG11" s="60"/>
      <c r="HHH11" s="60"/>
      <c r="HHI11" s="60"/>
      <c r="HHJ11" s="60"/>
      <c r="HHK11" s="60"/>
      <c r="HHL11" s="60"/>
      <c r="HHM11" s="60"/>
      <c r="HHN11" s="60"/>
      <c r="HHO11" s="60"/>
      <c r="HHP11" s="60"/>
      <c r="HHQ11" s="60"/>
      <c r="HHR11" s="60"/>
      <c r="HHS11" s="60"/>
      <c r="HHT11" s="60"/>
      <c r="HHU11" s="60"/>
      <c r="HHV11" s="60"/>
      <c r="HHW11" s="60"/>
      <c r="HHX11" s="60"/>
      <c r="HHY11" s="60"/>
      <c r="HHZ11" s="60"/>
      <c r="HIA11" s="60"/>
      <c r="HIB11" s="60"/>
      <c r="HIC11" s="60"/>
      <c r="HID11" s="60"/>
      <c r="HIE11" s="60"/>
      <c r="HIF11" s="60"/>
      <c r="HIG11" s="60"/>
      <c r="HIH11" s="60"/>
      <c r="HII11" s="60"/>
      <c r="HIJ11" s="60"/>
      <c r="HIK11" s="60"/>
      <c r="HIL11" s="60"/>
      <c r="HIM11" s="60"/>
      <c r="HIN11" s="60"/>
      <c r="HIO11" s="60"/>
      <c r="HIP11" s="60"/>
      <c r="HIQ11" s="60"/>
      <c r="HIR11" s="60"/>
      <c r="HIS11" s="60"/>
      <c r="HIT11" s="60"/>
      <c r="HIU11" s="60"/>
      <c r="HIV11" s="60"/>
      <c r="HIW11" s="60"/>
      <c r="HIX11" s="60"/>
      <c r="HIY11" s="60"/>
      <c r="HIZ11" s="60"/>
      <c r="HJA11" s="60"/>
      <c r="HJB11" s="60"/>
      <c r="HJC11" s="60"/>
      <c r="HJD11" s="60"/>
      <c r="HJE11" s="60"/>
      <c r="HJF11" s="60"/>
      <c r="HJG11" s="60"/>
      <c r="HJH11" s="60"/>
      <c r="HJI11" s="60"/>
      <c r="HJJ11" s="60"/>
      <c r="HJK11" s="60"/>
      <c r="HJL11" s="60"/>
      <c r="HJM11" s="60"/>
      <c r="HJN11" s="60"/>
      <c r="HJO11" s="60"/>
      <c r="HJP11" s="60"/>
      <c r="HJQ11" s="60"/>
      <c r="HJR11" s="60"/>
      <c r="HJS11" s="60"/>
      <c r="HJT11" s="60"/>
      <c r="HJU11" s="60"/>
      <c r="HJV11" s="60"/>
      <c r="HJW11" s="60"/>
      <c r="HJX11" s="60"/>
      <c r="HJY11" s="60"/>
      <c r="HJZ11" s="60"/>
      <c r="HKA11" s="60"/>
      <c r="HKB11" s="60"/>
      <c r="HKC11" s="60"/>
      <c r="HKD11" s="60"/>
      <c r="HKE11" s="60"/>
      <c r="HKF11" s="60"/>
      <c r="HKG11" s="60"/>
      <c r="HKH11" s="60"/>
      <c r="HKI11" s="60"/>
      <c r="HKJ11" s="60"/>
      <c r="HKK11" s="60"/>
      <c r="HKL11" s="60"/>
      <c r="HKM11" s="60"/>
      <c r="HKN11" s="60"/>
      <c r="HKO11" s="60"/>
      <c r="HKP11" s="60"/>
      <c r="HKQ11" s="60"/>
      <c r="HKR11" s="60"/>
      <c r="HKS11" s="60"/>
      <c r="HKT11" s="60"/>
      <c r="HKU11" s="60"/>
      <c r="HKV11" s="60"/>
      <c r="HKW11" s="60"/>
      <c r="HKX11" s="60"/>
      <c r="HKY11" s="60"/>
      <c r="HKZ11" s="60"/>
      <c r="HLA11" s="60"/>
      <c r="HLB11" s="60"/>
      <c r="HLC11" s="60"/>
      <c r="HLD11" s="60"/>
      <c r="HLE11" s="60"/>
      <c r="HLF11" s="60"/>
      <c r="HLG11" s="60"/>
      <c r="HLH11" s="60"/>
      <c r="HLI11" s="60"/>
      <c r="HLJ11" s="60"/>
      <c r="HLK11" s="60"/>
      <c r="HLL11" s="60"/>
      <c r="HLM11" s="60"/>
      <c r="HLN11" s="60"/>
      <c r="HLO11" s="60"/>
      <c r="HLP11" s="60"/>
      <c r="HLQ11" s="60"/>
      <c r="HLR11" s="60"/>
      <c r="HLS11" s="60"/>
      <c r="HLT11" s="60"/>
      <c r="HLU11" s="60"/>
      <c r="HLV11" s="60"/>
      <c r="HLW11" s="60"/>
      <c r="HLX11" s="60"/>
      <c r="HLY11" s="60"/>
      <c r="HLZ11" s="60"/>
      <c r="HMA11" s="60"/>
      <c r="HMB11" s="60"/>
      <c r="HMC11" s="60"/>
      <c r="HMD11" s="60"/>
      <c r="HME11" s="60"/>
      <c r="HMF11" s="60"/>
      <c r="HMG11" s="60"/>
      <c r="HMH11" s="60"/>
      <c r="HMI11" s="60"/>
      <c r="HMJ11" s="60"/>
      <c r="HMK11" s="60"/>
      <c r="HML11" s="60"/>
      <c r="HMM11" s="60"/>
      <c r="HMN11" s="60"/>
      <c r="HMO11" s="60"/>
      <c r="HMP11" s="60"/>
      <c r="HMQ11" s="60"/>
      <c r="HMR11" s="60"/>
      <c r="HMS11" s="60"/>
      <c r="HMT11" s="60"/>
      <c r="HMU11" s="60"/>
      <c r="HMV11" s="60"/>
      <c r="HMW11" s="60"/>
      <c r="HMX11" s="60"/>
      <c r="HMY11" s="60"/>
      <c r="HMZ11" s="60"/>
      <c r="HNA11" s="60"/>
      <c r="HNB11" s="60"/>
      <c r="HNC11" s="60"/>
      <c r="HND11" s="60"/>
      <c r="HNE11" s="60"/>
      <c r="HNF11" s="60"/>
      <c r="HNG11" s="60"/>
      <c r="HNH11" s="60"/>
      <c r="HNI11" s="60"/>
      <c r="HNJ11" s="60"/>
      <c r="HNK11" s="60"/>
      <c r="HNL11" s="60"/>
      <c r="HNM11" s="60"/>
      <c r="HNN11" s="60"/>
      <c r="HNO11" s="60"/>
      <c r="HNP11" s="60"/>
      <c r="HNQ11" s="60"/>
      <c r="HNR11" s="60"/>
      <c r="HNS11" s="60"/>
      <c r="HNT11" s="60"/>
      <c r="HNU11" s="60"/>
      <c r="HNV11" s="60"/>
      <c r="HNW11" s="60"/>
      <c r="HNX11" s="60"/>
      <c r="HNY11" s="60"/>
      <c r="HNZ11" s="60"/>
      <c r="HOA11" s="60"/>
      <c r="HOB11" s="60"/>
      <c r="HOC11" s="60"/>
      <c r="HOD11" s="60"/>
      <c r="HOE11" s="60"/>
      <c r="HOF11" s="60"/>
      <c r="HOG11" s="60"/>
      <c r="HOH11" s="60"/>
      <c r="HOI11" s="60"/>
      <c r="HOJ11" s="60"/>
      <c r="HOK11" s="60"/>
      <c r="HOL11" s="60"/>
      <c r="HOM11" s="60"/>
      <c r="HON11" s="60"/>
      <c r="HOO11" s="60"/>
      <c r="HOP11" s="60"/>
      <c r="HOQ11" s="60"/>
      <c r="HOR11" s="60"/>
      <c r="HOS11" s="60"/>
      <c r="HOT11" s="60"/>
      <c r="HOU11" s="60"/>
      <c r="HOV11" s="60"/>
      <c r="HOW11" s="60"/>
      <c r="HOX11" s="60"/>
      <c r="HOY11" s="60"/>
      <c r="HOZ11" s="60"/>
      <c r="HPA11" s="60"/>
      <c r="HPB11" s="60"/>
      <c r="HPC11" s="60"/>
      <c r="HPD11" s="60"/>
      <c r="HPE11" s="60"/>
      <c r="HPF11" s="60"/>
      <c r="HPG11" s="60"/>
      <c r="HPH11" s="60"/>
      <c r="HPI11" s="60"/>
      <c r="HPJ11" s="60"/>
      <c r="HPK11" s="60"/>
      <c r="HPL11" s="60"/>
      <c r="HPM11" s="60"/>
      <c r="HPN11" s="60"/>
      <c r="HPO11" s="60"/>
      <c r="HPP11" s="60"/>
      <c r="HPQ11" s="60"/>
      <c r="HPR11" s="60"/>
      <c r="HPS11" s="60"/>
      <c r="HPT11" s="60"/>
      <c r="HPU11" s="60"/>
      <c r="HPV11" s="60"/>
      <c r="HPW11" s="60"/>
      <c r="HPX11" s="60"/>
      <c r="HPY11" s="60"/>
      <c r="HPZ11" s="60"/>
      <c r="HQA11" s="60"/>
      <c r="HQB11" s="60"/>
      <c r="HQC11" s="60"/>
      <c r="HQD11" s="60"/>
      <c r="HQE11" s="60"/>
      <c r="HQF11" s="60"/>
      <c r="HQG11" s="60"/>
      <c r="HQH11" s="60"/>
      <c r="HQI11" s="60"/>
      <c r="HQJ11" s="60"/>
      <c r="HQK11" s="60"/>
      <c r="HQL11" s="60"/>
      <c r="HQM11" s="60"/>
      <c r="HQN11" s="60"/>
      <c r="HQO11" s="60"/>
      <c r="HQP11" s="60"/>
      <c r="HQQ11" s="60"/>
      <c r="HQR11" s="60"/>
      <c r="HQS11" s="60"/>
      <c r="HQT11" s="60"/>
      <c r="HQU11" s="60"/>
      <c r="HQV11" s="60"/>
      <c r="HQW11" s="60"/>
      <c r="HQX11" s="60"/>
      <c r="HQY11" s="60"/>
      <c r="HQZ11" s="60"/>
      <c r="HRA11" s="60"/>
      <c r="HRB11" s="60"/>
      <c r="HRC11" s="60"/>
      <c r="HRD11" s="60"/>
      <c r="HRE11" s="60"/>
      <c r="HRF11" s="60"/>
      <c r="HRG11" s="60"/>
      <c r="HRH11" s="60"/>
      <c r="HRI11" s="60"/>
      <c r="HRJ11" s="60"/>
      <c r="HRK11" s="60"/>
      <c r="HRL11" s="60"/>
      <c r="HRM11" s="60"/>
      <c r="HRN11" s="60"/>
      <c r="HRO11" s="60"/>
      <c r="HRP11" s="60"/>
      <c r="HRQ11" s="60"/>
      <c r="HRR11" s="60"/>
      <c r="HRS11" s="60"/>
      <c r="HRT11" s="60"/>
      <c r="HRU11" s="60"/>
      <c r="HRV11" s="60"/>
      <c r="HRW11" s="60"/>
      <c r="HRX11" s="60"/>
      <c r="HRY11" s="60"/>
      <c r="HRZ11" s="60"/>
      <c r="HSA11" s="60"/>
      <c r="HSB11" s="60"/>
      <c r="HSC11" s="60"/>
      <c r="HSD11" s="60"/>
      <c r="HSE11" s="60"/>
      <c r="HSF11" s="60"/>
      <c r="HSG11" s="60"/>
      <c r="HSH11" s="60"/>
      <c r="HSI11" s="60"/>
      <c r="HSJ11" s="60"/>
      <c r="HSK11" s="60"/>
      <c r="HSL11" s="60"/>
      <c r="HSM11" s="60"/>
      <c r="HSN11" s="60"/>
      <c r="HSO11" s="60"/>
      <c r="HSP11" s="60"/>
      <c r="HSQ11" s="60"/>
      <c r="HSR11" s="60"/>
      <c r="HSS11" s="60"/>
      <c r="HST11" s="60"/>
      <c r="HSU11" s="60"/>
      <c r="HSV11" s="60"/>
      <c r="HSW11" s="60"/>
      <c r="HSX11" s="60"/>
      <c r="HSY11" s="60"/>
      <c r="HSZ11" s="60"/>
      <c r="HTA11" s="60"/>
      <c r="HTB11" s="60"/>
      <c r="HTC11" s="60"/>
      <c r="HTD11" s="60"/>
      <c r="HTE11" s="60"/>
      <c r="HTF11" s="60"/>
      <c r="HTG11" s="60"/>
      <c r="HTH11" s="60"/>
      <c r="HTI11" s="60"/>
      <c r="HTJ11" s="60"/>
      <c r="HTK11" s="60"/>
      <c r="HTL11" s="60"/>
      <c r="HTM11" s="60"/>
      <c r="HTN11" s="60"/>
      <c r="HTO11" s="60"/>
      <c r="HTP11" s="60"/>
      <c r="HTQ11" s="60"/>
      <c r="HTR11" s="60"/>
      <c r="HTS11" s="60"/>
      <c r="HTT11" s="60"/>
      <c r="HTU11" s="60"/>
      <c r="HTV11" s="60"/>
      <c r="HTW11" s="60"/>
      <c r="HTX11" s="60"/>
      <c r="HTY11" s="60"/>
      <c r="HTZ11" s="60"/>
      <c r="HUA11" s="60"/>
      <c r="HUB11" s="60"/>
      <c r="HUC11" s="60"/>
      <c r="HUD11" s="60"/>
      <c r="HUE11" s="60"/>
      <c r="HUF11" s="60"/>
      <c r="HUG11" s="60"/>
      <c r="HUH11" s="60"/>
      <c r="HUI11" s="60"/>
      <c r="HUJ11" s="60"/>
      <c r="HUK11" s="60"/>
      <c r="HUL11" s="60"/>
      <c r="HUM11" s="60"/>
      <c r="HUN11" s="60"/>
      <c r="HUO11" s="60"/>
      <c r="HUP11" s="60"/>
      <c r="HUQ11" s="60"/>
      <c r="HUR11" s="60"/>
      <c r="HUS11" s="60"/>
      <c r="HUT11" s="60"/>
      <c r="HUU11" s="60"/>
      <c r="HUV11" s="60"/>
      <c r="HUW11" s="60"/>
      <c r="HUX11" s="60"/>
      <c r="HUY11" s="60"/>
      <c r="HUZ11" s="60"/>
      <c r="HVA11" s="60"/>
      <c r="HVB11" s="60"/>
      <c r="HVC11" s="60"/>
      <c r="HVD11" s="60"/>
      <c r="HVE11" s="60"/>
      <c r="HVF11" s="60"/>
      <c r="HVG11" s="60"/>
      <c r="HVH11" s="60"/>
      <c r="HVI11" s="60"/>
      <c r="HVJ11" s="60"/>
      <c r="HVK11" s="60"/>
      <c r="HVL11" s="60"/>
      <c r="HVM11" s="60"/>
      <c r="HVN11" s="60"/>
      <c r="HVO11" s="60"/>
      <c r="HVP11" s="60"/>
      <c r="HVQ11" s="60"/>
      <c r="HVR11" s="60"/>
      <c r="HVS11" s="60"/>
      <c r="HVT11" s="60"/>
      <c r="HVU11" s="60"/>
      <c r="HVV11" s="60"/>
      <c r="HVW11" s="60"/>
      <c r="HVX11" s="60"/>
      <c r="HVY11" s="60"/>
      <c r="HVZ11" s="60"/>
      <c r="HWA11" s="60"/>
      <c r="HWB11" s="60"/>
      <c r="HWC11" s="60"/>
      <c r="HWD11" s="60"/>
      <c r="HWE11" s="60"/>
      <c r="HWF11" s="60"/>
      <c r="HWG11" s="60"/>
      <c r="HWH11" s="60"/>
      <c r="HWI11" s="60"/>
      <c r="HWJ11" s="60"/>
      <c r="HWK11" s="60"/>
      <c r="HWL11" s="60"/>
      <c r="HWM11" s="60"/>
      <c r="HWN11" s="60"/>
      <c r="HWO11" s="60"/>
      <c r="HWP11" s="60"/>
      <c r="HWQ11" s="60"/>
      <c r="HWR11" s="60"/>
      <c r="HWS11" s="60"/>
      <c r="HWT11" s="60"/>
      <c r="HWU11" s="60"/>
      <c r="HWV11" s="60"/>
      <c r="HWW11" s="60"/>
      <c r="HWX11" s="60"/>
      <c r="HWY11" s="60"/>
      <c r="HWZ11" s="60"/>
      <c r="HXA11" s="60"/>
      <c r="HXB11" s="60"/>
      <c r="HXC11" s="60"/>
      <c r="HXD11" s="60"/>
      <c r="HXE11" s="60"/>
      <c r="HXF11" s="60"/>
      <c r="HXG11" s="60"/>
      <c r="HXH11" s="60"/>
      <c r="HXI11" s="60"/>
      <c r="HXJ11" s="60"/>
      <c r="HXK11" s="60"/>
      <c r="HXL11" s="60"/>
      <c r="HXM11" s="60"/>
      <c r="HXN11" s="60"/>
      <c r="HXO11" s="60"/>
      <c r="HXP11" s="60"/>
      <c r="HXQ11" s="60"/>
      <c r="HXR11" s="60"/>
      <c r="HXS11" s="60"/>
      <c r="HXT11" s="60"/>
      <c r="HXU11" s="60"/>
      <c r="HXV11" s="60"/>
      <c r="HXW11" s="60"/>
      <c r="HXX11" s="60"/>
      <c r="HXY11" s="60"/>
      <c r="HXZ11" s="60"/>
      <c r="HYA11" s="60"/>
      <c r="HYB11" s="60"/>
      <c r="HYC11" s="60"/>
      <c r="HYD11" s="60"/>
      <c r="HYE11" s="60"/>
      <c r="HYF11" s="60"/>
      <c r="HYG11" s="60"/>
      <c r="HYH11" s="60"/>
      <c r="HYI11" s="60"/>
      <c r="HYJ11" s="60"/>
      <c r="HYK11" s="60"/>
      <c r="HYL11" s="60"/>
      <c r="HYM11" s="60"/>
      <c r="HYN11" s="60"/>
      <c r="HYO11" s="60"/>
      <c r="HYP11" s="60"/>
      <c r="HYQ11" s="60"/>
      <c r="HYR11" s="60"/>
      <c r="HYS11" s="60"/>
      <c r="HYT11" s="60"/>
      <c r="HYU11" s="60"/>
      <c r="HYV11" s="60"/>
      <c r="HYW11" s="60"/>
      <c r="HYX11" s="60"/>
      <c r="HYY11" s="60"/>
      <c r="HYZ11" s="60"/>
      <c r="HZA11" s="60"/>
      <c r="HZB11" s="60"/>
      <c r="HZC11" s="60"/>
      <c r="HZD11" s="60"/>
      <c r="HZE11" s="60"/>
      <c r="HZF11" s="60"/>
      <c r="HZG11" s="60"/>
      <c r="HZH11" s="60"/>
      <c r="HZI11" s="60"/>
      <c r="HZJ11" s="60"/>
      <c r="HZK11" s="60"/>
      <c r="HZL11" s="60"/>
      <c r="HZM11" s="60"/>
      <c r="HZN11" s="60"/>
      <c r="HZO11" s="60"/>
      <c r="HZP11" s="60"/>
      <c r="HZQ11" s="60"/>
      <c r="HZR11" s="60"/>
      <c r="HZS11" s="60"/>
      <c r="HZT11" s="60"/>
      <c r="HZU11" s="60"/>
      <c r="HZV11" s="60"/>
      <c r="HZW11" s="60"/>
      <c r="HZX11" s="60"/>
      <c r="HZY11" s="60"/>
      <c r="HZZ11" s="60"/>
      <c r="IAA11" s="60"/>
      <c r="IAB11" s="60"/>
      <c r="IAC11" s="60"/>
      <c r="IAD11" s="60"/>
      <c r="IAE11" s="60"/>
      <c r="IAF11" s="60"/>
      <c r="IAG11" s="60"/>
      <c r="IAH11" s="60"/>
      <c r="IAI11" s="60"/>
      <c r="IAJ11" s="60"/>
      <c r="IAK11" s="60"/>
      <c r="IAL11" s="60"/>
      <c r="IAM11" s="60"/>
      <c r="IAN11" s="60"/>
      <c r="IAO11" s="60"/>
      <c r="IAP11" s="60"/>
      <c r="IAQ11" s="60"/>
      <c r="IAR11" s="60"/>
      <c r="IAS11" s="60"/>
      <c r="IAT11" s="60"/>
      <c r="IAU11" s="60"/>
      <c r="IAV11" s="60"/>
      <c r="IAW11" s="60"/>
      <c r="IAX11" s="60"/>
      <c r="IAY11" s="60"/>
      <c r="IAZ11" s="60"/>
      <c r="IBA11" s="60"/>
      <c r="IBB11" s="60"/>
      <c r="IBC11" s="60"/>
      <c r="IBD11" s="60"/>
      <c r="IBE11" s="60"/>
      <c r="IBF11" s="60"/>
      <c r="IBG11" s="60"/>
      <c r="IBH11" s="60"/>
      <c r="IBI11" s="60"/>
      <c r="IBJ11" s="60"/>
      <c r="IBK11" s="60"/>
      <c r="IBL11" s="60"/>
      <c r="IBM11" s="60"/>
      <c r="IBN11" s="60"/>
      <c r="IBO11" s="60"/>
      <c r="IBP11" s="60"/>
      <c r="IBQ11" s="60"/>
      <c r="IBR11" s="60"/>
      <c r="IBS11" s="60"/>
      <c r="IBT11" s="60"/>
      <c r="IBU11" s="60"/>
      <c r="IBV11" s="60"/>
      <c r="IBW11" s="60"/>
      <c r="IBX11" s="60"/>
      <c r="IBY11" s="60"/>
      <c r="IBZ11" s="60"/>
      <c r="ICA11" s="60"/>
      <c r="ICB11" s="60"/>
      <c r="ICC11" s="60"/>
      <c r="ICD11" s="60"/>
      <c r="ICE11" s="60"/>
      <c r="ICF11" s="60"/>
      <c r="ICG11" s="60"/>
      <c r="ICH11" s="60"/>
      <c r="ICI11" s="60"/>
      <c r="ICJ11" s="60"/>
      <c r="ICK11" s="60"/>
      <c r="ICL11" s="60"/>
      <c r="ICM11" s="60"/>
      <c r="ICN11" s="60"/>
      <c r="ICO11" s="60"/>
      <c r="ICP11" s="60"/>
      <c r="ICQ11" s="60"/>
      <c r="ICR11" s="60"/>
      <c r="ICS11" s="60"/>
      <c r="ICT11" s="60"/>
      <c r="ICU11" s="60"/>
      <c r="ICV11" s="60"/>
      <c r="ICW11" s="60"/>
      <c r="ICX11" s="60"/>
      <c r="ICY11" s="60"/>
      <c r="ICZ11" s="60"/>
      <c r="IDA11" s="60"/>
      <c r="IDB11" s="60"/>
      <c r="IDC11" s="60"/>
      <c r="IDD11" s="60"/>
      <c r="IDE11" s="60"/>
      <c r="IDF11" s="60"/>
      <c r="IDG11" s="60"/>
      <c r="IDH11" s="60"/>
      <c r="IDI11" s="60"/>
      <c r="IDJ11" s="60"/>
      <c r="IDK11" s="60"/>
      <c r="IDL11" s="60"/>
      <c r="IDM11" s="60"/>
      <c r="IDN11" s="60"/>
      <c r="IDO11" s="60"/>
      <c r="IDP11" s="60"/>
      <c r="IDQ11" s="60"/>
      <c r="IDR11" s="60"/>
      <c r="IDS11" s="60"/>
      <c r="IDT11" s="60"/>
      <c r="IDU11" s="60"/>
      <c r="IDV11" s="60"/>
      <c r="IDW11" s="60"/>
      <c r="IDX11" s="60"/>
      <c r="IDY11" s="60"/>
      <c r="IDZ11" s="60"/>
      <c r="IEA11" s="60"/>
      <c r="IEB11" s="60"/>
      <c r="IEC11" s="60"/>
      <c r="IED11" s="60"/>
      <c r="IEE11" s="60"/>
      <c r="IEF11" s="60"/>
      <c r="IEG11" s="60"/>
      <c r="IEH11" s="60"/>
      <c r="IEI11" s="60"/>
      <c r="IEJ11" s="60"/>
      <c r="IEK11" s="60"/>
      <c r="IEL11" s="60"/>
      <c r="IEM11" s="60"/>
      <c r="IEN11" s="60"/>
      <c r="IEO11" s="60"/>
      <c r="IEP11" s="60"/>
      <c r="IEQ11" s="60"/>
      <c r="IER11" s="60"/>
      <c r="IES11" s="60"/>
      <c r="IET11" s="60"/>
      <c r="IEU11" s="60"/>
      <c r="IEV11" s="60"/>
      <c r="IEW11" s="60"/>
      <c r="IEX11" s="60"/>
      <c r="IEY11" s="60"/>
      <c r="IEZ11" s="60"/>
      <c r="IFA11" s="60"/>
      <c r="IFB11" s="60"/>
      <c r="IFC11" s="60"/>
      <c r="IFD11" s="60"/>
      <c r="IFE11" s="60"/>
      <c r="IFF11" s="60"/>
      <c r="IFG11" s="60"/>
      <c r="IFH11" s="60"/>
      <c r="IFI11" s="60"/>
      <c r="IFJ11" s="60"/>
      <c r="IFK11" s="60"/>
      <c r="IFL11" s="60"/>
      <c r="IFM11" s="60"/>
      <c r="IFN11" s="60"/>
      <c r="IFO11" s="60"/>
      <c r="IFP11" s="60"/>
      <c r="IFQ11" s="60"/>
      <c r="IFR11" s="60"/>
      <c r="IFS11" s="60"/>
      <c r="IFT11" s="60"/>
      <c r="IFU11" s="60"/>
      <c r="IFV11" s="60"/>
      <c r="IFW11" s="60"/>
      <c r="IFX11" s="60"/>
      <c r="IFY11" s="60"/>
      <c r="IFZ11" s="60"/>
      <c r="IGA11" s="60"/>
      <c r="IGB11" s="60"/>
      <c r="IGC11" s="60"/>
      <c r="IGD11" s="60"/>
      <c r="IGE11" s="60"/>
      <c r="IGF11" s="60"/>
      <c r="IGG11" s="60"/>
      <c r="IGH11" s="60"/>
      <c r="IGI11" s="60"/>
      <c r="IGJ11" s="60"/>
      <c r="IGK11" s="60"/>
      <c r="IGL11" s="60"/>
      <c r="IGM11" s="60"/>
      <c r="IGN11" s="60"/>
      <c r="IGO11" s="60"/>
      <c r="IGP11" s="60"/>
      <c r="IGQ11" s="60"/>
      <c r="IGR11" s="60"/>
      <c r="IGS11" s="60"/>
      <c r="IGT11" s="60"/>
      <c r="IGU11" s="60"/>
      <c r="IGV11" s="60"/>
      <c r="IGW11" s="60"/>
      <c r="IGX11" s="60"/>
      <c r="IGY11" s="60"/>
      <c r="IGZ11" s="60"/>
      <c r="IHA11" s="60"/>
      <c r="IHB11" s="60"/>
      <c r="IHC11" s="60"/>
      <c r="IHD11" s="60"/>
      <c r="IHE11" s="60"/>
      <c r="IHF11" s="60"/>
      <c r="IHG11" s="60"/>
      <c r="IHH11" s="60"/>
      <c r="IHI11" s="60"/>
      <c r="IHJ11" s="60"/>
      <c r="IHK11" s="60"/>
      <c r="IHL11" s="60"/>
      <c r="IHM11" s="60"/>
      <c r="IHN11" s="60"/>
      <c r="IHO11" s="60"/>
      <c r="IHP11" s="60"/>
      <c r="IHQ11" s="60"/>
      <c r="IHR11" s="60"/>
      <c r="IHS11" s="60"/>
      <c r="IHT11" s="60"/>
      <c r="IHU11" s="60"/>
      <c r="IHV11" s="60"/>
      <c r="IHW11" s="60"/>
      <c r="IHX11" s="60"/>
      <c r="IHY11" s="60"/>
      <c r="IHZ11" s="60"/>
      <c r="IIA11" s="60"/>
      <c r="IIB11" s="60"/>
      <c r="IIC11" s="60"/>
      <c r="IID11" s="60"/>
      <c r="IIE11" s="60"/>
      <c r="IIF11" s="60"/>
      <c r="IIG11" s="60"/>
      <c r="IIH11" s="60"/>
      <c r="III11" s="60"/>
      <c r="IIJ11" s="60"/>
      <c r="IIK11" s="60"/>
      <c r="IIL11" s="60"/>
      <c r="IIM11" s="60"/>
      <c r="IIN11" s="60"/>
      <c r="IIO11" s="60"/>
      <c r="IIP11" s="60"/>
      <c r="IIQ11" s="60"/>
      <c r="IIR11" s="60"/>
      <c r="IIS11" s="60"/>
      <c r="IIT11" s="60"/>
      <c r="IIU11" s="60"/>
      <c r="IIV11" s="60"/>
      <c r="IIW11" s="60"/>
      <c r="IIX11" s="60"/>
      <c r="IIY11" s="60"/>
      <c r="IIZ11" s="60"/>
      <c r="IJA11" s="60"/>
      <c r="IJB11" s="60"/>
      <c r="IJC11" s="60"/>
      <c r="IJD11" s="60"/>
      <c r="IJE11" s="60"/>
      <c r="IJF11" s="60"/>
      <c r="IJG11" s="60"/>
      <c r="IJH11" s="60"/>
      <c r="IJI11" s="60"/>
      <c r="IJJ11" s="60"/>
      <c r="IJK11" s="60"/>
      <c r="IJL11" s="60"/>
      <c r="IJM11" s="60"/>
      <c r="IJN11" s="60"/>
      <c r="IJO11" s="60"/>
      <c r="IJP11" s="60"/>
      <c r="IJQ11" s="60"/>
      <c r="IJR11" s="60"/>
      <c r="IJS11" s="60"/>
      <c r="IJT11" s="60"/>
      <c r="IJU11" s="60"/>
      <c r="IJV11" s="60"/>
      <c r="IJW11" s="60"/>
      <c r="IJX11" s="60"/>
      <c r="IJY11" s="60"/>
      <c r="IJZ11" s="60"/>
      <c r="IKA11" s="60"/>
      <c r="IKB11" s="60"/>
      <c r="IKC11" s="60"/>
      <c r="IKD11" s="60"/>
      <c r="IKE11" s="60"/>
      <c r="IKF11" s="60"/>
      <c r="IKG11" s="60"/>
      <c r="IKH11" s="60"/>
      <c r="IKI11" s="60"/>
      <c r="IKJ11" s="60"/>
      <c r="IKK11" s="60"/>
      <c r="IKL11" s="60"/>
      <c r="IKM11" s="60"/>
      <c r="IKN11" s="60"/>
      <c r="IKO11" s="60"/>
      <c r="IKP11" s="60"/>
      <c r="IKQ11" s="60"/>
      <c r="IKR11" s="60"/>
      <c r="IKS11" s="60"/>
      <c r="IKT11" s="60"/>
      <c r="IKU11" s="60"/>
      <c r="IKV11" s="60"/>
      <c r="IKW11" s="60"/>
      <c r="IKX11" s="60"/>
      <c r="IKY11" s="60"/>
      <c r="IKZ11" s="60"/>
      <c r="ILA11" s="60"/>
      <c r="ILB11" s="60"/>
      <c r="ILC11" s="60"/>
      <c r="ILD11" s="60"/>
      <c r="ILE11" s="60"/>
      <c r="ILF11" s="60"/>
      <c r="ILG11" s="60"/>
      <c r="ILH11" s="60"/>
      <c r="ILI11" s="60"/>
      <c r="ILJ11" s="60"/>
      <c r="ILK11" s="60"/>
      <c r="ILL11" s="60"/>
      <c r="ILM11" s="60"/>
      <c r="ILN11" s="60"/>
      <c r="ILO11" s="60"/>
      <c r="ILP11" s="60"/>
      <c r="ILQ11" s="60"/>
      <c r="ILR11" s="60"/>
      <c r="ILS11" s="60"/>
      <c r="ILT11" s="60"/>
      <c r="ILU11" s="60"/>
      <c r="ILV11" s="60"/>
      <c r="ILW11" s="60"/>
      <c r="ILX11" s="60"/>
      <c r="ILY11" s="60"/>
      <c r="ILZ11" s="60"/>
      <c r="IMA11" s="60"/>
      <c r="IMB11" s="60"/>
      <c r="IMC11" s="60"/>
      <c r="IMD11" s="60"/>
      <c r="IME11" s="60"/>
      <c r="IMF11" s="60"/>
      <c r="IMG11" s="60"/>
      <c r="IMH11" s="60"/>
      <c r="IMI11" s="60"/>
      <c r="IMJ11" s="60"/>
      <c r="IMK11" s="60"/>
      <c r="IML11" s="60"/>
      <c r="IMM11" s="60"/>
      <c r="IMN11" s="60"/>
      <c r="IMO11" s="60"/>
      <c r="IMP11" s="60"/>
      <c r="IMQ11" s="60"/>
      <c r="IMR11" s="60"/>
      <c r="IMS11" s="60"/>
      <c r="IMT11" s="60"/>
      <c r="IMU11" s="60"/>
      <c r="IMV11" s="60"/>
      <c r="IMW11" s="60"/>
      <c r="IMX11" s="60"/>
      <c r="IMY11" s="60"/>
      <c r="IMZ11" s="60"/>
      <c r="INA11" s="60"/>
      <c r="INB11" s="60"/>
      <c r="INC11" s="60"/>
      <c r="IND11" s="60"/>
      <c r="INE11" s="60"/>
      <c r="INF11" s="60"/>
      <c r="ING11" s="60"/>
      <c r="INH11" s="60"/>
      <c r="INI11" s="60"/>
      <c r="INJ11" s="60"/>
      <c r="INK11" s="60"/>
      <c r="INL11" s="60"/>
      <c r="INM11" s="60"/>
      <c r="INN11" s="60"/>
      <c r="INO11" s="60"/>
      <c r="INP11" s="60"/>
      <c r="INQ11" s="60"/>
      <c r="INR11" s="60"/>
      <c r="INS11" s="60"/>
      <c r="INT11" s="60"/>
      <c r="INU11" s="60"/>
      <c r="INV11" s="60"/>
      <c r="INW11" s="60"/>
      <c r="INX11" s="60"/>
      <c r="INY11" s="60"/>
      <c r="INZ11" s="60"/>
      <c r="IOA11" s="60"/>
      <c r="IOB11" s="60"/>
      <c r="IOC11" s="60"/>
      <c r="IOD11" s="60"/>
      <c r="IOE11" s="60"/>
      <c r="IOF11" s="60"/>
      <c r="IOG11" s="60"/>
      <c r="IOH11" s="60"/>
      <c r="IOI11" s="60"/>
      <c r="IOJ11" s="60"/>
      <c r="IOK11" s="60"/>
      <c r="IOL11" s="60"/>
      <c r="IOM11" s="60"/>
      <c r="ION11" s="60"/>
      <c r="IOO11" s="60"/>
      <c r="IOP11" s="60"/>
      <c r="IOQ11" s="60"/>
      <c r="IOR11" s="60"/>
      <c r="IOS11" s="60"/>
      <c r="IOT11" s="60"/>
      <c r="IOU11" s="60"/>
      <c r="IOV11" s="60"/>
      <c r="IOW11" s="60"/>
      <c r="IOX11" s="60"/>
      <c r="IOY11" s="60"/>
      <c r="IOZ11" s="60"/>
      <c r="IPA11" s="60"/>
      <c r="IPB11" s="60"/>
      <c r="IPC11" s="60"/>
      <c r="IPD11" s="60"/>
      <c r="IPE11" s="60"/>
      <c r="IPF11" s="60"/>
      <c r="IPG11" s="60"/>
      <c r="IPH11" s="60"/>
      <c r="IPI11" s="60"/>
      <c r="IPJ11" s="60"/>
      <c r="IPK11" s="60"/>
      <c r="IPL11" s="60"/>
      <c r="IPM11" s="60"/>
      <c r="IPN11" s="60"/>
      <c r="IPO11" s="60"/>
      <c r="IPP11" s="60"/>
      <c r="IPQ11" s="60"/>
      <c r="IPR11" s="60"/>
      <c r="IPS11" s="60"/>
      <c r="IPT11" s="60"/>
      <c r="IPU11" s="60"/>
      <c r="IPV11" s="60"/>
      <c r="IPW11" s="60"/>
      <c r="IPX11" s="60"/>
      <c r="IPY11" s="60"/>
      <c r="IPZ11" s="60"/>
      <c r="IQA11" s="60"/>
      <c r="IQB11" s="60"/>
      <c r="IQC11" s="60"/>
      <c r="IQD11" s="60"/>
      <c r="IQE11" s="60"/>
      <c r="IQF11" s="60"/>
      <c r="IQG11" s="60"/>
      <c r="IQH11" s="60"/>
      <c r="IQI11" s="60"/>
      <c r="IQJ11" s="60"/>
      <c r="IQK11" s="60"/>
      <c r="IQL11" s="60"/>
      <c r="IQM11" s="60"/>
      <c r="IQN11" s="60"/>
      <c r="IQO11" s="60"/>
      <c r="IQP11" s="60"/>
      <c r="IQQ11" s="60"/>
      <c r="IQR11" s="60"/>
      <c r="IQS11" s="60"/>
      <c r="IQT11" s="60"/>
      <c r="IQU11" s="60"/>
      <c r="IQV11" s="60"/>
      <c r="IQW11" s="60"/>
      <c r="IQX11" s="60"/>
      <c r="IQY11" s="60"/>
      <c r="IQZ11" s="60"/>
      <c r="IRA11" s="60"/>
      <c r="IRB11" s="60"/>
      <c r="IRC11" s="60"/>
      <c r="IRD11" s="60"/>
      <c r="IRE11" s="60"/>
      <c r="IRF11" s="60"/>
      <c r="IRG11" s="60"/>
      <c r="IRH11" s="60"/>
      <c r="IRI11" s="60"/>
      <c r="IRJ11" s="60"/>
      <c r="IRK11" s="60"/>
      <c r="IRL11" s="60"/>
      <c r="IRM11" s="60"/>
      <c r="IRN11" s="60"/>
      <c r="IRO11" s="60"/>
      <c r="IRP11" s="60"/>
      <c r="IRQ11" s="60"/>
      <c r="IRR11" s="60"/>
      <c r="IRS11" s="60"/>
      <c r="IRT11" s="60"/>
      <c r="IRU11" s="60"/>
      <c r="IRV11" s="60"/>
      <c r="IRW11" s="60"/>
      <c r="IRX11" s="60"/>
      <c r="IRY11" s="60"/>
      <c r="IRZ11" s="60"/>
      <c r="ISA11" s="60"/>
      <c r="ISB11" s="60"/>
      <c r="ISC11" s="60"/>
      <c r="ISD11" s="60"/>
      <c r="ISE11" s="60"/>
      <c r="ISF11" s="60"/>
      <c r="ISG11" s="60"/>
      <c r="ISH11" s="60"/>
      <c r="ISI11" s="60"/>
      <c r="ISJ11" s="60"/>
      <c r="ISK11" s="60"/>
      <c r="ISL11" s="60"/>
      <c r="ISM11" s="60"/>
      <c r="ISN11" s="60"/>
      <c r="ISO11" s="60"/>
      <c r="ISP11" s="60"/>
      <c r="ISQ11" s="60"/>
      <c r="ISR11" s="60"/>
      <c r="ISS11" s="60"/>
      <c r="IST11" s="60"/>
      <c r="ISU11" s="60"/>
      <c r="ISV11" s="60"/>
      <c r="ISW11" s="60"/>
      <c r="ISX11" s="60"/>
      <c r="ISY11" s="60"/>
      <c r="ISZ11" s="60"/>
      <c r="ITA11" s="60"/>
      <c r="ITB11" s="60"/>
      <c r="ITC11" s="60"/>
      <c r="ITD11" s="60"/>
      <c r="ITE11" s="60"/>
      <c r="ITF11" s="60"/>
      <c r="ITG11" s="60"/>
      <c r="ITH11" s="60"/>
      <c r="ITI11" s="60"/>
      <c r="ITJ11" s="60"/>
      <c r="ITK11" s="60"/>
      <c r="ITL11" s="60"/>
      <c r="ITM11" s="60"/>
      <c r="ITN11" s="60"/>
      <c r="ITO11" s="60"/>
      <c r="ITP11" s="60"/>
      <c r="ITQ11" s="60"/>
      <c r="ITR11" s="60"/>
      <c r="ITS11" s="60"/>
      <c r="ITT11" s="60"/>
      <c r="ITU11" s="60"/>
      <c r="ITV11" s="60"/>
      <c r="ITW11" s="60"/>
      <c r="ITX11" s="60"/>
      <c r="ITY11" s="60"/>
      <c r="ITZ11" s="60"/>
      <c r="IUA11" s="60"/>
      <c r="IUB11" s="60"/>
      <c r="IUC11" s="60"/>
      <c r="IUD11" s="60"/>
      <c r="IUE11" s="60"/>
      <c r="IUF11" s="60"/>
      <c r="IUG11" s="60"/>
      <c r="IUH11" s="60"/>
      <c r="IUI11" s="60"/>
      <c r="IUJ11" s="60"/>
      <c r="IUK11" s="60"/>
      <c r="IUL11" s="60"/>
      <c r="IUM11" s="60"/>
      <c r="IUN11" s="60"/>
      <c r="IUO11" s="60"/>
      <c r="IUP11" s="60"/>
      <c r="IUQ11" s="60"/>
      <c r="IUR11" s="60"/>
      <c r="IUS11" s="60"/>
      <c r="IUT11" s="60"/>
      <c r="IUU11" s="60"/>
      <c r="IUV11" s="60"/>
      <c r="IUW11" s="60"/>
      <c r="IUX11" s="60"/>
      <c r="IUY11" s="60"/>
      <c r="IUZ11" s="60"/>
      <c r="IVA11" s="60"/>
      <c r="IVB11" s="60"/>
      <c r="IVC11" s="60"/>
      <c r="IVD11" s="60"/>
      <c r="IVE11" s="60"/>
      <c r="IVF11" s="60"/>
      <c r="IVG11" s="60"/>
      <c r="IVH11" s="60"/>
      <c r="IVI11" s="60"/>
      <c r="IVJ11" s="60"/>
      <c r="IVK11" s="60"/>
      <c r="IVL11" s="60"/>
      <c r="IVM11" s="60"/>
      <c r="IVN11" s="60"/>
      <c r="IVO11" s="60"/>
      <c r="IVP11" s="60"/>
      <c r="IVQ11" s="60"/>
      <c r="IVR11" s="60"/>
      <c r="IVS11" s="60"/>
      <c r="IVT11" s="60"/>
      <c r="IVU11" s="60"/>
      <c r="IVV11" s="60"/>
      <c r="IVW11" s="60"/>
      <c r="IVX11" s="60"/>
      <c r="IVY11" s="60"/>
      <c r="IVZ11" s="60"/>
      <c r="IWA11" s="60"/>
      <c r="IWB11" s="60"/>
      <c r="IWC11" s="60"/>
      <c r="IWD11" s="60"/>
      <c r="IWE11" s="60"/>
      <c r="IWF11" s="60"/>
      <c r="IWG11" s="60"/>
      <c r="IWH11" s="60"/>
      <c r="IWI11" s="60"/>
      <c r="IWJ11" s="60"/>
      <c r="IWK11" s="60"/>
      <c r="IWL11" s="60"/>
      <c r="IWM11" s="60"/>
      <c r="IWN11" s="60"/>
      <c r="IWO11" s="60"/>
      <c r="IWP11" s="60"/>
      <c r="IWQ11" s="60"/>
      <c r="IWR11" s="60"/>
      <c r="IWS11" s="60"/>
      <c r="IWT11" s="60"/>
      <c r="IWU11" s="60"/>
      <c r="IWV11" s="60"/>
      <c r="IWW11" s="60"/>
      <c r="IWX11" s="60"/>
      <c r="IWY11" s="60"/>
      <c r="IWZ11" s="60"/>
      <c r="IXA11" s="60"/>
      <c r="IXB11" s="60"/>
      <c r="IXC11" s="60"/>
      <c r="IXD11" s="60"/>
      <c r="IXE11" s="60"/>
      <c r="IXF11" s="60"/>
      <c r="IXG11" s="60"/>
      <c r="IXH11" s="60"/>
      <c r="IXI11" s="60"/>
      <c r="IXJ11" s="60"/>
      <c r="IXK11" s="60"/>
      <c r="IXL11" s="60"/>
      <c r="IXM11" s="60"/>
      <c r="IXN11" s="60"/>
      <c r="IXO11" s="60"/>
      <c r="IXP11" s="60"/>
      <c r="IXQ11" s="60"/>
      <c r="IXR11" s="60"/>
      <c r="IXS11" s="60"/>
      <c r="IXT11" s="60"/>
      <c r="IXU11" s="60"/>
      <c r="IXV11" s="60"/>
      <c r="IXW11" s="60"/>
      <c r="IXX11" s="60"/>
      <c r="IXY11" s="60"/>
      <c r="IXZ11" s="60"/>
      <c r="IYA11" s="60"/>
      <c r="IYB11" s="60"/>
      <c r="IYC11" s="60"/>
      <c r="IYD11" s="60"/>
      <c r="IYE11" s="60"/>
      <c r="IYF11" s="60"/>
      <c r="IYG11" s="60"/>
      <c r="IYH11" s="60"/>
      <c r="IYI11" s="60"/>
      <c r="IYJ11" s="60"/>
      <c r="IYK11" s="60"/>
      <c r="IYL11" s="60"/>
      <c r="IYM11" s="60"/>
      <c r="IYN11" s="60"/>
      <c r="IYO11" s="60"/>
      <c r="IYP11" s="60"/>
      <c r="IYQ11" s="60"/>
      <c r="IYR11" s="60"/>
      <c r="IYS11" s="60"/>
      <c r="IYT11" s="60"/>
      <c r="IYU11" s="60"/>
      <c r="IYV11" s="60"/>
      <c r="IYW11" s="60"/>
      <c r="IYX11" s="60"/>
      <c r="IYY11" s="60"/>
      <c r="IYZ11" s="60"/>
      <c r="IZA11" s="60"/>
      <c r="IZB11" s="60"/>
      <c r="IZC11" s="60"/>
      <c r="IZD11" s="60"/>
      <c r="IZE11" s="60"/>
      <c r="IZF11" s="60"/>
      <c r="IZG11" s="60"/>
      <c r="IZH11" s="60"/>
      <c r="IZI11" s="60"/>
      <c r="IZJ11" s="60"/>
      <c r="IZK11" s="60"/>
      <c r="IZL11" s="60"/>
      <c r="IZM11" s="60"/>
      <c r="IZN11" s="60"/>
      <c r="IZO11" s="60"/>
      <c r="IZP11" s="60"/>
      <c r="IZQ11" s="60"/>
      <c r="IZR11" s="60"/>
      <c r="IZS11" s="60"/>
      <c r="IZT11" s="60"/>
      <c r="IZU11" s="60"/>
      <c r="IZV11" s="60"/>
      <c r="IZW11" s="60"/>
      <c r="IZX11" s="60"/>
      <c r="IZY11" s="60"/>
      <c r="IZZ11" s="60"/>
      <c r="JAA11" s="60"/>
      <c r="JAB11" s="60"/>
      <c r="JAC11" s="60"/>
      <c r="JAD11" s="60"/>
      <c r="JAE11" s="60"/>
      <c r="JAF11" s="60"/>
      <c r="JAG11" s="60"/>
      <c r="JAH11" s="60"/>
      <c r="JAI11" s="60"/>
      <c r="JAJ11" s="60"/>
      <c r="JAK11" s="60"/>
      <c r="JAL11" s="60"/>
      <c r="JAM11" s="60"/>
      <c r="JAN11" s="60"/>
      <c r="JAO11" s="60"/>
      <c r="JAP11" s="60"/>
      <c r="JAQ11" s="60"/>
      <c r="JAR11" s="60"/>
      <c r="JAS11" s="60"/>
      <c r="JAT11" s="60"/>
      <c r="JAU11" s="60"/>
      <c r="JAV11" s="60"/>
      <c r="JAW11" s="60"/>
      <c r="JAX11" s="60"/>
      <c r="JAY11" s="60"/>
      <c r="JAZ11" s="60"/>
      <c r="JBA11" s="60"/>
      <c r="JBB11" s="60"/>
      <c r="JBC11" s="60"/>
      <c r="JBD11" s="60"/>
      <c r="JBE11" s="60"/>
      <c r="JBF11" s="60"/>
      <c r="JBG11" s="60"/>
      <c r="JBH11" s="60"/>
      <c r="JBI11" s="60"/>
      <c r="JBJ11" s="60"/>
      <c r="JBK11" s="60"/>
      <c r="JBL11" s="60"/>
      <c r="JBM11" s="60"/>
      <c r="JBN11" s="60"/>
      <c r="JBO11" s="60"/>
      <c r="JBP11" s="60"/>
      <c r="JBQ11" s="60"/>
      <c r="JBR11" s="60"/>
      <c r="JBS11" s="60"/>
      <c r="JBT11" s="60"/>
      <c r="JBU11" s="60"/>
      <c r="JBV11" s="60"/>
      <c r="JBW11" s="60"/>
      <c r="JBX11" s="60"/>
      <c r="JBY11" s="60"/>
      <c r="JBZ11" s="60"/>
      <c r="JCA11" s="60"/>
      <c r="JCB11" s="60"/>
      <c r="JCC11" s="60"/>
      <c r="JCD11" s="60"/>
      <c r="JCE11" s="60"/>
      <c r="JCF11" s="60"/>
      <c r="JCG11" s="60"/>
      <c r="JCH11" s="60"/>
      <c r="JCI11" s="60"/>
      <c r="JCJ11" s="60"/>
      <c r="JCK11" s="60"/>
      <c r="JCL11" s="60"/>
      <c r="JCM11" s="60"/>
      <c r="JCN11" s="60"/>
      <c r="JCO11" s="60"/>
      <c r="JCP11" s="60"/>
      <c r="JCQ11" s="60"/>
      <c r="JCR11" s="60"/>
      <c r="JCS11" s="60"/>
      <c r="JCT11" s="60"/>
      <c r="JCU11" s="60"/>
      <c r="JCV11" s="60"/>
      <c r="JCW11" s="60"/>
      <c r="JCX11" s="60"/>
      <c r="JCY11" s="60"/>
      <c r="JCZ11" s="60"/>
      <c r="JDA11" s="60"/>
      <c r="JDB11" s="60"/>
      <c r="JDC11" s="60"/>
      <c r="JDD11" s="60"/>
      <c r="JDE11" s="60"/>
      <c r="JDF11" s="60"/>
      <c r="JDG11" s="60"/>
      <c r="JDH11" s="60"/>
      <c r="JDI11" s="60"/>
      <c r="JDJ11" s="60"/>
      <c r="JDK11" s="60"/>
      <c r="JDL11" s="60"/>
      <c r="JDM11" s="60"/>
      <c r="JDN11" s="60"/>
      <c r="JDO11" s="60"/>
      <c r="JDP11" s="60"/>
      <c r="JDQ11" s="60"/>
      <c r="JDR11" s="60"/>
      <c r="JDS11" s="60"/>
      <c r="JDT11" s="60"/>
      <c r="JDU11" s="60"/>
      <c r="JDV11" s="60"/>
      <c r="JDW11" s="60"/>
      <c r="JDX11" s="60"/>
      <c r="JDY11" s="60"/>
      <c r="JDZ11" s="60"/>
      <c r="JEA11" s="60"/>
      <c r="JEB11" s="60"/>
      <c r="JEC11" s="60"/>
      <c r="JED11" s="60"/>
      <c r="JEE11" s="60"/>
      <c r="JEF11" s="60"/>
      <c r="JEG11" s="60"/>
      <c r="JEH11" s="60"/>
      <c r="JEI11" s="60"/>
      <c r="JEJ11" s="60"/>
      <c r="JEK11" s="60"/>
      <c r="JEL11" s="60"/>
      <c r="JEM11" s="60"/>
      <c r="JEN11" s="60"/>
      <c r="JEO11" s="60"/>
      <c r="JEP11" s="60"/>
      <c r="JEQ11" s="60"/>
      <c r="JER11" s="60"/>
      <c r="JES11" s="60"/>
      <c r="JET11" s="60"/>
      <c r="JEU11" s="60"/>
      <c r="JEV11" s="60"/>
      <c r="JEW11" s="60"/>
      <c r="JEX11" s="60"/>
      <c r="JEY11" s="60"/>
      <c r="JEZ11" s="60"/>
      <c r="JFA11" s="60"/>
      <c r="JFB11" s="60"/>
      <c r="JFC11" s="60"/>
      <c r="JFD11" s="60"/>
      <c r="JFE11" s="60"/>
      <c r="JFF11" s="60"/>
      <c r="JFG11" s="60"/>
      <c r="JFH11" s="60"/>
      <c r="JFI11" s="60"/>
      <c r="JFJ11" s="60"/>
      <c r="JFK11" s="60"/>
      <c r="JFL11" s="60"/>
      <c r="JFM11" s="60"/>
      <c r="JFN11" s="60"/>
      <c r="JFO11" s="60"/>
      <c r="JFP11" s="60"/>
      <c r="JFQ11" s="60"/>
      <c r="JFR11" s="60"/>
      <c r="JFS11" s="60"/>
      <c r="JFT11" s="60"/>
      <c r="JFU11" s="60"/>
      <c r="JFV11" s="60"/>
      <c r="JFW11" s="60"/>
      <c r="JFX11" s="60"/>
      <c r="JFY11" s="60"/>
      <c r="JFZ11" s="60"/>
      <c r="JGA11" s="60"/>
      <c r="JGB11" s="60"/>
      <c r="JGC11" s="60"/>
      <c r="JGD11" s="60"/>
      <c r="JGE11" s="60"/>
      <c r="JGF11" s="60"/>
      <c r="JGG11" s="60"/>
      <c r="JGH11" s="60"/>
      <c r="JGI11" s="60"/>
      <c r="JGJ11" s="60"/>
      <c r="JGK11" s="60"/>
      <c r="JGL11" s="60"/>
      <c r="JGM11" s="60"/>
      <c r="JGN11" s="60"/>
      <c r="JGO11" s="60"/>
      <c r="JGP11" s="60"/>
      <c r="JGQ11" s="60"/>
      <c r="JGR11" s="60"/>
      <c r="JGS11" s="60"/>
      <c r="JGT11" s="60"/>
      <c r="JGU11" s="60"/>
      <c r="JGV11" s="60"/>
      <c r="JGW11" s="60"/>
      <c r="JGX11" s="60"/>
      <c r="JGY11" s="60"/>
      <c r="JGZ11" s="60"/>
      <c r="JHA11" s="60"/>
      <c r="JHB11" s="60"/>
      <c r="JHC11" s="60"/>
      <c r="JHD11" s="60"/>
      <c r="JHE11" s="60"/>
      <c r="JHF11" s="60"/>
      <c r="JHG11" s="60"/>
      <c r="JHH11" s="60"/>
      <c r="JHI11" s="60"/>
      <c r="JHJ11" s="60"/>
      <c r="JHK11" s="60"/>
      <c r="JHL11" s="60"/>
      <c r="JHM11" s="60"/>
      <c r="JHN11" s="60"/>
      <c r="JHO11" s="60"/>
      <c r="JHP11" s="60"/>
      <c r="JHQ11" s="60"/>
      <c r="JHR11" s="60"/>
      <c r="JHS11" s="60"/>
      <c r="JHT11" s="60"/>
      <c r="JHU11" s="60"/>
      <c r="JHV11" s="60"/>
      <c r="JHW11" s="60"/>
      <c r="JHX11" s="60"/>
      <c r="JHY11" s="60"/>
      <c r="JHZ11" s="60"/>
      <c r="JIA11" s="60"/>
      <c r="JIB11" s="60"/>
      <c r="JIC11" s="60"/>
      <c r="JID11" s="60"/>
      <c r="JIE11" s="60"/>
      <c r="JIF11" s="60"/>
      <c r="JIG11" s="60"/>
      <c r="JIH11" s="60"/>
      <c r="JII11" s="60"/>
      <c r="JIJ11" s="60"/>
      <c r="JIK11" s="60"/>
      <c r="JIL11" s="60"/>
      <c r="JIM11" s="60"/>
      <c r="JIN11" s="60"/>
      <c r="JIO11" s="60"/>
      <c r="JIP11" s="60"/>
      <c r="JIQ11" s="60"/>
      <c r="JIR11" s="60"/>
      <c r="JIS11" s="60"/>
      <c r="JIT11" s="60"/>
      <c r="JIU11" s="60"/>
      <c r="JIV11" s="60"/>
      <c r="JIW11" s="60"/>
      <c r="JIX11" s="60"/>
      <c r="JIY11" s="60"/>
      <c r="JIZ11" s="60"/>
      <c r="JJA11" s="60"/>
      <c r="JJB11" s="60"/>
      <c r="JJC11" s="60"/>
      <c r="JJD11" s="60"/>
      <c r="JJE11" s="60"/>
      <c r="JJF11" s="60"/>
      <c r="JJG11" s="60"/>
      <c r="JJH11" s="60"/>
      <c r="JJI11" s="60"/>
      <c r="JJJ11" s="60"/>
      <c r="JJK11" s="60"/>
      <c r="JJL11" s="60"/>
      <c r="JJM11" s="60"/>
      <c r="JJN11" s="60"/>
      <c r="JJO11" s="60"/>
      <c r="JJP11" s="60"/>
      <c r="JJQ11" s="60"/>
      <c r="JJR11" s="60"/>
      <c r="JJS11" s="60"/>
      <c r="JJT11" s="60"/>
      <c r="JJU11" s="60"/>
      <c r="JJV11" s="60"/>
      <c r="JJW11" s="60"/>
      <c r="JJX11" s="60"/>
      <c r="JJY11" s="60"/>
      <c r="JJZ11" s="60"/>
      <c r="JKA11" s="60"/>
      <c r="JKB11" s="60"/>
      <c r="JKC11" s="60"/>
      <c r="JKD11" s="60"/>
      <c r="JKE11" s="60"/>
      <c r="JKF11" s="60"/>
      <c r="JKG11" s="60"/>
      <c r="JKH11" s="60"/>
      <c r="JKI11" s="60"/>
      <c r="JKJ11" s="60"/>
      <c r="JKK11" s="60"/>
      <c r="JKL11" s="60"/>
      <c r="JKM11" s="60"/>
      <c r="JKN11" s="60"/>
      <c r="JKO11" s="60"/>
      <c r="JKP11" s="60"/>
      <c r="JKQ11" s="60"/>
      <c r="JKR11" s="60"/>
      <c r="JKS11" s="60"/>
      <c r="JKT11" s="60"/>
      <c r="JKU11" s="60"/>
      <c r="JKV11" s="60"/>
      <c r="JKW11" s="60"/>
      <c r="JKX11" s="60"/>
      <c r="JKY11" s="60"/>
      <c r="JKZ11" s="60"/>
      <c r="JLA11" s="60"/>
      <c r="JLB11" s="60"/>
      <c r="JLC11" s="60"/>
      <c r="JLD11" s="60"/>
      <c r="JLE11" s="60"/>
      <c r="JLF11" s="60"/>
      <c r="JLG11" s="60"/>
      <c r="JLH11" s="60"/>
      <c r="JLI11" s="60"/>
      <c r="JLJ11" s="60"/>
      <c r="JLK11" s="60"/>
      <c r="JLL11" s="60"/>
      <c r="JLM11" s="60"/>
      <c r="JLN11" s="60"/>
      <c r="JLO11" s="60"/>
      <c r="JLP11" s="60"/>
      <c r="JLQ11" s="60"/>
      <c r="JLR11" s="60"/>
      <c r="JLS11" s="60"/>
      <c r="JLT11" s="60"/>
      <c r="JLU11" s="60"/>
      <c r="JLV11" s="60"/>
      <c r="JLW11" s="60"/>
      <c r="JLX11" s="60"/>
      <c r="JLY11" s="60"/>
      <c r="JLZ11" s="60"/>
      <c r="JMA11" s="60"/>
      <c r="JMB11" s="60"/>
      <c r="JMC11" s="60"/>
      <c r="JMD11" s="60"/>
      <c r="JME11" s="60"/>
      <c r="JMF11" s="60"/>
      <c r="JMG11" s="60"/>
      <c r="JMH11" s="60"/>
      <c r="JMI11" s="60"/>
      <c r="JMJ11" s="60"/>
      <c r="JMK11" s="60"/>
      <c r="JML11" s="60"/>
      <c r="JMM11" s="60"/>
      <c r="JMN11" s="60"/>
      <c r="JMO11" s="60"/>
      <c r="JMP11" s="60"/>
      <c r="JMQ11" s="60"/>
      <c r="JMR11" s="60"/>
      <c r="JMS11" s="60"/>
      <c r="JMT11" s="60"/>
      <c r="JMU11" s="60"/>
      <c r="JMV11" s="60"/>
      <c r="JMW11" s="60"/>
      <c r="JMX11" s="60"/>
      <c r="JMY11" s="60"/>
      <c r="JMZ11" s="60"/>
      <c r="JNA11" s="60"/>
      <c r="JNB11" s="60"/>
      <c r="JNC11" s="60"/>
      <c r="JND11" s="60"/>
      <c r="JNE11" s="60"/>
      <c r="JNF11" s="60"/>
      <c r="JNG11" s="60"/>
      <c r="JNH11" s="60"/>
      <c r="JNI11" s="60"/>
      <c r="JNJ11" s="60"/>
      <c r="JNK11" s="60"/>
      <c r="JNL11" s="60"/>
      <c r="JNM11" s="60"/>
      <c r="JNN11" s="60"/>
      <c r="JNO11" s="60"/>
      <c r="JNP11" s="60"/>
      <c r="JNQ11" s="60"/>
      <c r="JNR11" s="60"/>
      <c r="JNS11" s="60"/>
      <c r="JNT11" s="60"/>
      <c r="JNU11" s="60"/>
      <c r="JNV11" s="60"/>
      <c r="JNW11" s="60"/>
      <c r="JNX11" s="60"/>
      <c r="JNY11" s="60"/>
      <c r="JNZ11" s="60"/>
      <c r="JOA11" s="60"/>
      <c r="JOB11" s="60"/>
      <c r="JOC11" s="60"/>
      <c r="JOD11" s="60"/>
      <c r="JOE11" s="60"/>
      <c r="JOF11" s="60"/>
      <c r="JOG11" s="60"/>
      <c r="JOH11" s="60"/>
      <c r="JOI11" s="60"/>
      <c r="JOJ11" s="60"/>
      <c r="JOK11" s="60"/>
      <c r="JOL11" s="60"/>
      <c r="JOM11" s="60"/>
      <c r="JON11" s="60"/>
      <c r="JOO11" s="60"/>
      <c r="JOP11" s="60"/>
      <c r="JOQ11" s="60"/>
      <c r="JOR11" s="60"/>
      <c r="JOS11" s="60"/>
      <c r="JOT11" s="60"/>
      <c r="JOU11" s="60"/>
      <c r="JOV11" s="60"/>
      <c r="JOW11" s="60"/>
      <c r="JOX11" s="60"/>
      <c r="JOY11" s="60"/>
      <c r="JOZ11" s="60"/>
      <c r="JPA11" s="60"/>
      <c r="JPB11" s="60"/>
      <c r="JPC11" s="60"/>
      <c r="JPD11" s="60"/>
      <c r="JPE11" s="60"/>
      <c r="JPF11" s="60"/>
      <c r="JPG11" s="60"/>
      <c r="JPH11" s="60"/>
      <c r="JPI11" s="60"/>
      <c r="JPJ11" s="60"/>
      <c r="JPK11" s="60"/>
      <c r="JPL11" s="60"/>
      <c r="JPM11" s="60"/>
      <c r="JPN11" s="60"/>
      <c r="JPO11" s="60"/>
      <c r="JPP11" s="60"/>
      <c r="JPQ11" s="60"/>
      <c r="JPR11" s="60"/>
      <c r="JPS11" s="60"/>
      <c r="JPT11" s="60"/>
      <c r="JPU11" s="60"/>
      <c r="JPV11" s="60"/>
      <c r="JPW11" s="60"/>
      <c r="JPX11" s="60"/>
      <c r="JPY11" s="60"/>
      <c r="JPZ11" s="60"/>
      <c r="JQA11" s="60"/>
      <c r="JQB11" s="60"/>
      <c r="JQC11" s="60"/>
      <c r="JQD11" s="60"/>
      <c r="JQE11" s="60"/>
      <c r="JQF11" s="60"/>
      <c r="JQG11" s="60"/>
      <c r="JQH11" s="60"/>
      <c r="JQI11" s="60"/>
      <c r="JQJ11" s="60"/>
      <c r="JQK11" s="60"/>
      <c r="JQL11" s="60"/>
      <c r="JQM11" s="60"/>
      <c r="JQN11" s="60"/>
      <c r="JQO11" s="60"/>
      <c r="JQP11" s="60"/>
      <c r="JQQ11" s="60"/>
      <c r="JQR11" s="60"/>
      <c r="JQS11" s="60"/>
      <c r="JQT11" s="60"/>
      <c r="JQU11" s="60"/>
      <c r="JQV11" s="60"/>
      <c r="JQW11" s="60"/>
      <c r="JQX11" s="60"/>
      <c r="JQY11" s="60"/>
      <c r="JQZ11" s="60"/>
      <c r="JRA11" s="60"/>
      <c r="JRB11" s="60"/>
      <c r="JRC11" s="60"/>
      <c r="JRD11" s="60"/>
      <c r="JRE11" s="60"/>
      <c r="JRF11" s="60"/>
      <c r="JRG11" s="60"/>
      <c r="JRH11" s="60"/>
      <c r="JRI11" s="60"/>
      <c r="JRJ11" s="60"/>
      <c r="JRK11" s="60"/>
      <c r="JRL11" s="60"/>
      <c r="JRM11" s="60"/>
      <c r="JRN11" s="60"/>
      <c r="JRO11" s="60"/>
      <c r="JRP11" s="60"/>
      <c r="JRQ11" s="60"/>
      <c r="JRR11" s="60"/>
      <c r="JRS11" s="60"/>
      <c r="JRT11" s="60"/>
      <c r="JRU11" s="60"/>
      <c r="JRV11" s="60"/>
      <c r="JRW11" s="60"/>
      <c r="JRX11" s="60"/>
      <c r="JRY11" s="60"/>
      <c r="JRZ11" s="60"/>
      <c r="JSA11" s="60"/>
      <c r="JSB11" s="60"/>
      <c r="JSC11" s="60"/>
      <c r="JSD11" s="60"/>
      <c r="JSE11" s="60"/>
      <c r="JSF11" s="60"/>
      <c r="JSG11" s="60"/>
      <c r="JSH11" s="60"/>
      <c r="JSI11" s="60"/>
      <c r="JSJ11" s="60"/>
      <c r="JSK11" s="60"/>
      <c r="JSL11" s="60"/>
      <c r="JSM11" s="60"/>
      <c r="JSN11" s="60"/>
      <c r="JSO11" s="60"/>
      <c r="JSP11" s="60"/>
      <c r="JSQ11" s="60"/>
      <c r="JSR11" s="60"/>
      <c r="JSS11" s="60"/>
      <c r="JST11" s="60"/>
      <c r="JSU11" s="60"/>
      <c r="JSV11" s="60"/>
      <c r="JSW11" s="60"/>
      <c r="JSX11" s="60"/>
      <c r="JSY11" s="60"/>
      <c r="JSZ11" s="60"/>
      <c r="JTA11" s="60"/>
      <c r="JTB11" s="60"/>
      <c r="JTC11" s="60"/>
      <c r="JTD11" s="60"/>
      <c r="JTE11" s="60"/>
      <c r="JTF11" s="60"/>
      <c r="JTG11" s="60"/>
      <c r="JTH11" s="60"/>
      <c r="JTI11" s="60"/>
      <c r="JTJ11" s="60"/>
      <c r="JTK11" s="60"/>
      <c r="JTL11" s="60"/>
      <c r="JTM11" s="60"/>
      <c r="JTN11" s="60"/>
      <c r="JTO11" s="60"/>
      <c r="JTP11" s="60"/>
      <c r="JTQ11" s="60"/>
      <c r="JTR11" s="60"/>
      <c r="JTS11" s="60"/>
      <c r="JTT11" s="60"/>
      <c r="JTU11" s="60"/>
      <c r="JTV11" s="60"/>
      <c r="JTW11" s="60"/>
      <c r="JTX11" s="60"/>
      <c r="JTY11" s="60"/>
      <c r="JTZ11" s="60"/>
      <c r="JUA11" s="60"/>
      <c r="JUB11" s="60"/>
      <c r="JUC11" s="60"/>
      <c r="JUD11" s="60"/>
      <c r="JUE11" s="60"/>
      <c r="JUF11" s="60"/>
      <c r="JUG11" s="60"/>
      <c r="JUH11" s="60"/>
      <c r="JUI11" s="60"/>
      <c r="JUJ11" s="60"/>
      <c r="JUK11" s="60"/>
      <c r="JUL11" s="60"/>
      <c r="JUM11" s="60"/>
      <c r="JUN11" s="60"/>
      <c r="JUO11" s="60"/>
      <c r="JUP11" s="60"/>
      <c r="JUQ11" s="60"/>
      <c r="JUR11" s="60"/>
      <c r="JUS11" s="60"/>
      <c r="JUT11" s="60"/>
      <c r="JUU11" s="60"/>
      <c r="JUV11" s="60"/>
      <c r="JUW11" s="60"/>
      <c r="JUX11" s="60"/>
      <c r="JUY11" s="60"/>
      <c r="JUZ11" s="60"/>
      <c r="JVA11" s="60"/>
      <c r="JVB11" s="60"/>
      <c r="JVC11" s="60"/>
      <c r="JVD11" s="60"/>
      <c r="JVE11" s="60"/>
      <c r="JVF11" s="60"/>
      <c r="JVG11" s="60"/>
      <c r="JVH11" s="60"/>
      <c r="JVI11" s="60"/>
      <c r="JVJ11" s="60"/>
      <c r="JVK11" s="60"/>
      <c r="JVL11" s="60"/>
      <c r="JVM11" s="60"/>
      <c r="JVN11" s="60"/>
      <c r="JVO11" s="60"/>
      <c r="JVP11" s="60"/>
      <c r="JVQ11" s="60"/>
      <c r="JVR11" s="60"/>
      <c r="JVS11" s="60"/>
      <c r="JVT11" s="60"/>
      <c r="JVU11" s="60"/>
      <c r="JVV11" s="60"/>
      <c r="JVW11" s="60"/>
      <c r="JVX11" s="60"/>
      <c r="JVY11" s="60"/>
      <c r="JVZ11" s="60"/>
      <c r="JWA11" s="60"/>
      <c r="JWB11" s="60"/>
      <c r="JWC11" s="60"/>
      <c r="JWD11" s="60"/>
      <c r="JWE11" s="60"/>
      <c r="JWF11" s="60"/>
      <c r="JWG11" s="60"/>
      <c r="JWH11" s="60"/>
      <c r="JWI11" s="60"/>
      <c r="JWJ11" s="60"/>
      <c r="JWK11" s="60"/>
      <c r="JWL11" s="60"/>
      <c r="JWM11" s="60"/>
      <c r="JWN11" s="60"/>
      <c r="JWO11" s="60"/>
      <c r="JWP11" s="60"/>
      <c r="JWQ11" s="60"/>
      <c r="JWR11" s="60"/>
      <c r="JWS11" s="60"/>
      <c r="JWT11" s="60"/>
      <c r="JWU11" s="60"/>
      <c r="JWV11" s="60"/>
      <c r="JWW11" s="60"/>
      <c r="JWX11" s="60"/>
      <c r="JWY11" s="60"/>
      <c r="JWZ11" s="60"/>
      <c r="JXA11" s="60"/>
      <c r="JXB11" s="60"/>
      <c r="JXC11" s="60"/>
      <c r="JXD11" s="60"/>
      <c r="JXE11" s="60"/>
      <c r="JXF11" s="60"/>
      <c r="JXG11" s="60"/>
      <c r="JXH11" s="60"/>
      <c r="JXI11" s="60"/>
      <c r="JXJ11" s="60"/>
      <c r="JXK11" s="60"/>
      <c r="JXL11" s="60"/>
      <c r="JXM11" s="60"/>
      <c r="JXN11" s="60"/>
      <c r="JXO11" s="60"/>
      <c r="JXP11" s="60"/>
      <c r="JXQ11" s="60"/>
      <c r="JXR11" s="60"/>
      <c r="JXS11" s="60"/>
      <c r="JXT11" s="60"/>
      <c r="JXU11" s="60"/>
      <c r="JXV11" s="60"/>
      <c r="JXW11" s="60"/>
      <c r="JXX11" s="60"/>
      <c r="JXY11" s="60"/>
      <c r="JXZ11" s="60"/>
      <c r="JYA11" s="60"/>
      <c r="JYB11" s="60"/>
      <c r="JYC11" s="60"/>
      <c r="JYD11" s="60"/>
      <c r="JYE11" s="60"/>
      <c r="JYF11" s="60"/>
      <c r="JYG11" s="60"/>
      <c r="JYH11" s="60"/>
      <c r="JYI11" s="60"/>
      <c r="JYJ11" s="60"/>
      <c r="JYK11" s="60"/>
      <c r="JYL11" s="60"/>
      <c r="JYM11" s="60"/>
      <c r="JYN11" s="60"/>
      <c r="JYO11" s="60"/>
      <c r="JYP11" s="60"/>
      <c r="JYQ11" s="60"/>
      <c r="JYR11" s="60"/>
      <c r="JYS11" s="60"/>
      <c r="JYT11" s="60"/>
      <c r="JYU11" s="60"/>
      <c r="JYV11" s="60"/>
      <c r="JYW11" s="60"/>
      <c r="JYX11" s="60"/>
      <c r="JYY11" s="60"/>
      <c r="JYZ11" s="60"/>
      <c r="JZA11" s="60"/>
      <c r="JZB11" s="60"/>
      <c r="JZC11" s="60"/>
      <c r="JZD11" s="60"/>
      <c r="JZE11" s="60"/>
      <c r="JZF11" s="60"/>
      <c r="JZG11" s="60"/>
      <c r="JZH11" s="60"/>
      <c r="JZI11" s="60"/>
      <c r="JZJ11" s="60"/>
      <c r="JZK11" s="60"/>
      <c r="JZL11" s="60"/>
      <c r="JZM11" s="60"/>
      <c r="JZN11" s="60"/>
      <c r="JZO11" s="60"/>
      <c r="JZP11" s="60"/>
      <c r="JZQ11" s="60"/>
      <c r="JZR11" s="60"/>
      <c r="JZS11" s="60"/>
      <c r="JZT11" s="60"/>
      <c r="JZU11" s="60"/>
      <c r="JZV11" s="60"/>
      <c r="JZW11" s="60"/>
      <c r="JZX11" s="60"/>
      <c r="JZY11" s="60"/>
      <c r="JZZ11" s="60"/>
      <c r="KAA11" s="60"/>
      <c r="KAB11" s="60"/>
      <c r="KAC11" s="60"/>
      <c r="KAD11" s="60"/>
      <c r="KAE11" s="60"/>
      <c r="KAF11" s="60"/>
      <c r="KAG11" s="60"/>
      <c r="KAH11" s="60"/>
      <c r="KAI11" s="60"/>
      <c r="KAJ11" s="60"/>
      <c r="KAK11" s="60"/>
      <c r="KAL11" s="60"/>
      <c r="KAM11" s="60"/>
      <c r="KAN11" s="60"/>
      <c r="KAO11" s="60"/>
      <c r="KAP11" s="60"/>
      <c r="KAQ11" s="60"/>
      <c r="KAR11" s="60"/>
      <c r="KAS11" s="60"/>
      <c r="KAT11" s="60"/>
      <c r="KAU11" s="60"/>
      <c r="KAV11" s="60"/>
      <c r="KAW11" s="60"/>
      <c r="KAX11" s="60"/>
      <c r="KAY11" s="60"/>
      <c r="KAZ11" s="60"/>
      <c r="KBA11" s="60"/>
      <c r="KBB11" s="60"/>
      <c r="KBC11" s="60"/>
      <c r="KBD11" s="60"/>
      <c r="KBE11" s="60"/>
      <c r="KBF11" s="60"/>
      <c r="KBG11" s="60"/>
      <c r="KBH11" s="60"/>
      <c r="KBI11" s="60"/>
      <c r="KBJ11" s="60"/>
      <c r="KBK11" s="60"/>
      <c r="KBL11" s="60"/>
      <c r="KBM11" s="60"/>
      <c r="KBN11" s="60"/>
      <c r="KBO11" s="60"/>
      <c r="KBP11" s="60"/>
      <c r="KBQ11" s="60"/>
      <c r="KBR11" s="60"/>
      <c r="KBS11" s="60"/>
      <c r="KBT11" s="60"/>
      <c r="KBU11" s="60"/>
      <c r="KBV11" s="60"/>
      <c r="KBW11" s="60"/>
      <c r="KBX11" s="60"/>
      <c r="KBY11" s="60"/>
      <c r="KBZ11" s="60"/>
      <c r="KCA11" s="60"/>
      <c r="KCB11" s="60"/>
      <c r="KCC11" s="60"/>
      <c r="KCD11" s="60"/>
      <c r="KCE11" s="60"/>
      <c r="KCF11" s="60"/>
      <c r="KCG11" s="60"/>
      <c r="KCH11" s="60"/>
      <c r="KCI11" s="60"/>
      <c r="KCJ11" s="60"/>
      <c r="KCK11" s="60"/>
      <c r="KCL11" s="60"/>
      <c r="KCM11" s="60"/>
      <c r="KCN11" s="60"/>
      <c r="KCO11" s="60"/>
      <c r="KCP11" s="60"/>
      <c r="KCQ11" s="60"/>
      <c r="KCR11" s="60"/>
      <c r="KCS11" s="60"/>
      <c r="KCT11" s="60"/>
      <c r="KCU11" s="60"/>
      <c r="KCV11" s="60"/>
      <c r="KCW11" s="60"/>
      <c r="KCX11" s="60"/>
      <c r="KCY11" s="60"/>
      <c r="KCZ11" s="60"/>
      <c r="KDA11" s="60"/>
      <c r="KDB11" s="60"/>
      <c r="KDC11" s="60"/>
      <c r="KDD11" s="60"/>
      <c r="KDE11" s="60"/>
      <c r="KDF11" s="60"/>
      <c r="KDG11" s="60"/>
      <c r="KDH11" s="60"/>
      <c r="KDI11" s="60"/>
      <c r="KDJ11" s="60"/>
      <c r="KDK11" s="60"/>
      <c r="KDL11" s="60"/>
      <c r="KDM11" s="60"/>
      <c r="KDN11" s="60"/>
      <c r="KDO11" s="60"/>
      <c r="KDP11" s="60"/>
      <c r="KDQ11" s="60"/>
      <c r="KDR11" s="60"/>
      <c r="KDS11" s="60"/>
      <c r="KDT11" s="60"/>
      <c r="KDU11" s="60"/>
      <c r="KDV11" s="60"/>
      <c r="KDW11" s="60"/>
      <c r="KDX11" s="60"/>
      <c r="KDY11" s="60"/>
      <c r="KDZ11" s="60"/>
      <c r="KEA11" s="60"/>
      <c r="KEB11" s="60"/>
      <c r="KEC11" s="60"/>
      <c r="KED11" s="60"/>
      <c r="KEE11" s="60"/>
      <c r="KEF11" s="60"/>
      <c r="KEG11" s="60"/>
      <c r="KEH11" s="60"/>
      <c r="KEI11" s="60"/>
      <c r="KEJ11" s="60"/>
      <c r="KEK11" s="60"/>
      <c r="KEL11" s="60"/>
      <c r="KEM11" s="60"/>
      <c r="KEN11" s="60"/>
      <c r="KEO11" s="60"/>
      <c r="KEP11" s="60"/>
      <c r="KEQ11" s="60"/>
      <c r="KER11" s="60"/>
      <c r="KES11" s="60"/>
      <c r="KET11" s="60"/>
      <c r="KEU11" s="60"/>
      <c r="KEV11" s="60"/>
      <c r="KEW11" s="60"/>
      <c r="KEX11" s="60"/>
      <c r="KEY11" s="60"/>
      <c r="KEZ11" s="60"/>
      <c r="KFA11" s="60"/>
      <c r="KFB11" s="60"/>
      <c r="KFC11" s="60"/>
      <c r="KFD11" s="60"/>
      <c r="KFE11" s="60"/>
      <c r="KFF11" s="60"/>
      <c r="KFG11" s="60"/>
      <c r="KFH11" s="60"/>
      <c r="KFI11" s="60"/>
      <c r="KFJ11" s="60"/>
      <c r="KFK11" s="60"/>
      <c r="KFL11" s="60"/>
      <c r="KFM11" s="60"/>
      <c r="KFN11" s="60"/>
      <c r="KFO11" s="60"/>
      <c r="KFP11" s="60"/>
      <c r="KFQ11" s="60"/>
      <c r="KFR11" s="60"/>
      <c r="KFS11" s="60"/>
      <c r="KFT11" s="60"/>
      <c r="KFU11" s="60"/>
      <c r="KFV11" s="60"/>
      <c r="KFW11" s="60"/>
      <c r="KFX11" s="60"/>
      <c r="KFY11" s="60"/>
      <c r="KFZ11" s="60"/>
      <c r="KGA11" s="60"/>
      <c r="KGB11" s="60"/>
      <c r="KGC11" s="60"/>
      <c r="KGD11" s="60"/>
      <c r="KGE11" s="60"/>
      <c r="KGF11" s="60"/>
      <c r="KGG11" s="60"/>
      <c r="KGH11" s="60"/>
      <c r="KGI11" s="60"/>
      <c r="KGJ11" s="60"/>
      <c r="KGK11" s="60"/>
      <c r="KGL11" s="60"/>
      <c r="KGM11" s="60"/>
      <c r="KGN11" s="60"/>
      <c r="KGO11" s="60"/>
      <c r="KGP11" s="60"/>
      <c r="KGQ11" s="60"/>
      <c r="KGR11" s="60"/>
      <c r="KGS11" s="60"/>
      <c r="KGT11" s="60"/>
      <c r="KGU11" s="60"/>
      <c r="KGV11" s="60"/>
      <c r="KGW11" s="60"/>
      <c r="KGX11" s="60"/>
      <c r="KGY11" s="60"/>
      <c r="KGZ11" s="60"/>
      <c r="KHA11" s="60"/>
      <c r="KHB11" s="60"/>
      <c r="KHC11" s="60"/>
      <c r="KHD11" s="60"/>
      <c r="KHE11" s="60"/>
      <c r="KHF11" s="60"/>
      <c r="KHG11" s="60"/>
      <c r="KHH11" s="60"/>
      <c r="KHI11" s="60"/>
      <c r="KHJ11" s="60"/>
      <c r="KHK11" s="60"/>
      <c r="KHL11" s="60"/>
      <c r="KHM11" s="60"/>
      <c r="KHN11" s="60"/>
      <c r="KHO11" s="60"/>
      <c r="KHP11" s="60"/>
      <c r="KHQ11" s="60"/>
      <c r="KHR11" s="60"/>
      <c r="KHS11" s="60"/>
      <c r="KHT11" s="60"/>
      <c r="KHU11" s="60"/>
      <c r="KHV11" s="60"/>
      <c r="KHW11" s="60"/>
      <c r="KHX11" s="60"/>
      <c r="KHY11" s="60"/>
      <c r="KHZ11" s="60"/>
      <c r="KIA11" s="60"/>
      <c r="KIB11" s="60"/>
      <c r="KIC11" s="60"/>
      <c r="KID11" s="60"/>
      <c r="KIE11" s="60"/>
      <c r="KIF11" s="60"/>
      <c r="KIG11" s="60"/>
      <c r="KIH11" s="60"/>
      <c r="KII11" s="60"/>
      <c r="KIJ11" s="60"/>
      <c r="KIK11" s="60"/>
      <c r="KIL11" s="60"/>
      <c r="KIM11" s="60"/>
      <c r="KIN11" s="60"/>
      <c r="KIO11" s="60"/>
      <c r="KIP11" s="60"/>
      <c r="KIQ11" s="60"/>
      <c r="KIR11" s="60"/>
      <c r="KIS11" s="60"/>
      <c r="KIT11" s="60"/>
      <c r="KIU11" s="60"/>
      <c r="KIV11" s="60"/>
      <c r="KIW11" s="60"/>
      <c r="KIX11" s="60"/>
      <c r="KIY11" s="60"/>
      <c r="KIZ11" s="60"/>
      <c r="KJA11" s="60"/>
      <c r="KJB11" s="60"/>
      <c r="KJC11" s="60"/>
      <c r="KJD11" s="60"/>
      <c r="KJE11" s="60"/>
      <c r="KJF11" s="60"/>
      <c r="KJG11" s="60"/>
      <c r="KJH11" s="60"/>
      <c r="KJI11" s="60"/>
      <c r="KJJ11" s="60"/>
      <c r="KJK11" s="60"/>
      <c r="KJL11" s="60"/>
      <c r="KJM11" s="60"/>
      <c r="KJN11" s="60"/>
      <c r="KJO11" s="60"/>
      <c r="KJP11" s="60"/>
      <c r="KJQ11" s="60"/>
      <c r="KJR11" s="60"/>
      <c r="KJS11" s="60"/>
      <c r="KJT11" s="60"/>
      <c r="KJU11" s="60"/>
      <c r="KJV11" s="60"/>
      <c r="KJW11" s="60"/>
      <c r="KJX11" s="60"/>
      <c r="KJY11" s="60"/>
      <c r="KJZ11" s="60"/>
      <c r="KKA11" s="60"/>
      <c r="KKB11" s="60"/>
      <c r="KKC11" s="60"/>
      <c r="KKD11" s="60"/>
      <c r="KKE11" s="60"/>
      <c r="KKF11" s="60"/>
      <c r="KKG11" s="60"/>
      <c r="KKH11" s="60"/>
      <c r="KKI11" s="60"/>
      <c r="KKJ11" s="60"/>
      <c r="KKK11" s="60"/>
      <c r="KKL11" s="60"/>
      <c r="KKM11" s="60"/>
      <c r="KKN11" s="60"/>
      <c r="KKO11" s="60"/>
      <c r="KKP11" s="60"/>
      <c r="KKQ11" s="60"/>
      <c r="KKR11" s="60"/>
      <c r="KKS11" s="60"/>
      <c r="KKT11" s="60"/>
      <c r="KKU11" s="60"/>
      <c r="KKV11" s="60"/>
      <c r="KKW11" s="60"/>
      <c r="KKX11" s="60"/>
      <c r="KKY11" s="60"/>
      <c r="KKZ11" s="60"/>
      <c r="KLA11" s="60"/>
      <c r="KLB11" s="60"/>
      <c r="KLC11" s="60"/>
      <c r="KLD11" s="60"/>
      <c r="KLE11" s="60"/>
      <c r="KLF11" s="60"/>
      <c r="KLG11" s="60"/>
      <c r="KLH11" s="60"/>
      <c r="KLI11" s="60"/>
      <c r="KLJ11" s="60"/>
      <c r="KLK11" s="60"/>
      <c r="KLL11" s="60"/>
      <c r="KLM11" s="60"/>
      <c r="KLN11" s="60"/>
      <c r="KLO11" s="60"/>
      <c r="KLP11" s="60"/>
      <c r="KLQ11" s="60"/>
      <c r="KLR11" s="60"/>
      <c r="KLS11" s="60"/>
      <c r="KLT11" s="60"/>
      <c r="KLU11" s="60"/>
      <c r="KLV11" s="60"/>
      <c r="KLW11" s="60"/>
      <c r="KLX11" s="60"/>
      <c r="KLY11" s="60"/>
      <c r="KLZ11" s="60"/>
      <c r="KMA11" s="60"/>
      <c r="KMB11" s="60"/>
      <c r="KMC11" s="60"/>
      <c r="KMD11" s="60"/>
      <c r="KME11" s="60"/>
      <c r="KMF11" s="60"/>
      <c r="KMG11" s="60"/>
      <c r="KMH11" s="60"/>
      <c r="KMI11" s="60"/>
      <c r="KMJ11" s="60"/>
      <c r="KMK11" s="60"/>
      <c r="KML11" s="60"/>
      <c r="KMM11" s="60"/>
      <c r="KMN11" s="60"/>
      <c r="KMO11" s="60"/>
      <c r="KMP11" s="60"/>
      <c r="KMQ11" s="60"/>
      <c r="KMR11" s="60"/>
      <c r="KMS11" s="60"/>
      <c r="KMT11" s="60"/>
      <c r="KMU11" s="60"/>
      <c r="KMV11" s="60"/>
      <c r="KMW11" s="60"/>
      <c r="KMX11" s="60"/>
      <c r="KMY11" s="60"/>
      <c r="KMZ11" s="60"/>
      <c r="KNA11" s="60"/>
      <c r="KNB11" s="60"/>
      <c r="KNC11" s="60"/>
      <c r="KND11" s="60"/>
      <c r="KNE11" s="60"/>
      <c r="KNF11" s="60"/>
      <c r="KNG11" s="60"/>
      <c r="KNH11" s="60"/>
      <c r="KNI11" s="60"/>
      <c r="KNJ11" s="60"/>
      <c r="KNK11" s="60"/>
      <c r="KNL11" s="60"/>
      <c r="KNM11" s="60"/>
      <c r="KNN11" s="60"/>
      <c r="KNO11" s="60"/>
      <c r="KNP11" s="60"/>
      <c r="KNQ11" s="60"/>
      <c r="KNR11" s="60"/>
      <c r="KNS11" s="60"/>
      <c r="KNT11" s="60"/>
      <c r="KNU11" s="60"/>
      <c r="KNV11" s="60"/>
      <c r="KNW11" s="60"/>
      <c r="KNX11" s="60"/>
      <c r="KNY11" s="60"/>
      <c r="KNZ11" s="60"/>
      <c r="KOA11" s="60"/>
      <c r="KOB11" s="60"/>
      <c r="KOC11" s="60"/>
      <c r="KOD11" s="60"/>
      <c r="KOE11" s="60"/>
      <c r="KOF11" s="60"/>
      <c r="KOG11" s="60"/>
      <c r="KOH11" s="60"/>
      <c r="KOI11" s="60"/>
      <c r="KOJ11" s="60"/>
      <c r="KOK11" s="60"/>
      <c r="KOL11" s="60"/>
      <c r="KOM11" s="60"/>
      <c r="KON11" s="60"/>
      <c r="KOO11" s="60"/>
      <c r="KOP11" s="60"/>
      <c r="KOQ11" s="60"/>
      <c r="KOR11" s="60"/>
      <c r="KOS11" s="60"/>
      <c r="KOT11" s="60"/>
      <c r="KOU11" s="60"/>
      <c r="KOV11" s="60"/>
      <c r="KOW11" s="60"/>
      <c r="KOX11" s="60"/>
      <c r="KOY11" s="60"/>
      <c r="KOZ11" s="60"/>
      <c r="KPA11" s="60"/>
      <c r="KPB11" s="60"/>
      <c r="KPC11" s="60"/>
      <c r="KPD11" s="60"/>
      <c r="KPE11" s="60"/>
      <c r="KPF11" s="60"/>
      <c r="KPG11" s="60"/>
      <c r="KPH11" s="60"/>
      <c r="KPI11" s="60"/>
      <c r="KPJ11" s="60"/>
      <c r="KPK11" s="60"/>
      <c r="KPL11" s="60"/>
      <c r="KPM11" s="60"/>
      <c r="KPN11" s="60"/>
      <c r="KPO11" s="60"/>
      <c r="KPP11" s="60"/>
      <c r="KPQ11" s="60"/>
      <c r="KPR11" s="60"/>
      <c r="KPS11" s="60"/>
      <c r="KPT11" s="60"/>
      <c r="KPU11" s="60"/>
      <c r="KPV11" s="60"/>
      <c r="KPW11" s="60"/>
      <c r="KPX11" s="60"/>
      <c r="KPY11" s="60"/>
      <c r="KPZ11" s="60"/>
      <c r="KQA11" s="60"/>
      <c r="KQB11" s="60"/>
      <c r="KQC11" s="60"/>
      <c r="KQD11" s="60"/>
      <c r="KQE11" s="60"/>
      <c r="KQF11" s="60"/>
      <c r="KQG11" s="60"/>
      <c r="KQH11" s="60"/>
      <c r="KQI11" s="60"/>
      <c r="KQJ11" s="60"/>
      <c r="KQK11" s="60"/>
      <c r="KQL11" s="60"/>
      <c r="KQM11" s="60"/>
      <c r="KQN11" s="60"/>
      <c r="KQO11" s="60"/>
      <c r="KQP11" s="60"/>
      <c r="KQQ11" s="60"/>
      <c r="KQR11" s="60"/>
      <c r="KQS11" s="60"/>
      <c r="KQT11" s="60"/>
      <c r="KQU11" s="60"/>
      <c r="KQV11" s="60"/>
      <c r="KQW11" s="60"/>
      <c r="KQX11" s="60"/>
      <c r="KQY11" s="60"/>
      <c r="KQZ11" s="60"/>
      <c r="KRA11" s="60"/>
      <c r="KRB11" s="60"/>
      <c r="KRC11" s="60"/>
      <c r="KRD11" s="60"/>
      <c r="KRE11" s="60"/>
      <c r="KRF11" s="60"/>
      <c r="KRG11" s="60"/>
      <c r="KRH11" s="60"/>
      <c r="KRI11" s="60"/>
      <c r="KRJ11" s="60"/>
      <c r="KRK11" s="60"/>
      <c r="KRL11" s="60"/>
      <c r="KRM11" s="60"/>
      <c r="KRN11" s="60"/>
      <c r="KRO11" s="60"/>
      <c r="KRP11" s="60"/>
      <c r="KRQ11" s="60"/>
      <c r="KRR11" s="60"/>
      <c r="KRS11" s="60"/>
      <c r="KRT11" s="60"/>
      <c r="KRU11" s="60"/>
      <c r="KRV11" s="60"/>
      <c r="KRW11" s="60"/>
      <c r="KRX11" s="60"/>
      <c r="KRY11" s="60"/>
      <c r="KRZ11" s="60"/>
      <c r="KSA11" s="60"/>
      <c r="KSB11" s="60"/>
      <c r="KSC11" s="60"/>
      <c r="KSD11" s="60"/>
      <c r="KSE11" s="60"/>
      <c r="KSF11" s="60"/>
      <c r="KSG11" s="60"/>
      <c r="KSH11" s="60"/>
      <c r="KSI11" s="60"/>
      <c r="KSJ11" s="60"/>
      <c r="KSK11" s="60"/>
      <c r="KSL11" s="60"/>
      <c r="KSM11" s="60"/>
      <c r="KSN11" s="60"/>
      <c r="KSO11" s="60"/>
      <c r="KSP11" s="60"/>
      <c r="KSQ11" s="60"/>
      <c r="KSR11" s="60"/>
      <c r="KSS11" s="60"/>
      <c r="KST11" s="60"/>
      <c r="KSU11" s="60"/>
      <c r="KSV11" s="60"/>
      <c r="KSW11" s="60"/>
      <c r="KSX11" s="60"/>
      <c r="KSY11" s="60"/>
      <c r="KSZ11" s="60"/>
      <c r="KTA11" s="60"/>
      <c r="KTB11" s="60"/>
      <c r="KTC11" s="60"/>
      <c r="KTD11" s="60"/>
      <c r="KTE11" s="60"/>
      <c r="KTF11" s="60"/>
      <c r="KTG11" s="60"/>
      <c r="KTH11" s="60"/>
      <c r="KTI11" s="60"/>
      <c r="KTJ11" s="60"/>
      <c r="KTK11" s="60"/>
      <c r="KTL11" s="60"/>
      <c r="KTM11" s="60"/>
      <c r="KTN11" s="60"/>
      <c r="KTO11" s="60"/>
      <c r="KTP11" s="60"/>
      <c r="KTQ11" s="60"/>
      <c r="KTR11" s="60"/>
      <c r="KTS11" s="60"/>
      <c r="KTT11" s="60"/>
      <c r="KTU11" s="60"/>
      <c r="KTV11" s="60"/>
      <c r="KTW11" s="60"/>
      <c r="KTX11" s="60"/>
      <c r="KTY11" s="60"/>
      <c r="KTZ11" s="60"/>
      <c r="KUA11" s="60"/>
      <c r="KUB11" s="60"/>
      <c r="KUC11" s="60"/>
      <c r="KUD11" s="60"/>
      <c r="KUE11" s="60"/>
      <c r="KUF11" s="60"/>
      <c r="KUG11" s="60"/>
      <c r="KUH11" s="60"/>
      <c r="KUI11" s="60"/>
      <c r="KUJ11" s="60"/>
      <c r="KUK11" s="60"/>
      <c r="KUL11" s="60"/>
      <c r="KUM11" s="60"/>
      <c r="KUN11" s="60"/>
      <c r="KUO11" s="60"/>
      <c r="KUP11" s="60"/>
      <c r="KUQ11" s="60"/>
      <c r="KUR11" s="60"/>
      <c r="KUS11" s="60"/>
      <c r="KUT11" s="60"/>
      <c r="KUU11" s="60"/>
      <c r="KUV11" s="60"/>
      <c r="KUW11" s="60"/>
      <c r="KUX11" s="60"/>
      <c r="KUY11" s="60"/>
      <c r="KUZ11" s="60"/>
      <c r="KVA11" s="60"/>
      <c r="KVB11" s="60"/>
      <c r="KVC11" s="60"/>
      <c r="KVD11" s="60"/>
      <c r="KVE11" s="60"/>
      <c r="KVF11" s="60"/>
      <c r="KVG11" s="60"/>
      <c r="KVH11" s="60"/>
      <c r="KVI11" s="60"/>
      <c r="KVJ11" s="60"/>
      <c r="KVK11" s="60"/>
      <c r="KVL11" s="60"/>
      <c r="KVM11" s="60"/>
      <c r="KVN11" s="60"/>
      <c r="KVO11" s="60"/>
      <c r="KVP11" s="60"/>
      <c r="KVQ11" s="60"/>
      <c r="KVR11" s="60"/>
      <c r="KVS11" s="60"/>
      <c r="KVT11" s="60"/>
      <c r="KVU11" s="60"/>
      <c r="KVV11" s="60"/>
      <c r="KVW11" s="60"/>
      <c r="KVX11" s="60"/>
      <c r="KVY11" s="60"/>
      <c r="KVZ11" s="60"/>
      <c r="KWA11" s="60"/>
      <c r="KWB11" s="60"/>
      <c r="KWC11" s="60"/>
      <c r="KWD11" s="60"/>
      <c r="KWE11" s="60"/>
      <c r="KWF11" s="60"/>
      <c r="KWG11" s="60"/>
      <c r="KWH11" s="60"/>
      <c r="KWI11" s="60"/>
      <c r="KWJ11" s="60"/>
      <c r="KWK11" s="60"/>
      <c r="KWL11" s="60"/>
      <c r="KWM11" s="60"/>
      <c r="KWN11" s="60"/>
      <c r="KWO11" s="60"/>
      <c r="KWP11" s="60"/>
      <c r="KWQ11" s="60"/>
      <c r="KWR11" s="60"/>
      <c r="KWS11" s="60"/>
      <c r="KWT11" s="60"/>
      <c r="KWU11" s="60"/>
      <c r="KWV11" s="60"/>
      <c r="KWW11" s="60"/>
      <c r="KWX11" s="60"/>
      <c r="KWY11" s="60"/>
      <c r="KWZ11" s="60"/>
      <c r="KXA11" s="60"/>
      <c r="KXB11" s="60"/>
      <c r="KXC11" s="60"/>
      <c r="KXD11" s="60"/>
      <c r="KXE11" s="60"/>
      <c r="KXF11" s="60"/>
      <c r="KXG11" s="60"/>
      <c r="KXH11" s="60"/>
      <c r="KXI11" s="60"/>
      <c r="KXJ11" s="60"/>
      <c r="KXK11" s="60"/>
      <c r="KXL11" s="60"/>
      <c r="KXM11" s="60"/>
      <c r="KXN11" s="60"/>
      <c r="KXO11" s="60"/>
      <c r="KXP11" s="60"/>
      <c r="KXQ11" s="60"/>
      <c r="KXR11" s="60"/>
      <c r="KXS11" s="60"/>
      <c r="KXT11" s="60"/>
      <c r="KXU11" s="60"/>
      <c r="KXV11" s="60"/>
      <c r="KXW11" s="60"/>
      <c r="KXX11" s="60"/>
      <c r="KXY11" s="60"/>
      <c r="KXZ11" s="60"/>
      <c r="KYA11" s="60"/>
      <c r="KYB11" s="60"/>
      <c r="KYC11" s="60"/>
      <c r="KYD11" s="60"/>
      <c r="KYE11" s="60"/>
      <c r="KYF11" s="60"/>
      <c r="KYG11" s="60"/>
      <c r="KYH11" s="60"/>
      <c r="KYI11" s="60"/>
      <c r="KYJ11" s="60"/>
      <c r="KYK11" s="60"/>
      <c r="KYL11" s="60"/>
      <c r="KYM11" s="60"/>
      <c r="KYN11" s="60"/>
      <c r="KYO11" s="60"/>
      <c r="KYP11" s="60"/>
      <c r="KYQ11" s="60"/>
      <c r="KYR11" s="60"/>
      <c r="KYS11" s="60"/>
      <c r="KYT11" s="60"/>
      <c r="KYU11" s="60"/>
      <c r="KYV11" s="60"/>
      <c r="KYW11" s="60"/>
      <c r="KYX11" s="60"/>
      <c r="KYY11" s="60"/>
      <c r="KYZ11" s="60"/>
      <c r="KZA11" s="60"/>
      <c r="KZB11" s="60"/>
      <c r="KZC11" s="60"/>
      <c r="KZD11" s="60"/>
      <c r="KZE11" s="60"/>
      <c r="KZF11" s="60"/>
      <c r="KZG11" s="60"/>
      <c r="KZH11" s="60"/>
      <c r="KZI11" s="60"/>
      <c r="KZJ11" s="60"/>
      <c r="KZK11" s="60"/>
      <c r="KZL11" s="60"/>
      <c r="KZM11" s="60"/>
      <c r="KZN11" s="60"/>
      <c r="KZO11" s="60"/>
      <c r="KZP11" s="60"/>
      <c r="KZQ11" s="60"/>
      <c r="KZR11" s="60"/>
      <c r="KZS11" s="60"/>
      <c r="KZT11" s="60"/>
      <c r="KZU11" s="60"/>
      <c r="KZV11" s="60"/>
      <c r="KZW11" s="60"/>
      <c r="KZX11" s="60"/>
      <c r="KZY11" s="60"/>
      <c r="KZZ11" s="60"/>
      <c r="LAA11" s="60"/>
      <c r="LAB11" s="60"/>
      <c r="LAC11" s="60"/>
      <c r="LAD11" s="60"/>
      <c r="LAE11" s="60"/>
      <c r="LAF11" s="60"/>
      <c r="LAG11" s="60"/>
      <c r="LAH11" s="60"/>
      <c r="LAI11" s="60"/>
      <c r="LAJ11" s="60"/>
      <c r="LAK11" s="60"/>
      <c r="LAL11" s="60"/>
      <c r="LAM11" s="60"/>
      <c r="LAN11" s="60"/>
      <c r="LAO11" s="60"/>
      <c r="LAP11" s="60"/>
      <c r="LAQ11" s="60"/>
      <c r="LAR11" s="60"/>
      <c r="LAS11" s="60"/>
      <c r="LAT11" s="60"/>
      <c r="LAU11" s="60"/>
      <c r="LAV11" s="60"/>
      <c r="LAW11" s="60"/>
      <c r="LAX11" s="60"/>
      <c r="LAY11" s="60"/>
      <c r="LAZ11" s="60"/>
      <c r="LBA11" s="60"/>
      <c r="LBB11" s="60"/>
      <c r="LBC11" s="60"/>
      <c r="LBD11" s="60"/>
      <c r="LBE11" s="60"/>
      <c r="LBF11" s="60"/>
      <c r="LBG11" s="60"/>
      <c r="LBH11" s="60"/>
      <c r="LBI11" s="60"/>
      <c r="LBJ11" s="60"/>
      <c r="LBK11" s="60"/>
      <c r="LBL11" s="60"/>
      <c r="LBM11" s="60"/>
      <c r="LBN11" s="60"/>
      <c r="LBO11" s="60"/>
      <c r="LBP11" s="60"/>
      <c r="LBQ11" s="60"/>
      <c r="LBR11" s="60"/>
      <c r="LBS11" s="60"/>
      <c r="LBT11" s="60"/>
      <c r="LBU11" s="60"/>
      <c r="LBV11" s="60"/>
      <c r="LBW11" s="60"/>
      <c r="LBX11" s="60"/>
      <c r="LBY11" s="60"/>
      <c r="LBZ11" s="60"/>
      <c r="LCA11" s="60"/>
      <c r="LCB11" s="60"/>
      <c r="LCC11" s="60"/>
      <c r="LCD11" s="60"/>
      <c r="LCE11" s="60"/>
      <c r="LCF11" s="60"/>
      <c r="LCG11" s="60"/>
      <c r="LCH11" s="60"/>
      <c r="LCI11" s="60"/>
      <c r="LCJ11" s="60"/>
      <c r="LCK11" s="60"/>
      <c r="LCL11" s="60"/>
      <c r="LCM11" s="60"/>
      <c r="LCN11" s="60"/>
      <c r="LCO11" s="60"/>
      <c r="LCP11" s="60"/>
      <c r="LCQ11" s="60"/>
      <c r="LCR11" s="60"/>
      <c r="LCS11" s="60"/>
      <c r="LCT11" s="60"/>
      <c r="LCU11" s="60"/>
      <c r="LCV11" s="60"/>
      <c r="LCW11" s="60"/>
      <c r="LCX11" s="60"/>
      <c r="LCY11" s="60"/>
      <c r="LCZ11" s="60"/>
      <c r="LDA11" s="60"/>
      <c r="LDB11" s="60"/>
      <c r="LDC11" s="60"/>
      <c r="LDD11" s="60"/>
      <c r="LDE11" s="60"/>
      <c r="LDF11" s="60"/>
      <c r="LDG11" s="60"/>
      <c r="LDH11" s="60"/>
      <c r="LDI11" s="60"/>
      <c r="LDJ11" s="60"/>
      <c r="LDK11" s="60"/>
      <c r="LDL11" s="60"/>
      <c r="LDM11" s="60"/>
      <c r="LDN11" s="60"/>
      <c r="LDO11" s="60"/>
      <c r="LDP11" s="60"/>
      <c r="LDQ11" s="60"/>
      <c r="LDR11" s="60"/>
      <c r="LDS11" s="60"/>
      <c r="LDT11" s="60"/>
      <c r="LDU11" s="60"/>
      <c r="LDV11" s="60"/>
      <c r="LDW11" s="60"/>
      <c r="LDX11" s="60"/>
      <c r="LDY11" s="60"/>
      <c r="LDZ11" s="60"/>
      <c r="LEA11" s="60"/>
      <c r="LEB11" s="60"/>
      <c r="LEC11" s="60"/>
      <c r="LED11" s="60"/>
      <c r="LEE11" s="60"/>
      <c r="LEF11" s="60"/>
      <c r="LEG11" s="60"/>
      <c r="LEH11" s="60"/>
      <c r="LEI11" s="60"/>
      <c r="LEJ11" s="60"/>
      <c r="LEK11" s="60"/>
      <c r="LEL11" s="60"/>
      <c r="LEM11" s="60"/>
      <c r="LEN11" s="60"/>
      <c r="LEO11" s="60"/>
      <c r="LEP11" s="60"/>
      <c r="LEQ11" s="60"/>
      <c r="LER11" s="60"/>
      <c r="LES11" s="60"/>
      <c r="LET11" s="60"/>
      <c r="LEU11" s="60"/>
      <c r="LEV11" s="60"/>
      <c r="LEW11" s="60"/>
      <c r="LEX11" s="60"/>
      <c r="LEY11" s="60"/>
      <c r="LEZ11" s="60"/>
      <c r="LFA11" s="60"/>
      <c r="LFB11" s="60"/>
      <c r="LFC11" s="60"/>
      <c r="LFD11" s="60"/>
      <c r="LFE11" s="60"/>
      <c r="LFF11" s="60"/>
      <c r="LFG11" s="60"/>
      <c r="LFH11" s="60"/>
      <c r="LFI11" s="60"/>
      <c r="LFJ11" s="60"/>
      <c r="LFK11" s="60"/>
      <c r="LFL11" s="60"/>
      <c r="LFM11" s="60"/>
      <c r="LFN11" s="60"/>
      <c r="LFO11" s="60"/>
      <c r="LFP11" s="60"/>
      <c r="LFQ11" s="60"/>
      <c r="LFR11" s="60"/>
      <c r="LFS11" s="60"/>
      <c r="LFT11" s="60"/>
      <c r="LFU11" s="60"/>
      <c r="LFV11" s="60"/>
      <c r="LFW11" s="60"/>
      <c r="LFX11" s="60"/>
      <c r="LFY11" s="60"/>
      <c r="LFZ11" s="60"/>
      <c r="LGA11" s="60"/>
      <c r="LGB11" s="60"/>
      <c r="LGC11" s="60"/>
      <c r="LGD11" s="60"/>
      <c r="LGE11" s="60"/>
      <c r="LGF11" s="60"/>
      <c r="LGG11" s="60"/>
      <c r="LGH11" s="60"/>
      <c r="LGI11" s="60"/>
      <c r="LGJ11" s="60"/>
      <c r="LGK11" s="60"/>
      <c r="LGL11" s="60"/>
      <c r="LGM11" s="60"/>
      <c r="LGN11" s="60"/>
      <c r="LGO11" s="60"/>
      <c r="LGP11" s="60"/>
      <c r="LGQ11" s="60"/>
      <c r="LGR11" s="60"/>
      <c r="LGS11" s="60"/>
      <c r="LGT11" s="60"/>
      <c r="LGU11" s="60"/>
      <c r="LGV11" s="60"/>
      <c r="LGW11" s="60"/>
      <c r="LGX11" s="60"/>
      <c r="LGY11" s="60"/>
      <c r="LGZ11" s="60"/>
      <c r="LHA11" s="60"/>
      <c r="LHB11" s="60"/>
      <c r="LHC11" s="60"/>
      <c r="LHD11" s="60"/>
      <c r="LHE11" s="60"/>
      <c r="LHF11" s="60"/>
      <c r="LHG11" s="60"/>
      <c r="LHH11" s="60"/>
      <c r="LHI11" s="60"/>
      <c r="LHJ11" s="60"/>
      <c r="LHK11" s="60"/>
      <c r="LHL11" s="60"/>
      <c r="LHM11" s="60"/>
      <c r="LHN11" s="60"/>
      <c r="LHO11" s="60"/>
      <c r="LHP11" s="60"/>
      <c r="LHQ11" s="60"/>
      <c r="LHR11" s="60"/>
      <c r="LHS11" s="60"/>
      <c r="LHT11" s="60"/>
      <c r="LHU11" s="60"/>
      <c r="LHV11" s="60"/>
      <c r="LHW11" s="60"/>
      <c r="LHX11" s="60"/>
      <c r="LHY11" s="60"/>
      <c r="LHZ11" s="60"/>
      <c r="LIA11" s="60"/>
      <c r="LIB11" s="60"/>
      <c r="LIC11" s="60"/>
      <c r="LID11" s="60"/>
      <c r="LIE11" s="60"/>
      <c r="LIF11" s="60"/>
      <c r="LIG11" s="60"/>
      <c r="LIH11" s="60"/>
      <c r="LII11" s="60"/>
      <c r="LIJ11" s="60"/>
      <c r="LIK11" s="60"/>
      <c r="LIL11" s="60"/>
      <c r="LIM11" s="60"/>
      <c r="LIN11" s="60"/>
      <c r="LIO11" s="60"/>
      <c r="LIP11" s="60"/>
      <c r="LIQ11" s="60"/>
      <c r="LIR11" s="60"/>
      <c r="LIS11" s="60"/>
      <c r="LIT11" s="60"/>
      <c r="LIU11" s="60"/>
      <c r="LIV11" s="60"/>
      <c r="LIW11" s="60"/>
      <c r="LIX11" s="60"/>
      <c r="LIY11" s="60"/>
      <c r="LIZ11" s="60"/>
      <c r="LJA11" s="60"/>
      <c r="LJB11" s="60"/>
      <c r="LJC11" s="60"/>
      <c r="LJD11" s="60"/>
      <c r="LJE11" s="60"/>
      <c r="LJF11" s="60"/>
      <c r="LJG11" s="60"/>
      <c r="LJH11" s="60"/>
      <c r="LJI11" s="60"/>
      <c r="LJJ11" s="60"/>
      <c r="LJK11" s="60"/>
      <c r="LJL11" s="60"/>
      <c r="LJM11" s="60"/>
      <c r="LJN11" s="60"/>
      <c r="LJO11" s="60"/>
      <c r="LJP11" s="60"/>
      <c r="LJQ11" s="60"/>
      <c r="LJR11" s="60"/>
      <c r="LJS11" s="60"/>
      <c r="LJT11" s="60"/>
      <c r="LJU11" s="60"/>
      <c r="LJV11" s="60"/>
      <c r="LJW11" s="60"/>
      <c r="LJX11" s="60"/>
      <c r="LJY11" s="60"/>
      <c r="LJZ11" s="60"/>
      <c r="LKA11" s="60"/>
      <c r="LKB11" s="60"/>
      <c r="LKC11" s="60"/>
      <c r="LKD11" s="60"/>
      <c r="LKE11" s="60"/>
      <c r="LKF11" s="60"/>
      <c r="LKG11" s="60"/>
      <c r="LKH11" s="60"/>
      <c r="LKI11" s="60"/>
      <c r="LKJ11" s="60"/>
      <c r="LKK11" s="60"/>
      <c r="LKL11" s="60"/>
      <c r="LKM11" s="60"/>
      <c r="LKN11" s="60"/>
      <c r="LKO11" s="60"/>
      <c r="LKP11" s="60"/>
      <c r="LKQ11" s="60"/>
      <c r="LKR11" s="60"/>
      <c r="LKS11" s="60"/>
      <c r="LKT11" s="60"/>
      <c r="LKU11" s="60"/>
      <c r="LKV11" s="60"/>
      <c r="LKW11" s="60"/>
      <c r="LKX11" s="60"/>
      <c r="LKY11" s="60"/>
      <c r="LKZ11" s="60"/>
      <c r="LLA11" s="60"/>
      <c r="LLB11" s="60"/>
      <c r="LLC11" s="60"/>
      <c r="LLD11" s="60"/>
      <c r="LLE11" s="60"/>
      <c r="LLF11" s="60"/>
      <c r="LLG11" s="60"/>
      <c r="LLH11" s="60"/>
      <c r="LLI11" s="60"/>
      <c r="LLJ11" s="60"/>
      <c r="LLK11" s="60"/>
      <c r="LLL11" s="60"/>
      <c r="LLM11" s="60"/>
      <c r="LLN11" s="60"/>
      <c r="LLO11" s="60"/>
      <c r="LLP11" s="60"/>
      <c r="LLQ11" s="60"/>
      <c r="LLR11" s="60"/>
      <c r="LLS11" s="60"/>
      <c r="LLT11" s="60"/>
      <c r="LLU11" s="60"/>
      <c r="LLV11" s="60"/>
      <c r="LLW11" s="60"/>
      <c r="LLX11" s="60"/>
      <c r="LLY11" s="60"/>
      <c r="LLZ11" s="60"/>
      <c r="LMA11" s="60"/>
      <c r="LMB11" s="60"/>
      <c r="LMC11" s="60"/>
      <c r="LMD11" s="60"/>
      <c r="LME11" s="60"/>
      <c r="LMF11" s="60"/>
      <c r="LMG11" s="60"/>
      <c r="LMH11" s="60"/>
      <c r="LMI11" s="60"/>
      <c r="LMJ11" s="60"/>
      <c r="LMK11" s="60"/>
      <c r="LML11" s="60"/>
      <c r="LMM11" s="60"/>
      <c r="LMN11" s="60"/>
      <c r="LMO11" s="60"/>
      <c r="LMP11" s="60"/>
      <c r="LMQ11" s="60"/>
      <c r="LMR11" s="60"/>
      <c r="LMS11" s="60"/>
      <c r="LMT11" s="60"/>
      <c r="LMU11" s="60"/>
      <c r="LMV11" s="60"/>
      <c r="LMW11" s="60"/>
      <c r="LMX11" s="60"/>
      <c r="LMY11" s="60"/>
      <c r="LMZ11" s="60"/>
      <c r="LNA11" s="60"/>
      <c r="LNB11" s="60"/>
      <c r="LNC11" s="60"/>
      <c r="LND11" s="60"/>
      <c r="LNE11" s="60"/>
      <c r="LNF11" s="60"/>
      <c r="LNG11" s="60"/>
      <c r="LNH11" s="60"/>
      <c r="LNI11" s="60"/>
      <c r="LNJ11" s="60"/>
      <c r="LNK11" s="60"/>
      <c r="LNL11" s="60"/>
      <c r="LNM11" s="60"/>
      <c r="LNN11" s="60"/>
      <c r="LNO11" s="60"/>
      <c r="LNP11" s="60"/>
      <c r="LNQ11" s="60"/>
      <c r="LNR11" s="60"/>
      <c r="LNS11" s="60"/>
      <c r="LNT11" s="60"/>
      <c r="LNU11" s="60"/>
      <c r="LNV11" s="60"/>
      <c r="LNW11" s="60"/>
      <c r="LNX11" s="60"/>
      <c r="LNY11" s="60"/>
      <c r="LNZ11" s="60"/>
      <c r="LOA11" s="60"/>
      <c r="LOB11" s="60"/>
      <c r="LOC11" s="60"/>
      <c r="LOD11" s="60"/>
      <c r="LOE11" s="60"/>
      <c r="LOF11" s="60"/>
      <c r="LOG11" s="60"/>
      <c r="LOH11" s="60"/>
      <c r="LOI11" s="60"/>
      <c r="LOJ11" s="60"/>
      <c r="LOK11" s="60"/>
      <c r="LOL11" s="60"/>
      <c r="LOM11" s="60"/>
      <c r="LON11" s="60"/>
      <c r="LOO11" s="60"/>
      <c r="LOP11" s="60"/>
      <c r="LOQ11" s="60"/>
      <c r="LOR11" s="60"/>
      <c r="LOS11" s="60"/>
      <c r="LOT11" s="60"/>
      <c r="LOU11" s="60"/>
      <c r="LOV11" s="60"/>
      <c r="LOW11" s="60"/>
      <c r="LOX11" s="60"/>
      <c r="LOY11" s="60"/>
      <c r="LOZ11" s="60"/>
      <c r="LPA11" s="60"/>
      <c r="LPB11" s="60"/>
      <c r="LPC11" s="60"/>
      <c r="LPD11" s="60"/>
      <c r="LPE11" s="60"/>
      <c r="LPF11" s="60"/>
      <c r="LPG11" s="60"/>
      <c r="LPH11" s="60"/>
      <c r="LPI11" s="60"/>
      <c r="LPJ11" s="60"/>
      <c r="LPK11" s="60"/>
      <c r="LPL11" s="60"/>
      <c r="LPM11" s="60"/>
      <c r="LPN11" s="60"/>
      <c r="LPO11" s="60"/>
      <c r="LPP11" s="60"/>
      <c r="LPQ11" s="60"/>
      <c r="LPR11" s="60"/>
      <c r="LPS11" s="60"/>
      <c r="LPT11" s="60"/>
      <c r="LPU11" s="60"/>
      <c r="LPV11" s="60"/>
      <c r="LPW11" s="60"/>
      <c r="LPX11" s="60"/>
      <c r="LPY11" s="60"/>
      <c r="LPZ11" s="60"/>
      <c r="LQA11" s="60"/>
      <c r="LQB11" s="60"/>
      <c r="LQC11" s="60"/>
      <c r="LQD11" s="60"/>
      <c r="LQE11" s="60"/>
      <c r="LQF11" s="60"/>
      <c r="LQG11" s="60"/>
      <c r="LQH11" s="60"/>
      <c r="LQI11" s="60"/>
      <c r="LQJ11" s="60"/>
      <c r="LQK11" s="60"/>
      <c r="LQL11" s="60"/>
      <c r="LQM11" s="60"/>
      <c r="LQN11" s="60"/>
      <c r="LQO11" s="60"/>
      <c r="LQP11" s="60"/>
      <c r="LQQ11" s="60"/>
      <c r="LQR11" s="60"/>
      <c r="LQS11" s="60"/>
      <c r="LQT11" s="60"/>
      <c r="LQU11" s="60"/>
      <c r="LQV11" s="60"/>
      <c r="LQW11" s="60"/>
      <c r="LQX11" s="60"/>
      <c r="LQY11" s="60"/>
      <c r="LQZ11" s="60"/>
      <c r="LRA11" s="60"/>
      <c r="LRB11" s="60"/>
      <c r="LRC11" s="60"/>
      <c r="LRD11" s="60"/>
      <c r="LRE11" s="60"/>
      <c r="LRF11" s="60"/>
      <c r="LRG11" s="60"/>
      <c r="LRH11" s="60"/>
      <c r="LRI11" s="60"/>
      <c r="LRJ11" s="60"/>
      <c r="LRK11" s="60"/>
      <c r="LRL11" s="60"/>
      <c r="LRM11" s="60"/>
      <c r="LRN11" s="60"/>
      <c r="LRO11" s="60"/>
      <c r="LRP11" s="60"/>
      <c r="LRQ11" s="60"/>
      <c r="LRR11" s="60"/>
      <c r="LRS11" s="60"/>
      <c r="LRT11" s="60"/>
      <c r="LRU11" s="60"/>
      <c r="LRV11" s="60"/>
      <c r="LRW11" s="60"/>
      <c r="LRX11" s="60"/>
      <c r="LRY11" s="60"/>
      <c r="LRZ11" s="60"/>
      <c r="LSA11" s="60"/>
      <c r="LSB11" s="60"/>
      <c r="LSC11" s="60"/>
      <c r="LSD11" s="60"/>
      <c r="LSE11" s="60"/>
      <c r="LSF11" s="60"/>
      <c r="LSG11" s="60"/>
      <c r="LSH11" s="60"/>
      <c r="LSI11" s="60"/>
      <c r="LSJ11" s="60"/>
      <c r="LSK11" s="60"/>
      <c r="LSL11" s="60"/>
      <c r="LSM11" s="60"/>
      <c r="LSN11" s="60"/>
      <c r="LSO11" s="60"/>
      <c r="LSP11" s="60"/>
      <c r="LSQ11" s="60"/>
      <c r="LSR11" s="60"/>
      <c r="LSS11" s="60"/>
      <c r="LST11" s="60"/>
      <c r="LSU11" s="60"/>
      <c r="LSV11" s="60"/>
      <c r="LSW11" s="60"/>
      <c r="LSX11" s="60"/>
      <c r="LSY11" s="60"/>
      <c r="LSZ11" s="60"/>
      <c r="LTA11" s="60"/>
      <c r="LTB11" s="60"/>
      <c r="LTC11" s="60"/>
      <c r="LTD11" s="60"/>
      <c r="LTE11" s="60"/>
      <c r="LTF11" s="60"/>
      <c r="LTG11" s="60"/>
      <c r="LTH11" s="60"/>
      <c r="LTI11" s="60"/>
      <c r="LTJ11" s="60"/>
      <c r="LTK11" s="60"/>
      <c r="LTL11" s="60"/>
      <c r="LTM11" s="60"/>
      <c r="LTN11" s="60"/>
      <c r="LTO11" s="60"/>
      <c r="LTP11" s="60"/>
      <c r="LTQ11" s="60"/>
      <c r="LTR11" s="60"/>
      <c r="LTS11" s="60"/>
      <c r="LTT11" s="60"/>
      <c r="LTU11" s="60"/>
      <c r="LTV11" s="60"/>
      <c r="LTW11" s="60"/>
      <c r="LTX11" s="60"/>
      <c r="LTY11" s="60"/>
      <c r="LTZ11" s="60"/>
      <c r="LUA11" s="60"/>
      <c r="LUB11" s="60"/>
      <c r="LUC11" s="60"/>
      <c r="LUD11" s="60"/>
      <c r="LUE11" s="60"/>
      <c r="LUF11" s="60"/>
      <c r="LUG11" s="60"/>
      <c r="LUH11" s="60"/>
      <c r="LUI11" s="60"/>
      <c r="LUJ11" s="60"/>
      <c r="LUK11" s="60"/>
      <c r="LUL11" s="60"/>
      <c r="LUM11" s="60"/>
      <c r="LUN11" s="60"/>
      <c r="LUO11" s="60"/>
      <c r="LUP11" s="60"/>
      <c r="LUQ11" s="60"/>
      <c r="LUR11" s="60"/>
      <c r="LUS11" s="60"/>
      <c r="LUT11" s="60"/>
      <c r="LUU11" s="60"/>
      <c r="LUV11" s="60"/>
      <c r="LUW11" s="60"/>
      <c r="LUX11" s="60"/>
      <c r="LUY11" s="60"/>
      <c r="LUZ11" s="60"/>
      <c r="LVA11" s="60"/>
      <c r="LVB11" s="60"/>
      <c r="LVC11" s="60"/>
      <c r="LVD11" s="60"/>
      <c r="LVE11" s="60"/>
      <c r="LVF11" s="60"/>
      <c r="LVG11" s="60"/>
      <c r="LVH11" s="60"/>
      <c r="LVI11" s="60"/>
      <c r="LVJ11" s="60"/>
      <c r="LVK11" s="60"/>
      <c r="LVL11" s="60"/>
      <c r="LVM11" s="60"/>
      <c r="LVN11" s="60"/>
      <c r="LVO11" s="60"/>
      <c r="LVP11" s="60"/>
      <c r="LVQ11" s="60"/>
      <c r="LVR11" s="60"/>
      <c r="LVS11" s="60"/>
      <c r="LVT11" s="60"/>
      <c r="LVU11" s="60"/>
      <c r="LVV11" s="60"/>
      <c r="LVW11" s="60"/>
      <c r="LVX11" s="60"/>
      <c r="LVY11" s="60"/>
      <c r="LVZ11" s="60"/>
      <c r="LWA11" s="60"/>
      <c r="LWB11" s="60"/>
      <c r="LWC11" s="60"/>
      <c r="LWD11" s="60"/>
      <c r="LWE11" s="60"/>
      <c r="LWF11" s="60"/>
      <c r="LWG11" s="60"/>
      <c r="LWH11" s="60"/>
      <c r="LWI11" s="60"/>
      <c r="LWJ11" s="60"/>
      <c r="LWK11" s="60"/>
      <c r="LWL11" s="60"/>
      <c r="LWM11" s="60"/>
      <c r="LWN11" s="60"/>
      <c r="LWO11" s="60"/>
      <c r="LWP11" s="60"/>
      <c r="LWQ11" s="60"/>
      <c r="LWR11" s="60"/>
      <c r="LWS11" s="60"/>
      <c r="LWT11" s="60"/>
      <c r="LWU11" s="60"/>
      <c r="LWV11" s="60"/>
      <c r="LWW11" s="60"/>
      <c r="LWX11" s="60"/>
      <c r="LWY11" s="60"/>
      <c r="LWZ11" s="60"/>
      <c r="LXA11" s="60"/>
      <c r="LXB11" s="60"/>
      <c r="LXC11" s="60"/>
      <c r="LXD11" s="60"/>
      <c r="LXE11" s="60"/>
      <c r="LXF11" s="60"/>
      <c r="LXG11" s="60"/>
      <c r="LXH11" s="60"/>
      <c r="LXI11" s="60"/>
      <c r="LXJ11" s="60"/>
      <c r="LXK11" s="60"/>
      <c r="LXL11" s="60"/>
      <c r="LXM11" s="60"/>
      <c r="LXN11" s="60"/>
      <c r="LXO11" s="60"/>
      <c r="LXP11" s="60"/>
      <c r="LXQ11" s="60"/>
      <c r="LXR11" s="60"/>
      <c r="LXS11" s="60"/>
      <c r="LXT11" s="60"/>
      <c r="LXU11" s="60"/>
      <c r="LXV11" s="60"/>
      <c r="LXW11" s="60"/>
      <c r="LXX11" s="60"/>
      <c r="LXY11" s="60"/>
      <c r="LXZ11" s="60"/>
      <c r="LYA11" s="60"/>
      <c r="LYB11" s="60"/>
      <c r="LYC11" s="60"/>
      <c r="LYD11" s="60"/>
      <c r="LYE11" s="60"/>
      <c r="LYF11" s="60"/>
      <c r="LYG11" s="60"/>
      <c r="LYH11" s="60"/>
      <c r="LYI11" s="60"/>
      <c r="LYJ11" s="60"/>
      <c r="LYK11" s="60"/>
      <c r="LYL11" s="60"/>
      <c r="LYM11" s="60"/>
      <c r="LYN11" s="60"/>
      <c r="LYO11" s="60"/>
      <c r="LYP11" s="60"/>
      <c r="LYQ11" s="60"/>
      <c r="LYR11" s="60"/>
      <c r="LYS11" s="60"/>
      <c r="LYT11" s="60"/>
      <c r="LYU11" s="60"/>
      <c r="LYV11" s="60"/>
      <c r="LYW11" s="60"/>
      <c r="LYX11" s="60"/>
      <c r="LYY11" s="60"/>
      <c r="LYZ11" s="60"/>
      <c r="LZA11" s="60"/>
      <c r="LZB11" s="60"/>
      <c r="LZC11" s="60"/>
      <c r="LZD11" s="60"/>
      <c r="LZE11" s="60"/>
      <c r="LZF11" s="60"/>
      <c r="LZG11" s="60"/>
      <c r="LZH11" s="60"/>
      <c r="LZI11" s="60"/>
      <c r="LZJ11" s="60"/>
      <c r="LZK11" s="60"/>
      <c r="LZL11" s="60"/>
      <c r="LZM11" s="60"/>
      <c r="LZN11" s="60"/>
      <c r="LZO11" s="60"/>
      <c r="LZP11" s="60"/>
      <c r="LZQ11" s="60"/>
      <c r="LZR11" s="60"/>
      <c r="LZS11" s="60"/>
      <c r="LZT11" s="60"/>
      <c r="LZU11" s="60"/>
      <c r="LZV11" s="60"/>
      <c r="LZW11" s="60"/>
      <c r="LZX11" s="60"/>
      <c r="LZY11" s="60"/>
      <c r="LZZ11" s="60"/>
      <c r="MAA11" s="60"/>
      <c r="MAB11" s="60"/>
      <c r="MAC11" s="60"/>
      <c r="MAD11" s="60"/>
      <c r="MAE11" s="60"/>
      <c r="MAF11" s="60"/>
      <c r="MAG11" s="60"/>
      <c r="MAH11" s="60"/>
      <c r="MAI11" s="60"/>
      <c r="MAJ11" s="60"/>
      <c r="MAK11" s="60"/>
      <c r="MAL11" s="60"/>
      <c r="MAM11" s="60"/>
      <c r="MAN11" s="60"/>
      <c r="MAO11" s="60"/>
      <c r="MAP11" s="60"/>
      <c r="MAQ11" s="60"/>
      <c r="MAR11" s="60"/>
      <c r="MAS11" s="60"/>
      <c r="MAT11" s="60"/>
      <c r="MAU11" s="60"/>
      <c r="MAV11" s="60"/>
      <c r="MAW11" s="60"/>
      <c r="MAX11" s="60"/>
      <c r="MAY11" s="60"/>
      <c r="MAZ11" s="60"/>
      <c r="MBA11" s="60"/>
      <c r="MBB11" s="60"/>
      <c r="MBC11" s="60"/>
      <c r="MBD11" s="60"/>
      <c r="MBE11" s="60"/>
      <c r="MBF11" s="60"/>
      <c r="MBG11" s="60"/>
      <c r="MBH11" s="60"/>
      <c r="MBI11" s="60"/>
      <c r="MBJ11" s="60"/>
      <c r="MBK11" s="60"/>
      <c r="MBL11" s="60"/>
      <c r="MBM11" s="60"/>
      <c r="MBN11" s="60"/>
      <c r="MBO11" s="60"/>
      <c r="MBP11" s="60"/>
      <c r="MBQ11" s="60"/>
      <c r="MBR11" s="60"/>
      <c r="MBS11" s="60"/>
      <c r="MBT11" s="60"/>
      <c r="MBU11" s="60"/>
      <c r="MBV11" s="60"/>
      <c r="MBW11" s="60"/>
      <c r="MBX11" s="60"/>
      <c r="MBY11" s="60"/>
      <c r="MBZ11" s="60"/>
      <c r="MCA11" s="60"/>
      <c r="MCB11" s="60"/>
      <c r="MCC11" s="60"/>
      <c r="MCD11" s="60"/>
      <c r="MCE11" s="60"/>
      <c r="MCF11" s="60"/>
      <c r="MCG11" s="60"/>
      <c r="MCH11" s="60"/>
      <c r="MCI11" s="60"/>
      <c r="MCJ11" s="60"/>
      <c r="MCK11" s="60"/>
      <c r="MCL11" s="60"/>
      <c r="MCM11" s="60"/>
      <c r="MCN11" s="60"/>
      <c r="MCO11" s="60"/>
      <c r="MCP11" s="60"/>
      <c r="MCQ11" s="60"/>
      <c r="MCR11" s="60"/>
      <c r="MCS11" s="60"/>
      <c r="MCT11" s="60"/>
      <c r="MCU11" s="60"/>
      <c r="MCV11" s="60"/>
      <c r="MCW11" s="60"/>
      <c r="MCX11" s="60"/>
      <c r="MCY11" s="60"/>
      <c r="MCZ11" s="60"/>
      <c r="MDA11" s="60"/>
      <c r="MDB11" s="60"/>
      <c r="MDC11" s="60"/>
      <c r="MDD11" s="60"/>
      <c r="MDE11" s="60"/>
      <c r="MDF11" s="60"/>
      <c r="MDG11" s="60"/>
      <c r="MDH11" s="60"/>
      <c r="MDI11" s="60"/>
      <c r="MDJ11" s="60"/>
      <c r="MDK11" s="60"/>
      <c r="MDL11" s="60"/>
      <c r="MDM11" s="60"/>
      <c r="MDN11" s="60"/>
      <c r="MDO11" s="60"/>
      <c r="MDP11" s="60"/>
      <c r="MDQ11" s="60"/>
      <c r="MDR11" s="60"/>
      <c r="MDS11" s="60"/>
      <c r="MDT11" s="60"/>
      <c r="MDU11" s="60"/>
      <c r="MDV11" s="60"/>
      <c r="MDW11" s="60"/>
      <c r="MDX11" s="60"/>
      <c r="MDY11" s="60"/>
      <c r="MDZ11" s="60"/>
      <c r="MEA11" s="60"/>
      <c r="MEB11" s="60"/>
      <c r="MEC11" s="60"/>
      <c r="MED11" s="60"/>
      <c r="MEE11" s="60"/>
      <c r="MEF11" s="60"/>
      <c r="MEG11" s="60"/>
      <c r="MEH11" s="60"/>
      <c r="MEI11" s="60"/>
      <c r="MEJ11" s="60"/>
      <c r="MEK11" s="60"/>
      <c r="MEL11" s="60"/>
      <c r="MEM11" s="60"/>
      <c r="MEN11" s="60"/>
      <c r="MEO11" s="60"/>
      <c r="MEP11" s="60"/>
      <c r="MEQ11" s="60"/>
      <c r="MER11" s="60"/>
      <c r="MES11" s="60"/>
      <c r="MET11" s="60"/>
      <c r="MEU11" s="60"/>
      <c r="MEV11" s="60"/>
      <c r="MEW11" s="60"/>
      <c r="MEX11" s="60"/>
      <c r="MEY11" s="60"/>
      <c r="MEZ11" s="60"/>
      <c r="MFA11" s="60"/>
      <c r="MFB11" s="60"/>
      <c r="MFC11" s="60"/>
      <c r="MFD11" s="60"/>
      <c r="MFE11" s="60"/>
      <c r="MFF11" s="60"/>
      <c r="MFG11" s="60"/>
      <c r="MFH11" s="60"/>
      <c r="MFI11" s="60"/>
      <c r="MFJ11" s="60"/>
      <c r="MFK11" s="60"/>
      <c r="MFL11" s="60"/>
      <c r="MFM11" s="60"/>
      <c r="MFN11" s="60"/>
      <c r="MFO11" s="60"/>
      <c r="MFP11" s="60"/>
      <c r="MFQ11" s="60"/>
      <c r="MFR11" s="60"/>
      <c r="MFS11" s="60"/>
      <c r="MFT11" s="60"/>
      <c r="MFU11" s="60"/>
      <c r="MFV11" s="60"/>
      <c r="MFW11" s="60"/>
      <c r="MFX11" s="60"/>
      <c r="MFY11" s="60"/>
      <c r="MFZ11" s="60"/>
      <c r="MGA11" s="60"/>
      <c r="MGB11" s="60"/>
      <c r="MGC11" s="60"/>
      <c r="MGD11" s="60"/>
      <c r="MGE11" s="60"/>
      <c r="MGF11" s="60"/>
      <c r="MGG11" s="60"/>
      <c r="MGH11" s="60"/>
      <c r="MGI11" s="60"/>
      <c r="MGJ11" s="60"/>
      <c r="MGK11" s="60"/>
      <c r="MGL11" s="60"/>
      <c r="MGM11" s="60"/>
      <c r="MGN11" s="60"/>
      <c r="MGO11" s="60"/>
      <c r="MGP11" s="60"/>
      <c r="MGQ11" s="60"/>
      <c r="MGR11" s="60"/>
      <c r="MGS11" s="60"/>
      <c r="MGT11" s="60"/>
      <c r="MGU11" s="60"/>
      <c r="MGV11" s="60"/>
      <c r="MGW11" s="60"/>
      <c r="MGX11" s="60"/>
      <c r="MGY11" s="60"/>
      <c r="MGZ11" s="60"/>
      <c r="MHA11" s="60"/>
      <c r="MHB11" s="60"/>
      <c r="MHC11" s="60"/>
      <c r="MHD11" s="60"/>
      <c r="MHE11" s="60"/>
      <c r="MHF11" s="60"/>
      <c r="MHG11" s="60"/>
      <c r="MHH11" s="60"/>
      <c r="MHI11" s="60"/>
      <c r="MHJ11" s="60"/>
      <c r="MHK11" s="60"/>
      <c r="MHL11" s="60"/>
      <c r="MHM11" s="60"/>
      <c r="MHN11" s="60"/>
      <c r="MHO11" s="60"/>
      <c r="MHP11" s="60"/>
      <c r="MHQ11" s="60"/>
      <c r="MHR11" s="60"/>
      <c r="MHS11" s="60"/>
      <c r="MHT11" s="60"/>
      <c r="MHU11" s="60"/>
      <c r="MHV11" s="60"/>
      <c r="MHW11" s="60"/>
      <c r="MHX11" s="60"/>
      <c r="MHY11" s="60"/>
      <c r="MHZ11" s="60"/>
      <c r="MIA11" s="60"/>
      <c r="MIB11" s="60"/>
      <c r="MIC11" s="60"/>
      <c r="MID11" s="60"/>
      <c r="MIE11" s="60"/>
      <c r="MIF11" s="60"/>
      <c r="MIG11" s="60"/>
      <c r="MIH11" s="60"/>
      <c r="MII11" s="60"/>
      <c r="MIJ11" s="60"/>
      <c r="MIK11" s="60"/>
      <c r="MIL11" s="60"/>
      <c r="MIM11" s="60"/>
      <c r="MIN11" s="60"/>
      <c r="MIO11" s="60"/>
      <c r="MIP11" s="60"/>
      <c r="MIQ11" s="60"/>
      <c r="MIR11" s="60"/>
      <c r="MIS11" s="60"/>
      <c r="MIT11" s="60"/>
      <c r="MIU11" s="60"/>
      <c r="MIV11" s="60"/>
      <c r="MIW11" s="60"/>
      <c r="MIX11" s="60"/>
      <c r="MIY11" s="60"/>
      <c r="MIZ11" s="60"/>
      <c r="MJA11" s="60"/>
      <c r="MJB11" s="60"/>
      <c r="MJC11" s="60"/>
      <c r="MJD11" s="60"/>
      <c r="MJE11" s="60"/>
      <c r="MJF11" s="60"/>
      <c r="MJG11" s="60"/>
      <c r="MJH11" s="60"/>
      <c r="MJI11" s="60"/>
      <c r="MJJ11" s="60"/>
      <c r="MJK11" s="60"/>
      <c r="MJL11" s="60"/>
      <c r="MJM11" s="60"/>
      <c r="MJN11" s="60"/>
      <c r="MJO11" s="60"/>
      <c r="MJP11" s="60"/>
      <c r="MJQ11" s="60"/>
      <c r="MJR11" s="60"/>
      <c r="MJS11" s="60"/>
      <c r="MJT11" s="60"/>
      <c r="MJU11" s="60"/>
      <c r="MJV11" s="60"/>
      <c r="MJW11" s="60"/>
      <c r="MJX11" s="60"/>
      <c r="MJY11" s="60"/>
      <c r="MJZ11" s="60"/>
      <c r="MKA11" s="60"/>
      <c r="MKB11" s="60"/>
      <c r="MKC11" s="60"/>
      <c r="MKD11" s="60"/>
      <c r="MKE11" s="60"/>
      <c r="MKF11" s="60"/>
      <c r="MKG11" s="60"/>
      <c r="MKH11" s="60"/>
      <c r="MKI11" s="60"/>
      <c r="MKJ11" s="60"/>
      <c r="MKK11" s="60"/>
      <c r="MKL11" s="60"/>
      <c r="MKM11" s="60"/>
      <c r="MKN11" s="60"/>
      <c r="MKO11" s="60"/>
      <c r="MKP11" s="60"/>
      <c r="MKQ11" s="60"/>
      <c r="MKR11" s="60"/>
      <c r="MKS11" s="60"/>
      <c r="MKT11" s="60"/>
      <c r="MKU11" s="60"/>
      <c r="MKV11" s="60"/>
      <c r="MKW11" s="60"/>
      <c r="MKX11" s="60"/>
      <c r="MKY11" s="60"/>
      <c r="MKZ11" s="60"/>
      <c r="MLA11" s="60"/>
      <c r="MLB11" s="60"/>
      <c r="MLC11" s="60"/>
      <c r="MLD11" s="60"/>
      <c r="MLE11" s="60"/>
      <c r="MLF11" s="60"/>
      <c r="MLG11" s="60"/>
      <c r="MLH11" s="60"/>
      <c r="MLI11" s="60"/>
      <c r="MLJ11" s="60"/>
      <c r="MLK11" s="60"/>
      <c r="MLL11" s="60"/>
      <c r="MLM11" s="60"/>
      <c r="MLN11" s="60"/>
      <c r="MLO11" s="60"/>
      <c r="MLP11" s="60"/>
      <c r="MLQ11" s="60"/>
      <c r="MLR11" s="60"/>
      <c r="MLS11" s="60"/>
      <c r="MLT11" s="60"/>
      <c r="MLU11" s="60"/>
      <c r="MLV11" s="60"/>
      <c r="MLW11" s="60"/>
      <c r="MLX11" s="60"/>
      <c r="MLY11" s="60"/>
      <c r="MLZ11" s="60"/>
      <c r="MMA11" s="60"/>
      <c r="MMB11" s="60"/>
      <c r="MMC11" s="60"/>
      <c r="MMD11" s="60"/>
      <c r="MME11" s="60"/>
      <c r="MMF11" s="60"/>
      <c r="MMG11" s="60"/>
      <c r="MMH11" s="60"/>
      <c r="MMI11" s="60"/>
      <c r="MMJ11" s="60"/>
      <c r="MMK11" s="60"/>
      <c r="MML11" s="60"/>
      <c r="MMM11" s="60"/>
      <c r="MMN11" s="60"/>
      <c r="MMO11" s="60"/>
      <c r="MMP11" s="60"/>
      <c r="MMQ11" s="60"/>
      <c r="MMR11" s="60"/>
      <c r="MMS11" s="60"/>
      <c r="MMT11" s="60"/>
      <c r="MMU11" s="60"/>
      <c r="MMV11" s="60"/>
      <c r="MMW11" s="60"/>
      <c r="MMX11" s="60"/>
      <c r="MMY11" s="60"/>
      <c r="MMZ11" s="60"/>
      <c r="MNA11" s="60"/>
      <c r="MNB11" s="60"/>
      <c r="MNC11" s="60"/>
      <c r="MND11" s="60"/>
      <c r="MNE11" s="60"/>
      <c r="MNF11" s="60"/>
      <c r="MNG11" s="60"/>
      <c r="MNH11" s="60"/>
      <c r="MNI11" s="60"/>
      <c r="MNJ11" s="60"/>
      <c r="MNK11" s="60"/>
      <c r="MNL11" s="60"/>
      <c r="MNM11" s="60"/>
      <c r="MNN11" s="60"/>
      <c r="MNO11" s="60"/>
      <c r="MNP11" s="60"/>
      <c r="MNQ11" s="60"/>
      <c r="MNR11" s="60"/>
      <c r="MNS11" s="60"/>
      <c r="MNT11" s="60"/>
      <c r="MNU11" s="60"/>
      <c r="MNV11" s="60"/>
      <c r="MNW11" s="60"/>
      <c r="MNX11" s="60"/>
      <c r="MNY11" s="60"/>
      <c r="MNZ11" s="60"/>
      <c r="MOA11" s="60"/>
      <c r="MOB11" s="60"/>
      <c r="MOC11" s="60"/>
      <c r="MOD11" s="60"/>
      <c r="MOE11" s="60"/>
      <c r="MOF11" s="60"/>
      <c r="MOG11" s="60"/>
      <c r="MOH11" s="60"/>
      <c r="MOI11" s="60"/>
      <c r="MOJ11" s="60"/>
      <c r="MOK11" s="60"/>
      <c r="MOL11" s="60"/>
      <c r="MOM11" s="60"/>
      <c r="MON11" s="60"/>
      <c r="MOO11" s="60"/>
      <c r="MOP11" s="60"/>
      <c r="MOQ11" s="60"/>
      <c r="MOR11" s="60"/>
      <c r="MOS11" s="60"/>
      <c r="MOT11" s="60"/>
      <c r="MOU11" s="60"/>
      <c r="MOV11" s="60"/>
      <c r="MOW11" s="60"/>
      <c r="MOX11" s="60"/>
      <c r="MOY11" s="60"/>
      <c r="MOZ11" s="60"/>
      <c r="MPA11" s="60"/>
      <c r="MPB11" s="60"/>
      <c r="MPC11" s="60"/>
      <c r="MPD11" s="60"/>
      <c r="MPE11" s="60"/>
      <c r="MPF11" s="60"/>
      <c r="MPG11" s="60"/>
      <c r="MPH11" s="60"/>
      <c r="MPI11" s="60"/>
      <c r="MPJ11" s="60"/>
      <c r="MPK11" s="60"/>
      <c r="MPL11" s="60"/>
      <c r="MPM11" s="60"/>
      <c r="MPN11" s="60"/>
      <c r="MPO11" s="60"/>
      <c r="MPP11" s="60"/>
      <c r="MPQ11" s="60"/>
      <c r="MPR11" s="60"/>
      <c r="MPS11" s="60"/>
      <c r="MPT11" s="60"/>
      <c r="MPU11" s="60"/>
      <c r="MPV11" s="60"/>
      <c r="MPW11" s="60"/>
      <c r="MPX11" s="60"/>
      <c r="MPY11" s="60"/>
      <c r="MPZ11" s="60"/>
      <c r="MQA11" s="60"/>
      <c r="MQB11" s="60"/>
      <c r="MQC11" s="60"/>
      <c r="MQD11" s="60"/>
      <c r="MQE11" s="60"/>
      <c r="MQF11" s="60"/>
      <c r="MQG11" s="60"/>
      <c r="MQH11" s="60"/>
      <c r="MQI11" s="60"/>
      <c r="MQJ11" s="60"/>
      <c r="MQK11" s="60"/>
      <c r="MQL11" s="60"/>
      <c r="MQM11" s="60"/>
      <c r="MQN11" s="60"/>
      <c r="MQO11" s="60"/>
      <c r="MQP11" s="60"/>
      <c r="MQQ11" s="60"/>
      <c r="MQR11" s="60"/>
      <c r="MQS11" s="60"/>
      <c r="MQT11" s="60"/>
      <c r="MQU11" s="60"/>
      <c r="MQV11" s="60"/>
      <c r="MQW11" s="60"/>
      <c r="MQX11" s="60"/>
      <c r="MQY11" s="60"/>
      <c r="MQZ11" s="60"/>
      <c r="MRA11" s="60"/>
      <c r="MRB11" s="60"/>
      <c r="MRC11" s="60"/>
      <c r="MRD11" s="60"/>
      <c r="MRE11" s="60"/>
      <c r="MRF11" s="60"/>
      <c r="MRG11" s="60"/>
      <c r="MRH11" s="60"/>
      <c r="MRI11" s="60"/>
      <c r="MRJ11" s="60"/>
      <c r="MRK11" s="60"/>
      <c r="MRL11" s="60"/>
      <c r="MRM11" s="60"/>
      <c r="MRN11" s="60"/>
      <c r="MRO11" s="60"/>
      <c r="MRP11" s="60"/>
      <c r="MRQ11" s="60"/>
      <c r="MRR11" s="60"/>
      <c r="MRS11" s="60"/>
      <c r="MRT11" s="60"/>
      <c r="MRU11" s="60"/>
      <c r="MRV11" s="60"/>
      <c r="MRW11" s="60"/>
      <c r="MRX11" s="60"/>
      <c r="MRY11" s="60"/>
      <c r="MRZ11" s="60"/>
      <c r="MSA11" s="60"/>
      <c r="MSB11" s="60"/>
      <c r="MSC11" s="60"/>
      <c r="MSD11" s="60"/>
      <c r="MSE11" s="60"/>
      <c r="MSF11" s="60"/>
      <c r="MSG11" s="60"/>
      <c r="MSH11" s="60"/>
      <c r="MSI11" s="60"/>
      <c r="MSJ11" s="60"/>
      <c r="MSK11" s="60"/>
      <c r="MSL11" s="60"/>
      <c r="MSM11" s="60"/>
      <c r="MSN11" s="60"/>
      <c r="MSO11" s="60"/>
      <c r="MSP11" s="60"/>
      <c r="MSQ11" s="60"/>
      <c r="MSR11" s="60"/>
      <c r="MSS11" s="60"/>
      <c r="MST11" s="60"/>
      <c r="MSU11" s="60"/>
      <c r="MSV11" s="60"/>
      <c r="MSW11" s="60"/>
      <c r="MSX11" s="60"/>
      <c r="MSY11" s="60"/>
      <c r="MSZ11" s="60"/>
      <c r="MTA11" s="60"/>
      <c r="MTB11" s="60"/>
      <c r="MTC11" s="60"/>
      <c r="MTD11" s="60"/>
      <c r="MTE11" s="60"/>
      <c r="MTF11" s="60"/>
      <c r="MTG11" s="60"/>
      <c r="MTH11" s="60"/>
      <c r="MTI11" s="60"/>
      <c r="MTJ11" s="60"/>
      <c r="MTK11" s="60"/>
      <c r="MTL11" s="60"/>
      <c r="MTM11" s="60"/>
      <c r="MTN11" s="60"/>
      <c r="MTO11" s="60"/>
      <c r="MTP11" s="60"/>
      <c r="MTQ11" s="60"/>
      <c r="MTR11" s="60"/>
      <c r="MTS11" s="60"/>
      <c r="MTT11" s="60"/>
      <c r="MTU11" s="60"/>
      <c r="MTV11" s="60"/>
      <c r="MTW11" s="60"/>
      <c r="MTX11" s="60"/>
      <c r="MTY11" s="60"/>
      <c r="MTZ11" s="60"/>
      <c r="MUA11" s="60"/>
      <c r="MUB11" s="60"/>
      <c r="MUC11" s="60"/>
      <c r="MUD11" s="60"/>
      <c r="MUE11" s="60"/>
      <c r="MUF11" s="60"/>
      <c r="MUG11" s="60"/>
      <c r="MUH11" s="60"/>
      <c r="MUI11" s="60"/>
      <c r="MUJ11" s="60"/>
      <c r="MUK11" s="60"/>
      <c r="MUL11" s="60"/>
      <c r="MUM11" s="60"/>
      <c r="MUN11" s="60"/>
      <c r="MUO11" s="60"/>
      <c r="MUP11" s="60"/>
      <c r="MUQ11" s="60"/>
      <c r="MUR11" s="60"/>
      <c r="MUS11" s="60"/>
      <c r="MUT11" s="60"/>
      <c r="MUU11" s="60"/>
      <c r="MUV11" s="60"/>
      <c r="MUW11" s="60"/>
      <c r="MUX11" s="60"/>
      <c r="MUY11" s="60"/>
      <c r="MUZ11" s="60"/>
      <c r="MVA11" s="60"/>
      <c r="MVB11" s="60"/>
      <c r="MVC11" s="60"/>
      <c r="MVD11" s="60"/>
      <c r="MVE11" s="60"/>
      <c r="MVF11" s="60"/>
      <c r="MVG11" s="60"/>
      <c r="MVH11" s="60"/>
      <c r="MVI11" s="60"/>
      <c r="MVJ11" s="60"/>
      <c r="MVK11" s="60"/>
      <c r="MVL11" s="60"/>
      <c r="MVM11" s="60"/>
      <c r="MVN11" s="60"/>
      <c r="MVO11" s="60"/>
      <c r="MVP11" s="60"/>
      <c r="MVQ11" s="60"/>
      <c r="MVR11" s="60"/>
      <c r="MVS11" s="60"/>
      <c r="MVT11" s="60"/>
      <c r="MVU11" s="60"/>
      <c r="MVV11" s="60"/>
      <c r="MVW11" s="60"/>
      <c r="MVX11" s="60"/>
      <c r="MVY11" s="60"/>
      <c r="MVZ11" s="60"/>
      <c r="MWA11" s="60"/>
      <c r="MWB11" s="60"/>
      <c r="MWC11" s="60"/>
      <c r="MWD11" s="60"/>
      <c r="MWE11" s="60"/>
      <c r="MWF11" s="60"/>
      <c r="MWG11" s="60"/>
      <c r="MWH11" s="60"/>
      <c r="MWI11" s="60"/>
      <c r="MWJ11" s="60"/>
      <c r="MWK11" s="60"/>
      <c r="MWL11" s="60"/>
      <c r="MWM11" s="60"/>
      <c r="MWN11" s="60"/>
      <c r="MWO11" s="60"/>
      <c r="MWP11" s="60"/>
      <c r="MWQ11" s="60"/>
      <c r="MWR11" s="60"/>
      <c r="MWS11" s="60"/>
      <c r="MWT11" s="60"/>
      <c r="MWU11" s="60"/>
      <c r="MWV11" s="60"/>
      <c r="MWW11" s="60"/>
      <c r="MWX11" s="60"/>
      <c r="MWY11" s="60"/>
      <c r="MWZ11" s="60"/>
      <c r="MXA11" s="60"/>
      <c r="MXB11" s="60"/>
      <c r="MXC11" s="60"/>
      <c r="MXD11" s="60"/>
      <c r="MXE11" s="60"/>
      <c r="MXF11" s="60"/>
      <c r="MXG11" s="60"/>
      <c r="MXH11" s="60"/>
      <c r="MXI11" s="60"/>
      <c r="MXJ11" s="60"/>
      <c r="MXK11" s="60"/>
      <c r="MXL11" s="60"/>
      <c r="MXM11" s="60"/>
      <c r="MXN11" s="60"/>
      <c r="MXO11" s="60"/>
      <c r="MXP11" s="60"/>
      <c r="MXQ11" s="60"/>
      <c r="MXR11" s="60"/>
      <c r="MXS11" s="60"/>
      <c r="MXT11" s="60"/>
      <c r="MXU11" s="60"/>
      <c r="MXV11" s="60"/>
      <c r="MXW11" s="60"/>
      <c r="MXX11" s="60"/>
      <c r="MXY11" s="60"/>
      <c r="MXZ11" s="60"/>
      <c r="MYA11" s="60"/>
      <c r="MYB11" s="60"/>
      <c r="MYC11" s="60"/>
      <c r="MYD11" s="60"/>
      <c r="MYE11" s="60"/>
      <c r="MYF11" s="60"/>
      <c r="MYG11" s="60"/>
      <c r="MYH11" s="60"/>
      <c r="MYI11" s="60"/>
      <c r="MYJ11" s="60"/>
      <c r="MYK11" s="60"/>
      <c r="MYL11" s="60"/>
      <c r="MYM11" s="60"/>
      <c r="MYN11" s="60"/>
      <c r="MYO11" s="60"/>
      <c r="MYP11" s="60"/>
      <c r="MYQ11" s="60"/>
      <c r="MYR11" s="60"/>
      <c r="MYS11" s="60"/>
      <c r="MYT11" s="60"/>
      <c r="MYU11" s="60"/>
      <c r="MYV11" s="60"/>
      <c r="MYW11" s="60"/>
      <c r="MYX11" s="60"/>
      <c r="MYY11" s="60"/>
      <c r="MYZ11" s="60"/>
      <c r="MZA11" s="60"/>
      <c r="MZB11" s="60"/>
      <c r="MZC11" s="60"/>
      <c r="MZD11" s="60"/>
      <c r="MZE11" s="60"/>
      <c r="MZF11" s="60"/>
      <c r="MZG11" s="60"/>
      <c r="MZH11" s="60"/>
      <c r="MZI11" s="60"/>
      <c r="MZJ11" s="60"/>
      <c r="MZK11" s="60"/>
      <c r="MZL11" s="60"/>
      <c r="MZM11" s="60"/>
      <c r="MZN11" s="60"/>
      <c r="MZO11" s="60"/>
      <c r="MZP11" s="60"/>
      <c r="MZQ11" s="60"/>
      <c r="MZR11" s="60"/>
      <c r="MZS11" s="60"/>
      <c r="MZT11" s="60"/>
      <c r="MZU11" s="60"/>
      <c r="MZV11" s="60"/>
      <c r="MZW11" s="60"/>
      <c r="MZX11" s="60"/>
      <c r="MZY11" s="60"/>
      <c r="MZZ11" s="60"/>
      <c r="NAA11" s="60"/>
      <c r="NAB11" s="60"/>
      <c r="NAC11" s="60"/>
      <c r="NAD11" s="60"/>
      <c r="NAE11" s="60"/>
      <c r="NAF11" s="60"/>
      <c r="NAG11" s="60"/>
      <c r="NAH11" s="60"/>
      <c r="NAI11" s="60"/>
      <c r="NAJ11" s="60"/>
      <c r="NAK11" s="60"/>
      <c r="NAL11" s="60"/>
      <c r="NAM11" s="60"/>
      <c r="NAN11" s="60"/>
      <c r="NAO11" s="60"/>
      <c r="NAP11" s="60"/>
      <c r="NAQ11" s="60"/>
      <c r="NAR11" s="60"/>
      <c r="NAS11" s="60"/>
      <c r="NAT11" s="60"/>
      <c r="NAU11" s="60"/>
      <c r="NAV11" s="60"/>
      <c r="NAW11" s="60"/>
      <c r="NAX11" s="60"/>
      <c r="NAY11" s="60"/>
      <c r="NAZ11" s="60"/>
      <c r="NBA11" s="60"/>
      <c r="NBB11" s="60"/>
      <c r="NBC11" s="60"/>
      <c r="NBD11" s="60"/>
      <c r="NBE11" s="60"/>
      <c r="NBF11" s="60"/>
      <c r="NBG11" s="60"/>
      <c r="NBH11" s="60"/>
      <c r="NBI11" s="60"/>
      <c r="NBJ11" s="60"/>
      <c r="NBK11" s="60"/>
      <c r="NBL11" s="60"/>
      <c r="NBM11" s="60"/>
      <c r="NBN11" s="60"/>
      <c r="NBO11" s="60"/>
      <c r="NBP11" s="60"/>
      <c r="NBQ11" s="60"/>
      <c r="NBR11" s="60"/>
      <c r="NBS11" s="60"/>
      <c r="NBT11" s="60"/>
      <c r="NBU11" s="60"/>
      <c r="NBV11" s="60"/>
      <c r="NBW11" s="60"/>
      <c r="NBX11" s="60"/>
      <c r="NBY11" s="60"/>
      <c r="NBZ11" s="60"/>
      <c r="NCA11" s="60"/>
      <c r="NCB11" s="60"/>
      <c r="NCC11" s="60"/>
      <c r="NCD11" s="60"/>
      <c r="NCE11" s="60"/>
      <c r="NCF11" s="60"/>
      <c r="NCG11" s="60"/>
      <c r="NCH11" s="60"/>
      <c r="NCI11" s="60"/>
      <c r="NCJ11" s="60"/>
      <c r="NCK11" s="60"/>
      <c r="NCL11" s="60"/>
      <c r="NCM11" s="60"/>
      <c r="NCN11" s="60"/>
      <c r="NCO11" s="60"/>
      <c r="NCP11" s="60"/>
      <c r="NCQ11" s="60"/>
      <c r="NCR11" s="60"/>
      <c r="NCS11" s="60"/>
      <c r="NCT11" s="60"/>
      <c r="NCU11" s="60"/>
      <c r="NCV11" s="60"/>
      <c r="NCW11" s="60"/>
      <c r="NCX11" s="60"/>
      <c r="NCY11" s="60"/>
      <c r="NCZ11" s="60"/>
      <c r="NDA11" s="60"/>
      <c r="NDB11" s="60"/>
      <c r="NDC11" s="60"/>
      <c r="NDD11" s="60"/>
      <c r="NDE11" s="60"/>
      <c r="NDF11" s="60"/>
      <c r="NDG11" s="60"/>
      <c r="NDH11" s="60"/>
      <c r="NDI11" s="60"/>
      <c r="NDJ11" s="60"/>
      <c r="NDK11" s="60"/>
      <c r="NDL11" s="60"/>
      <c r="NDM11" s="60"/>
      <c r="NDN11" s="60"/>
      <c r="NDO11" s="60"/>
      <c r="NDP11" s="60"/>
      <c r="NDQ11" s="60"/>
      <c r="NDR11" s="60"/>
      <c r="NDS11" s="60"/>
      <c r="NDT11" s="60"/>
      <c r="NDU11" s="60"/>
      <c r="NDV11" s="60"/>
      <c r="NDW11" s="60"/>
      <c r="NDX11" s="60"/>
      <c r="NDY11" s="60"/>
      <c r="NDZ11" s="60"/>
      <c r="NEA11" s="60"/>
      <c r="NEB11" s="60"/>
      <c r="NEC11" s="60"/>
      <c r="NED11" s="60"/>
      <c r="NEE11" s="60"/>
      <c r="NEF11" s="60"/>
      <c r="NEG11" s="60"/>
      <c r="NEH11" s="60"/>
      <c r="NEI11" s="60"/>
      <c r="NEJ11" s="60"/>
      <c r="NEK11" s="60"/>
      <c r="NEL11" s="60"/>
      <c r="NEM11" s="60"/>
      <c r="NEN11" s="60"/>
      <c r="NEO11" s="60"/>
      <c r="NEP11" s="60"/>
      <c r="NEQ11" s="60"/>
      <c r="NER11" s="60"/>
      <c r="NES11" s="60"/>
      <c r="NET11" s="60"/>
      <c r="NEU11" s="60"/>
      <c r="NEV11" s="60"/>
      <c r="NEW11" s="60"/>
      <c r="NEX11" s="60"/>
      <c r="NEY11" s="60"/>
      <c r="NEZ11" s="60"/>
      <c r="NFA11" s="60"/>
      <c r="NFB11" s="60"/>
      <c r="NFC11" s="60"/>
      <c r="NFD11" s="60"/>
      <c r="NFE11" s="60"/>
      <c r="NFF11" s="60"/>
      <c r="NFG11" s="60"/>
      <c r="NFH11" s="60"/>
      <c r="NFI11" s="60"/>
      <c r="NFJ11" s="60"/>
      <c r="NFK11" s="60"/>
      <c r="NFL11" s="60"/>
      <c r="NFM11" s="60"/>
      <c r="NFN11" s="60"/>
      <c r="NFO11" s="60"/>
      <c r="NFP11" s="60"/>
      <c r="NFQ11" s="60"/>
      <c r="NFR11" s="60"/>
      <c r="NFS11" s="60"/>
      <c r="NFT11" s="60"/>
      <c r="NFU11" s="60"/>
      <c r="NFV11" s="60"/>
      <c r="NFW11" s="60"/>
      <c r="NFX11" s="60"/>
      <c r="NFY11" s="60"/>
      <c r="NFZ11" s="60"/>
      <c r="NGA11" s="60"/>
      <c r="NGB11" s="60"/>
      <c r="NGC11" s="60"/>
      <c r="NGD11" s="60"/>
      <c r="NGE11" s="60"/>
      <c r="NGF11" s="60"/>
      <c r="NGG11" s="60"/>
      <c r="NGH11" s="60"/>
      <c r="NGI11" s="60"/>
      <c r="NGJ11" s="60"/>
      <c r="NGK11" s="60"/>
      <c r="NGL11" s="60"/>
      <c r="NGM11" s="60"/>
      <c r="NGN11" s="60"/>
      <c r="NGO11" s="60"/>
      <c r="NGP11" s="60"/>
      <c r="NGQ11" s="60"/>
      <c r="NGR11" s="60"/>
      <c r="NGS11" s="60"/>
      <c r="NGT11" s="60"/>
      <c r="NGU11" s="60"/>
      <c r="NGV11" s="60"/>
      <c r="NGW11" s="60"/>
      <c r="NGX11" s="60"/>
      <c r="NGY11" s="60"/>
      <c r="NGZ11" s="60"/>
      <c r="NHA11" s="60"/>
      <c r="NHB11" s="60"/>
      <c r="NHC11" s="60"/>
      <c r="NHD11" s="60"/>
      <c r="NHE11" s="60"/>
      <c r="NHF11" s="60"/>
      <c r="NHG11" s="60"/>
      <c r="NHH11" s="60"/>
      <c r="NHI11" s="60"/>
      <c r="NHJ11" s="60"/>
      <c r="NHK11" s="60"/>
      <c r="NHL11" s="60"/>
      <c r="NHM11" s="60"/>
      <c r="NHN11" s="60"/>
      <c r="NHO11" s="60"/>
      <c r="NHP11" s="60"/>
      <c r="NHQ11" s="60"/>
      <c r="NHR11" s="60"/>
      <c r="NHS11" s="60"/>
      <c r="NHT11" s="60"/>
      <c r="NHU11" s="60"/>
      <c r="NHV11" s="60"/>
      <c r="NHW11" s="60"/>
      <c r="NHX11" s="60"/>
      <c r="NHY11" s="60"/>
      <c r="NHZ11" s="60"/>
      <c r="NIA11" s="60"/>
      <c r="NIB11" s="60"/>
      <c r="NIC11" s="60"/>
      <c r="NID11" s="60"/>
      <c r="NIE11" s="60"/>
      <c r="NIF11" s="60"/>
      <c r="NIG11" s="60"/>
      <c r="NIH11" s="60"/>
      <c r="NII11" s="60"/>
      <c r="NIJ11" s="60"/>
      <c r="NIK11" s="60"/>
      <c r="NIL11" s="60"/>
      <c r="NIM11" s="60"/>
      <c r="NIN11" s="60"/>
      <c r="NIO11" s="60"/>
      <c r="NIP11" s="60"/>
      <c r="NIQ11" s="60"/>
      <c r="NIR11" s="60"/>
      <c r="NIS11" s="60"/>
      <c r="NIT11" s="60"/>
      <c r="NIU11" s="60"/>
      <c r="NIV11" s="60"/>
      <c r="NIW11" s="60"/>
      <c r="NIX11" s="60"/>
      <c r="NIY11" s="60"/>
      <c r="NIZ11" s="60"/>
      <c r="NJA11" s="60"/>
      <c r="NJB11" s="60"/>
      <c r="NJC11" s="60"/>
      <c r="NJD11" s="60"/>
      <c r="NJE11" s="60"/>
      <c r="NJF11" s="60"/>
      <c r="NJG11" s="60"/>
      <c r="NJH11" s="60"/>
      <c r="NJI11" s="60"/>
      <c r="NJJ11" s="60"/>
      <c r="NJK11" s="60"/>
      <c r="NJL11" s="60"/>
      <c r="NJM11" s="60"/>
      <c r="NJN11" s="60"/>
      <c r="NJO11" s="60"/>
      <c r="NJP11" s="60"/>
      <c r="NJQ11" s="60"/>
      <c r="NJR11" s="60"/>
      <c r="NJS11" s="60"/>
      <c r="NJT11" s="60"/>
      <c r="NJU11" s="60"/>
      <c r="NJV11" s="60"/>
      <c r="NJW11" s="60"/>
      <c r="NJX11" s="60"/>
      <c r="NJY11" s="60"/>
      <c r="NJZ11" s="60"/>
      <c r="NKA11" s="60"/>
      <c r="NKB11" s="60"/>
      <c r="NKC11" s="60"/>
      <c r="NKD11" s="60"/>
      <c r="NKE11" s="60"/>
      <c r="NKF11" s="60"/>
      <c r="NKG11" s="60"/>
      <c r="NKH11" s="60"/>
      <c r="NKI11" s="60"/>
      <c r="NKJ11" s="60"/>
      <c r="NKK11" s="60"/>
      <c r="NKL11" s="60"/>
      <c r="NKM11" s="60"/>
      <c r="NKN11" s="60"/>
      <c r="NKO11" s="60"/>
      <c r="NKP11" s="60"/>
      <c r="NKQ11" s="60"/>
      <c r="NKR11" s="60"/>
      <c r="NKS11" s="60"/>
      <c r="NKT11" s="60"/>
      <c r="NKU11" s="60"/>
      <c r="NKV11" s="60"/>
      <c r="NKW11" s="60"/>
      <c r="NKX11" s="60"/>
      <c r="NKY11" s="60"/>
      <c r="NKZ11" s="60"/>
      <c r="NLA11" s="60"/>
      <c r="NLB11" s="60"/>
      <c r="NLC11" s="60"/>
      <c r="NLD11" s="60"/>
      <c r="NLE11" s="60"/>
      <c r="NLF11" s="60"/>
      <c r="NLG11" s="60"/>
      <c r="NLH11" s="60"/>
      <c r="NLI11" s="60"/>
      <c r="NLJ11" s="60"/>
      <c r="NLK11" s="60"/>
      <c r="NLL11" s="60"/>
      <c r="NLM11" s="60"/>
      <c r="NLN11" s="60"/>
      <c r="NLO11" s="60"/>
      <c r="NLP11" s="60"/>
      <c r="NLQ11" s="60"/>
      <c r="NLR11" s="60"/>
      <c r="NLS11" s="60"/>
      <c r="NLT11" s="60"/>
      <c r="NLU11" s="60"/>
      <c r="NLV11" s="60"/>
      <c r="NLW11" s="60"/>
      <c r="NLX11" s="60"/>
      <c r="NLY11" s="60"/>
      <c r="NLZ11" s="60"/>
      <c r="NMA11" s="60"/>
      <c r="NMB11" s="60"/>
      <c r="NMC11" s="60"/>
      <c r="NMD11" s="60"/>
      <c r="NME11" s="60"/>
      <c r="NMF11" s="60"/>
      <c r="NMG11" s="60"/>
      <c r="NMH11" s="60"/>
      <c r="NMI11" s="60"/>
      <c r="NMJ11" s="60"/>
      <c r="NMK11" s="60"/>
      <c r="NML11" s="60"/>
      <c r="NMM11" s="60"/>
      <c r="NMN11" s="60"/>
      <c r="NMO11" s="60"/>
      <c r="NMP11" s="60"/>
      <c r="NMQ11" s="60"/>
      <c r="NMR11" s="60"/>
      <c r="NMS11" s="60"/>
      <c r="NMT11" s="60"/>
      <c r="NMU11" s="60"/>
      <c r="NMV11" s="60"/>
      <c r="NMW11" s="60"/>
      <c r="NMX11" s="60"/>
      <c r="NMY11" s="60"/>
      <c r="NMZ11" s="60"/>
      <c r="NNA11" s="60"/>
      <c r="NNB11" s="60"/>
      <c r="NNC11" s="60"/>
      <c r="NND11" s="60"/>
      <c r="NNE11" s="60"/>
      <c r="NNF11" s="60"/>
      <c r="NNG11" s="60"/>
      <c r="NNH11" s="60"/>
      <c r="NNI11" s="60"/>
      <c r="NNJ11" s="60"/>
      <c r="NNK11" s="60"/>
      <c r="NNL11" s="60"/>
      <c r="NNM11" s="60"/>
      <c r="NNN11" s="60"/>
      <c r="NNO11" s="60"/>
      <c r="NNP11" s="60"/>
      <c r="NNQ11" s="60"/>
      <c r="NNR11" s="60"/>
      <c r="NNS11" s="60"/>
      <c r="NNT11" s="60"/>
      <c r="NNU11" s="60"/>
      <c r="NNV11" s="60"/>
      <c r="NNW11" s="60"/>
      <c r="NNX11" s="60"/>
      <c r="NNY11" s="60"/>
      <c r="NNZ11" s="60"/>
      <c r="NOA11" s="60"/>
      <c r="NOB11" s="60"/>
      <c r="NOC11" s="60"/>
      <c r="NOD11" s="60"/>
      <c r="NOE11" s="60"/>
      <c r="NOF11" s="60"/>
      <c r="NOG11" s="60"/>
      <c r="NOH11" s="60"/>
      <c r="NOI11" s="60"/>
      <c r="NOJ11" s="60"/>
      <c r="NOK11" s="60"/>
      <c r="NOL11" s="60"/>
      <c r="NOM11" s="60"/>
      <c r="NON11" s="60"/>
      <c r="NOO11" s="60"/>
      <c r="NOP11" s="60"/>
      <c r="NOQ11" s="60"/>
      <c r="NOR11" s="60"/>
      <c r="NOS11" s="60"/>
      <c r="NOT11" s="60"/>
      <c r="NOU11" s="60"/>
      <c r="NOV11" s="60"/>
      <c r="NOW11" s="60"/>
      <c r="NOX11" s="60"/>
      <c r="NOY11" s="60"/>
      <c r="NOZ11" s="60"/>
      <c r="NPA11" s="60"/>
      <c r="NPB11" s="60"/>
      <c r="NPC11" s="60"/>
      <c r="NPD11" s="60"/>
      <c r="NPE11" s="60"/>
      <c r="NPF11" s="60"/>
      <c r="NPG11" s="60"/>
      <c r="NPH11" s="60"/>
      <c r="NPI11" s="60"/>
      <c r="NPJ11" s="60"/>
      <c r="NPK11" s="60"/>
      <c r="NPL11" s="60"/>
      <c r="NPM11" s="60"/>
      <c r="NPN11" s="60"/>
      <c r="NPO11" s="60"/>
      <c r="NPP11" s="60"/>
      <c r="NPQ11" s="60"/>
      <c r="NPR11" s="60"/>
      <c r="NPS11" s="60"/>
      <c r="NPT11" s="60"/>
      <c r="NPU11" s="60"/>
      <c r="NPV11" s="60"/>
      <c r="NPW11" s="60"/>
      <c r="NPX11" s="60"/>
      <c r="NPY11" s="60"/>
      <c r="NPZ11" s="60"/>
      <c r="NQA11" s="60"/>
      <c r="NQB11" s="60"/>
      <c r="NQC11" s="60"/>
      <c r="NQD11" s="60"/>
      <c r="NQE11" s="60"/>
      <c r="NQF11" s="60"/>
      <c r="NQG11" s="60"/>
      <c r="NQH11" s="60"/>
      <c r="NQI11" s="60"/>
      <c r="NQJ11" s="60"/>
      <c r="NQK11" s="60"/>
      <c r="NQL11" s="60"/>
      <c r="NQM11" s="60"/>
      <c r="NQN11" s="60"/>
      <c r="NQO11" s="60"/>
      <c r="NQP11" s="60"/>
      <c r="NQQ11" s="60"/>
      <c r="NQR11" s="60"/>
      <c r="NQS11" s="60"/>
      <c r="NQT11" s="60"/>
      <c r="NQU11" s="60"/>
      <c r="NQV11" s="60"/>
      <c r="NQW11" s="60"/>
      <c r="NQX11" s="60"/>
      <c r="NQY11" s="60"/>
      <c r="NQZ11" s="60"/>
      <c r="NRA11" s="60"/>
      <c r="NRB11" s="60"/>
      <c r="NRC11" s="60"/>
      <c r="NRD11" s="60"/>
      <c r="NRE11" s="60"/>
      <c r="NRF11" s="60"/>
      <c r="NRG11" s="60"/>
      <c r="NRH11" s="60"/>
      <c r="NRI11" s="60"/>
      <c r="NRJ11" s="60"/>
      <c r="NRK11" s="60"/>
      <c r="NRL11" s="60"/>
      <c r="NRM11" s="60"/>
      <c r="NRN11" s="60"/>
      <c r="NRO11" s="60"/>
      <c r="NRP11" s="60"/>
      <c r="NRQ11" s="60"/>
      <c r="NRR11" s="60"/>
      <c r="NRS11" s="60"/>
      <c r="NRT11" s="60"/>
      <c r="NRU11" s="60"/>
      <c r="NRV11" s="60"/>
      <c r="NRW11" s="60"/>
      <c r="NRX11" s="60"/>
      <c r="NRY11" s="60"/>
      <c r="NRZ11" s="60"/>
      <c r="NSA11" s="60"/>
      <c r="NSB11" s="60"/>
      <c r="NSC11" s="60"/>
      <c r="NSD11" s="60"/>
      <c r="NSE11" s="60"/>
      <c r="NSF11" s="60"/>
      <c r="NSG11" s="60"/>
      <c r="NSH11" s="60"/>
      <c r="NSI11" s="60"/>
      <c r="NSJ11" s="60"/>
      <c r="NSK11" s="60"/>
      <c r="NSL11" s="60"/>
      <c r="NSM11" s="60"/>
      <c r="NSN11" s="60"/>
      <c r="NSO11" s="60"/>
      <c r="NSP11" s="60"/>
      <c r="NSQ11" s="60"/>
      <c r="NSR11" s="60"/>
      <c r="NSS11" s="60"/>
      <c r="NST11" s="60"/>
      <c r="NSU11" s="60"/>
      <c r="NSV11" s="60"/>
      <c r="NSW11" s="60"/>
      <c r="NSX11" s="60"/>
      <c r="NSY11" s="60"/>
      <c r="NSZ11" s="60"/>
      <c r="NTA11" s="60"/>
      <c r="NTB11" s="60"/>
      <c r="NTC11" s="60"/>
      <c r="NTD11" s="60"/>
      <c r="NTE11" s="60"/>
      <c r="NTF11" s="60"/>
      <c r="NTG11" s="60"/>
      <c r="NTH11" s="60"/>
      <c r="NTI11" s="60"/>
      <c r="NTJ11" s="60"/>
      <c r="NTK11" s="60"/>
      <c r="NTL11" s="60"/>
      <c r="NTM11" s="60"/>
      <c r="NTN11" s="60"/>
      <c r="NTO11" s="60"/>
      <c r="NTP11" s="60"/>
      <c r="NTQ11" s="60"/>
      <c r="NTR11" s="60"/>
      <c r="NTS11" s="60"/>
      <c r="NTT11" s="60"/>
      <c r="NTU11" s="60"/>
      <c r="NTV11" s="60"/>
      <c r="NTW11" s="60"/>
      <c r="NTX11" s="60"/>
      <c r="NTY11" s="60"/>
      <c r="NTZ11" s="60"/>
      <c r="NUA11" s="60"/>
      <c r="NUB11" s="60"/>
      <c r="NUC11" s="60"/>
      <c r="NUD11" s="60"/>
      <c r="NUE11" s="60"/>
      <c r="NUF11" s="60"/>
      <c r="NUG11" s="60"/>
      <c r="NUH11" s="60"/>
      <c r="NUI11" s="60"/>
      <c r="NUJ11" s="60"/>
      <c r="NUK11" s="60"/>
      <c r="NUL11" s="60"/>
      <c r="NUM11" s="60"/>
      <c r="NUN11" s="60"/>
      <c r="NUO11" s="60"/>
      <c r="NUP11" s="60"/>
      <c r="NUQ11" s="60"/>
      <c r="NUR11" s="60"/>
      <c r="NUS11" s="60"/>
      <c r="NUT11" s="60"/>
      <c r="NUU11" s="60"/>
      <c r="NUV11" s="60"/>
      <c r="NUW11" s="60"/>
      <c r="NUX11" s="60"/>
      <c r="NUY11" s="60"/>
      <c r="NUZ11" s="60"/>
      <c r="NVA11" s="60"/>
      <c r="NVB11" s="60"/>
      <c r="NVC11" s="60"/>
      <c r="NVD11" s="60"/>
      <c r="NVE11" s="60"/>
      <c r="NVF11" s="60"/>
      <c r="NVG11" s="60"/>
      <c r="NVH11" s="60"/>
      <c r="NVI11" s="60"/>
      <c r="NVJ11" s="60"/>
      <c r="NVK11" s="60"/>
      <c r="NVL11" s="60"/>
      <c r="NVM11" s="60"/>
      <c r="NVN11" s="60"/>
      <c r="NVO11" s="60"/>
      <c r="NVP11" s="60"/>
      <c r="NVQ11" s="60"/>
      <c r="NVR11" s="60"/>
      <c r="NVS11" s="60"/>
      <c r="NVT11" s="60"/>
      <c r="NVU11" s="60"/>
      <c r="NVV11" s="60"/>
      <c r="NVW11" s="60"/>
      <c r="NVX11" s="60"/>
      <c r="NVY11" s="60"/>
      <c r="NVZ11" s="60"/>
      <c r="NWA11" s="60"/>
      <c r="NWB11" s="60"/>
      <c r="NWC11" s="60"/>
      <c r="NWD11" s="60"/>
      <c r="NWE11" s="60"/>
      <c r="NWF11" s="60"/>
      <c r="NWG11" s="60"/>
      <c r="NWH11" s="60"/>
      <c r="NWI11" s="60"/>
      <c r="NWJ11" s="60"/>
      <c r="NWK11" s="60"/>
      <c r="NWL11" s="60"/>
      <c r="NWM11" s="60"/>
      <c r="NWN11" s="60"/>
      <c r="NWO11" s="60"/>
      <c r="NWP11" s="60"/>
      <c r="NWQ11" s="60"/>
      <c r="NWR11" s="60"/>
      <c r="NWS11" s="60"/>
      <c r="NWT11" s="60"/>
      <c r="NWU11" s="60"/>
      <c r="NWV11" s="60"/>
      <c r="NWW11" s="60"/>
      <c r="NWX11" s="60"/>
      <c r="NWY11" s="60"/>
      <c r="NWZ11" s="60"/>
      <c r="NXA11" s="60"/>
      <c r="NXB11" s="60"/>
      <c r="NXC11" s="60"/>
      <c r="NXD11" s="60"/>
      <c r="NXE11" s="60"/>
      <c r="NXF11" s="60"/>
      <c r="NXG11" s="60"/>
      <c r="NXH11" s="60"/>
      <c r="NXI11" s="60"/>
      <c r="NXJ11" s="60"/>
      <c r="NXK11" s="60"/>
      <c r="NXL11" s="60"/>
      <c r="NXM11" s="60"/>
      <c r="NXN11" s="60"/>
      <c r="NXO11" s="60"/>
      <c r="NXP11" s="60"/>
      <c r="NXQ11" s="60"/>
      <c r="NXR11" s="60"/>
      <c r="NXS11" s="60"/>
      <c r="NXT11" s="60"/>
      <c r="NXU11" s="60"/>
      <c r="NXV11" s="60"/>
      <c r="NXW11" s="60"/>
      <c r="NXX11" s="60"/>
      <c r="NXY11" s="60"/>
      <c r="NXZ11" s="60"/>
      <c r="NYA11" s="60"/>
      <c r="NYB11" s="60"/>
      <c r="NYC11" s="60"/>
      <c r="NYD11" s="60"/>
      <c r="NYE11" s="60"/>
      <c r="NYF11" s="60"/>
      <c r="NYG11" s="60"/>
      <c r="NYH11" s="60"/>
      <c r="NYI11" s="60"/>
      <c r="NYJ11" s="60"/>
      <c r="NYK11" s="60"/>
      <c r="NYL11" s="60"/>
      <c r="NYM11" s="60"/>
      <c r="NYN11" s="60"/>
      <c r="NYO11" s="60"/>
      <c r="NYP11" s="60"/>
      <c r="NYQ11" s="60"/>
      <c r="NYR11" s="60"/>
      <c r="NYS11" s="60"/>
      <c r="NYT11" s="60"/>
      <c r="NYU11" s="60"/>
      <c r="NYV11" s="60"/>
      <c r="NYW11" s="60"/>
      <c r="NYX11" s="60"/>
      <c r="NYY11" s="60"/>
      <c r="NYZ11" s="60"/>
      <c r="NZA11" s="60"/>
      <c r="NZB11" s="60"/>
      <c r="NZC11" s="60"/>
      <c r="NZD11" s="60"/>
      <c r="NZE11" s="60"/>
      <c r="NZF11" s="60"/>
      <c r="NZG11" s="60"/>
      <c r="NZH11" s="60"/>
      <c r="NZI11" s="60"/>
      <c r="NZJ11" s="60"/>
      <c r="NZK11" s="60"/>
      <c r="NZL11" s="60"/>
      <c r="NZM11" s="60"/>
      <c r="NZN11" s="60"/>
      <c r="NZO11" s="60"/>
      <c r="NZP11" s="60"/>
      <c r="NZQ11" s="60"/>
      <c r="NZR11" s="60"/>
      <c r="NZS11" s="60"/>
      <c r="NZT11" s="60"/>
      <c r="NZU11" s="60"/>
      <c r="NZV11" s="60"/>
      <c r="NZW11" s="60"/>
      <c r="NZX11" s="60"/>
      <c r="NZY11" s="60"/>
      <c r="NZZ11" s="60"/>
      <c r="OAA11" s="60"/>
      <c r="OAB11" s="60"/>
      <c r="OAC11" s="60"/>
      <c r="OAD11" s="60"/>
      <c r="OAE11" s="60"/>
      <c r="OAF11" s="60"/>
      <c r="OAG11" s="60"/>
      <c r="OAH11" s="60"/>
      <c r="OAI11" s="60"/>
      <c r="OAJ11" s="60"/>
      <c r="OAK11" s="60"/>
      <c r="OAL11" s="60"/>
      <c r="OAM11" s="60"/>
      <c r="OAN11" s="60"/>
      <c r="OAO11" s="60"/>
      <c r="OAP11" s="60"/>
      <c r="OAQ11" s="60"/>
      <c r="OAR11" s="60"/>
      <c r="OAS11" s="60"/>
      <c r="OAT11" s="60"/>
      <c r="OAU11" s="60"/>
      <c r="OAV11" s="60"/>
      <c r="OAW11" s="60"/>
      <c r="OAX11" s="60"/>
      <c r="OAY11" s="60"/>
      <c r="OAZ11" s="60"/>
      <c r="OBA11" s="60"/>
      <c r="OBB11" s="60"/>
      <c r="OBC11" s="60"/>
      <c r="OBD11" s="60"/>
      <c r="OBE11" s="60"/>
      <c r="OBF11" s="60"/>
      <c r="OBG11" s="60"/>
      <c r="OBH11" s="60"/>
      <c r="OBI11" s="60"/>
      <c r="OBJ11" s="60"/>
      <c r="OBK11" s="60"/>
      <c r="OBL11" s="60"/>
      <c r="OBM11" s="60"/>
      <c r="OBN11" s="60"/>
      <c r="OBO11" s="60"/>
      <c r="OBP11" s="60"/>
      <c r="OBQ11" s="60"/>
      <c r="OBR11" s="60"/>
      <c r="OBS11" s="60"/>
      <c r="OBT11" s="60"/>
      <c r="OBU11" s="60"/>
      <c r="OBV11" s="60"/>
      <c r="OBW11" s="60"/>
      <c r="OBX11" s="60"/>
      <c r="OBY11" s="60"/>
      <c r="OBZ11" s="60"/>
      <c r="OCA11" s="60"/>
      <c r="OCB11" s="60"/>
      <c r="OCC11" s="60"/>
      <c r="OCD11" s="60"/>
      <c r="OCE11" s="60"/>
      <c r="OCF11" s="60"/>
      <c r="OCG11" s="60"/>
      <c r="OCH11" s="60"/>
      <c r="OCI11" s="60"/>
      <c r="OCJ11" s="60"/>
      <c r="OCK11" s="60"/>
      <c r="OCL11" s="60"/>
      <c r="OCM11" s="60"/>
      <c r="OCN11" s="60"/>
      <c r="OCO11" s="60"/>
      <c r="OCP11" s="60"/>
      <c r="OCQ11" s="60"/>
      <c r="OCR11" s="60"/>
      <c r="OCS11" s="60"/>
      <c r="OCT11" s="60"/>
      <c r="OCU11" s="60"/>
      <c r="OCV11" s="60"/>
      <c r="OCW11" s="60"/>
      <c r="OCX11" s="60"/>
      <c r="OCY11" s="60"/>
      <c r="OCZ11" s="60"/>
      <c r="ODA11" s="60"/>
      <c r="ODB11" s="60"/>
      <c r="ODC11" s="60"/>
      <c r="ODD11" s="60"/>
      <c r="ODE11" s="60"/>
      <c r="ODF11" s="60"/>
      <c r="ODG11" s="60"/>
      <c r="ODH11" s="60"/>
      <c r="ODI11" s="60"/>
      <c r="ODJ11" s="60"/>
      <c r="ODK11" s="60"/>
      <c r="ODL11" s="60"/>
      <c r="ODM11" s="60"/>
      <c r="ODN11" s="60"/>
      <c r="ODO11" s="60"/>
      <c r="ODP11" s="60"/>
      <c r="ODQ11" s="60"/>
      <c r="ODR11" s="60"/>
      <c r="ODS11" s="60"/>
      <c r="ODT11" s="60"/>
      <c r="ODU11" s="60"/>
      <c r="ODV11" s="60"/>
      <c r="ODW11" s="60"/>
      <c r="ODX11" s="60"/>
      <c r="ODY11" s="60"/>
      <c r="ODZ11" s="60"/>
      <c r="OEA11" s="60"/>
      <c r="OEB11" s="60"/>
      <c r="OEC11" s="60"/>
      <c r="OED11" s="60"/>
      <c r="OEE11" s="60"/>
      <c r="OEF11" s="60"/>
      <c r="OEG11" s="60"/>
      <c r="OEH11" s="60"/>
      <c r="OEI11" s="60"/>
      <c r="OEJ11" s="60"/>
      <c r="OEK11" s="60"/>
      <c r="OEL11" s="60"/>
      <c r="OEM11" s="60"/>
      <c r="OEN11" s="60"/>
      <c r="OEO11" s="60"/>
      <c r="OEP11" s="60"/>
      <c r="OEQ11" s="60"/>
      <c r="OER11" s="60"/>
      <c r="OES11" s="60"/>
      <c r="OET11" s="60"/>
      <c r="OEU11" s="60"/>
      <c r="OEV11" s="60"/>
      <c r="OEW11" s="60"/>
      <c r="OEX11" s="60"/>
      <c r="OEY11" s="60"/>
      <c r="OEZ11" s="60"/>
      <c r="OFA11" s="60"/>
      <c r="OFB11" s="60"/>
      <c r="OFC11" s="60"/>
      <c r="OFD11" s="60"/>
      <c r="OFE11" s="60"/>
      <c r="OFF11" s="60"/>
      <c r="OFG11" s="60"/>
      <c r="OFH11" s="60"/>
      <c r="OFI11" s="60"/>
      <c r="OFJ11" s="60"/>
      <c r="OFK11" s="60"/>
      <c r="OFL11" s="60"/>
      <c r="OFM11" s="60"/>
      <c r="OFN11" s="60"/>
      <c r="OFO11" s="60"/>
      <c r="OFP11" s="60"/>
      <c r="OFQ11" s="60"/>
      <c r="OFR11" s="60"/>
      <c r="OFS11" s="60"/>
      <c r="OFT11" s="60"/>
      <c r="OFU11" s="60"/>
      <c r="OFV11" s="60"/>
      <c r="OFW11" s="60"/>
      <c r="OFX11" s="60"/>
      <c r="OFY11" s="60"/>
      <c r="OFZ11" s="60"/>
      <c r="OGA11" s="60"/>
      <c r="OGB11" s="60"/>
      <c r="OGC11" s="60"/>
      <c r="OGD11" s="60"/>
      <c r="OGE11" s="60"/>
      <c r="OGF11" s="60"/>
      <c r="OGG11" s="60"/>
      <c r="OGH11" s="60"/>
      <c r="OGI11" s="60"/>
      <c r="OGJ11" s="60"/>
      <c r="OGK11" s="60"/>
      <c r="OGL11" s="60"/>
      <c r="OGM11" s="60"/>
      <c r="OGN11" s="60"/>
      <c r="OGO11" s="60"/>
      <c r="OGP11" s="60"/>
      <c r="OGQ11" s="60"/>
      <c r="OGR11" s="60"/>
      <c r="OGS11" s="60"/>
      <c r="OGT11" s="60"/>
      <c r="OGU11" s="60"/>
      <c r="OGV11" s="60"/>
      <c r="OGW11" s="60"/>
      <c r="OGX11" s="60"/>
      <c r="OGY11" s="60"/>
      <c r="OGZ11" s="60"/>
      <c r="OHA11" s="60"/>
      <c r="OHB11" s="60"/>
      <c r="OHC11" s="60"/>
      <c r="OHD11" s="60"/>
      <c r="OHE11" s="60"/>
      <c r="OHF11" s="60"/>
      <c r="OHG11" s="60"/>
      <c r="OHH11" s="60"/>
      <c r="OHI11" s="60"/>
      <c r="OHJ11" s="60"/>
      <c r="OHK11" s="60"/>
      <c r="OHL11" s="60"/>
      <c r="OHM11" s="60"/>
      <c r="OHN11" s="60"/>
      <c r="OHO11" s="60"/>
      <c r="OHP11" s="60"/>
      <c r="OHQ11" s="60"/>
      <c r="OHR11" s="60"/>
      <c r="OHS11" s="60"/>
      <c r="OHT11" s="60"/>
      <c r="OHU11" s="60"/>
      <c r="OHV11" s="60"/>
      <c r="OHW11" s="60"/>
      <c r="OHX11" s="60"/>
      <c r="OHY11" s="60"/>
      <c r="OHZ11" s="60"/>
      <c r="OIA11" s="60"/>
      <c r="OIB11" s="60"/>
      <c r="OIC11" s="60"/>
      <c r="OID11" s="60"/>
      <c r="OIE11" s="60"/>
      <c r="OIF11" s="60"/>
      <c r="OIG11" s="60"/>
      <c r="OIH11" s="60"/>
      <c r="OII11" s="60"/>
      <c r="OIJ11" s="60"/>
      <c r="OIK11" s="60"/>
      <c r="OIL11" s="60"/>
      <c r="OIM11" s="60"/>
      <c r="OIN11" s="60"/>
      <c r="OIO11" s="60"/>
      <c r="OIP11" s="60"/>
      <c r="OIQ11" s="60"/>
      <c r="OIR11" s="60"/>
      <c r="OIS11" s="60"/>
      <c r="OIT11" s="60"/>
      <c r="OIU11" s="60"/>
      <c r="OIV11" s="60"/>
      <c r="OIW11" s="60"/>
      <c r="OIX11" s="60"/>
      <c r="OIY11" s="60"/>
      <c r="OIZ11" s="60"/>
      <c r="OJA11" s="60"/>
      <c r="OJB11" s="60"/>
      <c r="OJC11" s="60"/>
      <c r="OJD11" s="60"/>
      <c r="OJE11" s="60"/>
      <c r="OJF11" s="60"/>
      <c r="OJG11" s="60"/>
      <c r="OJH11" s="60"/>
      <c r="OJI11" s="60"/>
      <c r="OJJ11" s="60"/>
      <c r="OJK11" s="60"/>
      <c r="OJL11" s="60"/>
      <c r="OJM11" s="60"/>
      <c r="OJN11" s="60"/>
      <c r="OJO11" s="60"/>
      <c r="OJP11" s="60"/>
      <c r="OJQ11" s="60"/>
      <c r="OJR11" s="60"/>
      <c r="OJS11" s="60"/>
      <c r="OJT11" s="60"/>
      <c r="OJU11" s="60"/>
      <c r="OJV11" s="60"/>
      <c r="OJW11" s="60"/>
      <c r="OJX11" s="60"/>
      <c r="OJY11" s="60"/>
      <c r="OJZ11" s="60"/>
      <c r="OKA11" s="60"/>
      <c r="OKB11" s="60"/>
      <c r="OKC11" s="60"/>
      <c r="OKD11" s="60"/>
      <c r="OKE11" s="60"/>
      <c r="OKF11" s="60"/>
      <c r="OKG11" s="60"/>
      <c r="OKH11" s="60"/>
      <c r="OKI11" s="60"/>
      <c r="OKJ11" s="60"/>
      <c r="OKK11" s="60"/>
      <c r="OKL11" s="60"/>
      <c r="OKM11" s="60"/>
      <c r="OKN11" s="60"/>
      <c r="OKO11" s="60"/>
      <c r="OKP11" s="60"/>
      <c r="OKQ11" s="60"/>
      <c r="OKR11" s="60"/>
      <c r="OKS11" s="60"/>
      <c r="OKT11" s="60"/>
      <c r="OKU11" s="60"/>
      <c r="OKV11" s="60"/>
      <c r="OKW11" s="60"/>
      <c r="OKX11" s="60"/>
      <c r="OKY11" s="60"/>
      <c r="OKZ11" s="60"/>
      <c r="OLA11" s="60"/>
      <c r="OLB11" s="60"/>
      <c r="OLC11" s="60"/>
      <c r="OLD11" s="60"/>
      <c r="OLE11" s="60"/>
      <c r="OLF11" s="60"/>
      <c r="OLG11" s="60"/>
      <c r="OLH11" s="60"/>
      <c r="OLI11" s="60"/>
      <c r="OLJ11" s="60"/>
      <c r="OLK11" s="60"/>
      <c r="OLL11" s="60"/>
      <c r="OLM11" s="60"/>
      <c r="OLN11" s="60"/>
      <c r="OLO11" s="60"/>
      <c r="OLP11" s="60"/>
      <c r="OLQ11" s="60"/>
      <c r="OLR11" s="60"/>
      <c r="OLS11" s="60"/>
      <c r="OLT11" s="60"/>
      <c r="OLU11" s="60"/>
      <c r="OLV11" s="60"/>
      <c r="OLW11" s="60"/>
      <c r="OLX11" s="60"/>
      <c r="OLY11" s="60"/>
      <c r="OLZ11" s="60"/>
      <c r="OMA11" s="60"/>
      <c r="OMB11" s="60"/>
      <c r="OMC11" s="60"/>
      <c r="OMD11" s="60"/>
      <c r="OME11" s="60"/>
      <c r="OMF11" s="60"/>
      <c r="OMG11" s="60"/>
      <c r="OMH11" s="60"/>
      <c r="OMI11" s="60"/>
      <c r="OMJ11" s="60"/>
      <c r="OMK11" s="60"/>
      <c r="OML11" s="60"/>
      <c r="OMM11" s="60"/>
      <c r="OMN11" s="60"/>
      <c r="OMO11" s="60"/>
      <c r="OMP11" s="60"/>
      <c r="OMQ11" s="60"/>
      <c r="OMR11" s="60"/>
      <c r="OMS11" s="60"/>
      <c r="OMT11" s="60"/>
      <c r="OMU11" s="60"/>
      <c r="OMV11" s="60"/>
      <c r="OMW11" s="60"/>
      <c r="OMX11" s="60"/>
      <c r="OMY11" s="60"/>
      <c r="OMZ11" s="60"/>
      <c r="ONA11" s="60"/>
      <c r="ONB11" s="60"/>
      <c r="ONC11" s="60"/>
      <c r="OND11" s="60"/>
      <c r="ONE11" s="60"/>
      <c r="ONF11" s="60"/>
      <c r="ONG11" s="60"/>
      <c r="ONH11" s="60"/>
      <c r="ONI11" s="60"/>
      <c r="ONJ11" s="60"/>
      <c r="ONK11" s="60"/>
      <c r="ONL11" s="60"/>
      <c r="ONM11" s="60"/>
      <c r="ONN11" s="60"/>
      <c r="ONO11" s="60"/>
      <c r="ONP11" s="60"/>
      <c r="ONQ11" s="60"/>
      <c r="ONR11" s="60"/>
      <c r="ONS11" s="60"/>
      <c r="ONT11" s="60"/>
      <c r="ONU11" s="60"/>
      <c r="ONV11" s="60"/>
      <c r="ONW11" s="60"/>
      <c r="ONX11" s="60"/>
      <c r="ONY11" s="60"/>
      <c r="ONZ11" s="60"/>
      <c r="OOA11" s="60"/>
      <c r="OOB11" s="60"/>
      <c r="OOC11" s="60"/>
      <c r="OOD11" s="60"/>
      <c r="OOE11" s="60"/>
      <c r="OOF11" s="60"/>
      <c r="OOG11" s="60"/>
      <c r="OOH11" s="60"/>
      <c r="OOI11" s="60"/>
      <c r="OOJ11" s="60"/>
      <c r="OOK11" s="60"/>
      <c r="OOL11" s="60"/>
      <c r="OOM11" s="60"/>
      <c r="OON11" s="60"/>
      <c r="OOO11" s="60"/>
      <c r="OOP11" s="60"/>
      <c r="OOQ11" s="60"/>
      <c r="OOR11" s="60"/>
      <c r="OOS11" s="60"/>
      <c r="OOT11" s="60"/>
      <c r="OOU11" s="60"/>
      <c r="OOV11" s="60"/>
      <c r="OOW11" s="60"/>
      <c r="OOX11" s="60"/>
      <c r="OOY11" s="60"/>
      <c r="OOZ11" s="60"/>
      <c r="OPA11" s="60"/>
      <c r="OPB11" s="60"/>
      <c r="OPC11" s="60"/>
      <c r="OPD11" s="60"/>
      <c r="OPE11" s="60"/>
      <c r="OPF11" s="60"/>
      <c r="OPG11" s="60"/>
      <c r="OPH11" s="60"/>
      <c r="OPI11" s="60"/>
      <c r="OPJ11" s="60"/>
      <c r="OPK11" s="60"/>
      <c r="OPL11" s="60"/>
      <c r="OPM11" s="60"/>
      <c r="OPN11" s="60"/>
      <c r="OPO11" s="60"/>
      <c r="OPP11" s="60"/>
      <c r="OPQ11" s="60"/>
      <c r="OPR11" s="60"/>
      <c r="OPS11" s="60"/>
      <c r="OPT11" s="60"/>
      <c r="OPU11" s="60"/>
      <c r="OPV11" s="60"/>
      <c r="OPW11" s="60"/>
      <c r="OPX11" s="60"/>
      <c r="OPY11" s="60"/>
      <c r="OPZ11" s="60"/>
      <c r="OQA11" s="60"/>
      <c r="OQB11" s="60"/>
      <c r="OQC11" s="60"/>
      <c r="OQD11" s="60"/>
      <c r="OQE11" s="60"/>
      <c r="OQF11" s="60"/>
      <c r="OQG11" s="60"/>
      <c r="OQH11" s="60"/>
      <c r="OQI11" s="60"/>
      <c r="OQJ11" s="60"/>
      <c r="OQK11" s="60"/>
      <c r="OQL11" s="60"/>
      <c r="OQM11" s="60"/>
      <c r="OQN11" s="60"/>
      <c r="OQO11" s="60"/>
      <c r="OQP11" s="60"/>
      <c r="OQQ11" s="60"/>
      <c r="OQR11" s="60"/>
      <c r="OQS11" s="60"/>
      <c r="OQT11" s="60"/>
      <c r="OQU11" s="60"/>
      <c r="OQV11" s="60"/>
      <c r="OQW11" s="60"/>
      <c r="OQX11" s="60"/>
      <c r="OQY11" s="60"/>
      <c r="OQZ11" s="60"/>
      <c r="ORA11" s="60"/>
      <c r="ORB11" s="60"/>
      <c r="ORC11" s="60"/>
      <c r="ORD11" s="60"/>
      <c r="ORE11" s="60"/>
      <c r="ORF11" s="60"/>
      <c r="ORG11" s="60"/>
      <c r="ORH11" s="60"/>
      <c r="ORI11" s="60"/>
      <c r="ORJ11" s="60"/>
      <c r="ORK11" s="60"/>
      <c r="ORL11" s="60"/>
      <c r="ORM11" s="60"/>
      <c r="ORN11" s="60"/>
      <c r="ORO11" s="60"/>
      <c r="ORP11" s="60"/>
      <c r="ORQ11" s="60"/>
      <c r="ORR11" s="60"/>
      <c r="ORS11" s="60"/>
      <c r="ORT11" s="60"/>
      <c r="ORU11" s="60"/>
      <c r="ORV11" s="60"/>
      <c r="ORW11" s="60"/>
      <c r="ORX11" s="60"/>
      <c r="ORY11" s="60"/>
      <c r="ORZ11" s="60"/>
      <c r="OSA11" s="60"/>
      <c r="OSB11" s="60"/>
      <c r="OSC11" s="60"/>
      <c r="OSD11" s="60"/>
      <c r="OSE11" s="60"/>
      <c r="OSF11" s="60"/>
      <c r="OSG11" s="60"/>
      <c r="OSH11" s="60"/>
      <c r="OSI11" s="60"/>
      <c r="OSJ11" s="60"/>
      <c r="OSK11" s="60"/>
      <c r="OSL11" s="60"/>
      <c r="OSM11" s="60"/>
      <c r="OSN11" s="60"/>
      <c r="OSO11" s="60"/>
      <c r="OSP11" s="60"/>
      <c r="OSQ11" s="60"/>
      <c r="OSR11" s="60"/>
      <c r="OSS11" s="60"/>
      <c r="OST11" s="60"/>
      <c r="OSU11" s="60"/>
      <c r="OSV11" s="60"/>
      <c r="OSW11" s="60"/>
      <c r="OSX11" s="60"/>
      <c r="OSY11" s="60"/>
      <c r="OSZ11" s="60"/>
      <c r="OTA11" s="60"/>
      <c r="OTB11" s="60"/>
      <c r="OTC11" s="60"/>
      <c r="OTD11" s="60"/>
      <c r="OTE11" s="60"/>
      <c r="OTF11" s="60"/>
      <c r="OTG11" s="60"/>
      <c r="OTH11" s="60"/>
      <c r="OTI11" s="60"/>
      <c r="OTJ11" s="60"/>
      <c r="OTK11" s="60"/>
      <c r="OTL11" s="60"/>
      <c r="OTM11" s="60"/>
      <c r="OTN11" s="60"/>
      <c r="OTO11" s="60"/>
      <c r="OTP11" s="60"/>
      <c r="OTQ11" s="60"/>
      <c r="OTR11" s="60"/>
      <c r="OTS11" s="60"/>
      <c r="OTT11" s="60"/>
      <c r="OTU11" s="60"/>
      <c r="OTV11" s="60"/>
      <c r="OTW11" s="60"/>
      <c r="OTX11" s="60"/>
      <c r="OTY11" s="60"/>
      <c r="OTZ11" s="60"/>
      <c r="OUA11" s="60"/>
      <c r="OUB11" s="60"/>
      <c r="OUC11" s="60"/>
      <c r="OUD11" s="60"/>
      <c r="OUE11" s="60"/>
      <c r="OUF11" s="60"/>
      <c r="OUG11" s="60"/>
      <c r="OUH11" s="60"/>
      <c r="OUI11" s="60"/>
      <c r="OUJ11" s="60"/>
      <c r="OUK11" s="60"/>
      <c r="OUL11" s="60"/>
      <c r="OUM11" s="60"/>
      <c r="OUN11" s="60"/>
      <c r="OUO11" s="60"/>
      <c r="OUP11" s="60"/>
      <c r="OUQ11" s="60"/>
      <c r="OUR11" s="60"/>
      <c r="OUS11" s="60"/>
      <c r="OUT11" s="60"/>
      <c r="OUU11" s="60"/>
      <c r="OUV11" s="60"/>
      <c r="OUW11" s="60"/>
      <c r="OUX11" s="60"/>
      <c r="OUY11" s="60"/>
      <c r="OUZ11" s="60"/>
      <c r="OVA11" s="60"/>
      <c r="OVB11" s="60"/>
      <c r="OVC11" s="60"/>
      <c r="OVD11" s="60"/>
      <c r="OVE11" s="60"/>
      <c r="OVF11" s="60"/>
      <c r="OVG11" s="60"/>
      <c r="OVH11" s="60"/>
      <c r="OVI11" s="60"/>
      <c r="OVJ11" s="60"/>
      <c r="OVK11" s="60"/>
      <c r="OVL11" s="60"/>
      <c r="OVM11" s="60"/>
      <c r="OVN11" s="60"/>
      <c r="OVO11" s="60"/>
      <c r="OVP11" s="60"/>
      <c r="OVQ11" s="60"/>
      <c r="OVR11" s="60"/>
      <c r="OVS11" s="60"/>
      <c r="OVT11" s="60"/>
      <c r="OVU11" s="60"/>
      <c r="OVV11" s="60"/>
      <c r="OVW11" s="60"/>
      <c r="OVX11" s="60"/>
      <c r="OVY11" s="60"/>
      <c r="OVZ11" s="60"/>
      <c r="OWA11" s="60"/>
      <c r="OWB11" s="60"/>
      <c r="OWC11" s="60"/>
      <c r="OWD11" s="60"/>
      <c r="OWE11" s="60"/>
      <c r="OWF11" s="60"/>
      <c r="OWG11" s="60"/>
      <c r="OWH11" s="60"/>
      <c r="OWI11" s="60"/>
      <c r="OWJ11" s="60"/>
      <c r="OWK11" s="60"/>
      <c r="OWL11" s="60"/>
      <c r="OWM11" s="60"/>
      <c r="OWN11" s="60"/>
      <c r="OWO11" s="60"/>
      <c r="OWP11" s="60"/>
      <c r="OWQ11" s="60"/>
      <c r="OWR11" s="60"/>
      <c r="OWS11" s="60"/>
      <c r="OWT11" s="60"/>
      <c r="OWU11" s="60"/>
      <c r="OWV11" s="60"/>
      <c r="OWW11" s="60"/>
      <c r="OWX11" s="60"/>
      <c r="OWY11" s="60"/>
      <c r="OWZ11" s="60"/>
      <c r="OXA11" s="60"/>
      <c r="OXB11" s="60"/>
      <c r="OXC11" s="60"/>
      <c r="OXD11" s="60"/>
      <c r="OXE11" s="60"/>
      <c r="OXF11" s="60"/>
      <c r="OXG11" s="60"/>
      <c r="OXH11" s="60"/>
      <c r="OXI11" s="60"/>
      <c r="OXJ11" s="60"/>
      <c r="OXK11" s="60"/>
      <c r="OXL11" s="60"/>
      <c r="OXM11" s="60"/>
      <c r="OXN11" s="60"/>
      <c r="OXO11" s="60"/>
      <c r="OXP11" s="60"/>
      <c r="OXQ11" s="60"/>
      <c r="OXR11" s="60"/>
      <c r="OXS11" s="60"/>
      <c r="OXT11" s="60"/>
      <c r="OXU11" s="60"/>
      <c r="OXV11" s="60"/>
      <c r="OXW11" s="60"/>
      <c r="OXX11" s="60"/>
      <c r="OXY11" s="60"/>
      <c r="OXZ11" s="60"/>
      <c r="OYA11" s="60"/>
      <c r="OYB11" s="60"/>
      <c r="OYC11" s="60"/>
      <c r="OYD11" s="60"/>
      <c r="OYE11" s="60"/>
      <c r="OYF11" s="60"/>
      <c r="OYG11" s="60"/>
      <c r="OYH11" s="60"/>
      <c r="OYI11" s="60"/>
      <c r="OYJ11" s="60"/>
      <c r="OYK11" s="60"/>
      <c r="OYL11" s="60"/>
      <c r="OYM11" s="60"/>
      <c r="OYN11" s="60"/>
      <c r="OYO11" s="60"/>
      <c r="OYP11" s="60"/>
      <c r="OYQ11" s="60"/>
      <c r="OYR11" s="60"/>
      <c r="OYS11" s="60"/>
      <c r="OYT11" s="60"/>
      <c r="OYU11" s="60"/>
      <c r="OYV11" s="60"/>
      <c r="OYW11" s="60"/>
      <c r="OYX11" s="60"/>
      <c r="OYY11" s="60"/>
      <c r="OYZ11" s="60"/>
      <c r="OZA11" s="60"/>
      <c r="OZB11" s="60"/>
      <c r="OZC11" s="60"/>
      <c r="OZD11" s="60"/>
      <c r="OZE11" s="60"/>
      <c r="OZF11" s="60"/>
      <c r="OZG11" s="60"/>
      <c r="OZH11" s="60"/>
      <c r="OZI11" s="60"/>
      <c r="OZJ11" s="60"/>
      <c r="OZK11" s="60"/>
      <c r="OZL11" s="60"/>
      <c r="OZM11" s="60"/>
      <c r="OZN11" s="60"/>
      <c r="OZO11" s="60"/>
      <c r="OZP11" s="60"/>
      <c r="OZQ11" s="60"/>
      <c r="OZR11" s="60"/>
      <c r="OZS11" s="60"/>
      <c r="OZT11" s="60"/>
      <c r="OZU11" s="60"/>
      <c r="OZV11" s="60"/>
      <c r="OZW11" s="60"/>
      <c r="OZX11" s="60"/>
      <c r="OZY11" s="60"/>
      <c r="OZZ11" s="60"/>
      <c r="PAA11" s="60"/>
      <c r="PAB11" s="60"/>
      <c r="PAC11" s="60"/>
      <c r="PAD11" s="60"/>
      <c r="PAE11" s="60"/>
      <c r="PAF11" s="60"/>
      <c r="PAG11" s="60"/>
      <c r="PAH11" s="60"/>
      <c r="PAI11" s="60"/>
      <c r="PAJ11" s="60"/>
      <c r="PAK11" s="60"/>
      <c r="PAL11" s="60"/>
      <c r="PAM11" s="60"/>
      <c r="PAN11" s="60"/>
      <c r="PAO11" s="60"/>
      <c r="PAP11" s="60"/>
      <c r="PAQ11" s="60"/>
      <c r="PAR11" s="60"/>
      <c r="PAS11" s="60"/>
      <c r="PAT11" s="60"/>
      <c r="PAU11" s="60"/>
      <c r="PAV11" s="60"/>
      <c r="PAW11" s="60"/>
      <c r="PAX11" s="60"/>
      <c r="PAY11" s="60"/>
      <c r="PAZ11" s="60"/>
      <c r="PBA11" s="60"/>
      <c r="PBB11" s="60"/>
      <c r="PBC11" s="60"/>
      <c r="PBD11" s="60"/>
      <c r="PBE11" s="60"/>
      <c r="PBF11" s="60"/>
      <c r="PBG11" s="60"/>
      <c r="PBH11" s="60"/>
      <c r="PBI11" s="60"/>
      <c r="PBJ11" s="60"/>
      <c r="PBK11" s="60"/>
      <c r="PBL11" s="60"/>
      <c r="PBM11" s="60"/>
      <c r="PBN11" s="60"/>
      <c r="PBO11" s="60"/>
      <c r="PBP11" s="60"/>
      <c r="PBQ11" s="60"/>
      <c r="PBR11" s="60"/>
      <c r="PBS11" s="60"/>
      <c r="PBT11" s="60"/>
      <c r="PBU11" s="60"/>
      <c r="PBV11" s="60"/>
      <c r="PBW11" s="60"/>
      <c r="PBX11" s="60"/>
      <c r="PBY11" s="60"/>
      <c r="PBZ11" s="60"/>
      <c r="PCA11" s="60"/>
      <c r="PCB11" s="60"/>
      <c r="PCC11" s="60"/>
      <c r="PCD11" s="60"/>
      <c r="PCE11" s="60"/>
      <c r="PCF11" s="60"/>
      <c r="PCG11" s="60"/>
      <c r="PCH11" s="60"/>
      <c r="PCI11" s="60"/>
      <c r="PCJ11" s="60"/>
      <c r="PCK11" s="60"/>
      <c r="PCL11" s="60"/>
      <c r="PCM11" s="60"/>
      <c r="PCN11" s="60"/>
      <c r="PCO11" s="60"/>
      <c r="PCP11" s="60"/>
      <c r="PCQ11" s="60"/>
      <c r="PCR11" s="60"/>
      <c r="PCS11" s="60"/>
      <c r="PCT11" s="60"/>
      <c r="PCU11" s="60"/>
      <c r="PCV11" s="60"/>
      <c r="PCW11" s="60"/>
      <c r="PCX11" s="60"/>
      <c r="PCY11" s="60"/>
      <c r="PCZ11" s="60"/>
      <c r="PDA11" s="60"/>
      <c r="PDB11" s="60"/>
      <c r="PDC11" s="60"/>
      <c r="PDD11" s="60"/>
      <c r="PDE11" s="60"/>
      <c r="PDF11" s="60"/>
      <c r="PDG11" s="60"/>
      <c r="PDH11" s="60"/>
      <c r="PDI11" s="60"/>
      <c r="PDJ11" s="60"/>
      <c r="PDK11" s="60"/>
      <c r="PDL11" s="60"/>
      <c r="PDM11" s="60"/>
      <c r="PDN11" s="60"/>
      <c r="PDO11" s="60"/>
      <c r="PDP11" s="60"/>
      <c r="PDQ11" s="60"/>
      <c r="PDR11" s="60"/>
      <c r="PDS11" s="60"/>
      <c r="PDT11" s="60"/>
      <c r="PDU11" s="60"/>
      <c r="PDV11" s="60"/>
      <c r="PDW11" s="60"/>
      <c r="PDX11" s="60"/>
      <c r="PDY11" s="60"/>
      <c r="PDZ11" s="60"/>
      <c r="PEA11" s="60"/>
      <c r="PEB11" s="60"/>
      <c r="PEC11" s="60"/>
      <c r="PED11" s="60"/>
      <c r="PEE11" s="60"/>
      <c r="PEF11" s="60"/>
      <c r="PEG11" s="60"/>
      <c r="PEH11" s="60"/>
      <c r="PEI11" s="60"/>
      <c r="PEJ11" s="60"/>
      <c r="PEK11" s="60"/>
      <c r="PEL11" s="60"/>
      <c r="PEM11" s="60"/>
      <c r="PEN11" s="60"/>
      <c r="PEO11" s="60"/>
      <c r="PEP11" s="60"/>
      <c r="PEQ11" s="60"/>
      <c r="PER11" s="60"/>
      <c r="PES11" s="60"/>
      <c r="PET11" s="60"/>
      <c r="PEU11" s="60"/>
      <c r="PEV11" s="60"/>
      <c r="PEW11" s="60"/>
      <c r="PEX11" s="60"/>
      <c r="PEY11" s="60"/>
      <c r="PEZ11" s="60"/>
      <c r="PFA11" s="60"/>
      <c r="PFB11" s="60"/>
      <c r="PFC11" s="60"/>
      <c r="PFD11" s="60"/>
      <c r="PFE11" s="60"/>
      <c r="PFF11" s="60"/>
      <c r="PFG11" s="60"/>
      <c r="PFH11" s="60"/>
      <c r="PFI11" s="60"/>
      <c r="PFJ11" s="60"/>
      <c r="PFK11" s="60"/>
      <c r="PFL11" s="60"/>
      <c r="PFM11" s="60"/>
      <c r="PFN11" s="60"/>
      <c r="PFO11" s="60"/>
      <c r="PFP11" s="60"/>
      <c r="PFQ11" s="60"/>
      <c r="PFR11" s="60"/>
      <c r="PFS11" s="60"/>
      <c r="PFT11" s="60"/>
      <c r="PFU11" s="60"/>
      <c r="PFV11" s="60"/>
      <c r="PFW11" s="60"/>
      <c r="PFX11" s="60"/>
      <c r="PFY11" s="60"/>
      <c r="PFZ11" s="60"/>
      <c r="PGA11" s="60"/>
      <c r="PGB11" s="60"/>
      <c r="PGC11" s="60"/>
      <c r="PGD11" s="60"/>
      <c r="PGE11" s="60"/>
      <c r="PGF11" s="60"/>
      <c r="PGG11" s="60"/>
      <c r="PGH11" s="60"/>
      <c r="PGI11" s="60"/>
      <c r="PGJ11" s="60"/>
      <c r="PGK11" s="60"/>
      <c r="PGL11" s="60"/>
      <c r="PGM11" s="60"/>
      <c r="PGN11" s="60"/>
      <c r="PGO11" s="60"/>
      <c r="PGP11" s="60"/>
      <c r="PGQ11" s="60"/>
      <c r="PGR11" s="60"/>
      <c r="PGS11" s="60"/>
      <c r="PGT11" s="60"/>
      <c r="PGU11" s="60"/>
      <c r="PGV11" s="60"/>
      <c r="PGW11" s="60"/>
      <c r="PGX11" s="60"/>
      <c r="PGY11" s="60"/>
      <c r="PGZ11" s="60"/>
      <c r="PHA11" s="60"/>
      <c r="PHB11" s="60"/>
      <c r="PHC11" s="60"/>
      <c r="PHD11" s="60"/>
      <c r="PHE11" s="60"/>
      <c r="PHF11" s="60"/>
      <c r="PHG11" s="60"/>
      <c r="PHH11" s="60"/>
      <c r="PHI11" s="60"/>
      <c r="PHJ11" s="60"/>
      <c r="PHK11" s="60"/>
      <c r="PHL11" s="60"/>
      <c r="PHM11" s="60"/>
      <c r="PHN11" s="60"/>
      <c r="PHO11" s="60"/>
      <c r="PHP11" s="60"/>
      <c r="PHQ11" s="60"/>
      <c r="PHR11" s="60"/>
      <c r="PHS11" s="60"/>
      <c r="PHT11" s="60"/>
      <c r="PHU11" s="60"/>
      <c r="PHV11" s="60"/>
      <c r="PHW11" s="60"/>
      <c r="PHX11" s="60"/>
      <c r="PHY11" s="60"/>
      <c r="PHZ11" s="60"/>
      <c r="PIA11" s="60"/>
      <c r="PIB11" s="60"/>
      <c r="PIC11" s="60"/>
      <c r="PID11" s="60"/>
      <c r="PIE11" s="60"/>
      <c r="PIF11" s="60"/>
      <c r="PIG11" s="60"/>
      <c r="PIH11" s="60"/>
      <c r="PII11" s="60"/>
      <c r="PIJ11" s="60"/>
      <c r="PIK11" s="60"/>
      <c r="PIL11" s="60"/>
      <c r="PIM11" s="60"/>
      <c r="PIN11" s="60"/>
      <c r="PIO11" s="60"/>
      <c r="PIP11" s="60"/>
      <c r="PIQ11" s="60"/>
      <c r="PIR11" s="60"/>
      <c r="PIS11" s="60"/>
      <c r="PIT11" s="60"/>
      <c r="PIU11" s="60"/>
      <c r="PIV11" s="60"/>
      <c r="PIW11" s="60"/>
      <c r="PIX11" s="60"/>
      <c r="PIY11" s="60"/>
      <c r="PIZ11" s="60"/>
      <c r="PJA11" s="60"/>
      <c r="PJB11" s="60"/>
      <c r="PJC11" s="60"/>
      <c r="PJD11" s="60"/>
      <c r="PJE11" s="60"/>
      <c r="PJF11" s="60"/>
      <c r="PJG11" s="60"/>
      <c r="PJH11" s="60"/>
      <c r="PJI11" s="60"/>
      <c r="PJJ11" s="60"/>
      <c r="PJK11" s="60"/>
      <c r="PJL11" s="60"/>
      <c r="PJM11" s="60"/>
      <c r="PJN11" s="60"/>
      <c r="PJO11" s="60"/>
      <c r="PJP11" s="60"/>
      <c r="PJQ11" s="60"/>
      <c r="PJR11" s="60"/>
      <c r="PJS11" s="60"/>
      <c r="PJT11" s="60"/>
      <c r="PJU11" s="60"/>
      <c r="PJV11" s="60"/>
      <c r="PJW11" s="60"/>
      <c r="PJX11" s="60"/>
      <c r="PJY11" s="60"/>
      <c r="PJZ11" s="60"/>
      <c r="PKA11" s="60"/>
      <c r="PKB11" s="60"/>
      <c r="PKC11" s="60"/>
      <c r="PKD11" s="60"/>
      <c r="PKE11" s="60"/>
      <c r="PKF11" s="60"/>
      <c r="PKG11" s="60"/>
      <c r="PKH11" s="60"/>
      <c r="PKI11" s="60"/>
      <c r="PKJ11" s="60"/>
      <c r="PKK11" s="60"/>
      <c r="PKL11" s="60"/>
      <c r="PKM11" s="60"/>
      <c r="PKN11" s="60"/>
      <c r="PKO11" s="60"/>
      <c r="PKP11" s="60"/>
      <c r="PKQ11" s="60"/>
      <c r="PKR11" s="60"/>
      <c r="PKS11" s="60"/>
      <c r="PKT11" s="60"/>
      <c r="PKU11" s="60"/>
      <c r="PKV11" s="60"/>
      <c r="PKW11" s="60"/>
      <c r="PKX11" s="60"/>
      <c r="PKY11" s="60"/>
      <c r="PKZ11" s="60"/>
      <c r="PLA11" s="60"/>
      <c r="PLB11" s="60"/>
      <c r="PLC11" s="60"/>
      <c r="PLD11" s="60"/>
      <c r="PLE11" s="60"/>
      <c r="PLF11" s="60"/>
      <c r="PLG11" s="60"/>
      <c r="PLH11" s="60"/>
      <c r="PLI11" s="60"/>
      <c r="PLJ11" s="60"/>
      <c r="PLK11" s="60"/>
      <c r="PLL11" s="60"/>
      <c r="PLM11" s="60"/>
      <c r="PLN11" s="60"/>
      <c r="PLO11" s="60"/>
      <c r="PLP11" s="60"/>
      <c r="PLQ11" s="60"/>
      <c r="PLR11" s="60"/>
      <c r="PLS11" s="60"/>
      <c r="PLT11" s="60"/>
      <c r="PLU11" s="60"/>
      <c r="PLV11" s="60"/>
      <c r="PLW11" s="60"/>
      <c r="PLX11" s="60"/>
      <c r="PLY11" s="60"/>
      <c r="PLZ11" s="60"/>
      <c r="PMA11" s="60"/>
      <c r="PMB11" s="60"/>
      <c r="PMC11" s="60"/>
      <c r="PMD11" s="60"/>
      <c r="PME11" s="60"/>
      <c r="PMF11" s="60"/>
      <c r="PMG11" s="60"/>
      <c r="PMH11" s="60"/>
      <c r="PMI11" s="60"/>
      <c r="PMJ11" s="60"/>
      <c r="PMK11" s="60"/>
      <c r="PML11" s="60"/>
      <c r="PMM11" s="60"/>
      <c r="PMN11" s="60"/>
      <c r="PMO11" s="60"/>
      <c r="PMP11" s="60"/>
      <c r="PMQ11" s="60"/>
      <c r="PMR11" s="60"/>
      <c r="PMS11" s="60"/>
      <c r="PMT11" s="60"/>
      <c r="PMU11" s="60"/>
      <c r="PMV11" s="60"/>
      <c r="PMW11" s="60"/>
      <c r="PMX11" s="60"/>
      <c r="PMY11" s="60"/>
      <c r="PMZ11" s="60"/>
      <c r="PNA11" s="60"/>
      <c r="PNB11" s="60"/>
      <c r="PNC11" s="60"/>
      <c r="PND11" s="60"/>
      <c r="PNE11" s="60"/>
      <c r="PNF11" s="60"/>
      <c r="PNG11" s="60"/>
      <c r="PNH11" s="60"/>
      <c r="PNI11" s="60"/>
      <c r="PNJ11" s="60"/>
      <c r="PNK11" s="60"/>
      <c r="PNL11" s="60"/>
      <c r="PNM11" s="60"/>
      <c r="PNN11" s="60"/>
      <c r="PNO11" s="60"/>
      <c r="PNP11" s="60"/>
      <c r="PNQ11" s="60"/>
      <c r="PNR11" s="60"/>
      <c r="PNS11" s="60"/>
      <c r="PNT11" s="60"/>
      <c r="PNU11" s="60"/>
      <c r="PNV11" s="60"/>
      <c r="PNW11" s="60"/>
      <c r="PNX11" s="60"/>
      <c r="PNY11" s="60"/>
      <c r="PNZ11" s="60"/>
      <c r="POA11" s="60"/>
      <c r="POB11" s="60"/>
      <c r="POC11" s="60"/>
      <c r="POD11" s="60"/>
      <c r="POE11" s="60"/>
      <c r="POF11" s="60"/>
      <c r="POG11" s="60"/>
      <c r="POH11" s="60"/>
      <c r="POI11" s="60"/>
      <c r="POJ11" s="60"/>
      <c r="POK11" s="60"/>
      <c r="POL11" s="60"/>
      <c r="POM11" s="60"/>
      <c r="PON11" s="60"/>
      <c r="POO11" s="60"/>
      <c r="POP11" s="60"/>
      <c r="POQ11" s="60"/>
      <c r="POR11" s="60"/>
      <c r="POS11" s="60"/>
      <c r="POT11" s="60"/>
      <c r="POU11" s="60"/>
      <c r="POV11" s="60"/>
      <c r="POW11" s="60"/>
      <c r="POX11" s="60"/>
      <c r="POY11" s="60"/>
      <c r="POZ11" s="60"/>
      <c r="PPA11" s="60"/>
      <c r="PPB11" s="60"/>
      <c r="PPC11" s="60"/>
      <c r="PPD11" s="60"/>
      <c r="PPE11" s="60"/>
      <c r="PPF11" s="60"/>
      <c r="PPG11" s="60"/>
      <c r="PPH11" s="60"/>
      <c r="PPI11" s="60"/>
      <c r="PPJ11" s="60"/>
      <c r="PPK11" s="60"/>
      <c r="PPL11" s="60"/>
      <c r="PPM11" s="60"/>
      <c r="PPN11" s="60"/>
      <c r="PPO11" s="60"/>
      <c r="PPP11" s="60"/>
      <c r="PPQ11" s="60"/>
      <c r="PPR11" s="60"/>
      <c r="PPS11" s="60"/>
      <c r="PPT11" s="60"/>
      <c r="PPU11" s="60"/>
      <c r="PPV11" s="60"/>
      <c r="PPW11" s="60"/>
      <c r="PPX11" s="60"/>
      <c r="PPY11" s="60"/>
      <c r="PPZ11" s="60"/>
      <c r="PQA11" s="60"/>
      <c r="PQB11" s="60"/>
      <c r="PQC11" s="60"/>
      <c r="PQD11" s="60"/>
      <c r="PQE11" s="60"/>
      <c r="PQF11" s="60"/>
      <c r="PQG11" s="60"/>
      <c r="PQH11" s="60"/>
      <c r="PQI11" s="60"/>
      <c r="PQJ11" s="60"/>
      <c r="PQK11" s="60"/>
      <c r="PQL11" s="60"/>
      <c r="PQM11" s="60"/>
      <c r="PQN11" s="60"/>
      <c r="PQO11" s="60"/>
      <c r="PQP11" s="60"/>
      <c r="PQQ11" s="60"/>
      <c r="PQR11" s="60"/>
      <c r="PQS11" s="60"/>
      <c r="PQT11" s="60"/>
      <c r="PQU11" s="60"/>
      <c r="PQV11" s="60"/>
      <c r="PQW11" s="60"/>
      <c r="PQX11" s="60"/>
      <c r="PQY11" s="60"/>
      <c r="PQZ11" s="60"/>
      <c r="PRA11" s="60"/>
      <c r="PRB11" s="60"/>
      <c r="PRC11" s="60"/>
      <c r="PRD11" s="60"/>
      <c r="PRE11" s="60"/>
      <c r="PRF11" s="60"/>
      <c r="PRG11" s="60"/>
      <c r="PRH11" s="60"/>
      <c r="PRI11" s="60"/>
      <c r="PRJ11" s="60"/>
      <c r="PRK11" s="60"/>
      <c r="PRL11" s="60"/>
      <c r="PRM11" s="60"/>
      <c r="PRN11" s="60"/>
      <c r="PRO11" s="60"/>
      <c r="PRP11" s="60"/>
      <c r="PRQ11" s="60"/>
      <c r="PRR11" s="60"/>
      <c r="PRS11" s="60"/>
      <c r="PRT11" s="60"/>
      <c r="PRU11" s="60"/>
      <c r="PRV11" s="60"/>
      <c r="PRW11" s="60"/>
      <c r="PRX11" s="60"/>
      <c r="PRY11" s="60"/>
      <c r="PRZ11" s="60"/>
      <c r="PSA11" s="60"/>
      <c r="PSB11" s="60"/>
      <c r="PSC11" s="60"/>
      <c r="PSD11" s="60"/>
      <c r="PSE11" s="60"/>
      <c r="PSF11" s="60"/>
      <c r="PSG11" s="60"/>
      <c r="PSH11" s="60"/>
      <c r="PSI11" s="60"/>
      <c r="PSJ11" s="60"/>
      <c r="PSK11" s="60"/>
      <c r="PSL11" s="60"/>
      <c r="PSM11" s="60"/>
      <c r="PSN11" s="60"/>
      <c r="PSO11" s="60"/>
      <c r="PSP11" s="60"/>
      <c r="PSQ11" s="60"/>
      <c r="PSR11" s="60"/>
      <c r="PSS11" s="60"/>
      <c r="PST11" s="60"/>
      <c r="PSU11" s="60"/>
      <c r="PSV11" s="60"/>
      <c r="PSW11" s="60"/>
      <c r="PSX11" s="60"/>
      <c r="PSY11" s="60"/>
      <c r="PSZ11" s="60"/>
      <c r="PTA11" s="60"/>
      <c r="PTB11" s="60"/>
      <c r="PTC11" s="60"/>
      <c r="PTD11" s="60"/>
      <c r="PTE11" s="60"/>
      <c r="PTF11" s="60"/>
      <c r="PTG11" s="60"/>
      <c r="PTH11" s="60"/>
      <c r="PTI11" s="60"/>
      <c r="PTJ11" s="60"/>
      <c r="PTK11" s="60"/>
      <c r="PTL11" s="60"/>
      <c r="PTM11" s="60"/>
      <c r="PTN11" s="60"/>
      <c r="PTO11" s="60"/>
      <c r="PTP11" s="60"/>
      <c r="PTQ11" s="60"/>
      <c r="PTR11" s="60"/>
      <c r="PTS11" s="60"/>
      <c r="PTT11" s="60"/>
      <c r="PTU11" s="60"/>
      <c r="PTV11" s="60"/>
      <c r="PTW11" s="60"/>
      <c r="PTX11" s="60"/>
      <c r="PTY11" s="60"/>
      <c r="PTZ11" s="60"/>
      <c r="PUA11" s="60"/>
      <c r="PUB11" s="60"/>
      <c r="PUC11" s="60"/>
      <c r="PUD11" s="60"/>
      <c r="PUE11" s="60"/>
      <c r="PUF11" s="60"/>
      <c r="PUG11" s="60"/>
      <c r="PUH11" s="60"/>
      <c r="PUI11" s="60"/>
      <c r="PUJ11" s="60"/>
      <c r="PUK11" s="60"/>
      <c r="PUL11" s="60"/>
      <c r="PUM11" s="60"/>
      <c r="PUN11" s="60"/>
      <c r="PUO11" s="60"/>
      <c r="PUP11" s="60"/>
      <c r="PUQ11" s="60"/>
      <c r="PUR11" s="60"/>
      <c r="PUS11" s="60"/>
      <c r="PUT11" s="60"/>
      <c r="PUU11" s="60"/>
      <c r="PUV11" s="60"/>
      <c r="PUW11" s="60"/>
      <c r="PUX11" s="60"/>
      <c r="PUY11" s="60"/>
      <c r="PUZ11" s="60"/>
      <c r="PVA11" s="60"/>
      <c r="PVB11" s="60"/>
      <c r="PVC11" s="60"/>
      <c r="PVD11" s="60"/>
      <c r="PVE11" s="60"/>
      <c r="PVF11" s="60"/>
      <c r="PVG11" s="60"/>
      <c r="PVH11" s="60"/>
      <c r="PVI11" s="60"/>
      <c r="PVJ11" s="60"/>
      <c r="PVK11" s="60"/>
      <c r="PVL11" s="60"/>
      <c r="PVM11" s="60"/>
      <c r="PVN11" s="60"/>
      <c r="PVO11" s="60"/>
      <c r="PVP11" s="60"/>
      <c r="PVQ11" s="60"/>
      <c r="PVR11" s="60"/>
      <c r="PVS11" s="60"/>
      <c r="PVT11" s="60"/>
      <c r="PVU11" s="60"/>
      <c r="PVV11" s="60"/>
      <c r="PVW11" s="60"/>
      <c r="PVX11" s="60"/>
      <c r="PVY11" s="60"/>
      <c r="PVZ11" s="60"/>
      <c r="PWA11" s="60"/>
      <c r="PWB11" s="60"/>
      <c r="PWC11" s="60"/>
      <c r="PWD11" s="60"/>
      <c r="PWE11" s="60"/>
      <c r="PWF11" s="60"/>
      <c r="PWG11" s="60"/>
      <c r="PWH11" s="60"/>
      <c r="PWI11" s="60"/>
      <c r="PWJ11" s="60"/>
      <c r="PWK11" s="60"/>
      <c r="PWL11" s="60"/>
      <c r="PWM11" s="60"/>
      <c r="PWN11" s="60"/>
      <c r="PWO11" s="60"/>
      <c r="PWP11" s="60"/>
      <c r="PWQ11" s="60"/>
      <c r="PWR11" s="60"/>
      <c r="PWS11" s="60"/>
      <c r="PWT11" s="60"/>
      <c r="PWU11" s="60"/>
      <c r="PWV11" s="60"/>
      <c r="PWW11" s="60"/>
      <c r="PWX11" s="60"/>
      <c r="PWY11" s="60"/>
      <c r="PWZ11" s="60"/>
      <c r="PXA11" s="60"/>
      <c r="PXB11" s="60"/>
      <c r="PXC11" s="60"/>
      <c r="PXD11" s="60"/>
      <c r="PXE11" s="60"/>
      <c r="PXF11" s="60"/>
      <c r="PXG11" s="60"/>
      <c r="PXH11" s="60"/>
      <c r="PXI11" s="60"/>
      <c r="PXJ11" s="60"/>
      <c r="PXK11" s="60"/>
      <c r="PXL11" s="60"/>
      <c r="PXM11" s="60"/>
      <c r="PXN11" s="60"/>
      <c r="PXO11" s="60"/>
      <c r="PXP11" s="60"/>
      <c r="PXQ11" s="60"/>
      <c r="PXR11" s="60"/>
      <c r="PXS11" s="60"/>
      <c r="PXT11" s="60"/>
      <c r="PXU11" s="60"/>
      <c r="PXV11" s="60"/>
      <c r="PXW11" s="60"/>
      <c r="PXX11" s="60"/>
      <c r="PXY11" s="60"/>
      <c r="PXZ11" s="60"/>
      <c r="PYA11" s="60"/>
      <c r="PYB11" s="60"/>
      <c r="PYC11" s="60"/>
      <c r="PYD11" s="60"/>
      <c r="PYE11" s="60"/>
      <c r="PYF11" s="60"/>
      <c r="PYG11" s="60"/>
      <c r="PYH11" s="60"/>
      <c r="PYI11" s="60"/>
      <c r="PYJ11" s="60"/>
      <c r="PYK11" s="60"/>
      <c r="PYL11" s="60"/>
      <c r="PYM11" s="60"/>
      <c r="PYN11" s="60"/>
      <c r="PYO11" s="60"/>
      <c r="PYP11" s="60"/>
      <c r="PYQ11" s="60"/>
      <c r="PYR11" s="60"/>
      <c r="PYS11" s="60"/>
      <c r="PYT11" s="60"/>
      <c r="PYU11" s="60"/>
      <c r="PYV11" s="60"/>
      <c r="PYW11" s="60"/>
      <c r="PYX11" s="60"/>
      <c r="PYY11" s="60"/>
      <c r="PYZ11" s="60"/>
      <c r="PZA11" s="60"/>
      <c r="PZB11" s="60"/>
      <c r="PZC11" s="60"/>
      <c r="PZD11" s="60"/>
      <c r="PZE11" s="60"/>
      <c r="PZF11" s="60"/>
      <c r="PZG11" s="60"/>
      <c r="PZH11" s="60"/>
      <c r="PZI11" s="60"/>
      <c r="PZJ11" s="60"/>
      <c r="PZK11" s="60"/>
      <c r="PZL11" s="60"/>
      <c r="PZM11" s="60"/>
      <c r="PZN11" s="60"/>
      <c r="PZO11" s="60"/>
      <c r="PZP11" s="60"/>
      <c r="PZQ11" s="60"/>
      <c r="PZR11" s="60"/>
      <c r="PZS11" s="60"/>
      <c r="PZT11" s="60"/>
      <c r="PZU11" s="60"/>
      <c r="PZV11" s="60"/>
      <c r="PZW11" s="60"/>
      <c r="PZX11" s="60"/>
      <c r="PZY11" s="60"/>
      <c r="PZZ11" s="60"/>
      <c r="QAA11" s="60"/>
      <c r="QAB11" s="60"/>
      <c r="QAC11" s="60"/>
      <c r="QAD11" s="60"/>
      <c r="QAE11" s="60"/>
      <c r="QAF11" s="60"/>
      <c r="QAG11" s="60"/>
      <c r="QAH11" s="60"/>
      <c r="QAI11" s="60"/>
      <c r="QAJ11" s="60"/>
      <c r="QAK11" s="60"/>
      <c r="QAL11" s="60"/>
      <c r="QAM11" s="60"/>
      <c r="QAN11" s="60"/>
      <c r="QAO11" s="60"/>
      <c r="QAP11" s="60"/>
      <c r="QAQ11" s="60"/>
      <c r="QAR11" s="60"/>
      <c r="QAS11" s="60"/>
      <c r="QAT11" s="60"/>
      <c r="QAU11" s="60"/>
      <c r="QAV11" s="60"/>
      <c r="QAW11" s="60"/>
      <c r="QAX11" s="60"/>
      <c r="QAY11" s="60"/>
      <c r="QAZ11" s="60"/>
      <c r="QBA11" s="60"/>
      <c r="QBB11" s="60"/>
      <c r="QBC11" s="60"/>
      <c r="QBD11" s="60"/>
      <c r="QBE11" s="60"/>
      <c r="QBF11" s="60"/>
      <c r="QBG11" s="60"/>
      <c r="QBH11" s="60"/>
      <c r="QBI11" s="60"/>
      <c r="QBJ11" s="60"/>
      <c r="QBK11" s="60"/>
      <c r="QBL11" s="60"/>
      <c r="QBM11" s="60"/>
      <c r="QBN11" s="60"/>
      <c r="QBO11" s="60"/>
      <c r="QBP11" s="60"/>
      <c r="QBQ11" s="60"/>
      <c r="QBR11" s="60"/>
      <c r="QBS11" s="60"/>
      <c r="QBT11" s="60"/>
      <c r="QBU11" s="60"/>
      <c r="QBV11" s="60"/>
      <c r="QBW11" s="60"/>
      <c r="QBX11" s="60"/>
      <c r="QBY11" s="60"/>
      <c r="QBZ11" s="60"/>
      <c r="QCA11" s="60"/>
      <c r="QCB11" s="60"/>
      <c r="QCC11" s="60"/>
      <c r="QCD11" s="60"/>
      <c r="QCE11" s="60"/>
      <c r="QCF11" s="60"/>
      <c r="QCG11" s="60"/>
      <c r="QCH11" s="60"/>
      <c r="QCI11" s="60"/>
      <c r="QCJ11" s="60"/>
      <c r="QCK11" s="60"/>
      <c r="QCL11" s="60"/>
      <c r="QCM11" s="60"/>
      <c r="QCN11" s="60"/>
      <c r="QCO11" s="60"/>
      <c r="QCP11" s="60"/>
      <c r="QCQ11" s="60"/>
      <c r="QCR11" s="60"/>
      <c r="QCS11" s="60"/>
      <c r="QCT11" s="60"/>
      <c r="QCU11" s="60"/>
      <c r="QCV11" s="60"/>
      <c r="QCW11" s="60"/>
      <c r="QCX11" s="60"/>
      <c r="QCY11" s="60"/>
      <c r="QCZ11" s="60"/>
      <c r="QDA11" s="60"/>
      <c r="QDB11" s="60"/>
      <c r="QDC11" s="60"/>
      <c r="QDD11" s="60"/>
      <c r="QDE11" s="60"/>
      <c r="QDF11" s="60"/>
      <c r="QDG11" s="60"/>
      <c r="QDH11" s="60"/>
      <c r="QDI11" s="60"/>
      <c r="QDJ11" s="60"/>
      <c r="QDK11" s="60"/>
      <c r="QDL11" s="60"/>
      <c r="QDM11" s="60"/>
      <c r="QDN11" s="60"/>
      <c r="QDO11" s="60"/>
      <c r="QDP11" s="60"/>
      <c r="QDQ11" s="60"/>
      <c r="QDR11" s="60"/>
      <c r="QDS11" s="60"/>
      <c r="QDT11" s="60"/>
      <c r="QDU11" s="60"/>
      <c r="QDV11" s="60"/>
      <c r="QDW11" s="60"/>
      <c r="QDX11" s="60"/>
      <c r="QDY11" s="60"/>
      <c r="QDZ11" s="60"/>
      <c r="QEA11" s="60"/>
      <c r="QEB11" s="60"/>
      <c r="QEC11" s="60"/>
      <c r="QED11" s="60"/>
      <c r="QEE11" s="60"/>
      <c r="QEF11" s="60"/>
      <c r="QEG11" s="60"/>
      <c r="QEH11" s="60"/>
      <c r="QEI11" s="60"/>
      <c r="QEJ11" s="60"/>
      <c r="QEK11" s="60"/>
      <c r="QEL11" s="60"/>
      <c r="QEM11" s="60"/>
      <c r="QEN11" s="60"/>
      <c r="QEO11" s="60"/>
      <c r="QEP11" s="60"/>
      <c r="QEQ11" s="60"/>
      <c r="QER11" s="60"/>
      <c r="QES11" s="60"/>
      <c r="QET11" s="60"/>
      <c r="QEU11" s="60"/>
      <c r="QEV11" s="60"/>
      <c r="QEW11" s="60"/>
      <c r="QEX11" s="60"/>
      <c r="QEY11" s="60"/>
      <c r="QEZ11" s="60"/>
      <c r="QFA11" s="60"/>
      <c r="QFB11" s="60"/>
      <c r="QFC11" s="60"/>
      <c r="QFD11" s="60"/>
      <c r="QFE11" s="60"/>
      <c r="QFF11" s="60"/>
      <c r="QFG11" s="60"/>
      <c r="QFH11" s="60"/>
      <c r="QFI11" s="60"/>
      <c r="QFJ11" s="60"/>
      <c r="QFK11" s="60"/>
      <c r="QFL11" s="60"/>
      <c r="QFM11" s="60"/>
      <c r="QFN11" s="60"/>
      <c r="QFO11" s="60"/>
      <c r="QFP11" s="60"/>
      <c r="QFQ11" s="60"/>
      <c r="QFR11" s="60"/>
      <c r="QFS11" s="60"/>
      <c r="QFT11" s="60"/>
      <c r="QFU11" s="60"/>
      <c r="QFV11" s="60"/>
      <c r="QFW11" s="60"/>
      <c r="QFX11" s="60"/>
      <c r="QFY11" s="60"/>
      <c r="QFZ11" s="60"/>
      <c r="QGA11" s="60"/>
      <c r="QGB11" s="60"/>
      <c r="QGC11" s="60"/>
      <c r="QGD11" s="60"/>
      <c r="QGE11" s="60"/>
      <c r="QGF11" s="60"/>
      <c r="QGG11" s="60"/>
      <c r="QGH11" s="60"/>
      <c r="QGI11" s="60"/>
      <c r="QGJ11" s="60"/>
      <c r="QGK11" s="60"/>
      <c r="QGL11" s="60"/>
      <c r="QGM11" s="60"/>
      <c r="QGN11" s="60"/>
      <c r="QGO11" s="60"/>
      <c r="QGP11" s="60"/>
      <c r="QGQ11" s="60"/>
      <c r="QGR11" s="60"/>
      <c r="QGS11" s="60"/>
      <c r="QGT11" s="60"/>
      <c r="QGU11" s="60"/>
      <c r="QGV11" s="60"/>
      <c r="QGW11" s="60"/>
      <c r="QGX11" s="60"/>
      <c r="QGY11" s="60"/>
      <c r="QGZ11" s="60"/>
      <c r="QHA11" s="60"/>
      <c r="QHB11" s="60"/>
      <c r="QHC11" s="60"/>
      <c r="QHD11" s="60"/>
      <c r="QHE11" s="60"/>
      <c r="QHF11" s="60"/>
      <c r="QHG11" s="60"/>
      <c r="QHH11" s="60"/>
      <c r="QHI11" s="60"/>
      <c r="QHJ11" s="60"/>
      <c r="QHK11" s="60"/>
      <c r="QHL11" s="60"/>
      <c r="QHM11" s="60"/>
      <c r="QHN11" s="60"/>
      <c r="QHO11" s="60"/>
      <c r="QHP11" s="60"/>
      <c r="QHQ11" s="60"/>
      <c r="QHR11" s="60"/>
      <c r="QHS11" s="60"/>
      <c r="QHT11" s="60"/>
      <c r="QHU11" s="60"/>
      <c r="QHV11" s="60"/>
      <c r="QHW11" s="60"/>
      <c r="QHX11" s="60"/>
      <c r="QHY11" s="60"/>
      <c r="QHZ11" s="60"/>
      <c r="QIA11" s="60"/>
      <c r="QIB11" s="60"/>
      <c r="QIC11" s="60"/>
      <c r="QID11" s="60"/>
      <c r="QIE11" s="60"/>
      <c r="QIF11" s="60"/>
      <c r="QIG11" s="60"/>
      <c r="QIH11" s="60"/>
      <c r="QII11" s="60"/>
      <c r="QIJ11" s="60"/>
      <c r="QIK11" s="60"/>
      <c r="QIL11" s="60"/>
      <c r="QIM11" s="60"/>
      <c r="QIN11" s="60"/>
      <c r="QIO11" s="60"/>
      <c r="QIP11" s="60"/>
      <c r="QIQ11" s="60"/>
      <c r="QIR11" s="60"/>
      <c r="QIS11" s="60"/>
      <c r="QIT11" s="60"/>
      <c r="QIU11" s="60"/>
      <c r="QIV11" s="60"/>
      <c r="QIW11" s="60"/>
      <c r="QIX11" s="60"/>
      <c r="QIY11" s="60"/>
      <c r="QIZ11" s="60"/>
      <c r="QJA11" s="60"/>
      <c r="QJB11" s="60"/>
      <c r="QJC11" s="60"/>
      <c r="QJD11" s="60"/>
      <c r="QJE11" s="60"/>
      <c r="QJF11" s="60"/>
      <c r="QJG11" s="60"/>
      <c r="QJH11" s="60"/>
      <c r="QJI11" s="60"/>
      <c r="QJJ11" s="60"/>
      <c r="QJK11" s="60"/>
      <c r="QJL11" s="60"/>
      <c r="QJM11" s="60"/>
      <c r="QJN11" s="60"/>
      <c r="QJO11" s="60"/>
      <c r="QJP11" s="60"/>
      <c r="QJQ11" s="60"/>
      <c r="QJR11" s="60"/>
      <c r="QJS11" s="60"/>
      <c r="QJT11" s="60"/>
      <c r="QJU11" s="60"/>
      <c r="QJV11" s="60"/>
      <c r="QJW11" s="60"/>
      <c r="QJX11" s="60"/>
      <c r="QJY11" s="60"/>
      <c r="QJZ11" s="60"/>
      <c r="QKA11" s="60"/>
      <c r="QKB11" s="60"/>
      <c r="QKC11" s="60"/>
      <c r="QKD11" s="60"/>
      <c r="QKE11" s="60"/>
      <c r="QKF11" s="60"/>
      <c r="QKG11" s="60"/>
      <c r="QKH11" s="60"/>
      <c r="QKI11" s="60"/>
      <c r="QKJ11" s="60"/>
      <c r="QKK11" s="60"/>
      <c r="QKL11" s="60"/>
      <c r="QKM11" s="60"/>
      <c r="QKN11" s="60"/>
      <c r="QKO11" s="60"/>
      <c r="QKP11" s="60"/>
      <c r="QKQ11" s="60"/>
      <c r="QKR11" s="60"/>
      <c r="QKS11" s="60"/>
      <c r="QKT11" s="60"/>
      <c r="QKU11" s="60"/>
      <c r="QKV11" s="60"/>
      <c r="QKW11" s="60"/>
      <c r="QKX11" s="60"/>
      <c r="QKY11" s="60"/>
      <c r="QKZ11" s="60"/>
      <c r="QLA11" s="60"/>
      <c r="QLB11" s="60"/>
      <c r="QLC11" s="60"/>
      <c r="QLD11" s="60"/>
      <c r="QLE11" s="60"/>
      <c r="QLF11" s="60"/>
      <c r="QLG11" s="60"/>
      <c r="QLH11" s="60"/>
      <c r="QLI11" s="60"/>
      <c r="QLJ11" s="60"/>
      <c r="QLK11" s="60"/>
      <c r="QLL11" s="60"/>
      <c r="QLM11" s="60"/>
      <c r="QLN11" s="60"/>
      <c r="QLO11" s="60"/>
      <c r="QLP11" s="60"/>
      <c r="QLQ11" s="60"/>
      <c r="QLR11" s="60"/>
      <c r="QLS11" s="60"/>
      <c r="QLT11" s="60"/>
      <c r="QLU11" s="60"/>
      <c r="QLV11" s="60"/>
      <c r="QLW11" s="60"/>
      <c r="QLX11" s="60"/>
      <c r="QLY11" s="60"/>
      <c r="QLZ11" s="60"/>
      <c r="QMA11" s="60"/>
      <c r="QMB11" s="60"/>
      <c r="QMC11" s="60"/>
      <c r="QMD11" s="60"/>
      <c r="QME11" s="60"/>
      <c r="QMF11" s="60"/>
      <c r="QMG11" s="60"/>
      <c r="QMH11" s="60"/>
      <c r="QMI11" s="60"/>
      <c r="QMJ11" s="60"/>
      <c r="QMK11" s="60"/>
      <c r="QML11" s="60"/>
      <c r="QMM11" s="60"/>
      <c r="QMN11" s="60"/>
      <c r="QMO11" s="60"/>
      <c r="QMP11" s="60"/>
      <c r="QMQ11" s="60"/>
      <c r="QMR11" s="60"/>
      <c r="QMS11" s="60"/>
      <c r="QMT11" s="60"/>
      <c r="QMU11" s="60"/>
      <c r="QMV11" s="60"/>
      <c r="QMW11" s="60"/>
      <c r="QMX11" s="60"/>
      <c r="QMY11" s="60"/>
      <c r="QMZ11" s="60"/>
      <c r="QNA11" s="60"/>
      <c r="QNB11" s="60"/>
      <c r="QNC11" s="60"/>
      <c r="QND11" s="60"/>
      <c r="QNE11" s="60"/>
      <c r="QNF11" s="60"/>
      <c r="QNG11" s="60"/>
      <c r="QNH11" s="60"/>
      <c r="QNI11" s="60"/>
      <c r="QNJ11" s="60"/>
      <c r="QNK11" s="60"/>
      <c r="QNL11" s="60"/>
      <c r="QNM11" s="60"/>
      <c r="QNN11" s="60"/>
      <c r="QNO11" s="60"/>
      <c r="QNP11" s="60"/>
      <c r="QNQ11" s="60"/>
      <c r="QNR11" s="60"/>
      <c r="QNS11" s="60"/>
      <c r="QNT11" s="60"/>
      <c r="QNU11" s="60"/>
      <c r="QNV11" s="60"/>
      <c r="QNW11" s="60"/>
      <c r="QNX11" s="60"/>
      <c r="QNY11" s="60"/>
      <c r="QNZ11" s="60"/>
      <c r="QOA11" s="60"/>
      <c r="QOB11" s="60"/>
      <c r="QOC11" s="60"/>
      <c r="QOD11" s="60"/>
      <c r="QOE11" s="60"/>
      <c r="QOF11" s="60"/>
      <c r="QOG11" s="60"/>
      <c r="QOH11" s="60"/>
      <c r="QOI11" s="60"/>
      <c r="QOJ11" s="60"/>
      <c r="QOK11" s="60"/>
      <c r="QOL11" s="60"/>
      <c r="QOM11" s="60"/>
      <c r="QON11" s="60"/>
      <c r="QOO11" s="60"/>
      <c r="QOP11" s="60"/>
      <c r="QOQ11" s="60"/>
      <c r="QOR11" s="60"/>
      <c r="QOS11" s="60"/>
      <c r="QOT11" s="60"/>
      <c r="QOU11" s="60"/>
      <c r="QOV11" s="60"/>
      <c r="QOW11" s="60"/>
      <c r="QOX11" s="60"/>
      <c r="QOY11" s="60"/>
      <c r="QOZ11" s="60"/>
      <c r="QPA11" s="60"/>
      <c r="QPB11" s="60"/>
      <c r="QPC11" s="60"/>
      <c r="QPD11" s="60"/>
      <c r="QPE11" s="60"/>
      <c r="QPF11" s="60"/>
      <c r="QPG11" s="60"/>
      <c r="QPH11" s="60"/>
      <c r="QPI11" s="60"/>
      <c r="QPJ11" s="60"/>
      <c r="QPK11" s="60"/>
      <c r="QPL11" s="60"/>
      <c r="QPM11" s="60"/>
      <c r="QPN11" s="60"/>
      <c r="QPO11" s="60"/>
      <c r="QPP11" s="60"/>
      <c r="QPQ11" s="60"/>
      <c r="QPR11" s="60"/>
      <c r="QPS11" s="60"/>
      <c r="QPT11" s="60"/>
      <c r="QPU11" s="60"/>
      <c r="QPV11" s="60"/>
      <c r="QPW11" s="60"/>
      <c r="QPX11" s="60"/>
      <c r="QPY11" s="60"/>
      <c r="QPZ11" s="60"/>
      <c r="QQA11" s="60"/>
      <c r="QQB11" s="60"/>
      <c r="QQC11" s="60"/>
      <c r="QQD11" s="60"/>
      <c r="QQE11" s="60"/>
      <c r="QQF11" s="60"/>
      <c r="QQG11" s="60"/>
      <c r="QQH11" s="60"/>
      <c r="QQI11" s="60"/>
      <c r="QQJ11" s="60"/>
      <c r="QQK11" s="60"/>
      <c r="QQL11" s="60"/>
      <c r="QQM11" s="60"/>
      <c r="QQN11" s="60"/>
      <c r="QQO11" s="60"/>
      <c r="QQP11" s="60"/>
      <c r="QQQ11" s="60"/>
      <c r="QQR11" s="60"/>
      <c r="QQS11" s="60"/>
      <c r="QQT11" s="60"/>
      <c r="QQU11" s="60"/>
      <c r="QQV11" s="60"/>
      <c r="QQW11" s="60"/>
      <c r="QQX11" s="60"/>
      <c r="QQY11" s="60"/>
      <c r="QQZ11" s="60"/>
      <c r="QRA11" s="60"/>
      <c r="QRB11" s="60"/>
      <c r="QRC11" s="60"/>
      <c r="QRD11" s="60"/>
      <c r="QRE11" s="60"/>
      <c r="QRF11" s="60"/>
      <c r="QRG11" s="60"/>
      <c r="QRH11" s="60"/>
      <c r="QRI11" s="60"/>
      <c r="QRJ11" s="60"/>
      <c r="QRK11" s="60"/>
      <c r="QRL11" s="60"/>
      <c r="QRM11" s="60"/>
      <c r="QRN11" s="60"/>
      <c r="QRO11" s="60"/>
      <c r="QRP11" s="60"/>
      <c r="QRQ11" s="60"/>
      <c r="QRR11" s="60"/>
      <c r="QRS11" s="60"/>
      <c r="QRT11" s="60"/>
      <c r="QRU11" s="60"/>
      <c r="QRV11" s="60"/>
      <c r="QRW11" s="60"/>
      <c r="QRX11" s="60"/>
      <c r="QRY11" s="60"/>
      <c r="QRZ11" s="60"/>
      <c r="QSA11" s="60"/>
      <c r="QSB11" s="60"/>
      <c r="QSC11" s="60"/>
      <c r="QSD11" s="60"/>
      <c r="QSE11" s="60"/>
      <c r="QSF11" s="60"/>
      <c r="QSG11" s="60"/>
      <c r="QSH11" s="60"/>
      <c r="QSI11" s="60"/>
      <c r="QSJ11" s="60"/>
      <c r="QSK11" s="60"/>
      <c r="QSL11" s="60"/>
      <c r="QSM11" s="60"/>
      <c r="QSN11" s="60"/>
      <c r="QSO11" s="60"/>
      <c r="QSP11" s="60"/>
      <c r="QSQ11" s="60"/>
      <c r="QSR11" s="60"/>
      <c r="QSS11" s="60"/>
      <c r="QST11" s="60"/>
      <c r="QSU11" s="60"/>
      <c r="QSV11" s="60"/>
      <c r="QSW11" s="60"/>
      <c r="QSX11" s="60"/>
      <c r="QSY11" s="60"/>
      <c r="QSZ11" s="60"/>
      <c r="QTA11" s="60"/>
      <c r="QTB11" s="60"/>
      <c r="QTC11" s="60"/>
      <c r="QTD11" s="60"/>
      <c r="QTE11" s="60"/>
      <c r="QTF11" s="60"/>
      <c r="QTG11" s="60"/>
      <c r="QTH11" s="60"/>
      <c r="QTI11" s="60"/>
      <c r="QTJ11" s="60"/>
      <c r="QTK11" s="60"/>
      <c r="QTL11" s="60"/>
      <c r="QTM11" s="60"/>
      <c r="QTN11" s="60"/>
      <c r="QTO11" s="60"/>
      <c r="QTP11" s="60"/>
      <c r="QTQ11" s="60"/>
      <c r="QTR11" s="60"/>
      <c r="QTS11" s="60"/>
      <c r="QTT11" s="60"/>
      <c r="QTU11" s="60"/>
      <c r="QTV11" s="60"/>
      <c r="QTW11" s="60"/>
      <c r="QTX11" s="60"/>
      <c r="QTY11" s="60"/>
      <c r="QTZ11" s="60"/>
      <c r="QUA11" s="60"/>
      <c r="QUB11" s="60"/>
      <c r="QUC11" s="60"/>
      <c r="QUD11" s="60"/>
      <c r="QUE11" s="60"/>
      <c r="QUF11" s="60"/>
      <c r="QUG11" s="60"/>
      <c r="QUH11" s="60"/>
      <c r="QUI11" s="60"/>
      <c r="QUJ11" s="60"/>
      <c r="QUK11" s="60"/>
      <c r="QUL11" s="60"/>
      <c r="QUM11" s="60"/>
      <c r="QUN11" s="60"/>
      <c r="QUO11" s="60"/>
      <c r="QUP11" s="60"/>
      <c r="QUQ11" s="60"/>
      <c r="QUR11" s="60"/>
      <c r="QUS11" s="60"/>
      <c r="QUT11" s="60"/>
      <c r="QUU11" s="60"/>
      <c r="QUV11" s="60"/>
      <c r="QUW11" s="60"/>
      <c r="QUX11" s="60"/>
      <c r="QUY11" s="60"/>
      <c r="QUZ11" s="60"/>
      <c r="QVA11" s="60"/>
      <c r="QVB11" s="60"/>
      <c r="QVC11" s="60"/>
      <c r="QVD11" s="60"/>
      <c r="QVE11" s="60"/>
      <c r="QVF11" s="60"/>
      <c r="QVG11" s="60"/>
      <c r="QVH11" s="60"/>
      <c r="QVI11" s="60"/>
      <c r="QVJ11" s="60"/>
      <c r="QVK11" s="60"/>
      <c r="QVL11" s="60"/>
      <c r="QVM11" s="60"/>
      <c r="QVN11" s="60"/>
      <c r="QVO11" s="60"/>
      <c r="QVP11" s="60"/>
      <c r="QVQ11" s="60"/>
      <c r="QVR11" s="60"/>
      <c r="QVS11" s="60"/>
      <c r="QVT11" s="60"/>
      <c r="QVU11" s="60"/>
      <c r="QVV11" s="60"/>
      <c r="QVW11" s="60"/>
      <c r="QVX11" s="60"/>
      <c r="QVY11" s="60"/>
      <c r="QVZ11" s="60"/>
      <c r="QWA11" s="60"/>
      <c r="QWB11" s="60"/>
      <c r="QWC11" s="60"/>
      <c r="QWD11" s="60"/>
      <c r="QWE11" s="60"/>
      <c r="QWF11" s="60"/>
      <c r="QWG11" s="60"/>
      <c r="QWH11" s="60"/>
      <c r="QWI11" s="60"/>
      <c r="QWJ11" s="60"/>
      <c r="QWK11" s="60"/>
      <c r="QWL11" s="60"/>
      <c r="QWM11" s="60"/>
      <c r="QWN11" s="60"/>
      <c r="QWO11" s="60"/>
      <c r="QWP11" s="60"/>
      <c r="QWQ11" s="60"/>
      <c r="QWR11" s="60"/>
      <c r="QWS11" s="60"/>
      <c r="QWT11" s="60"/>
      <c r="QWU11" s="60"/>
      <c r="QWV11" s="60"/>
      <c r="QWW11" s="60"/>
      <c r="QWX11" s="60"/>
      <c r="QWY11" s="60"/>
      <c r="QWZ11" s="60"/>
      <c r="QXA11" s="60"/>
      <c r="QXB11" s="60"/>
      <c r="QXC11" s="60"/>
      <c r="QXD11" s="60"/>
      <c r="QXE11" s="60"/>
      <c r="QXF11" s="60"/>
      <c r="QXG11" s="60"/>
      <c r="QXH11" s="60"/>
      <c r="QXI11" s="60"/>
      <c r="QXJ11" s="60"/>
      <c r="QXK11" s="60"/>
      <c r="QXL11" s="60"/>
      <c r="QXM11" s="60"/>
      <c r="QXN11" s="60"/>
      <c r="QXO11" s="60"/>
      <c r="QXP11" s="60"/>
      <c r="QXQ11" s="60"/>
      <c r="QXR11" s="60"/>
      <c r="QXS11" s="60"/>
      <c r="QXT11" s="60"/>
      <c r="QXU11" s="60"/>
      <c r="QXV11" s="60"/>
      <c r="QXW11" s="60"/>
      <c r="QXX11" s="60"/>
      <c r="QXY11" s="60"/>
      <c r="QXZ11" s="60"/>
      <c r="QYA11" s="60"/>
      <c r="QYB11" s="60"/>
      <c r="QYC11" s="60"/>
      <c r="QYD11" s="60"/>
      <c r="QYE11" s="60"/>
      <c r="QYF11" s="60"/>
      <c r="QYG11" s="60"/>
      <c r="QYH11" s="60"/>
      <c r="QYI11" s="60"/>
      <c r="QYJ11" s="60"/>
      <c r="QYK11" s="60"/>
      <c r="QYL11" s="60"/>
      <c r="QYM11" s="60"/>
      <c r="QYN11" s="60"/>
      <c r="QYO11" s="60"/>
      <c r="QYP11" s="60"/>
      <c r="QYQ11" s="60"/>
      <c r="QYR11" s="60"/>
      <c r="QYS11" s="60"/>
      <c r="QYT11" s="60"/>
      <c r="QYU11" s="60"/>
      <c r="QYV11" s="60"/>
      <c r="QYW11" s="60"/>
      <c r="QYX11" s="60"/>
      <c r="QYY11" s="60"/>
      <c r="QYZ11" s="60"/>
      <c r="QZA11" s="60"/>
      <c r="QZB11" s="60"/>
      <c r="QZC11" s="60"/>
      <c r="QZD11" s="60"/>
      <c r="QZE11" s="60"/>
      <c r="QZF11" s="60"/>
      <c r="QZG11" s="60"/>
      <c r="QZH11" s="60"/>
      <c r="QZI11" s="60"/>
      <c r="QZJ11" s="60"/>
      <c r="QZK11" s="60"/>
      <c r="QZL11" s="60"/>
      <c r="QZM11" s="60"/>
      <c r="QZN11" s="60"/>
      <c r="QZO11" s="60"/>
      <c r="QZP11" s="60"/>
      <c r="QZQ11" s="60"/>
      <c r="QZR11" s="60"/>
      <c r="QZS11" s="60"/>
      <c r="QZT11" s="60"/>
      <c r="QZU11" s="60"/>
      <c r="QZV11" s="60"/>
      <c r="QZW11" s="60"/>
      <c r="QZX11" s="60"/>
      <c r="QZY11" s="60"/>
      <c r="QZZ11" s="60"/>
      <c r="RAA11" s="60"/>
      <c r="RAB11" s="60"/>
      <c r="RAC11" s="60"/>
      <c r="RAD11" s="60"/>
      <c r="RAE11" s="60"/>
      <c r="RAF11" s="60"/>
      <c r="RAG11" s="60"/>
      <c r="RAH11" s="60"/>
      <c r="RAI11" s="60"/>
      <c r="RAJ11" s="60"/>
      <c r="RAK11" s="60"/>
      <c r="RAL11" s="60"/>
      <c r="RAM11" s="60"/>
      <c r="RAN11" s="60"/>
      <c r="RAO11" s="60"/>
      <c r="RAP11" s="60"/>
      <c r="RAQ11" s="60"/>
      <c r="RAR11" s="60"/>
      <c r="RAS11" s="60"/>
      <c r="RAT11" s="60"/>
      <c r="RAU11" s="60"/>
      <c r="RAV11" s="60"/>
      <c r="RAW11" s="60"/>
      <c r="RAX11" s="60"/>
      <c r="RAY11" s="60"/>
      <c r="RAZ11" s="60"/>
      <c r="RBA11" s="60"/>
      <c r="RBB11" s="60"/>
      <c r="RBC11" s="60"/>
      <c r="RBD11" s="60"/>
      <c r="RBE11" s="60"/>
      <c r="RBF11" s="60"/>
      <c r="RBG11" s="60"/>
      <c r="RBH11" s="60"/>
      <c r="RBI11" s="60"/>
      <c r="RBJ11" s="60"/>
      <c r="RBK11" s="60"/>
      <c r="RBL11" s="60"/>
      <c r="RBM11" s="60"/>
      <c r="RBN11" s="60"/>
      <c r="RBO11" s="60"/>
      <c r="RBP11" s="60"/>
      <c r="RBQ11" s="60"/>
      <c r="RBR11" s="60"/>
      <c r="RBS11" s="60"/>
      <c r="RBT11" s="60"/>
      <c r="RBU11" s="60"/>
      <c r="RBV11" s="60"/>
      <c r="RBW11" s="60"/>
      <c r="RBX11" s="60"/>
      <c r="RBY11" s="60"/>
      <c r="RBZ11" s="60"/>
      <c r="RCA11" s="60"/>
      <c r="RCB11" s="60"/>
      <c r="RCC11" s="60"/>
      <c r="RCD11" s="60"/>
      <c r="RCE11" s="60"/>
      <c r="RCF11" s="60"/>
      <c r="RCG11" s="60"/>
      <c r="RCH11" s="60"/>
      <c r="RCI11" s="60"/>
      <c r="RCJ11" s="60"/>
      <c r="RCK11" s="60"/>
      <c r="RCL11" s="60"/>
      <c r="RCM11" s="60"/>
      <c r="RCN11" s="60"/>
      <c r="RCO11" s="60"/>
      <c r="RCP11" s="60"/>
      <c r="RCQ11" s="60"/>
      <c r="RCR11" s="60"/>
      <c r="RCS11" s="60"/>
      <c r="RCT11" s="60"/>
      <c r="RCU11" s="60"/>
      <c r="RCV11" s="60"/>
      <c r="RCW11" s="60"/>
      <c r="RCX11" s="60"/>
      <c r="RCY11" s="60"/>
      <c r="RCZ11" s="60"/>
      <c r="RDA11" s="60"/>
      <c r="RDB11" s="60"/>
      <c r="RDC11" s="60"/>
      <c r="RDD11" s="60"/>
      <c r="RDE11" s="60"/>
      <c r="RDF11" s="60"/>
      <c r="RDG11" s="60"/>
      <c r="RDH11" s="60"/>
      <c r="RDI11" s="60"/>
      <c r="RDJ11" s="60"/>
      <c r="RDK11" s="60"/>
      <c r="RDL11" s="60"/>
      <c r="RDM11" s="60"/>
      <c r="RDN11" s="60"/>
      <c r="RDO11" s="60"/>
      <c r="RDP11" s="60"/>
      <c r="RDQ11" s="60"/>
      <c r="RDR11" s="60"/>
      <c r="RDS11" s="60"/>
      <c r="RDT11" s="60"/>
      <c r="RDU11" s="60"/>
      <c r="RDV11" s="60"/>
      <c r="RDW11" s="60"/>
      <c r="RDX11" s="60"/>
      <c r="RDY11" s="60"/>
      <c r="RDZ11" s="60"/>
      <c r="REA11" s="60"/>
      <c r="REB11" s="60"/>
      <c r="REC11" s="60"/>
      <c r="RED11" s="60"/>
      <c r="REE11" s="60"/>
      <c r="REF11" s="60"/>
      <c r="REG11" s="60"/>
      <c r="REH11" s="60"/>
      <c r="REI11" s="60"/>
      <c r="REJ11" s="60"/>
      <c r="REK11" s="60"/>
      <c r="REL11" s="60"/>
      <c r="REM11" s="60"/>
      <c r="REN11" s="60"/>
      <c r="REO11" s="60"/>
      <c r="REP11" s="60"/>
      <c r="REQ11" s="60"/>
      <c r="RER11" s="60"/>
      <c r="RES11" s="60"/>
      <c r="RET11" s="60"/>
      <c r="REU11" s="60"/>
      <c r="REV11" s="60"/>
      <c r="REW11" s="60"/>
      <c r="REX11" s="60"/>
      <c r="REY11" s="60"/>
      <c r="REZ11" s="60"/>
      <c r="RFA11" s="60"/>
      <c r="RFB11" s="60"/>
      <c r="RFC11" s="60"/>
      <c r="RFD11" s="60"/>
      <c r="RFE11" s="60"/>
      <c r="RFF11" s="60"/>
      <c r="RFG11" s="60"/>
      <c r="RFH11" s="60"/>
      <c r="RFI11" s="60"/>
      <c r="RFJ11" s="60"/>
      <c r="RFK11" s="60"/>
      <c r="RFL11" s="60"/>
      <c r="RFM11" s="60"/>
      <c r="RFN11" s="60"/>
      <c r="RFO11" s="60"/>
      <c r="RFP11" s="60"/>
      <c r="RFQ11" s="60"/>
      <c r="RFR11" s="60"/>
      <c r="RFS11" s="60"/>
      <c r="RFT11" s="60"/>
      <c r="RFU11" s="60"/>
      <c r="RFV11" s="60"/>
      <c r="RFW11" s="60"/>
      <c r="RFX11" s="60"/>
      <c r="RFY11" s="60"/>
      <c r="RFZ11" s="60"/>
      <c r="RGA11" s="60"/>
      <c r="RGB11" s="60"/>
      <c r="RGC11" s="60"/>
      <c r="RGD11" s="60"/>
      <c r="RGE11" s="60"/>
      <c r="RGF11" s="60"/>
      <c r="RGG11" s="60"/>
      <c r="RGH11" s="60"/>
      <c r="RGI11" s="60"/>
      <c r="RGJ11" s="60"/>
      <c r="RGK11" s="60"/>
      <c r="RGL11" s="60"/>
      <c r="RGM11" s="60"/>
      <c r="RGN11" s="60"/>
      <c r="RGO11" s="60"/>
      <c r="RGP11" s="60"/>
      <c r="RGQ11" s="60"/>
      <c r="RGR11" s="60"/>
      <c r="RGS11" s="60"/>
      <c r="RGT11" s="60"/>
      <c r="RGU11" s="60"/>
      <c r="RGV11" s="60"/>
      <c r="RGW11" s="60"/>
      <c r="RGX11" s="60"/>
      <c r="RGY11" s="60"/>
      <c r="RGZ11" s="60"/>
      <c r="RHA11" s="60"/>
      <c r="RHB11" s="60"/>
      <c r="RHC11" s="60"/>
      <c r="RHD11" s="60"/>
      <c r="RHE11" s="60"/>
      <c r="RHF11" s="60"/>
      <c r="RHG11" s="60"/>
      <c r="RHH11" s="60"/>
      <c r="RHI11" s="60"/>
      <c r="RHJ11" s="60"/>
      <c r="RHK11" s="60"/>
      <c r="RHL11" s="60"/>
      <c r="RHM11" s="60"/>
      <c r="RHN11" s="60"/>
      <c r="RHO11" s="60"/>
      <c r="RHP11" s="60"/>
      <c r="RHQ11" s="60"/>
      <c r="RHR11" s="60"/>
      <c r="RHS11" s="60"/>
      <c r="RHT11" s="60"/>
      <c r="RHU11" s="60"/>
      <c r="RHV11" s="60"/>
      <c r="RHW11" s="60"/>
      <c r="RHX11" s="60"/>
      <c r="RHY11" s="60"/>
      <c r="RHZ11" s="60"/>
      <c r="RIA11" s="60"/>
      <c r="RIB11" s="60"/>
      <c r="RIC11" s="60"/>
      <c r="RID11" s="60"/>
      <c r="RIE11" s="60"/>
      <c r="RIF11" s="60"/>
      <c r="RIG11" s="60"/>
      <c r="RIH11" s="60"/>
      <c r="RII11" s="60"/>
      <c r="RIJ11" s="60"/>
      <c r="RIK11" s="60"/>
      <c r="RIL11" s="60"/>
      <c r="RIM11" s="60"/>
      <c r="RIN11" s="60"/>
      <c r="RIO11" s="60"/>
      <c r="RIP11" s="60"/>
      <c r="RIQ11" s="60"/>
      <c r="RIR11" s="60"/>
      <c r="RIS11" s="60"/>
      <c r="RIT11" s="60"/>
      <c r="RIU11" s="60"/>
      <c r="RIV11" s="60"/>
      <c r="RIW11" s="60"/>
      <c r="RIX11" s="60"/>
      <c r="RIY11" s="60"/>
      <c r="RIZ11" s="60"/>
      <c r="RJA11" s="60"/>
      <c r="RJB11" s="60"/>
      <c r="RJC11" s="60"/>
      <c r="RJD11" s="60"/>
      <c r="RJE11" s="60"/>
      <c r="RJF11" s="60"/>
      <c r="RJG11" s="60"/>
      <c r="RJH11" s="60"/>
      <c r="RJI11" s="60"/>
      <c r="RJJ11" s="60"/>
      <c r="RJK11" s="60"/>
      <c r="RJL11" s="60"/>
      <c r="RJM11" s="60"/>
      <c r="RJN11" s="60"/>
      <c r="RJO11" s="60"/>
      <c r="RJP11" s="60"/>
      <c r="RJQ11" s="60"/>
      <c r="RJR11" s="60"/>
      <c r="RJS11" s="60"/>
      <c r="RJT11" s="60"/>
      <c r="RJU11" s="60"/>
      <c r="RJV11" s="60"/>
      <c r="RJW11" s="60"/>
      <c r="RJX11" s="60"/>
      <c r="RJY11" s="60"/>
      <c r="RJZ11" s="60"/>
      <c r="RKA11" s="60"/>
      <c r="RKB11" s="60"/>
      <c r="RKC11" s="60"/>
      <c r="RKD11" s="60"/>
      <c r="RKE11" s="60"/>
      <c r="RKF11" s="60"/>
      <c r="RKG11" s="60"/>
      <c r="RKH11" s="60"/>
      <c r="RKI11" s="60"/>
      <c r="RKJ11" s="60"/>
      <c r="RKK11" s="60"/>
      <c r="RKL11" s="60"/>
      <c r="RKM11" s="60"/>
      <c r="RKN11" s="60"/>
      <c r="RKO11" s="60"/>
      <c r="RKP11" s="60"/>
      <c r="RKQ11" s="60"/>
      <c r="RKR11" s="60"/>
      <c r="RKS11" s="60"/>
      <c r="RKT11" s="60"/>
      <c r="RKU11" s="60"/>
      <c r="RKV11" s="60"/>
      <c r="RKW11" s="60"/>
      <c r="RKX11" s="60"/>
      <c r="RKY11" s="60"/>
      <c r="RKZ11" s="60"/>
      <c r="RLA11" s="60"/>
      <c r="RLB11" s="60"/>
      <c r="RLC11" s="60"/>
      <c r="RLD11" s="60"/>
      <c r="RLE11" s="60"/>
      <c r="RLF11" s="60"/>
      <c r="RLG11" s="60"/>
      <c r="RLH11" s="60"/>
      <c r="RLI11" s="60"/>
      <c r="RLJ11" s="60"/>
      <c r="RLK11" s="60"/>
      <c r="RLL11" s="60"/>
      <c r="RLM11" s="60"/>
      <c r="RLN11" s="60"/>
      <c r="RLO11" s="60"/>
      <c r="RLP11" s="60"/>
      <c r="RLQ11" s="60"/>
      <c r="RLR11" s="60"/>
      <c r="RLS11" s="60"/>
      <c r="RLT11" s="60"/>
      <c r="RLU11" s="60"/>
      <c r="RLV11" s="60"/>
      <c r="RLW11" s="60"/>
      <c r="RLX11" s="60"/>
      <c r="RLY11" s="60"/>
      <c r="RLZ11" s="60"/>
      <c r="RMA11" s="60"/>
      <c r="RMB11" s="60"/>
      <c r="RMC11" s="60"/>
      <c r="RMD11" s="60"/>
      <c r="RME11" s="60"/>
      <c r="RMF11" s="60"/>
      <c r="RMG11" s="60"/>
      <c r="RMH11" s="60"/>
      <c r="RMI11" s="60"/>
      <c r="RMJ11" s="60"/>
      <c r="RMK11" s="60"/>
      <c r="RML11" s="60"/>
      <c r="RMM11" s="60"/>
      <c r="RMN11" s="60"/>
      <c r="RMO11" s="60"/>
      <c r="RMP11" s="60"/>
      <c r="RMQ11" s="60"/>
      <c r="RMR11" s="60"/>
      <c r="RMS11" s="60"/>
      <c r="RMT11" s="60"/>
      <c r="RMU11" s="60"/>
      <c r="RMV11" s="60"/>
      <c r="RMW11" s="60"/>
      <c r="RMX11" s="60"/>
      <c r="RMY11" s="60"/>
      <c r="RMZ11" s="60"/>
      <c r="RNA11" s="60"/>
      <c r="RNB11" s="60"/>
      <c r="RNC11" s="60"/>
      <c r="RND11" s="60"/>
      <c r="RNE11" s="60"/>
      <c r="RNF11" s="60"/>
      <c r="RNG11" s="60"/>
      <c r="RNH11" s="60"/>
      <c r="RNI11" s="60"/>
      <c r="RNJ11" s="60"/>
      <c r="RNK11" s="60"/>
      <c r="RNL11" s="60"/>
      <c r="RNM11" s="60"/>
      <c r="RNN11" s="60"/>
      <c r="RNO11" s="60"/>
      <c r="RNP11" s="60"/>
      <c r="RNQ11" s="60"/>
      <c r="RNR11" s="60"/>
      <c r="RNS11" s="60"/>
      <c r="RNT11" s="60"/>
      <c r="RNU11" s="60"/>
      <c r="RNV11" s="60"/>
      <c r="RNW11" s="60"/>
      <c r="RNX11" s="60"/>
      <c r="RNY11" s="60"/>
      <c r="RNZ11" s="60"/>
      <c r="ROA11" s="60"/>
      <c r="ROB11" s="60"/>
      <c r="ROC11" s="60"/>
      <c r="ROD11" s="60"/>
      <c r="ROE11" s="60"/>
      <c r="ROF11" s="60"/>
      <c r="ROG11" s="60"/>
      <c r="ROH11" s="60"/>
      <c r="ROI11" s="60"/>
      <c r="ROJ11" s="60"/>
      <c r="ROK11" s="60"/>
      <c r="ROL11" s="60"/>
      <c r="ROM11" s="60"/>
      <c r="RON11" s="60"/>
      <c r="ROO11" s="60"/>
      <c r="ROP11" s="60"/>
      <c r="ROQ11" s="60"/>
      <c r="ROR11" s="60"/>
      <c r="ROS11" s="60"/>
      <c r="ROT11" s="60"/>
      <c r="ROU11" s="60"/>
      <c r="ROV11" s="60"/>
      <c r="ROW11" s="60"/>
      <c r="ROX11" s="60"/>
      <c r="ROY11" s="60"/>
      <c r="ROZ11" s="60"/>
      <c r="RPA11" s="60"/>
      <c r="RPB11" s="60"/>
      <c r="RPC11" s="60"/>
      <c r="RPD11" s="60"/>
      <c r="RPE11" s="60"/>
      <c r="RPF11" s="60"/>
      <c r="RPG11" s="60"/>
      <c r="RPH11" s="60"/>
      <c r="RPI11" s="60"/>
      <c r="RPJ11" s="60"/>
      <c r="RPK11" s="60"/>
      <c r="RPL11" s="60"/>
      <c r="RPM11" s="60"/>
      <c r="RPN11" s="60"/>
      <c r="RPO11" s="60"/>
      <c r="RPP11" s="60"/>
      <c r="RPQ11" s="60"/>
      <c r="RPR11" s="60"/>
      <c r="RPS11" s="60"/>
      <c r="RPT11" s="60"/>
      <c r="RPU11" s="60"/>
      <c r="RPV11" s="60"/>
      <c r="RPW11" s="60"/>
      <c r="RPX11" s="60"/>
      <c r="RPY11" s="60"/>
      <c r="RPZ11" s="60"/>
      <c r="RQA11" s="60"/>
      <c r="RQB11" s="60"/>
      <c r="RQC11" s="60"/>
      <c r="RQD11" s="60"/>
      <c r="RQE11" s="60"/>
      <c r="RQF11" s="60"/>
      <c r="RQG11" s="60"/>
      <c r="RQH11" s="60"/>
      <c r="RQI11" s="60"/>
      <c r="RQJ11" s="60"/>
      <c r="RQK11" s="60"/>
      <c r="RQL11" s="60"/>
      <c r="RQM11" s="60"/>
      <c r="RQN11" s="60"/>
      <c r="RQO11" s="60"/>
      <c r="RQP11" s="60"/>
      <c r="RQQ11" s="60"/>
      <c r="RQR11" s="60"/>
      <c r="RQS11" s="60"/>
      <c r="RQT11" s="60"/>
      <c r="RQU11" s="60"/>
      <c r="RQV11" s="60"/>
      <c r="RQW11" s="60"/>
      <c r="RQX11" s="60"/>
      <c r="RQY11" s="60"/>
      <c r="RQZ11" s="60"/>
      <c r="RRA11" s="60"/>
      <c r="RRB11" s="60"/>
      <c r="RRC11" s="60"/>
      <c r="RRD11" s="60"/>
      <c r="RRE11" s="60"/>
      <c r="RRF11" s="60"/>
      <c r="RRG11" s="60"/>
      <c r="RRH11" s="60"/>
      <c r="RRI11" s="60"/>
      <c r="RRJ11" s="60"/>
      <c r="RRK11" s="60"/>
      <c r="RRL11" s="60"/>
      <c r="RRM11" s="60"/>
      <c r="RRN11" s="60"/>
      <c r="RRO11" s="60"/>
      <c r="RRP11" s="60"/>
      <c r="RRQ11" s="60"/>
      <c r="RRR11" s="60"/>
      <c r="RRS11" s="60"/>
      <c r="RRT11" s="60"/>
      <c r="RRU11" s="60"/>
      <c r="RRV11" s="60"/>
      <c r="RRW11" s="60"/>
      <c r="RRX11" s="60"/>
      <c r="RRY11" s="60"/>
      <c r="RRZ11" s="60"/>
      <c r="RSA11" s="60"/>
      <c r="RSB11" s="60"/>
      <c r="RSC11" s="60"/>
      <c r="RSD11" s="60"/>
      <c r="RSE11" s="60"/>
      <c r="RSF11" s="60"/>
      <c r="RSG11" s="60"/>
      <c r="RSH11" s="60"/>
      <c r="RSI11" s="60"/>
      <c r="RSJ11" s="60"/>
      <c r="RSK11" s="60"/>
      <c r="RSL11" s="60"/>
      <c r="RSM11" s="60"/>
      <c r="RSN11" s="60"/>
      <c r="RSO11" s="60"/>
      <c r="RSP11" s="60"/>
      <c r="RSQ11" s="60"/>
      <c r="RSR11" s="60"/>
      <c r="RSS11" s="60"/>
      <c r="RST11" s="60"/>
      <c r="RSU11" s="60"/>
      <c r="RSV11" s="60"/>
      <c r="RSW11" s="60"/>
      <c r="RSX11" s="60"/>
      <c r="RSY11" s="60"/>
      <c r="RSZ11" s="60"/>
      <c r="RTA11" s="60"/>
      <c r="RTB11" s="60"/>
      <c r="RTC11" s="60"/>
      <c r="RTD11" s="60"/>
      <c r="RTE11" s="60"/>
      <c r="RTF11" s="60"/>
      <c r="RTG11" s="60"/>
      <c r="RTH11" s="60"/>
      <c r="RTI11" s="60"/>
      <c r="RTJ11" s="60"/>
      <c r="RTK11" s="60"/>
      <c r="RTL11" s="60"/>
      <c r="RTM11" s="60"/>
      <c r="RTN11" s="60"/>
      <c r="RTO11" s="60"/>
      <c r="RTP11" s="60"/>
      <c r="RTQ11" s="60"/>
      <c r="RTR11" s="60"/>
      <c r="RTS11" s="60"/>
      <c r="RTT11" s="60"/>
      <c r="RTU11" s="60"/>
      <c r="RTV11" s="60"/>
      <c r="RTW11" s="60"/>
      <c r="RTX11" s="60"/>
      <c r="RTY11" s="60"/>
      <c r="RTZ11" s="60"/>
      <c r="RUA11" s="60"/>
      <c r="RUB11" s="60"/>
      <c r="RUC11" s="60"/>
      <c r="RUD11" s="60"/>
      <c r="RUE11" s="60"/>
      <c r="RUF11" s="60"/>
      <c r="RUG11" s="60"/>
      <c r="RUH11" s="60"/>
      <c r="RUI11" s="60"/>
      <c r="RUJ11" s="60"/>
      <c r="RUK11" s="60"/>
      <c r="RUL11" s="60"/>
      <c r="RUM11" s="60"/>
      <c r="RUN11" s="60"/>
      <c r="RUO11" s="60"/>
      <c r="RUP11" s="60"/>
      <c r="RUQ11" s="60"/>
      <c r="RUR11" s="60"/>
      <c r="RUS11" s="60"/>
      <c r="RUT11" s="60"/>
      <c r="RUU11" s="60"/>
      <c r="RUV11" s="60"/>
      <c r="RUW11" s="60"/>
      <c r="RUX11" s="60"/>
      <c r="RUY11" s="60"/>
      <c r="RUZ11" s="60"/>
      <c r="RVA11" s="60"/>
      <c r="RVB11" s="60"/>
      <c r="RVC11" s="60"/>
      <c r="RVD11" s="60"/>
      <c r="RVE11" s="60"/>
      <c r="RVF11" s="60"/>
      <c r="RVG11" s="60"/>
      <c r="RVH11" s="60"/>
      <c r="RVI11" s="60"/>
      <c r="RVJ11" s="60"/>
      <c r="RVK11" s="60"/>
      <c r="RVL11" s="60"/>
      <c r="RVM11" s="60"/>
      <c r="RVN11" s="60"/>
      <c r="RVO11" s="60"/>
      <c r="RVP11" s="60"/>
      <c r="RVQ11" s="60"/>
      <c r="RVR11" s="60"/>
      <c r="RVS11" s="60"/>
      <c r="RVT11" s="60"/>
      <c r="RVU11" s="60"/>
      <c r="RVV11" s="60"/>
      <c r="RVW11" s="60"/>
      <c r="RVX11" s="60"/>
      <c r="RVY11" s="60"/>
      <c r="RVZ11" s="60"/>
      <c r="RWA11" s="60"/>
      <c r="RWB11" s="60"/>
      <c r="RWC11" s="60"/>
      <c r="RWD11" s="60"/>
      <c r="RWE11" s="60"/>
      <c r="RWF11" s="60"/>
      <c r="RWG11" s="60"/>
      <c r="RWH11" s="60"/>
      <c r="RWI11" s="60"/>
      <c r="RWJ11" s="60"/>
      <c r="RWK11" s="60"/>
      <c r="RWL11" s="60"/>
      <c r="RWM11" s="60"/>
      <c r="RWN11" s="60"/>
      <c r="RWO11" s="60"/>
      <c r="RWP11" s="60"/>
      <c r="RWQ11" s="60"/>
      <c r="RWR11" s="60"/>
      <c r="RWS11" s="60"/>
      <c r="RWT11" s="60"/>
      <c r="RWU11" s="60"/>
      <c r="RWV11" s="60"/>
      <c r="RWW11" s="60"/>
      <c r="RWX11" s="60"/>
      <c r="RWY11" s="60"/>
      <c r="RWZ11" s="60"/>
      <c r="RXA11" s="60"/>
      <c r="RXB11" s="60"/>
      <c r="RXC11" s="60"/>
      <c r="RXD11" s="60"/>
      <c r="RXE11" s="60"/>
      <c r="RXF11" s="60"/>
      <c r="RXG11" s="60"/>
      <c r="RXH11" s="60"/>
      <c r="RXI11" s="60"/>
      <c r="RXJ11" s="60"/>
      <c r="RXK11" s="60"/>
      <c r="RXL11" s="60"/>
      <c r="RXM11" s="60"/>
      <c r="RXN11" s="60"/>
      <c r="RXO11" s="60"/>
      <c r="RXP11" s="60"/>
      <c r="RXQ11" s="60"/>
      <c r="RXR11" s="60"/>
      <c r="RXS11" s="60"/>
      <c r="RXT11" s="60"/>
      <c r="RXU11" s="60"/>
      <c r="RXV11" s="60"/>
      <c r="RXW11" s="60"/>
      <c r="RXX11" s="60"/>
      <c r="RXY11" s="60"/>
      <c r="RXZ11" s="60"/>
      <c r="RYA11" s="60"/>
      <c r="RYB11" s="60"/>
      <c r="RYC11" s="60"/>
      <c r="RYD11" s="60"/>
      <c r="RYE11" s="60"/>
      <c r="RYF11" s="60"/>
      <c r="RYG11" s="60"/>
      <c r="RYH11" s="60"/>
      <c r="RYI11" s="60"/>
      <c r="RYJ11" s="60"/>
      <c r="RYK11" s="60"/>
      <c r="RYL11" s="60"/>
      <c r="RYM11" s="60"/>
      <c r="RYN11" s="60"/>
      <c r="RYO11" s="60"/>
      <c r="RYP11" s="60"/>
      <c r="RYQ11" s="60"/>
      <c r="RYR11" s="60"/>
      <c r="RYS11" s="60"/>
      <c r="RYT11" s="60"/>
      <c r="RYU11" s="60"/>
      <c r="RYV11" s="60"/>
      <c r="RYW11" s="60"/>
      <c r="RYX11" s="60"/>
      <c r="RYY11" s="60"/>
      <c r="RYZ11" s="60"/>
      <c r="RZA11" s="60"/>
      <c r="RZB11" s="60"/>
      <c r="RZC11" s="60"/>
      <c r="RZD11" s="60"/>
      <c r="RZE11" s="60"/>
      <c r="RZF11" s="60"/>
      <c r="RZG11" s="60"/>
      <c r="RZH11" s="60"/>
      <c r="RZI11" s="60"/>
      <c r="RZJ11" s="60"/>
      <c r="RZK11" s="60"/>
      <c r="RZL11" s="60"/>
      <c r="RZM11" s="60"/>
      <c r="RZN11" s="60"/>
      <c r="RZO11" s="60"/>
      <c r="RZP11" s="60"/>
      <c r="RZQ11" s="60"/>
      <c r="RZR11" s="60"/>
      <c r="RZS11" s="60"/>
      <c r="RZT11" s="60"/>
      <c r="RZU11" s="60"/>
      <c r="RZV11" s="60"/>
      <c r="RZW11" s="60"/>
      <c r="RZX11" s="60"/>
      <c r="RZY11" s="60"/>
      <c r="RZZ11" s="60"/>
      <c r="SAA11" s="60"/>
      <c r="SAB11" s="60"/>
      <c r="SAC11" s="60"/>
      <c r="SAD11" s="60"/>
      <c r="SAE11" s="60"/>
      <c r="SAF11" s="60"/>
      <c r="SAG11" s="60"/>
      <c r="SAH11" s="60"/>
      <c r="SAI11" s="60"/>
      <c r="SAJ11" s="60"/>
      <c r="SAK11" s="60"/>
      <c r="SAL11" s="60"/>
      <c r="SAM11" s="60"/>
      <c r="SAN11" s="60"/>
      <c r="SAO11" s="60"/>
      <c r="SAP11" s="60"/>
      <c r="SAQ11" s="60"/>
      <c r="SAR11" s="60"/>
      <c r="SAS11" s="60"/>
      <c r="SAT11" s="60"/>
      <c r="SAU11" s="60"/>
      <c r="SAV11" s="60"/>
      <c r="SAW11" s="60"/>
      <c r="SAX11" s="60"/>
      <c r="SAY11" s="60"/>
      <c r="SAZ11" s="60"/>
      <c r="SBA11" s="60"/>
      <c r="SBB11" s="60"/>
      <c r="SBC11" s="60"/>
      <c r="SBD11" s="60"/>
      <c r="SBE11" s="60"/>
      <c r="SBF11" s="60"/>
      <c r="SBG11" s="60"/>
      <c r="SBH11" s="60"/>
      <c r="SBI11" s="60"/>
      <c r="SBJ11" s="60"/>
      <c r="SBK11" s="60"/>
      <c r="SBL11" s="60"/>
      <c r="SBM11" s="60"/>
      <c r="SBN11" s="60"/>
      <c r="SBO11" s="60"/>
      <c r="SBP11" s="60"/>
      <c r="SBQ11" s="60"/>
      <c r="SBR11" s="60"/>
      <c r="SBS11" s="60"/>
      <c r="SBT11" s="60"/>
      <c r="SBU11" s="60"/>
      <c r="SBV11" s="60"/>
      <c r="SBW11" s="60"/>
      <c r="SBX11" s="60"/>
      <c r="SBY11" s="60"/>
      <c r="SBZ11" s="60"/>
      <c r="SCA11" s="60"/>
      <c r="SCB11" s="60"/>
      <c r="SCC11" s="60"/>
      <c r="SCD11" s="60"/>
      <c r="SCE11" s="60"/>
      <c r="SCF11" s="60"/>
      <c r="SCG11" s="60"/>
      <c r="SCH11" s="60"/>
      <c r="SCI11" s="60"/>
      <c r="SCJ11" s="60"/>
      <c r="SCK11" s="60"/>
      <c r="SCL11" s="60"/>
      <c r="SCM11" s="60"/>
      <c r="SCN11" s="60"/>
      <c r="SCO11" s="60"/>
      <c r="SCP11" s="60"/>
      <c r="SCQ11" s="60"/>
      <c r="SCR11" s="60"/>
      <c r="SCS11" s="60"/>
      <c r="SCT11" s="60"/>
      <c r="SCU11" s="60"/>
      <c r="SCV11" s="60"/>
      <c r="SCW11" s="60"/>
      <c r="SCX11" s="60"/>
      <c r="SCY11" s="60"/>
      <c r="SCZ11" s="60"/>
      <c r="SDA11" s="60"/>
      <c r="SDB11" s="60"/>
      <c r="SDC11" s="60"/>
      <c r="SDD11" s="60"/>
      <c r="SDE11" s="60"/>
      <c r="SDF11" s="60"/>
      <c r="SDG11" s="60"/>
      <c r="SDH11" s="60"/>
      <c r="SDI11" s="60"/>
      <c r="SDJ11" s="60"/>
      <c r="SDK11" s="60"/>
      <c r="SDL11" s="60"/>
      <c r="SDM11" s="60"/>
      <c r="SDN11" s="60"/>
      <c r="SDO11" s="60"/>
      <c r="SDP11" s="60"/>
      <c r="SDQ11" s="60"/>
      <c r="SDR11" s="60"/>
      <c r="SDS11" s="60"/>
      <c r="SDT11" s="60"/>
      <c r="SDU11" s="60"/>
      <c r="SDV11" s="60"/>
      <c r="SDW11" s="60"/>
      <c r="SDX11" s="60"/>
      <c r="SDY11" s="60"/>
      <c r="SDZ11" s="60"/>
      <c r="SEA11" s="60"/>
      <c r="SEB11" s="60"/>
      <c r="SEC11" s="60"/>
      <c r="SED11" s="60"/>
      <c r="SEE11" s="60"/>
      <c r="SEF11" s="60"/>
      <c r="SEG11" s="60"/>
      <c r="SEH11" s="60"/>
      <c r="SEI11" s="60"/>
      <c r="SEJ11" s="60"/>
      <c r="SEK11" s="60"/>
      <c r="SEL11" s="60"/>
      <c r="SEM11" s="60"/>
      <c r="SEN11" s="60"/>
      <c r="SEO11" s="60"/>
      <c r="SEP11" s="60"/>
      <c r="SEQ11" s="60"/>
      <c r="SER11" s="60"/>
      <c r="SES11" s="60"/>
      <c r="SET11" s="60"/>
      <c r="SEU11" s="60"/>
      <c r="SEV11" s="60"/>
      <c r="SEW11" s="60"/>
      <c r="SEX11" s="60"/>
      <c r="SEY11" s="60"/>
      <c r="SEZ11" s="60"/>
      <c r="SFA11" s="60"/>
      <c r="SFB11" s="60"/>
      <c r="SFC11" s="60"/>
      <c r="SFD11" s="60"/>
      <c r="SFE11" s="60"/>
      <c r="SFF11" s="60"/>
      <c r="SFG11" s="60"/>
      <c r="SFH11" s="60"/>
      <c r="SFI11" s="60"/>
      <c r="SFJ11" s="60"/>
      <c r="SFK11" s="60"/>
      <c r="SFL11" s="60"/>
      <c r="SFM11" s="60"/>
      <c r="SFN11" s="60"/>
      <c r="SFO11" s="60"/>
      <c r="SFP11" s="60"/>
      <c r="SFQ11" s="60"/>
      <c r="SFR11" s="60"/>
      <c r="SFS11" s="60"/>
      <c r="SFT11" s="60"/>
      <c r="SFU11" s="60"/>
      <c r="SFV11" s="60"/>
      <c r="SFW11" s="60"/>
      <c r="SFX11" s="60"/>
      <c r="SFY11" s="60"/>
      <c r="SFZ11" s="60"/>
      <c r="SGA11" s="60"/>
      <c r="SGB11" s="60"/>
      <c r="SGC11" s="60"/>
      <c r="SGD11" s="60"/>
      <c r="SGE11" s="60"/>
      <c r="SGF11" s="60"/>
      <c r="SGG11" s="60"/>
      <c r="SGH11" s="60"/>
      <c r="SGI11" s="60"/>
      <c r="SGJ11" s="60"/>
      <c r="SGK11" s="60"/>
      <c r="SGL11" s="60"/>
      <c r="SGM11" s="60"/>
      <c r="SGN11" s="60"/>
      <c r="SGO11" s="60"/>
      <c r="SGP11" s="60"/>
      <c r="SGQ11" s="60"/>
      <c r="SGR11" s="60"/>
      <c r="SGS11" s="60"/>
      <c r="SGT11" s="60"/>
      <c r="SGU11" s="60"/>
      <c r="SGV11" s="60"/>
      <c r="SGW11" s="60"/>
      <c r="SGX11" s="60"/>
      <c r="SGY11" s="60"/>
      <c r="SGZ11" s="60"/>
      <c r="SHA11" s="60"/>
      <c r="SHB11" s="60"/>
      <c r="SHC11" s="60"/>
      <c r="SHD11" s="60"/>
      <c r="SHE11" s="60"/>
      <c r="SHF11" s="60"/>
      <c r="SHG11" s="60"/>
      <c r="SHH11" s="60"/>
      <c r="SHI11" s="60"/>
      <c r="SHJ11" s="60"/>
      <c r="SHK11" s="60"/>
      <c r="SHL11" s="60"/>
      <c r="SHM11" s="60"/>
      <c r="SHN11" s="60"/>
      <c r="SHO11" s="60"/>
      <c r="SHP11" s="60"/>
      <c r="SHQ11" s="60"/>
      <c r="SHR11" s="60"/>
      <c r="SHS11" s="60"/>
      <c r="SHT11" s="60"/>
      <c r="SHU11" s="60"/>
      <c r="SHV11" s="60"/>
      <c r="SHW11" s="60"/>
      <c r="SHX11" s="60"/>
      <c r="SHY11" s="60"/>
      <c r="SHZ11" s="60"/>
      <c r="SIA11" s="60"/>
      <c r="SIB11" s="60"/>
      <c r="SIC11" s="60"/>
      <c r="SID11" s="60"/>
      <c r="SIE11" s="60"/>
      <c r="SIF11" s="60"/>
      <c r="SIG11" s="60"/>
      <c r="SIH11" s="60"/>
      <c r="SII11" s="60"/>
      <c r="SIJ11" s="60"/>
      <c r="SIK11" s="60"/>
      <c r="SIL11" s="60"/>
      <c r="SIM11" s="60"/>
      <c r="SIN11" s="60"/>
      <c r="SIO11" s="60"/>
      <c r="SIP11" s="60"/>
      <c r="SIQ11" s="60"/>
      <c r="SIR11" s="60"/>
      <c r="SIS11" s="60"/>
      <c r="SIT11" s="60"/>
      <c r="SIU11" s="60"/>
      <c r="SIV11" s="60"/>
      <c r="SIW11" s="60"/>
      <c r="SIX11" s="60"/>
      <c r="SIY11" s="60"/>
      <c r="SIZ11" s="60"/>
      <c r="SJA11" s="60"/>
      <c r="SJB11" s="60"/>
      <c r="SJC11" s="60"/>
      <c r="SJD11" s="60"/>
      <c r="SJE11" s="60"/>
      <c r="SJF11" s="60"/>
      <c r="SJG11" s="60"/>
      <c r="SJH11" s="60"/>
      <c r="SJI11" s="60"/>
      <c r="SJJ11" s="60"/>
      <c r="SJK11" s="60"/>
      <c r="SJL11" s="60"/>
      <c r="SJM11" s="60"/>
      <c r="SJN11" s="60"/>
      <c r="SJO11" s="60"/>
      <c r="SJP11" s="60"/>
      <c r="SJQ11" s="60"/>
      <c r="SJR11" s="60"/>
      <c r="SJS11" s="60"/>
      <c r="SJT11" s="60"/>
      <c r="SJU11" s="60"/>
      <c r="SJV11" s="60"/>
      <c r="SJW11" s="60"/>
      <c r="SJX11" s="60"/>
      <c r="SJY11" s="60"/>
      <c r="SJZ11" s="60"/>
      <c r="SKA11" s="60"/>
      <c r="SKB11" s="60"/>
      <c r="SKC11" s="60"/>
      <c r="SKD11" s="60"/>
      <c r="SKE11" s="60"/>
      <c r="SKF11" s="60"/>
      <c r="SKG11" s="60"/>
      <c r="SKH11" s="60"/>
      <c r="SKI11" s="60"/>
      <c r="SKJ11" s="60"/>
      <c r="SKK11" s="60"/>
      <c r="SKL11" s="60"/>
      <c r="SKM11" s="60"/>
      <c r="SKN11" s="60"/>
      <c r="SKO11" s="60"/>
      <c r="SKP11" s="60"/>
      <c r="SKQ11" s="60"/>
      <c r="SKR11" s="60"/>
      <c r="SKS11" s="60"/>
      <c r="SKT11" s="60"/>
      <c r="SKU11" s="60"/>
      <c r="SKV11" s="60"/>
      <c r="SKW11" s="60"/>
      <c r="SKX11" s="60"/>
      <c r="SKY11" s="60"/>
      <c r="SKZ11" s="60"/>
      <c r="SLA11" s="60"/>
      <c r="SLB11" s="60"/>
      <c r="SLC11" s="60"/>
      <c r="SLD11" s="60"/>
      <c r="SLE11" s="60"/>
      <c r="SLF11" s="60"/>
      <c r="SLG11" s="60"/>
      <c r="SLH11" s="60"/>
      <c r="SLI11" s="60"/>
      <c r="SLJ11" s="60"/>
      <c r="SLK11" s="60"/>
      <c r="SLL11" s="60"/>
      <c r="SLM11" s="60"/>
      <c r="SLN11" s="60"/>
      <c r="SLO11" s="60"/>
      <c r="SLP11" s="60"/>
      <c r="SLQ11" s="60"/>
      <c r="SLR11" s="60"/>
      <c r="SLS11" s="60"/>
      <c r="SLT11" s="60"/>
      <c r="SLU11" s="60"/>
      <c r="SLV11" s="60"/>
      <c r="SLW11" s="60"/>
      <c r="SLX11" s="60"/>
      <c r="SLY11" s="60"/>
      <c r="SLZ11" s="60"/>
      <c r="SMA11" s="60"/>
      <c r="SMB11" s="60"/>
      <c r="SMC11" s="60"/>
      <c r="SMD11" s="60"/>
      <c r="SME11" s="60"/>
      <c r="SMF11" s="60"/>
      <c r="SMG11" s="60"/>
      <c r="SMH11" s="60"/>
      <c r="SMI11" s="60"/>
      <c r="SMJ11" s="60"/>
      <c r="SMK11" s="60"/>
      <c r="SML11" s="60"/>
      <c r="SMM11" s="60"/>
      <c r="SMN11" s="60"/>
      <c r="SMO11" s="60"/>
      <c r="SMP11" s="60"/>
      <c r="SMQ11" s="60"/>
      <c r="SMR11" s="60"/>
      <c r="SMS11" s="60"/>
      <c r="SMT11" s="60"/>
      <c r="SMU11" s="60"/>
      <c r="SMV11" s="60"/>
      <c r="SMW11" s="60"/>
      <c r="SMX11" s="60"/>
      <c r="SMY11" s="60"/>
      <c r="SMZ11" s="60"/>
      <c r="SNA11" s="60"/>
      <c r="SNB11" s="60"/>
      <c r="SNC11" s="60"/>
      <c r="SND11" s="60"/>
      <c r="SNE11" s="60"/>
      <c r="SNF11" s="60"/>
      <c r="SNG11" s="60"/>
      <c r="SNH11" s="60"/>
      <c r="SNI11" s="60"/>
      <c r="SNJ11" s="60"/>
      <c r="SNK11" s="60"/>
      <c r="SNL11" s="60"/>
      <c r="SNM11" s="60"/>
      <c r="SNN11" s="60"/>
      <c r="SNO11" s="60"/>
      <c r="SNP11" s="60"/>
      <c r="SNQ11" s="60"/>
      <c r="SNR11" s="60"/>
      <c r="SNS11" s="60"/>
      <c r="SNT11" s="60"/>
      <c r="SNU11" s="60"/>
      <c r="SNV11" s="60"/>
      <c r="SNW11" s="60"/>
      <c r="SNX11" s="60"/>
      <c r="SNY11" s="60"/>
      <c r="SNZ11" s="60"/>
      <c r="SOA11" s="60"/>
      <c r="SOB11" s="60"/>
      <c r="SOC11" s="60"/>
      <c r="SOD11" s="60"/>
      <c r="SOE11" s="60"/>
      <c r="SOF11" s="60"/>
      <c r="SOG11" s="60"/>
      <c r="SOH11" s="60"/>
      <c r="SOI11" s="60"/>
      <c r="SOJ11" s="60"/>
      <c r="SOK11" s="60"/>
      <c r="SOL11" s="60"/>
      <c r="SOM11" s="60"/>
      <c r="SON11" s="60"/>
      <c r="SOO11" s="60"/>
      <c r="SOP11" s="60"/>
      <c r="SOQ11" s="60"/>
      <c r="SOR11" s="60"/>
      <c r="SOS11" s="60"/>
      <c r="SOT11" s="60"/>
      <c r="SOU11" s="60"/>
      <c r="SOV11" s="60"/>
      <c r="SOW11" s="60"/>
      <c r="SOX11" s="60"/>
      <c r="SOY11" s="60"/>
      <c r="SOZ11" s="60"/>
      <c r="SPA11" s="60"/>
      <c r="SPB11" s="60"/>
      <c r="SPC11" s="60"/>
      <c r="SPD11" s="60"/>
      <c r="SPE11" s="60"/>
      <c r="SPF11" s="60"/>
      <c r="SPG11" s="60"/>
      <c r="SPH11" s="60"/>
      <c r="SPI11" s="60"/>
      <c r="SPJ11" s="60"/>
      <c r="SPK11" s="60"/>
      <c r="SPL11" s="60"/>
      <c r="SPM11" s="60"/>
      <c r="SPN11" s="60"/>
      <c r="SPO11" s="60"/>
      <c r="SPP11" s="60"/>
      <c r="SPQ11" s="60"/>
      <c r="SPR11" s="60"/>
      <c r="SPS11" s="60"/>
      <c r="SPT11" s="60"/>
      <c r="SPU11" s="60"/>
      <c r="SPV11" s="60"/>
      <c r="SPW11" s="60"/>
      <c r="SPX11" s="60"/>
      <c r="SPY11" s="60"/>
      <c r="SPZ11" s="60"/>
      <c r="SQA11" s="60"/>
      <c r="SQB11" s="60"/>
      <c r="SQC11" s="60"/>
      <c r="SQD11" s="60"/>
      <c r="SQE11" s="60"/>
      <c r="SQF11" s="60"/>
      <c r="SQG11" s="60"/>
      <c r="SQH11" s="60"/>
      <c r="SQI11" s="60"/>
      <c r="SQJ11" s="60"/>
      <c r="SQK11" s="60"/>
      <c r="SQL11" s="60"/>
      <c r="SQM11" s="60"/>
      <c r="SQN11" s="60"/>
      <c r="SQO11" s="60"/>
      <c r="SQP11" s="60"/>
      <c r="SQQ11" s="60"/>
      <c r="SQR11" s="60"/>
      <c r="SQS11" s="60"/>
      <c r="SQT11" s="60"/>
      <c r="SQU11" s="60"/>
      <c r="SQV11" s="60"/>
      <c r="SQW11" s="60"/>
      <c r="SQX11" s="60"/>
      <c r="SQY11" s="60"/>
      <c r="SQZ11" s="60"/>
      <c r="SRA11" s="60"/>
      <c r="SRB11" s="60"/>
      <c r="SRC11" s="60"/>
      <c r="SRD11" s="60"/>
      <c r="SRE11" s="60"/>
      <c r="SRF11" s="60"/>
      <c r="SRG11" s="60"/>
      <c r="SRH11" s="60"/>
      <c r="SRI11" s="60"/>
      <c r="SRJ11" s="60"/>
      <c r="SRK11" s="60"/>
      <c r="SRL11" s="60"/>
      <c r="SRM11" s="60"/>
      <c r="SRN11" s="60"/>
      <c r="SRO11" s="60"/>
      <c r="SRP11" s="60"/>
      <c r="SRQ11" s="60"/>
      <c r="SRR11" s="60"/>
      <c r="SRS11" s="60"/>
      <c r="SRT11" s="60"/>
      <c r="SRU11" s="60"/>
      <c r="SRV11" s="60"/>
      <c r="SRW11" s="60"/>
      <c r="SRX11" s="60"/>
      <c r="SRY11" s="60"/>
      <c r="SRZ11" s="60"/>
      <c r="SSA11" s="60"/>
      <c r="SSB11" s="60"/>
      <c r="SSC11" s="60"/>
      <c r="SSD11" s="60"/>
      <c r="SSE11" s="60"/>
      <c r="SSF11" s="60"/>
      <c r="SSG11" s="60"/>
      <c r="SSH11" s="60"/>
      <c r="SSI11" s="60"/>
      <c r="SSJ11" s="60"/>
      <c r="SSK11" s="60"/>
      <c r="SSL11" s="60"/>
      <c r="SSM11" s="60"/>
      <c r="SSN11" s="60"/>
      <c r="SSO11" s="60"/>
      <c r="SSP11" s="60"/>
      <c r="SSQ11" s="60"/>
      <c r="SSR11" s="60"/>
      <c r="SSS11" s="60"/>
      <c r="SST11" s="60"/>
      <c r="SSU11" s="60"/>
      <c r="SSV11" s="60"/>
      <c r="SSW11" s="60"/>
      <c r="SSX11" s="60"/>
      <c r="SSY11" s="60"/>
      <c r="SSZ11" s="60"/>
      <c r="STA11" s="60"/>
      <c r="STB11" s="60"/>
      <c r="STC11" s="60"/>
      <c r="STD11" s="60"/>
      <c r="STE11" s="60"/>
      <c r="STF11" s="60"/>
      <c r="STG11" s="60"/>
      <c r="STH11" s="60"/>
      <c r="STI11" s="60"/>
      <c r="STJ11" s="60"/>
      <c r="STK11" s="60"/>
      <c r="STL11" s="60"/>
      <c r="STM11" s="60"/>
      <c r="STN11" s="60"/>
      <c r="STO11" s="60"/>
      <c r="STP11" s="60"/>
      <c r="STQ11" s="60"/>
      <c r="STR11" s="60"/>
      <c r="STS11" s="60"/>
      <c r="STT11" s="60"/>
      <c r="STU11" s="60"/>
      <c r="STV11" s="60"/>
      <c r="STW11" s="60"/>
      <c r="STX11" s="60"/>
      <c r="STY11" s="60"/>
      <c r="STZ11" s="60"/>
      <c r="SUA11" s="60"/>
      <c r="SUB11" s="60"/>
      <c r="SUC11" s="60"/>
      <c r="SUD11" s="60"/>
      <c r="SUE11" s="60"/>
      <c r="SUF11" s="60"/>
      <c r="SUG11" s="60"/>
      <c r="SUH11" s="60"/>
      <c r="SUI11" s="60"/>
      <c r="SUJ11" s="60"/>
      <c r="SUK11" s="60"/>
      <c r="SUL11" s="60"/>
      <c r="SUM11" s="60"/>
      <c r="SUN11" s="60"/>
      <c r="SUO11" s="60"/>
      <c r="SUP11" s="60"/>
      <c r="SUQ11" s="60"/>
      <c r="SUR11" s="60"/>
      <c r="SUS11" s="60"/>
      <c r="SUT11" s="60"/>
      <c r="SUU11" s="60"/>
      <c r="SUV11" s="60"/>
      <c r="SUW11" s="60"/>
      <c r="SUX11" s="60"/>
      <c r="SUY11" s="60"/>
      <c r="SUZ11" s="60"/>
      <c r="SVA11" s="60"/>
      <c r="SVB11" s="60"/>
      <c r="SVC11" s="60"/>
      <c r="SVD11" s="60"/>
      <c r="SVE11" s="60"/>
      <c r="SVF11" s="60"/>
      <c r="SVG11" s="60"/>
      <c r="SVH11" s="60"/>
      <c r="SVI11" s="60"/>
      <c r="SVJ11" s="60"/>
      <c r="SVK11" s="60"/>
      <c r="SVL11" s="60"/>
      <c r="SVM11" s="60"/>
      <c r="SVN11" s="60"/>
      <c r="SVO11" s="60"/>
      <c r="SVP11" s="60"/>
      <c r="SVQ11" s="60"/>
      <c r="SVR11" s="60"/>
      <c r="SVS11" s="60"/>
      <c r="SVT11" s="60"/>
      <c r="SVU11" s="60"/>
      <c r="SVV11" s="60"/>
      <c r="SVW11" s="60"/>
      <c r="SVX11" s="60"/>
      <c r="SVY11" s="60"/>
      <c r="SVZ11" s="60"/>
      <c r="SWA11" s="60"/>
      <c r="SWB11" s="60"/>
      <c r="SWC11" s="60"/>
      <c r="SWD11" s="60"/>
      <c r="SWE11" s="60"/>
      <c r="SWF11" s="60"/>
      <c r="SWG11" s="60"/>
      <c r="SWH11" s="60"/>
      <c r="SWI11" s="60"/>
      <c r="SWJ11" s="60"/>
      <c r="SWK11" s="60"/>
      <c r="SWL11" s="60"/>
      <c r="SWM11" s="60"/>
      <c r="SWN11" s="60"/>
      <c r="SWO11" s="60"/>
      <c r="SWP11" s="60"/>
      <c r="SWQ11" s="60"/>
      <c r="SWR11" s="60"/>
      <c r="SWS11" s="60"/>
      <c r="SWT11" s="60"/>
      <c r="SWU11" s="60"/>
      <c r="SWV11" s="60"/>
      <c r="SWW11" s="60"/>
      <c r="SWX11" s="60"/>
      <c r="SWY11" s="60"/>
      <c r="SWZ11" s="60"/>
      <c r="SXA11" s="60"/>
      <c r="SXB11" s="60"/>
      <c r="SXC11" s="60"/>
      <c r="SXD11" s="60"/>
      <c r="SXE11" s="60"/>
      <c r="SXF11" s="60"/>
      <c r="SXG11" s="60"/>
      <c r="SXH11" s="60"/>
      <c r="SXI11" s="60"/>
      <c r="SXJ11" s="60"/>
      <c r="SXK11" s="60"/>
      <c r="SXL11" s="60"/>
      <c r="SXM11" s="60"/>
      <c r="SXN11" s="60"/>
      <c r="SXO11" s="60"/>
      <c r="SXP11" s="60"/>
      <c r="SXQ11" s="60"/>
      <c r="SXR11" s="60"/>
      <c r="SXS11" s="60"/>
      <c r="SXT11" s="60"/>
      <c r="SXU11" s="60"/>
      <c r="SXV11" s="60"/>
      <c r="SXW11" s="60"/>
      <c r="SXX11" s="60"/>
      <c r="SXY11" s="60"/>
      <c r="SXZ11" s="60"/>
      <c r="SYA11" s="60"/>
      <c r="SYB11" s="60"/>
      <c r="SYC11" s="60"/>
      <c r="SYD11" s="60"/>
      <c r="SYE11" s="60"/>
      <c r="SYF11" s="60"/>
      <c r="SYG11" s="60"/>
      <c r="SYH11" s="60"/>
      <c r="SYI11" s="60"/>
      <c r="SYJ11" s="60"/>
      <c r="SYK11" s="60"/>
      <c r="SYL11" s="60"/>
      <c r="SYM11" s="60"/>
      <c r="SYN11" s="60"/>
      <c r="SYO11" s="60"/>
      <c r="SYP11" s="60"/>
      <c r="SYQ11" s="60"/>
      <c r="SYR11" s="60"/>
      <c r="SYS11" s="60"/>
      <c r="SYT11" s="60"/>
      <c r="SYU11" s="60"/>
      <c r="SYV11" s="60"/>
      <c r="SYW11" s="60"/>
      <c r="SYX11" s="60"/>
      <c r="SYY11" s="60"/>
      <c r="SYZ11" s="60"/>
      <c r="SZA11" s="60"/>
      <c r="SZB11" s="60"/>
      <c r="SZC11" s="60"/>
      <c r="SZD11" s="60"/>
      <c r="SZE11" s="60"/>
      <c r="SZF11" s="60"/>
      <c r="SZG11" s="60"/>
      <c r="SZH11" s="60"/>
      <c r="SZI11" s="60"/>
      <c r="SZJ11" s="60"/>
      <c r="SZK11" s="60"/>
      <c r="SZL11" s="60"/>
      <c r="SZM11" s="60"/>
      <c r="SZN11" s="60"/>
      <c r="SZO11" s="60"/>
      <c r="SZP11" s="60"/>
      <c r="SZQ11" s="60"/>
      <c r="SZR11" s="60"/>
      <c r="SZS11" s="60"/>
      <c r="SZT11" s="60"/>
      <c r="SZU11" s="60"/>
      <c r="SZV11" s="60"/>
      <c r="SZW11" s="60"/>
      <c r="SZX11" s="60"/>
      <c r="SZY11" s="60"/>
      <c r="SZZ11" s="60"/>
      <c r="TAA11" s="60"/>
      <c r="TAB11" s="60"/>
      <c r="TAC11" s="60"/>
      <c r="TAD11" s="60"/>
      <c r="TAE11" s="60"/>
      <c r="TAF11" s="60"/>
      <c r="TAG11" s="60"/>
      <c r="TAH11" s="60"/>
      <c r="TAI11" s="60"/>
      <c r="TAJ11" s="60"/>
      <c r="TAK11" s="60"/>
      <c r="TAL11" s="60"/>
      <c r="TAM11" s="60"/>
      <c r="TAN11" s="60"/>
      <c r="TAO11" s="60"/>
      <c r="TAP11" s="60"/>
      <c r="TAQ11" s="60"/>
      <c r="TAR11" s="60"/>
      <c r="TAS11" s="60"/>
      <c r="TAT11" s="60"/>
      <c r="TAU11" s="60"/>
      <c r="TAV11" s="60"/>
      <c r="TAW11" s="60"/>
      <c r="TAX11" s="60"/>
      <c r="TAY11" s="60"/>
      <c r="TAZ11" s="60"/>
      <c r="TBA11" s="60"/>
      <c r="TBB11" s="60"/>
      <c r="TBC11" s="60"/>
      <c r="TBD11" s="60"/>
      <c r="TBE11" s="60"/>
      <c r="TBF11" s="60"/>
      <c r="TBG11" s="60"/>
      <c r="TBH11" s="60"/>
      <c r="TBI11" s="60"/>
      <c r="TBJ11" s="60"/>
      <c r="TBK11" s="60"/>
      <c r="TBL11" s="60"/>
      <c r="TBM11" s="60"/>
      <c r="TBN11" s="60"/>
      <c r="TBO11" s="60"/>
      <c r="TBP11" s="60"/>
      <c r="TBQ11" s="60"/>
      <c r="TBR11" s="60"/>
      <c r="TBS11" s="60"/>
      <c r="TBT11" s="60"/>
      <c r="TBU11" s="60"/>
      <c r="TBV11" s="60"/>
      <c r="TBW11" s="60"/>
      <c r="TBX11" s="60"/>
      <c r="TBY11" s="60"/>
      <c r="TBZ11" s="60"/>
      <c r="TCA11" s="60"/>
      <c r="TCB11" s="60"/>
      <c r="TCC11" s="60"/>
      <c r="TCD11" s="60"/>
      <c r="TCE11" s="60"/>
      <c r="TCF11" s="60"/>
      <c r="TCG11" s="60"/>
      <c r="TCH11" s="60"/>
      <c r="TCI11" s="60"/>
      <c r="TCJ11" s="60"/>
      <c r="TCK11" s="60"/>
      <c r="TCL11" s="60"/>
      <c r="TCM11" s="60"/>
      <c r="TCN11" s="60"/>
      <c r="TCO11" s="60"/>
      <c r="TCP11" s="60"/>
      <c r="TCQ11" s="60"/>
      <c r="TCR11" s="60"/>
      <c r="TCS11" s="60"/>
      <c r="TCT11" s="60"/>
      <c r="TCU11" s="60"/>
      <c r="TCV11" s="60"/>
      <c r="TCW11" s="60"/>
      <c r="TCX11" s="60"/>
      <c r="TCY11" s="60"/>
      <c r="TCZ11" s="60"/>
      <c r="TDA11" s="60"/>
      <c r="TDB11" s="60"/>
      <c r="TDC11" s="60"/>
      <c r="TDD11" s="60"/>
      <c r="TDE11" s="60"/>
      <c r="TDF11" s="60"/>
      <c r="TDG11" s="60"/>
      <c r="TDH11" s="60"/>
      <c r="TDI11" s="60"/>
      <c r="TDJ11" s="60"/>
      <c r="TDK11" s="60"/>
      <c r="TDL11" s="60"/>
      <c r="TDM11" s="60"/>
      <c r="TDN11" s="60"/>
      <c r="TDO11" s="60"/>
      <c r="TDP11" s="60"/>
      <c r="TDQ11" s="60"/>
      <c r="TDR11" s="60"/>
      <c r="TDS11" s="60"/>
      <c r="TDT11" s="60"/>
      <c r="TDU11" s="60"/>
      <c r="TDV11" s="60"/>
      <c r="TDW11" s="60"/>
      <c r="TDX11" s="60"/>
      <c r="TDY11" s="60"/>
      <c r="TDZ11" s="60"/>
      <c r="TEA11" s="60"/>
      <c r="TEB11" s="60"/>
      <c r="TEC11" s="60"/>
      <c r="TED11" s="60"/>
      <c r="TEE11" s="60"/>
      <c r="TEF11" s="60"/>
      <c r="TEG11" s="60"/>
      <c r="TEH11" s="60"/>
      <c r="TEI11" s="60"/>
      <c r="TEJ11" s="60"/>
      <c r="TEK11" s="60"/>
      <c r="TEL11" s="60"/>
      <c r="TEM11" s="60"/>
      <c r="TEN11" s="60"/>
      <c r="TEO11" s="60"/>
      <c r="TEP11" s="60"/>
      <c r="TEQ11" s="60"/>
      <c r="TER11" s="60"/>
      <c r="TES11" s="60"/>
      <c r="TET11" s="60"/>
      <c r="TEU11" s="60"/>
      <c r="TEV11" s="60"/>
      <c r="TEW11" s="60"/>
      <c r="TEX11" s="60"/>
      <c r="TEY11" s="60"/>
      <c r="TEZ11" s="60"/>
      <c r="TFA11" s="60"/>
      <c r="TFB11" s="60"/>
      <c r="TFC11" s="60"/>
      <c r="TFD11" s="60"/>
      <c r="TFE11" s="60"/>
      <c r="TFF11" s="60"/>
      <c r="TFG11" s="60"/>
      <c r="TFH11" s="60"/>
      <c r="TFI11" s="60"/>
      <c r="TFJ11" s="60"/>
      <c r="TFK11" s="60"/>
      <c r="TFL11" s="60"/>
      <c r="TFM11" s="60"/>
      <c r="TFN11" s="60"/>
      <c r="TFO11" s="60"/>
      <c r="TFP11" s="60"/>
      <c r="TFQ11" s="60"/>
      <c r="TFR11" s="60"/>
      <c r="TFS11" s="60"/>
      <c r="TFT11" s="60"/>
      <c r="TFU11" s="60"/>
      <c r="TFV11" s="60"/>
      <c r="TFW11" s="60"/>
      <c r="TFX11" s="60"/>
      <c r="TFY11" s="60"/>
      <c r="TFZ11" s="60"/>
      <c r="TGA11" s="60"/>
      <c r="TGB11" s="60"/>
      <c r="TGC11" s="60"/>
      <c r="TGD11" s="60"/>
      <c r="TGE11" s="60"/>
      <c r="TGF11" s="60"/>
      <c r="TGG11" s="60"/>
      <c r="TGH11" s="60"/>
      <c r="TGI11" s="60"/>
      <c r="TGJ11" s="60"/>
      <c r="TGK11" s="60"/>
      <c r="TGL11" s="60"/>
      <c r="TGM11" s="60"/>
      <c r="TGN11" s="60"/>
      <c r="TGO11" s="60"/>
      <c r="TGP11" s="60"/>
      <c r="TGQ11" s="60"/>
      <c r="TGR11" s="60"/>
      <c r="TGS11" s="60"/>
      <c r="TGT11" s="60"/>
      <c r="TGU11" s="60"/>
      <c r="TGV11" s="60"/>
      <c r="TGW11" s="60"/>
      <c r="TGX11" s="60"/>
      <c r="TGY11" s="60"/>
      <c r="TGZ11" s="60"/>
      <c r="THA11" s="60"/>
      <c r="THB11" s="60"/>
      <c r="THC11" s="60"/>
      <c r="THD11" s="60"/>
      <c r="THE11" s="60"/>
      <c r="THF11" s="60"/>
      <c r="THG11" s="60"/>
      <c r="THH11" s="60"/>
      <c r="THI11" s="60"/>
      <c r="THJ11" s="60"/>
      <c r="THK11" s="60"/>
      <c r="THL11" s="60"/>
      <c r="THM11" s="60"/>
      <c r="THN11" s="60"/>
      <c r="THO11" s="60"/>
      <c r="THP11" s="60"/>
      <c r="THQ11" s="60"/>
      <c r="THR11" s="60"/>
      <c r="THS11" s="60"/>
      <c r="THT11" s="60"/>
      <c r="THU11" s="60"/>
      <c r="THV11" s="60"/>
      <c r="THW11" s="60"/>
      <c r="THX11" s="60"/>
      <c r="THY11" s="60"/>
      <c r="THZ11" s="60"/>
      <c r="TIA11" s="60"/>
      <c r="TIB11" s="60"/>
      <c r="TIC11" s="60"/>
      <c r="TID11" s="60"/>
      <c r="TIE11" s="60"/>
      <c r="TIF11" s="60"/>
      <c r="TIG11" s="60"/>
      <c r="TIH11" s="60"/>
      <c r="TII11" s="60"/>
      <c r="TIJ11" s="60"/>
      <c r="TIK11" s="60"/>
      <c r="TIL11" s="60"/>
      <c r="TIM11" s="60"/>
      <c r="TIN11" s="60"/>
      <c r="TIO11" s="60"/>
      <c r="TIP11" s="60"/>
      <c r="TIQ11" s="60"/>
      <c r="TIR11" s="60"/>
      <c r="TIS11" s="60"/>
      <c r="TIT11" s="60"/>
      <c r="TIU11" s="60"/>
      <c r="TIV11" s="60"/>
      <c r="TIW11" s="60"/>
      <c r="TIX11" s="60"/>
      <c r="TIY11" s="60"/>
      <c r="TIZ11" s="60"/>
      <c r="TJA11" s="60"/>
      <c r="TJB11" s="60"/>
      <c r="TJC11" s="60"/>
      <c r="TJD11" s="60"/>
      <c r="TJE11" s="60"/>
      <c r="TJF11" s="60"/>
      <c r="TJG11" s="60"/>
      <c r="TJH11" s="60"/>
      <c r="TJI11" s="60"/>
      <c r="TJJ11" s="60"/>
      <c r="TJK11" s="60"/>
      <c r="TJL11" s="60"/>
      <c r="TJM11" s="60"/>
      <c r="TJN11" s="60"/>
      <c r="TJO11" s="60"/>
      <c r="TJP11" s="60"/>
      <c r="TJQ11" s="60"/>
      <c r="TJR11" s="60"/>
      <c r="TJS11" s="60"/>
      <c r="TJT11" s="60"/>
      <c r="TJU11" s="60"/>
      <c r="TJV11" s="60"/>
      <c r="TJW11" s="60"/>
      <c r="TJX11" s="60"/>
      <c r="TJY11" s="60"/>
      <c r="TJZ11" s="60"/>
      <c r="TKA11" s="60"/>
      <c r="TKB11" s="60"/>
      <c r="TKC11" s="60"/>
      <c r="TKD11" s="60"/>
      <c r="TKE11" s="60"/>
      <c r="TKF11" s="60"/>
      <c r="TKG11" s="60"/>
      <c r="TKH11" s="60"/>
      <c r="TKI11" s="60"/>
      <c r="TKJ11" s="60"/>
      <c r="TKK11" s="60"/>
      <c r="TKL11" s="60"/>
      <c r="TKM11" s="60"/>
      <c r="TKN11" s="60"/>
      <c r="TKO11" s="60"/>
      <c r="TKP11" s="60"/>
      <c r="TKQ11" s="60"/>
      <c r="TKR11" s="60"/>
      <c r="TKS11" s="60"/>
      <c r="TKT11" s="60"/>
      <c r="TKU11" s="60"/>
      <c r="TKV11" s="60"/>
      <c r="TKW11" s="60"/>
      <c r="TKX11" s="60"/>
      <c r="TKY11" s="60"/>
      <c r="TKZ11" s="60"/>
      <c r="TLA11" s="60"/>
      <c r="TLB11" s="60"/>
      <c r="TLC11" s="60"/>
      <c r="TLD11" s="60"/>
      <c r="TLE11" s="60"/>
      <c r="TLF11" s="60"/>
      <c r="TLG11" s="60"/>
      <c r="TLH11" s="60"/>
      <c r="TLI11" s="60"/>
      <c r="TLJ11" s="60"/>
      <c r="TLK11" s="60"/>
      <c r="TLL11" s="60"/>
      <c r="TLM11" s="60"/>
      <c r="TLN11" s="60"/>
      <c r="TLO11" s="60"/>
      <c r="TLP11" s="60"/>
      <c r="TLQ11" s="60"/>
      <c r="TLR11" s="60"/>
      <c r="TLS11" s="60"/>
      <c r="TLT11" s="60"/>
      <c r="TLU11" s="60"/>
      <c r="TLV11" s="60"/>
      <c r="TLW11" s="60"/>
      <c r="TLX11" s="60"/>
      <c r="TLY11" s="60"/>
      <c r="TLZ11" s="60"/>
      <c r="TMA11" s="60"/>
      <c r="TMB11" s="60"/>
      <c r="TMC11" s="60"/>
      <c r="TMD11" s="60"/>
      <c r="TME11" s="60"/>
      <c r="TMF11" s="60"/>
      <c r="TMG11" s="60"/>
      <c r="TMH11" s="60"/>
      <c r="TMI11" s="60"/>
      <c r="TMJ11" s="60"/>
      <c r="TMK11" s="60"/>
      <c r="TML11" s="60"/>
      <c r="TMM11" s="60"/>
      <c r="TMN11" s="60"/>
      <c r="TMO11" s="60"/>
      <c r="TMP11" s="60"/>
      <c r="TMQ11" s="60"/>
      <c r="TMR11" s="60"/>
      <c r="TMS11" s="60"/>
      <c r="TMT11" s="60"/>
      <c r="TMU11" s="60"/>
      <c r="TMV11" s="60"/>
      <c r="TMW11" s="60"/>
      <c r="TMX11" s="60"/>
      <c r="TMY11" s="60"/>
      <c r="TMZ11" s="60"/>
      <c r="TNA11" s="60"/>
      <c r="TNB11" s="60"/>
      <c r="TNC11" s="60"/>
      <c r="TND11" s="60"/>
      <c r="TNE11" s="60"/>
      <c r="TNF11" s="60"/>
      <c r="TNG11" s="60"/>
      <c r="TNH11" s="60"/>
      <c r="TNI11" s="60"/>
      <c r="TNJ11" s="60"/>
      <c r="TNK11" s="60"/>
      <c r="TNL11" s="60"/>
      <c r="TNM11" s="60"/>
      <c r="TNN11" s="60"/>
      <c r="TNO11" s="60"/>
      <c r="TNP11" s="60"/>
      <c r="TNQ11" s="60"/>
      <c r="TNR11" s="60"/>
      <c r="TNS11" s="60"/>
      <c r="TNT11" s="60"/>
      <c r="TNU11" s="60"/>
      <c r="TNV11" s="60"/>
      <c r="TNW11" s="60"/>
      <c r="TNX11" s="60"/>
      <c r="TNY11" s="60"/>
      <c r="TNZ11" s="60"/>
      <c r="TOA11" s="60"/>
      <c r="TOB11" s="60"/>
      <c r="TOC11" s="60"/>
      <c r="TOD11" s="60"/>
      <c r="TOE11" s="60"/>
      <c r="TOF11" s="60"/>
      <c r="TOG11" s="60"/>
      <c r="TOH11" s="60"/>
      <c r="TOI11" s="60"/>
      <c r="TOJ11" s="60"/>
      <c r="TOK11" s="60"/>
      <c r="TOL11" s="60"/>
      <c r="TOM11" s="60"/>
      <c r="TON11" s="60"/>
      <c r="TOO11" s="60"/>
      <c r="TOP11" s="60"/>
      <c r="TOQ11" s="60"/>
      <c r="TOR11" s="60"/>
      <c r="TOS11" s="60"/>
      <c r="TOT11" s="60"/>
      <c r="TOU11" s="60"/>
      <c r="TOV11" s="60"/>
      <c r="TOW11" s="60"/>
      <c r="TOX11" s="60"/>
      <c r="TOY11" s="60"/>
      <c r="TOZ11" s="60"/>
      <c r="TPA11" s="60"/>
      <c r="TPB11" s="60"/>
      <c r="TPC11" s="60"/>
      <c r="TPD11" s="60"/>
      <c r="TPE11" s="60"/>
      <c r="TPF11" s="60"/>
      <c r="TPG11" s="60"/>
      <c r="TPH11" s="60"/>
      <c r="TPI11" s="60"/>
      <c r="TPJ11" s="60"/>
      <c r="TPK11" s="60"/>
      <c r="TPL11" s="60"/>
      <c r="TPM11" s="60"/>
      <c r="TPN11" s="60"/>
      <c r="TPO11" s="60"/>
      <c r="TPP11" s="60"/>
      <c r="TPQ11" s="60"/>
      <c r="TPR11" s="60"/>
      <c r="TPS11" s="60"/>
      <c r="TPT11" s="60"/>
      <c r="TPU11" s="60"/>
      <c r="TPV11" s="60"/>
      <c r="TPW11" s="60"/>
      <c r="TPX11" s="60"/>
      <c r="TPY11" s="60"/>
      <c r="TPZ11" s="60"/>
      <c r="TQA11" s="60"/>
      <c r="TQB11" s="60"/>
      <c r="TQC11" s="60"/>
      <c r="TQD11" s="60"/>
      <c r="TQE11" s="60"/>
      <c r="TQF11" s="60"/>
      <c r="TQG11" s="60"/>
      <c r="TQH11" s="60"/>
      <c r="TQI11" s="60"/>
      <c r="TQJ11" s="60"/>
      <c r="TQK11" s="60"/>
      <c r="TQL11" s="60"/>
      <c r="TQM11" s="60"/>
      <c r="TQN11" s="60"/>
      <c r="TQO11" s="60"/>
      <c r="TQP11" s="60"/>
      <c r="TQQ11" s="60"/>
      <c r="TQR11" s="60"/>
      <c r="TQS11" s="60"/>
      <c r="TQT11" s="60"/>
      <c r="TQU11" s="60"/>
      <c r="TQV11" s="60"/>
      <c r="TQW11" s="60"/>
      <c r="TQX11" s="60"/>
      <c r="TQY11" s="60"/>
      <c r="TQZ11" s="60"/>
      <c r="TRA11" s="60"/>
      <c r="TRB11" s="60"/>
      <c r="TRC11" s="60"/>
      <c r="TRD11" s="60"/>
      <c r="TRE11" s="60"/>
      <c r="TRF11" s="60"/>
      <c r="TRG11" s="60"/>
      <c r="TRH11" s="60"/>
      <c r="TRI11" s="60"/>
      <c r="TRJ11" s="60"/>
      <c r="TRK11" s="60"/>
      <c r="TRL11" s="60"/>
      <c r="TRM11" s="60"/>
      <c r="TRN11" s="60"/>
      <c r="TRO11" s="60"/>
      <c r="TRP11" s="60"/>
      <c r="TRQ11" s="60"/>
      <c r="TRR11" s="60"/>
      <c r="TRS11" s="60"/>
      <c r="TRT11" s="60"/>
      <c r="TRU11" s="60"/>
      <c r="TRV11" s="60"/>
      <c r="TRW11" s="60"/>
      <c r="TRX11" s="60"/>
      <c r="TRY11" s="60"/>
      <c r="TRZ11" s="60"/>
      <c r="TSA11" s="60"/>
      <c r="TSB11" s="60"/>
      <c r="TSC11" s="60"/>
      <c r="TSD11" s="60"/>
      <c r="TSE11" s="60"/>
      <c r="TSF11" s="60"/>
      <c r="TSG11" s="60"/>
      <c r="TSH11" s="60"/>
      <c r="TSI11" s="60"/>
      <c r="TSJ11" s="60"/>
      <c r="TSK11" s="60"/>
      <c r="TSL11" s="60"/>
      <c r="TSM11" s="60"/>
      <c r="TSN11" s="60"/>
      <c r="TSO11" s="60"/>
      <c r="TSP11" s="60"/>
      <c r="TSQ11" s="60"/>
      <c r="TSR11" s="60"/>
      <c r="TSS11" s="60"/>
      <c r="TST11" s="60"/>
      <c r="TSU11" s="60"/>
      <c r="TSV11" s="60"/>
      <c r="TSW11" s="60"/>
      <c r="TSX11" s="60"/>
      <c r="TSY11" s="60"/>
      <c r="TSZ11" s="60"/>
      <c r="TTA11" s="60"/>
      <c r="TTB11" s="60"/>
      <c r="TTC11" s="60"/>
      <c r="TTD11" s="60"/>
      <c r="TTE11" s="60"/>
      <c r="TTF11" s="60"/>
      <c r="TTG11" s="60"/>
      <c r="TTH11" s="60"/>
      <c r="TTI11" s="60"/>
      <c r="TTJ11" s="60"/>
      <c r="TTK11" s="60"/>
      <c r="TTL11" s="60"/>
      <c r="TTM11" s="60"/>
      <c r="TTN11" s="60"/>
      <c r="TTO11" s="60"/>
      <c r="TTP11" s="60"/>
      <c r="TTQ11" s="60"/>
      <c r="TTR11" s="60"/>
      <c r="TTS11" s="60"/>
      <c r="TTT11" s="60"/>
      <c r="TTU11" s="60"/>
      <c r="TTV11" s="60"/>
      <c r="TTW11" s="60"/>
      <c r="TTX11" s="60"/>
      <c r="TTY11" s="60"/>
      <c r="TTZ11" s="60"/>
      <c r="TUA11" s="60"/>
      <c r="TUB11" s="60"/>
      <c r="TUC11" s="60"/>
      <c r="TUD11" s="60"/>
      <c r="TUE11" s="60"/>
      <c r="TUF11" s="60"/>
      <c r="TUG11" s="60"/>
      <c r="TUH11" s="60"/>
      <c r="TUI11" s="60"/>
      <c r="TUJ11" s="60"/>
      <c r="TUK11" s="60"/>
      <c r="TUL11" s="60"/>
      <c r="TUM11" s="60"/>
      <c r="TUN11" s="60"/>
      <c r="TUO11" s="60"/>
      <c r="TUP11" s="60"/>
      <c r="TUQ11" s="60"/>
      <c r="TUR11" s="60"/>
      <c r="TUS11" s="60"/>
      <c r="TUT11" s="60"/>
      <c r="TUU11" s="60"/>
      <c r="TUV11" s="60"/>
      <c r="TUW11" s="60"/>
      <c r="TUX11" s="60"/>
      <c r="TUY11" s="60"/>
      <c r="TUZ11" s="60"/>
      <c r="TVA11" s="60"/>
      <c r="TVB11" s="60"/>
      <c r="TVC11" s="60"/>
      <c r="TVD11" s="60"/>
      <c r="TVE11" s="60"/>
      <c r="TVF11" s="60"/>
      <c r="TVG11" s="60"/>
      <c r="TVH11" s="60"/>
      <c r="TVI11" s="60"/>
      <c r="TVJ11" s="60"/>
      <c r="TVK11" s="60"/>
      <c r="TVL11" s="60"/>
      <c r="TVM11" s="60"/>
      <c r="TVN11" s="60"/>
      <c r="TVO11" s="60"/>
      <c r="TVP11" s="60"/>
      <c r="TVQ11" s="60"/>
      <c r="TVR11" s="60"/>
      <c r="TVS11" s="60"/>
      <c r="TVT11" s="60"/>
      <c r="TVU11" s="60"/>
      <c r="TVV11" s="60"/>
      <c r="TVW11" s="60"/>
      <c r="TVX11" s="60"/>
      <c r="TVY11" s="60"/>
      <c r="TVZ11" s="60"/>
      <c r="TWA11" s="60"/>
      <c r="TWB11" s="60"/>
      <c r="TWC11" s="60"/>
      <c r="TWD11" s="60"/>
      <c r="TWE11" s="60"/>
      <c r="TWF11" s="60"/>
      <c r="TWG11" s="60"/>
      <c r="TWH11" s="60"/>
      <c r="TWI11" s="60"/>
      <c r="TWJ11" s="60"/>
      <c r="TWK11" s="60"/>
      <c r="TWL11" s="60"/>
      <c r="TWM11" s="60"/>
      <c r="TWN11" s="60"/>
      <c r="TWO11" s="60"/>
      <c r="TWP11" s="60"/>
      <c r="TWQ11" s="60"/>
      <c r="TWR11" s="60"/>
      <c r="TWS11" s="60"/>
      <c r="TWT11" s="60"/>
      <c r="TWU11" s="60"/>
      <c r="TWV11" s="60"/>
      <c r="TWW11" s="60"/>
      <c r="TWX11" s="60"/>
      <c r="TWY11" s="60"/>
      <c r="TWZ11" s="60"/>
      <c r="TXA11" s="60"/>
      <c r="TXB11" s="60"/>
      <c r="TXC11" s="60"/>
      <c r="TXD11" s="60"/>
      <c r="TXE11" s="60"/>
      <c r="TXF11" s="60"/>
      <c r="TXG11" s="60"/>
      <c r="TXH11" s="60"/>
      <c r="TXI11" s="60"/>
      <c r="TXJ11" s="60"/>
      <c r="TXK11" s="60"/>
      <c r="TXL11" s="60"/>
      <c r="TXM11" s="60"/>
      <c r="TXN11" s="60"/>
      <c r="TXO11" s="60"/>
      <c r="TXP11" s="60"/>
      <c r="TXQ11" s="60"/>
      <c r="TXR11" s="60"/>
      <c r="TXS11" s="60"/>
      <c r="TXT11" s="60"/>
      <c r="TXU11" s="60"/>
      <c r="TXV11" s="60"/>
      <c r="TXW11" s="60"/>
      <c r="TXX11" s="60"/>
      <c r="TXY11" s="60"/>
      <c r="TXZ11" s="60"/>
      <c r="TYA11" s="60"/>
      <c r="TYB11" s="60"/>
      <c r="TYC11" s="60"/>
      <c r="TYD11" s="60"/>
      <c r="TYE11" s="60"/>
      <c r="TYF11" s="60"/>
      <c r="TYG11" s="60"/>
      <c r="TYH11" s="60"/>
      <c r="TYI11" s="60"/>
      <c r="TYJ11" s="60"/>
      <c r="TYK11" s="60"/>
      <c r="TYL11" s="60"/>
      <c r="TYM11" s="60"/>
      <c r="TYN11" s="60"/>
      <c r="TYO11" s="60"/>
      <c r="TYP11" s="60"/>
      <c r="TYQ11" s="60"/>
      <c r="TYR11" s="60"/>
      <c r="TYS11" s="60"/>
      <c r="TYT11" s="60"/>
      <c r="TYU11" s="60"/>
      <c r="TYV11" s="60"/>
      <c r="TYW11" s="60"/>
      <c r="TYX11" s="60"/>
      <c r="TYY11" s="60"/>
      <c r="TYZ11" s="60"/>
      <c r="TZA11" s="60"/>
      <c r="TZB11" s="60"/>
      <c r="TZC11" s="60"/>
      <c r="TZD11" s="60"/>
      <c r="TZE11" s="60"/>
      <c r="TZF11" s="60"/>
      <c r="TZG11" s="60"/>
      <c r="TZH11" s="60"/>
      <c r="TZI11" s="60"/>
      <c r="TZJ11" s="60"/>
      <c r="TZK11" s="60"/>
      <c r="TZL11" s="60"/>
      <c r="TZM11" s="60"/>
      <c r="TZN11" s="60"/>
      <c r="TZO11" s="60"/>
      <c r="TZP11" s="60"/>
      <c r="TZQ11" s="60"/>
      <c r="TZR11" s="60"/>
      <c r="TZS11" s="60"/>
      <c r="TZT11" s="60"/>
      <c r="TZU11" s="60"/>
      <c r="TZV11" s="60"/>
      <c r="TZW11" s="60"/>
      <c r="TZX11" s="60"/>
      <c r="TZY11" s="60"/>
      <c r="TZZ11" s="60"/>
      <c r="UAA11" s="60"/>
      <c r="UAB11" s="60"/>
      <c r="UAC11" s="60"/>
      <c r="UAD11" s="60"/>
      <c r="UAE11" s="60"/>
      <c r="UAF11" s="60"/>
      <c r="UAG11" s="60"/>
      <c r="UAH11" s="60"/>
      <c r="UAI11" s="60"/>
      <c r="UAJ11" s="60"/>
      <c r="UAK11" s="60"/>
      <c r="UAL11" s="60"/>
      <c r="UAM11" s="60"/>
      <c r="UAN11" s="60"/>
      <c r="UAO11" s="60"/>
      <c r="UAP11" s="60"/>
      <c r="UAQ11" s="60"/>
      <c r="UAR11" s="60"/>
      <c r="UAS11" s="60"/>
      <c r="UAT11" s="60"/>
      <c r="UAU11" s="60"/>
      <c r="UAV11" s="60"/>
      <c r="UAW11" s="60"/>
      <c r="UAX11" s="60"/>
      <c r="UAY11" s="60"/>
      <c r="UAZ11" s="60"/>
      <c r="UBA11" s="60"/>
      <c r="UBB11" s="60"/>
      <c r="UBC11" s="60"/>
      <c r="UBD11" s="60"/>
      <c r="UBE11" s="60"/>
      <c r="UBF11" s="60"/>
      <c r="UBG11" s="60"/>
      <c r="UBH11" s="60"/>
      <c r="UBI11" s="60"/>
      <c r="UBJ11" s="60"/>
      <c r="UBK11" s="60"/>
      <c r="UBL11" s="60"/>
      <c r="UBM11" s="60"/>
      <c r="UBN11" s="60"/>
      <c r="UBO11" s="60"/>
      <c r="UBP11" s="60"/>
      <c r="UBQ11" s="60"/>
      <c r="UBR11" s="60"/>
      <c r="UBS11" s="60"/>
      <c r="UBT11" s="60"/>
      <c r="UBU11" s="60"/>
      <c r="UBV11" s="60"/>
      <c r="UBW11" s="60"/>
      <c r="UBX11" s="60"/>
      <c r="UBY11" s="60"/>
      <c r="UBZ11" s="60"/>
      <c r="UCA11" s="60"/>
      <c r="UCB11" s="60"/>
      <c r="UCC11" s="60"/>
      <c r="UCD11" s="60"/>
      <c r="UCE11" s="60"/>
      <c r="UCF11" s="60"/>
      <c r="UCG11" s="60"/>
      <c r="UCH11" s="60"/>
      <c r="UCI11" s="60"/>
      <c r="UCJ11" s="60"/>
      <c r="UCK11" s="60"/>
      <c r="UCL11" s="60"/>
      <c r="UCM11" s="60"/>
      <c r="UCN11" s="60"/>
      <c r="UCO11" s="60"/>
      <c r="UCP11" s="60"/>
      <c r="UCQ11" s="60"/>
      <c r="UCR11" s="60"/>
      <c r="UCS11" s="60"/>
      <c r="UCT11" s="60"/>
      <c r="UCU11" s="60"/>
      <c r="UCV11" s="60"/>
      <c r="UCW11" s="60"/>
      <c r="UCX11" s="60"/>
      <c r="UCY11" s="60"/>
      <c r="UCZ11" s="60"/>
      <c r="UDA11" s="60"/>
      <c r="UDB11" s="60"/>
      <c r="UDC11" s="60"/>
      <c r="UDD11" s="60"/>
      <c r="UDE11" s="60"/>
      <c r="UDF11" s="60"/>
      <c r="UDG11" s="60"/>
      <c r="UDH11" s="60"/>
      <c r="UDI11" s="60"/>
      <c r="UDJ11" s="60"/>
      <c r="UDK11" s="60"/>
      <c r="UDL11" s="60"/>
      <c r="UDM11" s="60"/>
      <c r="UDN11" s="60"/>
      <c r="UDO11" s="60"/>
      <c r="UDP11" s="60"/>
      <c r="UDQ11" s="60"/>
      <c r="UDR11" s="60"/>
      <c r="UDS11" s="60"/>
      <c r="UDT11" s="60"/>
      <c r="UDU11" s="60"/>
      <c r="UDV11" s="60"/>
      <c r="UDW11" s="60"/>
      <c r="UDX11" s="60"/>
      <c r="UDY11" s="60"/>
      <c r="UDZ11" s="60"/>
      <c r="UEA11" s="60"/>
      <c r="UEB11" s="60"/>
      <c r="UEC11" s="60"/>
      <c r="UED11" s="60"/>
      <c r="UEE11" s="60"/>
      <c r="UEF11" s="60"/>
      <c r="UEG11" s="60"/>
      <c r="UEH11" s="60"/>
      <c r="UEI11" s="60"/>
      <c r="UEJ11" s="60"/>
      <c r="UEK11" s="60"/>
      <c r="UEL11" s="60"/>
      <c r="UEM11" s="60"/>
      <c r="UEN11" s="60"/>
      <c r="UEO11" s="60"/>
      <c r="UEP11" s="60"/>
      <c r="UEQ11" s="60"/>
      <c r="UER11" s="60"/>
      <c r="UES11" s="60"/>
      <c r="UET11" s="60"/>
      <c r="UEU11" s="60"/>
      <c r="UEV11" s="60"/>
      <c r="UEW11" s="60"/>
      <c r="UEX11" s="60"/>
      <c r="UEY11" s="60"/>
      <c r="UEZ11" s="60"/>
      <c r="UFA11" s="60"/>
      <c r="UFB11" s="60"/>
      <c r="UFC11" s="60"/>
      <c r="UFD11" s="60"/>
      <c r="UFE11" s="60"/>
      <c r="UFF11" s="60"/>
      <c r="UFG11" s="60"/>
      <c r="UFH11" s="60"/>
      <c r="UFI11" s="60"/>
      <c r="UFJ11" s="60"/>
      <c r="UFK11" s="60"/>
      <c r="UFL11" s="60"/>
      <c r="UFM11" s="60"/>
      <c r="UFN11" s="60"/>
      <c r="UFO11" s="60"/>
      <c r="UFP11" s="60"/>
      <c r="UFQ11" s="60"/>
      <c r="UFR11" s="60"/>
      <c r="UFS11" s="60"/>
      <c r="UFT11" s="60"/>
      <c r="UFU11" s="60"/>
      <c r="UFV11" s="60"/>
      <c r="UFW11" s="60"/>
      <c r="UFX11" s="60"/>
      <c r="UFY11" s="60"/>
      <c r="UFZ11" s="60"/>
      <c r="UGA11" s="60"/>
      <c r="UGB11" s="60"/>
      <c r="UGC11" s="60"/>
      <c r="UGD11" s="60"/>
      <c r="UGE11" s="60"/>
      <c r="UGF11" s="60"/>
      <c r="UGG11" s="60"/>
      <c r="UGH11" s="60"/>
      <c r="UGI11" s="60"/>
      <c r="UGJ11" s="60"/>
      <c r="UGK11" s="60"/>
      <c r="UGL11" s="60"/>
      <c r="UGM11" s="60"/>
      <c r="UGN11" s="60"/>
      <c r="UGO11" s="60"/>
      <c r="UGP11" s="60"/>
      <c r="UGQ11" s="60"/>
      <c r="UGR11" s="60"/>
      <c r="UGS11" s="60"/>
      <c r="UGT11" s="60"/>
      <c r="UGU11" s="60"/>
      <c r="UGV11" s="60"/>
      <c r="UGW11" s="60"/>
      <c r="UGX11" s="60"/>
      <c r="UGY11" s="60"/>
      <c r="UGZ11" s="60"/>
      <c r="UHA11" s="60"/>
      <c r="UHB11" s="60"/>
      <c r="UHC11" s="60"/>
      <c r="UHD11" s="60"/>
      <c r="UHE11" s="60"/>
      <c r="UHF11" s="60"/>
      <c r="UHG11" s="60"/>
      <c r="UHH11" s="60"/>
      <c r="UHI11" s="60"/>
      <c r="UHJ11" s="60"/>
      <c r="UHK11" s="60"/>
      <c r="UHL11" s="60"/>
      <c r="UHM11" s="60"/>
      <c r="UHN11" s="60"/>
      <c r="UHO11" s="60"/>
      <c r="UHP11" s="60"/>
      <c r="UHQ11" s="60"/>
      <c r="UHR11" s="60"/>
      <c r="UHS11" s="60"/>
      <c r="UHT11" s="60"/>
      <c r="UHU11" s="60"/>
      <c r="UHV11" s="60"/>
      <c r="UHW11" s="60"/>
      <c r="UHX11" s="60"/>
      <c r="UHY11" s="60"/>
      <c r="UHZ11" s="60"/>
      <c r="UIA11" s="60"/>
      <c r="UIB11" s="60"/>
      <c r="UIC11" s="60"/>
      <c r="UID11" s="60"/>
      <c r="UIE11" s="60"/>
      <c r="UIF11" s="60"/>
      <c r="UIG11" s="60"/>
      <c r="UIH11" s="60"/>
      <c r="UII11" s="60"/>
      <c r="UIJ11" s="60"/>
      <c r="UIK11" s="60"/>
      <c r="UIL11" s="60"/>
      <c r="UIM11" s="60"/>
      <c r="UIN11" s="60"/>
      <c r="UIO11" s="60"/>
      <c r="UIP11" s="60"/>
      <c r="UIQ11" s="60"/>
      <c r="UIR11" s="60"/>
      <c r="UIS11" s="60"/>
      <c r="UIT11" s="60"/>
      <c r="UIU11" s="60"/>
      <c r="UIV11" s="60"/>
      <c r="UIW11" s="60"/>
      <c r="UIX11" s="60"/>
      <c r="UIY11" s="60"/>
      <c r="UIZ11" s="60"/>
      <c r="UJA11" s="60"/>
      <c r="UJB11" s="60"/>
      <c r="UJC11" s="60"/>
      <c r="UJD11" s="60"/>
      <c r="UJE11" s="60"/>
      <c r="UJF11" s="60"/>
      <c r="UJG11" s="60"/>
      <c r="UJH11" s="60"/>
      <c r="UJI11" s="60"/>
      <c r="UJJ11" s="60"/>
      <c r="UJK11" s="60"/>
      <c r="UJL11" s="60"/>
      <c r="UJM11" s="60"/>
      <c r="UJN11" s="60"/>
      <c r="UJO11" s="60"/>
      <c r="UJP11" s="60"/>
      <c r="UJQ11" s="60"/>
      <c r="UJR11" s="60"/>
      <c r="UJS11" s="60"/>
      <c r="UJT11" s="60"/>
      <c r="UJU11" s="60"/>
      <c r="UJV11" s="60"/>
      <c r="UJW11" s="60"/>
      <c r="UJX11" s="60"/>
      <c r="UJY11" s="60"/>
      <c r="UJZ11" s="60"/>
      <c r="UKA11" s="60"/>
      <c r="UKB11" s="60"/>
      <c r="UKC11" s="60"/>
      <c r="UKD11" s="60"/>
      <c r="UKE11" s="60"/>
      <c r="UKF11" s="60"/>
      <c r="UKG11" s="60"/>
      <c r="UKH11" s="60"/>
      <c r="UKI11" s="60"/>
      <c r="UKJ11" s="60"/>
      <c r="UKK11" s="60"/>
      <c r="UKL11" s="60"/>
      <c r="UKM11" s="60"/>
      <c r="UKN11" s="60"/>
      <c r="UKO11" s="60"/>
      <c r="UKP11" s="60"/>
      <c r="UKQ11" s="60"/>
      <c r="UKR11" s="60"/>
      <c r="UKS11" s="60"/>
      <c r="UKT11" s="60"/>
      <c r="UKU11" s="60"/>
      <c r="UKV11" s="60"/>
      <c r="UKW11" s="60"/>
      <c r="UKX11" s="60"/>
      <c r="UKY11" s="60"/>
      <c r="UKZ11" s="60"/>
      <c r="ULA11" s="60"/>
      <c r="ULB11" s="60"/>
      <c r="ULC11" s="60"/>
      <c r="ULD11" s="60"/>
      <c r="ULE11" s="60"/>
      <c r="ULF11" s="60"/>
      <c r="ULG11" s="60"/>
      <c r="ULH11" s="60"/>
      <c r="ULI11" s="60"/>
      <c r="ULJ11" s="60"/>
      <c r="ULK11" s="60"/>
      <c r="ULL11" s="60"/>
      <c r="ULM11" s="60"/>
      <c r="ULN11" s="60"/>
      <c r="ULO11" s="60"/>
      <c r="ULP11" s="60"/>
      <c r="ULQ11" s="60"/>
      <c r="ULR11" s="60"/>
      <c r="ULS11" s="60"/>
      <c r="ULT11" s="60"/>
      <c r="ULU11" s="60"/>
      <c r="ULV11" s="60"/>
      <c r="ULW11" s="60"/>
      <c r="ULX11" s="60"/>
      <c r="ULY11" s="60"/>
      <c r="ULZ11" s="60"/>
      <c r="UMA11" s="60"/>
      <c r="UMB11" s="60"/>
      <c r="UMC11" s="60"/>
      <c r="UMD11" s="60"/>
      <c r="UME11" s="60"/>
      <c r="UMF11" s="60"/>
      <c r="UMG11" s="60"/>
      <c r="UMH11" s="60"/>
      <c r="UMI11" s="60"/>
      <c r="UMJ11" s="60"/>
      <c r="UMK11" s="60"/>
      <c r="UML11" s="60"/>
      <c r="UMM11" s="60"/>
      <c r="UMN11" s="60"/>
      <c r="UMO11" s="60"/>
      <c r="UMP11" s="60"/>
      <c r="UMQ11" s="60"/>
      <c r="UMR11" s="60"/>
      <c r="UMS11" s="60"/>
      <c r="UMT11" s="60"/>
      <c r="UMU11" s="60"/>
      <c r="UMV11" s="60"/>
      <c r="UMW11" s="60"/>
      <c r="UMX11" s="60"/>
      <c r="UMY11" s="60"/>
      <c r="UMZ11" s="60"/>
      <c r="UNA11" s="60"/>
      <c r="UNB11" s="60"/>
      <c r="UNC11" s="60"/>
      <c r="UND11" s="60"/>
      <c r="UNE11" s="60"/>
      <c r="UNF11" s="60"/>
      <c r="UNG11" s="60"/>
      <c r="UNH11" s="60"/>
      <c r="UNI11" s="60"/>
      <c r="UNJ11" s="60"/>
      <c r="UNK11" s="60"/>
      <c r="UNL11" s="60"/>
      <c r="UNM11" s="60"/>
      <c r="UNN11" s="60"/>
      <c r="UNO11" s="60"/>
      <c r="UNP11" s="60"/>
      <c r="UNQ11" s="60"/>
      <c r="UNR11" s="60"/>
      <c r="UNS11" s="60"/>
      <c r="UNT11" s="60"/>
      <c r="UNU11" s="60"/>
      <c r="UNV11" s="60"/>
      <c r="UNW11" s="60"/>
      <c r="UNX11" s="60"/>
      <c r="UNY11" s="60"/>
      <c r="UNZ11" s="60"/>
      <c r="UOA11" s="60"/>
      <c r="UOB11" s="60"/>
      <c r="UOC11" s="60"/>
      <c r="UOD11" s="60"/>
      <c r="UOE11" s="60"/>
      <c r="UOF11" s="60"/>
      <c r="UOG11" s="60"/>
      <c r="UOH11" s="60"/>
      <c r="UOI11" s="60"/>
      <c r="UOJ11" s="60"/>
      <c r="UOK11" s="60"/>
      <c r="UOL11" s="60"/>
      <c r="UOM11" s="60"/>
      <c r="UON11" s="60"/>
      <c r="UOO11" s="60"/>
      <c r="UOP11" s="60"/>
      <c r="UOQ11" s="60"/>
      <c r="UOR11" s="60"/>
      <c r="UOS11" s="60"/>
      <c r="UOT11" s="60"/>
      <c r="UOU11" s="60"/>
      <c r="UOV11" s="60"/>
      <c r="UOW11" s="60"/>
      <c r="UOX11" s="60"/>
      <c r="UOY11" s="60"/>
      <c r="UOZ11" s="60"/>
      <c r="UPA11" s="60"/>
      <c r="UPB11" s="60"/>
      <c r="UPC11" s="60"/>
      <c r="UPD11" s="60"/>
      <c r="UPE11" s="60"/>
      <c r="UPF11" s="60"/>
      <c r="UPG11" s="60"/>
      <c r="UPH11" s="60"/>
      <c r="UPI11" s="60"/>
      <c r="UPJ11" s="60"/>
      <c r="UPK11" s="60"/>
      <c r="UPL11" s="60"/>
      <c r="UPM11" s="60"/>
      <c r="UPN11" s="60"/>
      <c r="UPO11" s="60"/>
      <c r="UPP11" s="60"/>
      <c r="UPQ11" s="60"/>
      <c r="UPR11" s="60"/>
      <c r="UPS11" s="60"/>
      <c r="UPT11" s="60"/>
      <c r="UPU11" s="60"/>
      <c r="UPV11" s="60"/>
      <c r="UPW11" s="60"/>
      <c r="UPX11" s="60"/>
      <c r="UPY11" s="60"/>
      <c r="UPZ11" s="60"/>
      <c r="UQA11" s="60"/>
      <c r="UQB11" s="60"/>
      <c r="UQC11" s="60"/>
      <c r="UQD11" s="60"/>
      <c r="UQE11" s="60"/>
      <c r="UQF11" s="60"/>
      <c r="UQG11" s="60"/>
      <c r="UQH11" s="60"/>
      <c r="UQI11" s="60"/>
      <c r="UQJ11" s="60"/>
      <c r="UQK11" s="60"/>
      <c r="UQL11" s="60"/>
      <c r="UQM11" s="60"/>
      <c r="UQN11" s="60"/>
      <c r="UQO11" s="60"/>
      <c r="UQP11" s="60"/>
      <c r="UQQ11" s="60"/>
      <c r="UQR11" s="60"/>
      <c r="UQS11" s="60"/>
      <c r="UQT11" s="60"/>
      <c r="UQU11" s="60"/>
      <c r="UQV11" s="60"/>
      <c r="UQW11" s="60"/>
      <c r="UQX11" s="60"/>
      <c r="UQY11" s="60"/>
      <c r="UQZ11" s="60"/>
      <c r="URA11" s="60"/>
      <c r="URB11" s="60"/>
      <c r="URC11" s="60"/>
      <c r="URD11" s="60"/>
      <c r="URE11" s="60"/>
      <c r="URF11" s="60"/>
      <c r="URG11" s="60"/>
      <c r="URH11" s="60"/>
      <c r="URI11" s="60"/>
      <c r="URJ11" s="60"/>
      <c r="URK11" s="60"/>
      <c r="URL11" s="60"/>
      <c r="URM11" s="60"/>
      <c r="URN11" s="60"/>
      <c r="URO11" s="60"/>
      <c r="URP11" s="60"/>
      <c r="URQ11" s="60"/>
      <c r="URR11" s="60"/>
      <c r="URS11" s="60"/>
      <c r="URT11" s="60"/>
      <c r="URU11" s="60"/>
      <c r="URV11" s="60"/>
      <c r="URW11" s="60"/>
      <c r="URX11" s="60"/>
      <c r="URY11" s="60"/>
      <c r="URZ11" s="60"/>
      <c r="USA11" s="60"/>
      <c r="USB11" s="60"/>
      <c r="USC11" s="60"/>
      <c r="USD11" s="60"/>
      <c r="USE11" s="60"/>
      <c r="USF11" s="60"/>
      <c r="USG11" s="60"/>
      <c r="USH11" s="60"/>
      <c r="USI11" s="60"/>
      <c r="USJ11" s="60"/>
      <c r="USK11" s="60"/>
      <c r="USL11" s="60"/>
      <c r="USM11" s="60"/>
      <c r="USN11" s="60"/>
      <c r="USO11" s="60"/>
      <c r="USP11" s="60"/>
      <c r="USQ11" s="60"/>
      <c r="USR11" s="60"/>
      <c r="USS11" s="60"/>
      <c r="UST11" s="60"/>
      <c r="USU11" s="60"/>
      <c r="USV11" s="60"/>
      <c r="USW11" s="60"/>
      <c r="USX11" s="60"/>
      <c r="USY11" s="60"/>
      <c r="USZ11" s="60"/>
      <c r="UTA11" s="60"/>
      <c r="UTB11" s="60"/>
      <c r="UTC11" s="60"/>
      <c r="UTD11" s="60"/>
      <c r="UTE11" s="60"/>
      <c r="UTF11" s="60"/>
      <c r="UTG11" s="60"/>
      <c r="UTH11" s="60"/>
      <c r="UTI11" s="60"/>
      <c r="UTJ11" s="60"/>
      <c r="UTK11" s="60"/>
      <c r="UTL11" s="60"/>
      <c r="UTM11" s="60"/>
      <c r="UTN11" s="60"/>
      <c r="UTO11" s="60"/>
      <c r="UTP11" s="60"/>
      <c r="UTQ11" s="60"/>
      <c r="UTR11" s="60"/>
      <c r="UTS11" s="60"/>
      <c r="UTT11" s="60"/>
      <c r="UTU11" s="60"/>
      <c r="UTV11" s="60"/>
      <c r="UTW11" s="60"/>
      <c r="UTX11" s="60"/>
      <c r="UTY11" s="60"/>
      <c r="UTZ11" s="60"/>
      <c r="UUA11" s="60"/>
      <c r="UUB11" s="60"/>
      <c r="UUC11" s="60"/>
      <c r="UUD11" s="60"/>
      <c r="UUE11" s="60"/>
      <c r="UUF11" s="60"/>
      <c r="UUG11" s="60"/>
      <c r="UUH11" s="60"/>
      <c r="UUI11" s="60"/>
      <c r="UUJ11" s="60"/>
      <c r="UUK11" s="60"/>
      <c r="UUL11" s="60"/>
      <c r="UUM11" s="60"/>
      <c r="UUN11" s="60"/>
      <c r="UUO11" s="60"/>
      <c r="UUP11" s="60"/>
      <c r="UUQ11" s="60"/>
      <c r="UUR11" s="60"/>
      <c r="UUS11" s="60"/>
      <c r="UUT11" s="60"/>
      <c r="UUU11" s="60"/>
      <c r="UUV11" s="60"/>
      <c r="UUW11" s="60"/>
      <c r="UUX11" s="60"/>
      <c r="UUY11" s="60"/>
      <c r="UUZ11" s="60"/>
      <c r="UVA11" s="60"/>
      <c r="UVB11" s="60"/>
      <c r="UVC11" s="60"/>
      <c r="UVD11" s="60"/>
      <c r="UVE11" s="60"/>
      <c r="UVF11" s="60"/>
      <c r="UVG11" s="60"/>
      <c r="UVH11" s="60"/>
      <c r="UVI11" s="60"/>
      <c r="UVJ11" s="60"/>
      <c r="UVK11" s="60"/>
      <c r="UVL11" s="60"/>
      <c r="UVM11" s="60"/>
      <c r="UVN11" s="60"/>
      <c r="UVO11" s="60"/>
      <c r="UVP11" s="60"/>
      <c r="UVQ11" s="60"/>
      <c r="UVR11" s="60"/>
      <c r="UVS11" s="60"/>
      <c r="UVT11" s="60"/>
      <c r="UVU11" s="60"/>
      <c r="UVV11" s="60"/>
      <c r="UVW11" s="60"/>
      <c r="UVX11" s="60"/>
      <c r="UVY11" s="60"/>
      <c r="UVZ11" s="60"/>
      <c r="UWA11" s="60"/>
      <c r="UWB11" s="60"/>
      <c r="UWC11" s="60"/>
      <c r="UWD11" s="60"/>
      <c r="UWE11" s="60"/>
      <c r="UWF11" s="60"/>
      <c r="UWG11" s="60"/>
      <c r="UWH11" s="60"/>
      <c r="UWI11" s="60"/>
      <c r="UWJ11" s="60"/>
      <c r="UWK11" s="60"/>
      <c r="UWL11" s="60"/>
      <c r="UWM11" s="60"/>
      <c r="UWN11" s="60"/>
      <c r="UWO11" s="60"/>
      <c r="UWP11" s="60"/>
      <c r="UWQ11" s="60"/>
      <c r="UWR11" s="60"/>
      <c r="UWS11" s="60"/>
      <c r="UWT11" s="60"/>
      <c r="UWU11" s="60"/>
      <c r="UWV11" s="60"/>
      <c r="UWW11" s="60"/>
      <c r="UWX11" s="60"/>
      <c r="UWY11" s="60"/>
      <c r="UWZ11" s="60"/>
      <c r="UXA11" s="60"/>
      <c r="UXB11" s="60"/>
      <c r="UXC11" s="60"/>
      <c r="UXD11" s="60"/>
      <c r="UXE11" s="60"/>
      <c r="UXF11" s="60"/>
      <c r="UXG11" s="60"/>
      <c r="UXH11" s="60"/>
      <c r="UXI11" s="60"/>
      <c r="UXJ11" s="60"/>
      <c r="UXK11" s="60"/>
      <c r="UXL11" s="60"/>
      <c r="UXM11" s="60"/>
      <c r="UXN11" s="60"/>
      <c r="UXO11" s="60"/>
      <c r="UXP11" s="60"/>
      <c r="UXQ11" s="60"/>
      <c r="UXR11" s="60"/>
      <c r="UXS11" s="60"/>
      <c r="UXT11" s="60"/>
      <c r="UXU11" s="60"/>
      <c r="UXV11" s="60"/>
      <c r="UXW11" s="60"/>
      <c r="UXX11" s="60"/>
      <c r="UXY11" s="60"/>
      <c r="UXZ11" s="60"/>
      <c r="UYA11" s="60"/>
      <c r="UYB11" s="60"/>
      <c r="UYC11" s="60"/>
      <c r="UYD11" s="60"/>
      <c r="UYE11" s="60"/>
      <c r="UYF11" s="60"/>
      <c r="UYG11" s="60"/>
      <c r="UYH11" s="60"/>
      <c r="UYI11" s="60"/>
      <c r="UYJ11" s="60"/>
      <c r="UYK11" s="60"/>
      <c r="UYL11" s="60"/>
      <c r="UYM11" s="60"/>
      <c r="UYN11" s="60"/>
      <c r="UYO11" s="60"/>
      <c r="UYP11" s="60"/>
      <c r="UYQ11" s="60"/>
      <c r="UYR11" s="60"/>
      <c r="UYS11" s="60"/>
      <c r="UYT11" s="60"/>
      <c r="UYU11" s="60"/>
      <c r="UYV11" s="60"/>
      <c r="UYW11" s="60"/>
      <c r="UYX11" s="60"/>
      <c r="UYY11" s="60"/>
      <c r="UYZ11" s="60"/>
      <c r="UZA11" s="60"/>
      <c r="UZB11" s="60"/>
      <c r="UZC11" s="60"/>
      <c r="UZD11" s="60"/>
      <c r="UZE11" s="60"/>
      <c r="UZF11" s="60"/>
      <c r="UZG11" s="60"/>
      <c r="UZH11" s="60"/>
      <c r="UZI11" s="60"/>
      <c r="UZJ11" s="60"/>
      <c r="UZK11" s="60"/>
      <c r="UZL11" s="60"/>
      <c r="UZM11" s="60"/>
      <c r="UZN11" s="60"/>
      <c r="UZO11" s="60"/>
      <c r="UZP11" s="60"/>
      <c r="UZQ11" s="60"/>
      <c r="UZR11" s="60"/>
      <c r="UZS11" s="60"/>
      <c r="UZT11" s="60"/>
      <c r="UZU11" s="60"/>
      <c r="UZV11" s="60"/>
      <c r="UZW11" s="60"/>
      <c r="UZX11" s="60"/>
      <c r="UZY11" s="60"/>
      <c r="UZZ11" s="60"/>
      <c r="VAA11" s="60"/>
      <c r="VAB11" s="60"/>
      <c r="VAC11" s="60"/>
      <c r="VAD11" s="60"/>
      <c r="VAE11" s="60"/>
      <c r="VAF11" s="60"/>
      <c r="VAG11" s="60"/>
      <c r="VAH11" s="60"/>
      <c r="VAI11" s="60"/>
      <c r="VAJ11" s="60"/>
      <c r="VAK11" s="60"/>
      <c r="VAL11" s="60"/>
      <c r="VAM11" s="60"/>
      <c r="VAN11" s="60"/>
      <c r="VAO11" s="60"/>
      <c r="VAP11" s="60"/>
      <c r="VAQ11" s="60"/>
      <c r="VAR11" s="60"/>
      <c r="VAS11" s="60"/>
      <c r="VAT11" s="60"/>
      <c r="VAU11" s="60"/>
      <c r="VAV11" s="60"/>
      <c r="VAW11" s="60"/>
      <c r="VAX11" s="60"/>
      <c r="VAY11" s="60"/>
      <c r="VAZ11" s="60"/>
      <c r="VBA11" s="60"/>
      <c r="VBB11" s="60"/>
      <c r="VBC11" s="60"/>
      <c r="VBD11" s="60"/>
      <c r="VBE11" s="60"/>
      <c r="VBF11" s="60"/>
      <c r="VBG11" s="60"/>
      <c r="VBH11" s="60"/>
      <c r="VBI11" s="60"/>
      <c r="VBJ11" s="60"/>
      <c r="VBK11" s="60"/>
      <c r="VBL11" s="60"/>
      <c r="VBM11" s="60"/>
      <c r="VBN11" s="60"/>
      <c r="VBO11" s="60"/>
      <c r="VBP11" s="60"/>
      <c r="VBQ11" s="60"/>
      <c r="VBR11" s="60"/>
      <c r="VBS11" s="60"/>
      <c r="VBT11" s="60"/>
      <c r="VBU11" s="60"/>
      <c r="VBV11" s="60"/>
      <c r="VBW11" s="60"/>
      <c r="VBX11" s="60"/>
      <c r="VBY11" s="60"/>
      <c r="VBZ11" s="60"/>
      <c r="VCA11" s="60"/>
      <c r="VCB11" s="60"/>
      <c r="VCC11" s="60"/>
      <c r="VCD11" s="60"/>
      <c r="VCE11" s="60"/>
      <c r="VCF11" s="60"/>
      <c r="VCG11" s="60"/>
      <c r="VCH11" s="60"/>
      <c r="VCI11" s="60"/>
      <c r="VCJ11" s="60"/>
      <c r="VCK11" s="60"/>
      <c r="VCL11" s="60"/>
      <c r="VCM11" s="60"/>
      <c r="VCN11" s="60"/>
      <c r="VCO11" s="60"/>
      <c r="VCP11" s="60"/>
      <c r="VCQ11" s="60"/>
      <c r="VCR11" s="60"/>
      <c r="VCS11" s="60"/>
      <c r="VCT11" s="60"/>
      <c r="VCU11" s="60"/>
      <c r="VCV11" s="60"/>
      <c r="VCW11" s="60"/>
      <c r="VCX11" s="60"/>
      <c r="VCY11" s="60"/>
      <c r="VCZ11" s="60"/>
      <c r="VDA11" s="60"/>
      <c r="VDB11" s="60"/>
      <c r="VDC11" s="60"/>
      <c r="VDD11" s="60"/>
      <c r="VDE11" s="60"/>
      <c r="VDF11" s="60"/>
      <c r="VDG11" s="60"/>
      <c r="VDH11" s="60"/>
      <c r="VDI11" s="60"/>
      <c r="VDJ11" s="60"/>
      <c r="VDK11" s="60"/>
      <c r="VDL11" s="60"/>
      <c r="VDM11" s="60"/>
      <c r="VDN11" s="60"/>
      <c r="VDO11" s="60"/>
      <c r="VDP11" s="60"/>
      <c r="VDQ11" s="60"/>
      <c r="VDR11" s="60"/>
      <c r="VDS11" s="60"/>
      <c r="VDT11" s="60"/>
      <c r="VDU11" s="60"/>
      <c r="VDV11" s="60"/>
      <c r="VDW11" s="60"/>
      <c r="VDX11" s="60"/>
      <c r="VDY11" s="60"/>
      <c r="VDZ11" s="60"/>
      <c r="VEA11" s="60"/>
      <c r="VEB11" s="60"/>
      <c r="VEC11" s="60"/>
      <c r="VED11" s="60"/>
      <c r="VEE11" s="60"/>
      <c r="VEF11" s="60"/>
      <c r="VEG11" s="60"/>
      <c r="VEH11" s="60"/>
      <c r="VEI11" s="60"/>
      <c r="VEJ11" s="60"/>
      <c r="VEK11" s="60"/>
      <c r="VEL11" s="60"/>
      <c r="VEM11" s="60"/>
      <c r="VEN11" s="60"/>
      <c r="VEO11" s="60"/>
      <c r="VEP11" s="60"/>
      <c r="VEQ11" s="60"/>
      <c r="VER11" s="60"/>
      <c r="VES11" s="60"/>
      <c r="VET11" s="60"/>
      <c r="VEU11" s="60"/>
      <c r="VEV11" s="60"/>
      <c r="VEW11" s="60"/>
      <c r="VEX11" s="60"/>
      <c r="VEY11" s="60"/>
      <c r="VEZ11" s="60"/>
      <c r="VFA11" s="60"/>
      <c r="VFB11" s="60"/>
      <c r="VFC11" s="60"/>
      <c r="VFD11" s="60"/>
      <c r="VFE11" s="60"/>
      <c r="VFF11" s="60"/>
      <c r="VFG11" s="60"/>
      <c r="VFH11" s="60"/>
      <c r="VFI11" s="60"/>
      <c r="VFJ11" s="60"/>
      <c r="VFK11" s="60"/>
      <c r="VFL11" s="60"/>
      <c r="VFM11" s="60"/>
      <c r="VFN11" s="60"/>
      <c r="VFO11" s="60"/>
      <c r="VFP11" s="60"/>
      <c r="VFQ11" s="60"/>
      <c r="VFR11" s="60"/>
      <c r="VFS11" s="60"/>
      <c r="VFT11" s="60"/>
      <c r="VFU11" s="60"/>
      <c r="VFV11" s="60"/>
      <c r="VFW11" s="60"/>
      <c r="VFX11" s="60"/>
      <c r="VFY11" s="60"/>
      <c r="VFZ11" s="60"/>
      <c r="VGA11" s="60"/>
      <c r="VGB11" s="60"/>
      <c r="VGC11" s="60"/>
      <c r="VGD11" s="60"/>
      <c r="VGE11" s="60"/>
      <c r="VGF11" s="60"/>
      <c r="VGG11" s="60"/>
      <c r="VGH11" s="60"/>
      <c r="VGI11" s="60"/>
      <c r="VGJ11" s="60"/>
      <c r="VGK11" s="60"/>
      <c r="VGL11" s="60"/>
      <c r="VGM11" s="60"/>
      <c r="VGN11" s="60"/>
      <c r="VGO11" s="60"/>
      <c r="VGP11" s="60"/>
      <c r="VGQ11" s="60"/>
      <c r="VGR11" s="60"/>
      <c r="VGS11" s="60"/>
      <c r="VGT11" s="60"/>
      <c r="VGU11" s="60"/>
      <c r="VGV11" s="60"/>
      <c r="VGW11" s="60"/>
      <c r="VGX11" s="60"/>
      <c r="VGY11" s="60"/>
      <c r="VGZ11" s="60"/>
      <c r="VHA11" s="60"/>
      <c r="VHB11" s="60"/>
      <c r="VHC11" s="60"/>
      <c r="VHD11" s="60"/>
      <c r="VHE11" s="60"/>
      <c r="VHF11" s="60"/>
      <c r="VHG11" s="60"/>
      <c r="VHH11" s="60"/>
      <c r="VHI11" s="60"/>
      <c r="VHJ11" s="60"/>
      <c r="VHK11" s="60"/>
      <c r="VHL11" s="60"/>
      <c r="VHM11" s="60"/>
      <c r="VHN11" s="60"/>
      <c r="VHO11" s="60"/>
      <c r="VHP11" s="60"/>
      <c r="VHQ11" s="60"/>
      <c r="VHR11" s="60"/>
      <c r="VHS11" s="60"/>
      <c r="VHT11" s="60"/>
      <c r="VHU11" s="60"/>
      <c r="VHV11" s="60"/>
      <c r="VHW11" s="60"/>
      <c r="VHX11" s="60"/>
      <c r="VHY11" s="60"/>
      <c r="VHZ11" s="60"/>
      <c r="VIA11" s="60"/>
      <c r="VIB11" s="60"/>
      <c r="VIC11" s="60"/>
      <c r="VID11" s="60"/>
      <c r="VIE11" s="60"/>
      <c r="VIF11" s="60"/>
      <c r="VIG11" s="60"/>
      <c r="VIH11" s="60"/>
      <c r="VII11" s="60"/>
      <c r="VIJ11" s="60"/>
      <c r="VIK11" s="60"/>
      <c r="VIL11" s="60"/>
      <c r="VIM11" s="60"/>
      <c r="VIN11" s="60"/>
      <c r="VIO11" s="60"/>
      <c r="VIP11" s="60"/>
      <c r="VIQ11" s="60"/>
      <c r="VIR11" s="60"/>
      <c r="VIS11" s="60"/>
      <c r="VIT11" s="60"/>
      <c r="VIU11" s="60"/>
      <c r="VIV11" s="60"/>
      <c r="VIW11" s="60"/>
      <c r="VIX11" s="60"/>
      <c r="VIY11" s="60"/>
      <c r="VIZ11" s="60"/>
      <c r="VJA11" s="60"/>
      <c r="VJB11" s="60"/>
      <c r="VJC11" s="60"/>
      <c r="VJD11" s="60"/>
      <c r="VJE11" s="60"/>
      <c r="VJF11" s="60"/>
      <c r="VJG11" s="60"/>
      <c r="VJH11" s="60"/>
      <c r="VJI11" s="60"/>
      <c r="VJJ11" s="60"/>
      <c r="VJK11" s="60"/>
      <c r="VJL11" s="60"/>
      <c r="VJM11" s="60"/>
      <c r="VJN11" s="60"/>
      <c r="VJO11" s="60"/>
      <c r="VJP11" s="60"/>
      <c r="VJQ11" s="60"/>
      <c r="VJR11" s="60"/>
      <c r="VJS11" s="60"/>
      <c r="VJT11" s="60"/>
      <c r="VJU11" s="60"/>
      <c r="VJV11" s="60"/>
      <c r="VJW11" s="60"/>
      <c r="VJX11" s="60"/>
      <c r="VJY11" s="60"/>
      <c r="VJZ11" s="60"/>
      <c r="VKA11" s="60"/>
      <c r="VKB11" s="60"/>
      <c r="VKC11" s="60"/>
      <c r="VKD11" s="60"/>
      <c r="VKE11" s="60"/>
      <c r="VKF11" s="60"/>
      <c r="VKG11" s="60"/>
      <c r="VKH11" s="60"/>
      <c r="VKI11" s="60"/>
      <c r="VKJ11" s="60"/>
      <c r="VKK11" s="60"/>
      <c r="VKL11" s="60"/>
      <c r="VKM11" s="60"/>
      <c r="VKN11" s="60"/>
      <c r="VKO11" s="60"/>
      <c r="VKP11" s="60"/>
      <c r="VKQ11" s="60"/>
      <c r="VKR11" s="60"/>
      <c r="VKS11" s="60"/>
      <c r="VKT11" s="60"/>
      <c r="VKU11" s="60"/>
      <c r="VKV11" s="60"/>
      <c r="VKW11" s="60"/>
      <c r="VKX11" s="60"/>
      <c r="VKY11" s="60"/>
      <c r="VKZ11" s="60"/>
      <c r="VLA11" s="60"/>
      <c r="VLB11" s="60"/>
      <c r="VLC11" s="60"/>
      <c r="VLD11" s="60"/>
      <c r="VLE11" s="60"/>
      <c r="VLF11" s="60"/>
      <c r="VLG11" s="60"/>
      <c r="VLH11" s="60"/>
      <c r="VLI11" s="60"/>
      <c r="VLJ11" s="60"/>
      <c r="VLK11" s="60"/>
      <c r="VLL11" s="60"/>
      <c r="VLM11" s="60"/>
      <c r="VLN11" s="60"/>
      <c r="VLO11" s="60"/>
      <c r="VLP11" s="60"/>
      <c r="VLQ11" s="60"/>
      <c r="VLR11" s="60"/>
      <c r="VLS11" s="60"/>
      <c r="VLT11" s="60"/>
      <c r="VLU11" s="60"/>
      <c r="VLV11" s="60"/>
      <c r="VLW11" s="60"/>
      <c r="VLX11" s="60"/>
      <c r="VLY11" s="60"/>
      <c r="VLZ11" s="60"/>
      <c r="VMA11" s="60"/>
      <c r="VMB11" s="60"/>
      <c r="VMC11" s="60"/>
      <c r="VMD11" s="60"/>
      <c r="VME11" s="60"/>
      <c r="VMF11" s="60"/>
      <c r="VMG11" s="60"/>
      <c r="VMH11" s="60"/>
      <c r="VMI11" s="60"/>
      <c r="VMJ11" s="60"/>
      <c r="VMK11" s="60"/>
      <c r="VML11" s="60"/>
      <c r="VMM11" s="60"/>
      <c r="VMN11" s="60"/>
      <c r="VMO11" s="60"/>
      <c r="VMP11" s="60"/>
      <c r="VMQ11" s="60"/>
      <c r="VMR11" s="60"/>
      <c r="VMS11" s="60"/>
      <c r="VMT11" s="60"/>
      <c r="VMU11" s="60"/>
      <c r="VMV11" s="60"/>
      <c r="VMW11" s="60"/>
      <c r="VMX11" s="60"/>
      <c r="VMY11" s="60"/>
      <c r="VMZ11" s="60"/>
      <c r="VNA11" s="60"/>
      <c r="VNB11" s="60"/>
      <c r="VNC11" s="60"/>
      <c r="VND11" s="60"/>
      <c r="VNE11" s="60"/>
      <c r="VNF11" s="60"/>
      <c r="VNG11" s="60"/>
      <c r="VNH11" s="60"/>
      <c r="VNI11" s="60"/>
      <c r="VNJ11" s="60"/>
      <c r="VNK11" s="60"/>
      <c r="VNL11" s="60"/>
      <c r="VNM11" s="60"/>
      <c r="VNN11" s="60"/>
      <c r="VNO11" s="60"/>
      <c r="VNP11" s="60"/>
      <c r="VNQ11" s="60"/>
      <c r="VNR11" s="60"/>
      <c r="VNS11" s="60"/>
      <c r="VNT11" s="60"/>
      <c r="VNU11" s="60"/>
      <c r="VNV11" s="60"/>
      <c r="VNW11" s="60"/>
      <c r="VNX11" s="60"/>
      <c r="VNY11" s="60"/>
      <c r="VNZ11" s="60"/>
      <c r="VOA11" s="60"/>
      <c r="VOB11" s="60"/>
      <c r="VOC11" s="60"/>
      <c r="VOD11" s="60"/>
      <c r="VOE11" s="60"/>
      <c r="VOF11" s="60"/>
      <c r="VOG11" s="60"/>
      <c r="VOH11" s="60"/>
      <c r="VOI11" s="60"/>
      <c r="VOJ11" s="60"/>
      <c r="VOK11" s="60"/>
      <c r="VOL11" s="60"/>
      <c r="VOM11" s="60"/>
      <c r="VON11" s="60"/>
      <c r="VOO11" s="60"/>
      <c r="VOP11" s="60"/>
      <c r="VOQ11" s="60"/>
      <c r="VOR11" s="60"/>
      <c r="VOS11" s="60"/>
      <c r="VOT11" s="60"/>
      <c r="VOU11" s="60"/>
      <c r="VOV11" s="60"/>
      <c r="VOW11" s="60"/>
      <c r="VOX11" s="60"/>
      <c r="VOY11" s="60"/>
      <c r="VOZ11" s="60"/>
      <c r="VPA11" s="60"/>
      <c r="VPB11" s="60"/>
      <c r="VPC11" s="60"/>
      <c r="VPD11" s="60"/>
      <c r="VPE11" s="60"/>
      <c r="VPF11" s="60"/>
      <c r="VPG11" s="60"/>
      <c r="VPH11" s="60"/>
      <c r="VPI11" s="60"/>
      <c r="VPJ11" s="60"/>
      <c r="VPK11" s="60"/>
      <c r="VPL11" s="60"/>
      <c r="VPM11" s="60"/>
      <c r="VPN11" s="60"/>
      <c r="VPO11" s="60"/>
      <c r="VPP11" s="60"/>
      <c r="VPQ11" s="60"/>
      <c r="VPR11" s="60"/>
      <c r="VPS11" s="60"/>
      <c r="VPT11" s="60"/>
      <c r="VPU11" s="60"/>
      <c r="VPV11" s="60"/>
      <c r="VPW11" s="60"/>
      <c r="VPX11" s="60"/>
      <c r="VPY11" s="60"/>
      <c r="VPZ11" s="60"/>
      <c r="VQA11" s="60"/>
      <c r="VQB11" s="60"/>
      <c r="VQC11" s="60"/>
      <c r="VQD11" s="60"/>
      <c r="VQE11" s="60"/>
      <c r="VQF11" s="60"/>
      <c r="VQG11" s="60"/>
      <c r="VQH11" s="60"/>
      <c r="VQI11" s="60"/>
      <c r="VQJ11" s="60"/>
      <c r="VQK11" s="60"/>
      <c r="VQL11" s="60"/>
      <c r="VQM11" s="60"/>
      <c r="VQN11" s="60"/>
      <c r="VQO11" s="60"/>
      <c r="VQP11" s="60"/>
      <c r="VQQ11" s="60"/>
      <c r="VQR11" s="60"/>
      <c r="VQS11" s="60"/>
      <c r="VQT11" s="60"/>
      <c r="VQU11" s="60"/>
      <c r="VQV11" s="60"/>
      <c r="VQW11" s="60"/>
      <c r="VQX11" s="60"/>
      <c r="VQY11" s="60"/>
      <c r="VQZ11" s="60"/>
      <c r="VRA11" s="60"/>
      <c r="VRB11" s="60"/>
      <c r="VRC11" s="60"/>
      <c r="VRD11" s="60"/>
      <c r="VRE11" s="60"/>
      <c r="VRF11" s="60"/>
      <c r="VRG11" s="60"/>
      <c r="VRH11" s="60"/>
      <c r="VRI11" s="60"/>
      <c r="VRJ11" s="60"/>
      <c r="VRK11" s="60"/>
      <c r="VRL11" s="60"/>
      <c r="VRM11" s="60"/>
      <c r="VRN11" s="60"/>
      <c r="VRO11" s="60"/>
      <c r="VRP11" s="60"/>
      <c r="VRQ11" s="60"/>
      <c r="VRR11" s="60"/>
      <c r="VRS11" s="60"/>
      <c r="VRT11" s="60"/>
      <c r="VRU11" s="60"/>
      <c r="VRV11" s="60"/>
      <c r="VRW11" s="60"/>
      <c r="VRX11" s="60"/>
      <c r="VRY11" s="60"/>
      <c r="VRZ11" s="60"/>
      <c r="VSA11" s="60"/>
      <c r="VSB11" s="60"/>
      <c r="VSC11" s="60"/>
      <c r="VSD11" s="60"/>
      <c r="VSE11" s="60"/>
      <c r="VSF11" s="60"/>
      <c r="VSG11" s="60"/>
      <c r="VSH11" s="60"/>
      <c r="VSI11" s="60"/>
      <c r="VSJ11" s="60"/>
      <c r="VSK11" s="60"/>
      <c r="VSL11" s="60"/>
      <c r="VSM11" s="60"/>
      <c r="VSN11" s="60"/>
      <c r="VSO11" s="60"/>
      <c r="VSP11" s="60"/>
      <c r="VSQ11" s="60"/>
      <c r="VSR11" s="60"/>
      <c r="VSS11" s="60"/>
      <c r="VST11" s="60"/>
      <c r="VSU11" s="60"/>
      <c r="VSV11" s="60"/>
      <c r="VSW11" s="60"/>
      <c r="VSX11" s="60"/>
      <c r="VSY11" s="60"/>
      <c r="VSZ11" s="60"/>
      <c r="VTA11" s="60"/>
      <c r="VTB11" s="60"/>
      <c r="VTC11" s="60"/>
      <c r="VTD11" s="60"/>
      <c r="VTE11" s="60"/>
      <c r="VTF11" s="60"/>
      <c r="VTG11" s="60"/>
      <c r="VTH11" s="60"/>
      <c r="VTI11" s="60"/>
      <c r="VTJ11" s="60"/>
      <c r="VTK11" s="60"/>
      <c r="VTL11" s="60"/>
      <c r="VTM11" s="60"/>
      <c r="VTN11" s="60"/>
      <c r="VTO11" s="60"/>
      <c r="VTP11" s="60"/>
      <c r="VTQ11" s="60"/>
      <c r="VTR11" s="60"/>
      <c r="VTS11" s="60"/>
      <c r="VTT11" s="60"/>
      <c r="VTU11" s="60"/>
      <c r="VTV11" s="60"/>
      <c r="VTW11" s="60"/>
      <c r="VTX11" s="60"/>
      <c r="VTY11" s="60"/>
      <c r="VTZ11" s="60"/>
      <c r="VUA11" s="60"/>
      <c r="VUB11" s="60"/>
      <c r="VUC11" s="60"/>
      <c r="VUD11" s="60"/>
      <c r="VUE11" s="60"/>
      <c r="VUF11" s="60"/>
      <c r="VUG11" s="60"/>
      <c r="VUH11" s="60"/>
      <c r="VUI11" s="60"/>
      <c r="VUJ11" s="60"/>
      <c r="VUK11" s="60"/>
      <c r="VUL11" s="60"/>
      <c r="VUM11" s="60"/>
      <c r="VUN11" s="60"/>
      <c r="VUO11" s="60"/>
      <c r="VUP11" s="60"/>
      <c r="VUQ11" s="60"/>
      <c r="VUR11" s="60"/>
      <c r="VUS11" s="60"/>
      <c r="VUT11" s="60"/>
      <c r="VUU11" s="60"/>
      <c r="VUV11" s="60"/>
      <c r="VUW11" s="60"/>
      <c r="VUX11" s="60"/>
      <c r="VUY11" s="60"/>
      <c r="VUZ11" s="60"/>
      <c r="VVA11" s="60"/>
      <c r="VVB11" s="60"/>
      <c r="VVC11" s="60"/>
      <c r="VVD11" s="60"/>
      <c r="VVE11" s="60"/>
      <c r="VVF11" s="60"/>
      <c r="VVG11" s="60"/>
      <c r="VVH11" s="60"/>
      <c r="VVI11" s="60"/>
      <c r="VVJ11" s="60"/>
      <c r="VVK11" s="60"/>
      <c r="VVL11" s="60"/>
      <c r="VVM11" s="60"/>
      <c r="VVN11" s="60"/>
      <c r="VVO11" s="60"/>
      <c r="VVP11" s="60"/>
      <c r="VVQ11" s="60"/>
      <c r="VVR11" s="60"/>
      <c r="VVS11" s="60"/>
      <c r="VVT11" s="60"/>
      <c r="VVU11" s="60"/>
      <c r="VVV11" s="60"/>
      <c r="VVW11" s="60"/>
      <c r="VVX11" s="60"/>
      <c r="VVY11" s="60"/>
      <c r="VVZ11" s="60"/>
      <c r="VWA11" s="60"/>
      <c r="VWB11" s="60"/>
      <c r="VWC11" s="60"/>
      <c r="VWD11" s="60"/>
      <c r="VWE11" s="60"/>
      <c r="VWF11" s="60"/>
      <c r="VWG11" s="60"/>
      <c r="VWH11" s="60"/>
      <c r="VWI11" s="60"/>
      <c r="VWJ11" s="60"/>
      <c r="VWK11" s="60"/>
      <c r="VWL11" s="60"/>
      <c r="VWM11" s="60"/>
      <c r="VWN11" s="60"/>
      <c r="VWO11" s="60"/>
      <c r="VWP11" s="60"/>
      <c r="VWQ11" s="60"/>
      <c r="VWR11" s="60"/>
      <c r="VWS11" s="60"/>
      <c r="VWT11" s="60"/>
      <c r="VWU11" s="60"/>
      <c r="VWV11" s="60"/>
      <c r="VWW11" s="60"/>
      <c r="VWX11" s="60"/>
      <c r="VWY11" s="60"/>
      <c r="VWZ11" s="60"/>
      <c r="VXA11" s="60"/>
      <c r="VXB11" s="60"/>
      <c r="VXC11" s="60"/>
      <c r="VXD11" s="60"/>
      <c r="VXE11" s="60"/>
      <c r="VXF11" s="60"/>
      <c r="VXG11" s="60"/>
      <c r="VXH11" s="60"/>
      <c r="VXI11" s="60"/>
      <c r="VXJ11" s="60"/>
      <c r="VXK11" s="60"/>
      <c r="VXL11" s="60"/>
      <c r="VXM11" s="60"/>
      <c r="VXN11" s="60"/>
      <c r="VXO11" s="60"/>
      <c r="VXP11" s="60"/>
      <c r="VXQ11" s="60"/>
      <c r="VXR11" s="60"/>
      <c r="VXS11" s="60"/>
      <c r="VXT11" s="60"/>
      <c r="VXU11" s="60"/>
      <c r="VXV11" s="60"/>
      <c r="VXW11" s="60"/>
      <c r="VXX11" s="60"/>
      <c r="VXY11" s="60"/>
      <c r="VXZ11" s="60"/>
      <c r="VYA11" s="60"/>
      <c r="VYB11" s="60"/>
      <c r="VYC11" s="60"/>
      <c r="VYD11" s="60"/>
      <c r="VYE11" s="60"/>
      <c r="VYF11" s="60"/>
      <c r="VYG11" s="60"/>
      <c r="VYH11" s="60"/>
      <c r="VYI11" s="60"/>
      <c r="VYJ11" s="60"/>
      <c r="VYK11" s="60"/>
      <c r="VYL11" s="60"/>
      <c r="VYM11" s="60"/>
      <c r="VYN11" s="60"/>
      <c r="VYO11" s="60"/>
      <c r="VYP11" s="60"/>
      <c r="VYQ11" s="60"/>
      <c r="VYR11" s="60"/>
      <c r="VYS11" s="60"/>
      <c r="VYT11" s="60"/>
      <c r="VYU11" s="60"/>
      <c r="VYV11" s="60"/>
      <c r="VYW11" s="60"/>
      <c r="VYX11" s="60"/>
      <c r="VYY11" s="60"/>
      <c r="VYZ11" s="60"/>
      <c r="VZA11" s="60"/>
      <c r="VZB11" s="60"/>
      <c r="VZC11" s="60"/>
      <c r="VZD11" s="60"/>
      <c r="VZE11" s="60"/>
      <c r="VZF11" s="60"/>
      <c r="VZG11" s="60"/>
      <c r="VZH11" s="60"/>
      <c r="VZI11" s="60"/>
      <c r="VZJ11" s="60"/>
      <c r="VZK11" s="60"/>
      <c r="VZL11" s="60"/>
      <c r="VZM11" s="60"/>
      <c r="VZN11" s="60"/>
      <c r="VZO11" s="60"/>
      <c r="VZP11" s="60"/>
      <c r="VZQ11" s="60"/>
      <c r="VZR11" s="60"/>
      <c r="VZS11" s="60"/>
      <c r="VZT11" s="60"/>
      <c r="VZU11" s="60"/>
      <c r="VZV11" s="60"/>
      <c r="VZW11" s="60"/>
      <c r="VZX11" s="60"/>
      <c r="VZY11" s="60"/>
      <c r="VZZ11" s="60"/>
      <c r="WAA11" s="60"/>
      <c r="WAB11" s="60"/>
      <c r="WAC11" s="60"/>
      <c r="WAD11" s="60"/>
      <c r="WAE11" s="60"/>
      <c r="WAF11" s="60"/>
      <c r="WAG11" s="60"/>
      <c r="WAH11" s="60"/>
      <c r="WAI11" s="60"/>
      <c r="WAJ11" s="60"/>
      <c r="WAK11" s="60"/>
      <c r="WAL11" s="60"/>
      <c r="WAM11" s="60"/>
      <c r="WAN11" s="60"/>
      <c r="WAO11" s="60"/>
      <c r="WAP11" s="60"/>
      <c r="WAQ11" s="60"/>
      <c r="WAR11" s="60"/>
      <c r="WAS11" s="60"/>
      <c r="WAT11" s="60"/>
      <c r="WAU11" s="60"/>
      <c r="WAV11" s="60"/>
      <c r="WAW11" s="60"/>
      <c r="WAX11" s="60"/>
      <c r="WAY11" s="60"/>
      <c r="WAZ11" s="60"/>
      <c r="WBA11" s="60"/>
      <c r="WBB11" s="60"/>
      <c r="WBC11" s="60"/>
      <c r="WBD11" s="60"/>
      <c r="WBE11" s="60"/>
      <c r="WBF11" s="60"/>
      <c r="WBG11" s="60"/>
      <c r="WBH11" s="60"/>
      <c r="WBI11" s="60"/>
      <c r="WBJ11" s="60"/>
      <c r="WBK11" s="60"/>
      <c r="WBL11" s="60"/>
      <c r="WBM11" s="60"/>
      <c r="WBN11" s="60"/>
      <c r="WBO11" s="60"/>
      <c r="WBP11" s="60"/>
      <c r="WBQ11" s="60"/>
      <c r="WBR11" s="60"/>
      <c r="WBS11" s="60"/>
      <c r="WBT11" s="60"/>
      <c r="WBU11" s="60"/>
      <c r="WBV11" s="60"/>
      <c r="WBW11" s="60"/>
      <c r="WBX11" s="60"/>
      <c r="WBY11" s="60"/>
      <c r="WBZ11" s="60"/>
      <c r="WCA11" s="60"/>
      <c r="WCB11" s="60"/>
      <c r="WCC11" s="60"/>
      <c r="WCD11" s="60"/>
      <c r="WCE11" s="60"/>
      <c r="WCF11" s="60"/>
      <c r="WCG11" s="60"/>
      <c r="WCH11" s="60"/>
      <c r="WCI11" s="60"/>
      <c r="WCJ11" s="60"/>
      <c r="WCK11" s="60"/>
      <c r="WCL11" s="60"/>
      <c r="WCM11" s="60"/>
      <c r="WCN11" s="60"/>
      <c r="WCO11" s="60"/>
      <c r="WCP11" s="60"/>
      <c r="WCQ11" s="60"/>
      <c r="WCR11" s="60"/>
      <c r="WCS11" s="60"/>
      <c r="WCT11" s="60"/>
      <c r="WCU11" s="60"/>
      <c r="WCV11" s="60"/>
      <c r="WCW11" s="60"/>
      <c r="WCX11" s="60"/>
      <c r="WCY11" s="60"/>
      <c r="WCZ11" s="60"/>
      <c r="WDA11" s="60"/>
      <c r="WDB11" s="60"/>
      <c r="WDC11" s="60"/>
      <c r="WDD11" s="60"/>
      <c r="WDE11" s="60"/>
      <c r="WDF11" s="60"/>
      <c r="WDG11" s="60"/>
      <c r="WDH11" s="60"/>
      <c r="WDI11" s="60"/>
      <c r="WDJ11" s="60"/>
      <c r="WDK11" s="60"/>
      <c r="WDL11" s="60"/>
      <c r="WDM11" s="60"/>
      <c r="WDN11" s="60"/>
      <c r="WDO11" s="60"/>
      <c r="WDP11" s="60"/>
      <c r="WDQ11" s="60"/>
      <c r="WDR11" s="60"/>
      <c r="WDS11" s="60"/>
      <c r="WDT11" s="60"/>
      <c r="WDU11" s="60"/>
      <c r="WDV11" s="60"/>
      <c r="WDW11" s="60"/>
      <c r="WDX11" s="60"/>
      <c r="WDY11" s="60"/>
      <c r="WDZ11" s="60"/>
      <c r="WEA11" s="60"/>
      <c r="WEB11" s="60"/>
      <c r="WEC11" s="60"/>
      <c r="WED11" s="60"/>
      <c r="WEE11" s="60"/>
      <c r="WEF11" s="60"/>
      <c r="WEG11" s="60"/>
      <c r="WEH11" s="60"/>
      <c r="WEI11" s="60"/>
      <c r="WEJ11" s="60"/>
      <c r="WEK11" s="60"/>
      <c r="WEL11" s="60"/>
      <c r="WEM11" s="60"/>
      <c r="WEN11" s="60"/>
      <c r="WEO11" s="60"/>
      <c r="WEP11" s="60"/>
      <c r="WEQ11" s="60"/>
      <c r="WER11" s="60"/>
      <c r="WES11" s="60"/>
      <c r="WET11" s="60"/>
      <c r="WEU11" s="60"/>
      <c r="WEV11" s="60"/>
      <c r="WEW11" s="60"/>
      <c r="WEX11" s="60"/>
      <c r="WEY11" s="60"/>
      <c r="WEZ11" s="60"/>
      <c r="WFA11" s="60"/>
      <c r="WFB11" s="60"/>
      <c r="WFC11" s="60"/>
      <c r="WFD11" s="60"/>
      <c r="WFE11" s="60"/>
      <c r="WFF11" s="60"/>
      <c r="WFG11" s="60"/>
      <c r="WFH11" s="60"/>
      <c r="WFI11" s="60"/>
      <c r="WFJ11" s="60"/>
      <c r="WFK11" s="60"/>
      <c r="WFL11" s="60"/>
      <c r="WFM11" s="60"/>
      <c r="WFN11" s="60"/>
      <c r="WFO11" s="60"/>
      <c r="WFP11" s="60"/>
      <c r="WFQ11" s="60"/>
      <c r="WFR11" s="60"/>
      <c r="WFS11" s="60"/>
      <c r="WFT11" s="60"/>
      <c r="WFU11" s="60"/>
      <c r="WFV11" s="60"/>
      <c r="WFW11" s="60"/>
      <c r="WFX11" s="60"/>
      <c r="WFY11" s="60"/>
      <c r="WFZ11" s="60"/>
      <c r="WGA11" s="60"/>
      <c r="WGB11" s="60"/>
      <c r="WGC11" s="60"/>
      <c r="WGD11" s="60"/>
      <c r="WGE11" s="60"/>
      <c r="WGF11" s="60"/>
      <c r="WGG11" s="60"/>
      <c r="WGH11" s="60"/>
      <c r="WGI11" s="60"/>
      <c r="WGJ11" s="60"/>
      <c r="WGK11" s="60"/>
      <c r="WGL11" s="60"/>
      <c r="WGM11" s="60"/>
      <c r="WGN11" s="60"/>
      <c r="WGO11" s="60"/>
      <c r="WGP11" s="60"/>
      <c r="WGQ11" s="60"/>
      <c r="WGR11" s="60"/>
      <c r="WGS11" s="60"/>
      <c r="WGT11" s="60"/>
      <c r="WGU11" s="60"/>
      <c r="WGV11" s="60"/>
      <c r="WGW11" s="60"/>
      <c r="WGX11" s="60"/>
      <c r="WGY11" s="60"/>
      <c r="WGZ11" s="60"/>
      <c r="WHA11" s="60"/>
      <c r="WHB11" s="60"/>
      <c r="WHC11" s="60"/>
      <c r="WHD11" s="60"/>
      <c r="WHE11" s="60"/>
      <c r="WHF11" s="60"/>
      <c r="WHG11" s="60"/>
      <c r="WHH11" s="60"/>
      <c r="WHI11" s="60"/>
      <c r="WHJ11" s="60"/>
      <c r="WHK11" s="60"/>
      <c r="WHL11" s="60"/>
      <c r="WHM11" s="60"/>
      <c r="WHN11" s="60"/>
      <c r="WHO11" s="60"/>
      <c r="WHP11" s="60"/>
      <c r="WHQ11" s="60"/>
      <c r="WHR11" s="60"/>
      <c r="WHS11" s="60"/>
      <c r="WHT11" s="60"/>
      <c r="WHU11" s="60"/>
      <c r="WHV11" s="60"/>
      <c r="WHW11" s="60"/>
      <c r="WHX11" s="60"/>
      <c r="WHY11" s="60"/>
      <c r="WHZ11" s="60"/>
      <c r="WIA11" s="60"/>
      <c r="WIB11" s="60"/>
      <c r="WIC11" s="60"/>
      <c r="WID11" s="60"/>
      <c r="WIE11" s="60"/>
      <c r="WIF11" s="60"/>
      <c r="WIG11" s="60"/>
      <c r="WIH11" s="60"/>
      <c r="WII11" s="60"/>
      <c r="WIJ11" s="60"/>
      <c r="WIK11" s="60"/>
      <c r="WIL11" s="60"/>
      <c r="WIM11" s="60"/>
      <c r="WIN11" s="60"/>
      <c r="WIO11" s="60"/>
      <c r="WIP11" s="60"/>
      <c r="WIQ11" s="60"/>
      <c r="WIR11" s="60"/>
      <c r="WIS11" s="60"/>
      <c r="WIT11" s="60"/>
      <c r="WIU11" s="60"/>
      <c r="WIV11" s="60"/>
      <c r="WIW11" s="60"/>
      <c r="WIX11" s="60"/>
      <c r="WIY11" s="60"/>
      <c r="WIZ11" s="60"/>
      <c r="WJA11" s="60"/>
      <c r="WJB11" s="60"/>
      <c r="WJC11" s="60"/>
      <c r="WJD11" s="60"/>
      <c r="WJE11" s="60"/>
      <c r="WJF11" s="60"/>
      <c r="WJG11" s="60"/>
      <c r="WJH11" s="60"/>
      <c r="WJI11" s="60"/>
      <c r="WJJ11" s="60"/>
      <c r="WJK11" s="60"/>
      <c r="WJL11" s="60"/>
      <c r="WJM11" s="60"/>
      <c r="WJN11" s="60"/>
      <c r="WJO11" s="60"/>
      <c r="WJP11" s="60"/>
      <c r="WJQ11" s="60"/>
      <c r="WJR11" s="60"/>
      <c r="WJS11" s="60"/>
      <c r="WJT11" s="60"/>
      <c r="WJU11" s="60"/>
      <c r="WJV11" s="60"/>
      <c r="WJW11" s="60"/>
      <c r="WJX11" s="60"/>
      <c r="WJY11" s="60"/>
      <c r="WJZ11" s="60"/>
      <c r="WKA11" s="60"/>
      <c r="WKB11" s="60"/>
      <c r="WKC11" s="60"/>
      <c r="WKD11" s="60"/>
      <c r="WKE11" s="60"/>
      <c r="WKF11" s="60"/>
      <c r="WKG11" s="60"/>
      <c r="WKH11" s="60"/>
      <c r="WKI11" s="60"/>
      <c r="WKJ11" s="60"/>
      <c r="WKK11" s="60"/>
      <c r="WKL11" s="60"/>
      <c r="WKM11" s="60"/>
      <c r="WKN11" s="60"/>
      <c r="WKO11" s="60"/>
      <c r="WKP11" s="60"/>
      <c r="WKQ11" s="60"/>
      <c r="WKR11" s="60"/>
      <c r="WKS11" s="60"/>
      <c r="WKT11" s="60"/>
      <c r="WKU11" s="60"/>
      <c r="WKV11" s="60"/>
      <c r="WKW11" s="60"/>
      <c r="WKX11" s="60"/>
      <c r="WKY11" s="60"/>
      <c r="WKZ11" s="60"/>
      <c r="WLA11" s="60"/>
      <c r="WLB11" s="60"/>
      <c r="WLC11" s="60"/>
      <c r="WLD11" s="60"/>
      <c r="WLE11" s="60"/>
      <c r="WLF11" s="60"/>
      <c r="WLG11" s="60"/>
      <c r="WLH11" s="60"/>
      <c r="WLI11" s="60"/>
      <c r="WLJ11" s="60"/>
      <c r="WLK11" s="60"/>
      <c r="WLL11" s="60"/>
      <c r="WLM11" s="60"/>
      <c r="WLN11" s="60"/>
      <c r="WLO11" s="60"/>
      <c r="WLP11" s="60"/>
      <c r="WLQ11" s="60"/>
      <c r="WLR11" s="60"/>
      <c r="WLS11" s="60"/>
      <c r="WLT11" s="60"/>
      <c r="WLU11" s="60"/>
      <c r="WLV11" s="60"/>
      <c r="WLW11" s="60"/>
      <c r="WLX11" s="60"/>
      <c r="WLY11" s="60"/>
      <c r="WLZ11" s="60"/>
      <c r="WMA11" s="60"/>
      <c r="WMB11" s="60"/>
      <c r="WMC11" s="60"/>
      <c r="WMD11" s="60"/>
      <c r="WME11" s="60"/>
      <c r="WMF11" s="60"/>
      <c r="WMG11" s="60"/>
      <c r="WMH11" s="60"/>
      <c r="WMI11" s="60"/>
      <c r="WMJ11" s="60"/>
      <c r="WMK11" s="60"/>
      <c r="WML11" s="60"/>
      <c r="WMM11" s="60"/>
      <c r="WMN11" s="60"/>
      <c r="WMO11" s="60"/>
      <c r="WMP11" s="60"/>
      <c r="WMQ11" s="60"/>
      <c r="WMR11" s="60"/>
      <c r="WMS11" s="60"/>
      <c r="WMT11" s="60"/>
      <c r="WMU11" s="60"/>
      <c r="WMV11" s="60"/>
      <c r="WMW11" s="60"/>
      <c r="WMX11" s="60"/>
      <c r="WMY11" s="60"/>
      <c r="WMZ11" s="60"/>
      <c r="WNA11" s="60"/>
      <c r="WNB11" s="60"/>
      <c r="WNC11" s="60"/>
      <c r="WND11" s="60"/>
      <c r="WNE11" s="60"/>
      <c r="WNF11" s="60"/>
      <c r="WNG11" s="60"/>
      <c r="WNH11" s="60"/>
      <c r="WNI11" s="60"/>
      <c r="WNJ11" s="60"/>
      <c r="WNK11" s="60"/>
      <c r="WNL11" s="60"/>
      <c r="WNM11" s="60"/>
      <c r="WNN11" s="60"/>
      <c r="WNO11" s="60"/>
      <c r="WNP11" s="60"/>
      <c r="WNQ11" s="60"/>
      <c r="WNR11" s="60"/>
      <c r="WNS11" s="60"/>
      <c r="WNT11" s="60"/>
      <c r="WNU11" s="60"/>
      <c r="WNV11" s="60"/>
      <c r="WNW11" s="60"/>
      <c r="WNX11" s="60"/>
      <c r="WNY11" s="60"/>
      <c r="WNZ11" s="60"/>
      <c r="WOA11" s="60"/>
      <c r="WOB11" s="60"/>
      <c r="WOC11" s="60"/>
      <c r="WOD11" s="60"/>
      <c r="WOE11" s="60"/>
      <c r="WOF11" s="60"/>
      <c r="WOG11" s="60"/>
      <c r="WOH11" s="60"/>
      <c r="WOI11" s="60"/>
      <c r="WOJ11" s="60"/>
      <c r="WOK11" s="60"/>
      <c r="WOL11" s="60"/>
      <c r="WOM11" s="60"/>
      <c r="WON11" s="60"/>
      <c r="WOO11" s="60"/>
      <c r="WOP11" s="60"/>
      <c r="WOQ11" s="60"/>
      <c r="WOR11" s="60"/>
      <c r="WOS11" s="60"/>
      <c r="WOT11" s="60"/>
      <c r="WOU11" s="60"/>
      <c r="WOV11" s="60"/>
      <c r="WOW11" s="60"/>
      <c r="WOX11" s="60"/>
      <c r="WOY11" s="60"/>
      <c r="WOZ11" s="60"/>
      <c r="WPA11" s="60"/>
      <c r="WPB11" s="60"/>
      <c r="WPC11" s="60"/>
      <c r="WPD11" s="60"/>
      <c r="WPE11" s="60"/>
      <c r="WPF11" s="60"/>
      <c r="WPG11" s="60"/>
      <c r="WPH11" s="60"/>
      <c r="WPI11" s="60"/>
      <c r="WPJ11" s="60"/>
      <c r="WPK11" s="60"/>
      <c r="WPL11" s="60"/>
      <c r="WPM11" s="60"/>
      <c r="WPN11" s="60"/>
      <c r="WPO11" s="60"/>
      <c r="WPP11" s="60"/>
      <c r="WPQ11" s="60"/>
      <c r="WPR11" s="60"/>
      <c r="WPS11" s="60"/>
      <c r="WPT11" s="60"/>
      <c r="WPU11" s="60"/>
      <c r="WPV11" s="60"/>
      <c r="WPW11" s="60"/>
      <c r="WPX11" s="60"/>
      <c r="WPY11" s="60"/>
      <c r="WPZ11" s="60"/>
      <c r="WQA11" s="60"/>
      <c r="WQB11" s="60"/>
      <c r="WQC11" s="60"/>
      <c r="WQD11" s="60"/>
      <c r="WQE11" s="60"/>
      <c r="WQF11" s="60"/>
      <c r="WQG11" s="60"/>
      <c r="WQH11" s="60"/>
      <c r="WQI11" s="60"/>
      <c r="WQJ11" s="60"/>
      <c r="WQK11" s="60"/>
      <c r="WQL11" s="60"/>
      <c r="WQM11" s="60"/>
      <c r="WQN11" s="60"/>
      <c r="WQO11" s="60"/>
      <c r="WQP11" s="60"/>
      <c r="WQQ11" s="60"/>
      <c r="WQR11" s="60"/>
      <c r="WQS11" s="60"/>
      <c r="WQT11" s="60"/>
      <c r="WQU11" s="60"/>
      <c r="WQV11" s="60"/>
      <c r="WQW11" s="60"/>
      <c r="WQX11" s="60"/>
      <c r="WQY11" s="60"/>
      <c r="WQZ11" s="60"/>
      <c r="WRA11" s="60"/>
      <c r="WRB11" s="60"/>
      <c r="WRC11" s="60"/>
      <c r="WRD11" s="60"/>
      <c r="WRE11" s="60"/>
      <c r="WRF11" s="60"/>
      <c r="WRG11" s="60"/>
      <c r="WRH11" s="60"/>
      <c r="WRI11" s="60"/>
      <c r="WRJ11" s="60"/>
      <c r="WRK11" s="60"/>
      <c r="WRL11" s="60"/>
      <c r="WRM11" s="60"/>
      <c r="WRN11" s="60"/>
      <c r="WRO11" s="60"/>
      <c r="WRP11" s="60"/>
      <c r="WRQ11" s="60"/>
      <c r="WRR11" s="60"/>
      <c r="WRS11" s="60"/>
      <c r="WRT11" s="60"/>
      <c r="WRU11" s="60"/>
      <c r="WRV11" s="60"/>
      <c r="WRW11" s="60"/>
      <c r="WRX11" s="60"/>
      <c r="WRY11" s="60"/>
      <c r="WRZ11" s="60"/>
      <c r="WSA11" s="60"/>
      <c r="WSB11" s="60"/>
      <c r="WSC11" s="60"/>
      <c r="WSD11" s="60"/>
      <c r="WSE11" s="60"/>
      <c r="WSF11" s="60"/>
      <c r="WSG11" s="60"/>
      <c r="WSH11" s="60"/>
      <c r="WSI11" s="60"/>
      <c r="WSJ11" s="60"/>
      <c r="WSK11" s="60"/>
      <c r="WSL11" s="60"/>
      <c r="WSM11" s="60"/>
      <c r="WSN11" s="60"/>
      <c r="WSO11" s="60"/>
      <c r="WSP11" s="60"/>
      <c r="WSQ11" s="60"/>
      <c r="WSR11" s="60"/>
      <c r="WSS11" s="60"/>
      <c r="WST11" s="60"/>
      <c r="WSU11" s="60"/>
      <c r="WSV11" s="60"/>
      <c r="WSW11" s="60"/>
      <c r="WSX11" s="60"/>
      <c r="WSY11" s="60"/>
      <c r="WSZ11" s="60"/>
      <c r="WTA11" s="60"/>
      <c r="WTB11" s="60"/>
      <c r="WTC11" s="60"/>
      <c r="WTD11" s="60"/>
      <c r="WTE11" s="60"/>
      <c r="WTF11" s="60"/>
      <c r="WTG11" s="60"/>
      <c r="WTH11" s="60"/>
      <c r="WTI11" s="60"/>
      <c r="WTJ11" s="60"/>
      <c r="WTK11" s="60"/>
      <c r="WTL11" s="60"/>
      <c r="WTM11" s="60"/>
      <c r="WTN11" s="60"/>
      <c r="WTO11" s="60"/>
      <c r="WTP11" s="60"/>
      <c r="WTQ11" s="60"/>
      <c r="WTR11" s="60"/>
      <c r="WTS11" s="60"/>
      <c r="WTT11" s="60"/>
      <c r="WTU11" s="60"/>
      <c r="WTV11" s="60"/>
      <c r="WTW11" s="60"/>
      <c r="WTX11" s="60"/>
      <c r="WTY11" s="60"/>
      <c r="WTZ11" s="60"/>
      <c r="WUA11" s="60"/>
      <c r="WUB11" s="60"/>
      <c r="WUC11" s="60"/>
      <c r="WUD11" s="60"/>
      <c r="WUE11" s="60"/>
      <c r="WUF11" s="60"/>
      <c r="WUG11" s="60"/>
      <c r="WUH11" s="60"/>
      <c r="WUI11" s="60"/>
      <c r="WUJ11" s="60"/>
      <c r="WUK11" s="60"/>
      <c r="WUL11" s="60"/>
      <c r="WUM11" s="60"/>
      <c r="WUN11" s="60"/>
      <c r="WUO11" s="60"/>
      <c r="WUP11" s="60"/>
      <c r="WUQ11" s="60"/>
      <c r="WUR11" s="60"/>
      <c r="WUS11" s="60"/>
      <c r="WUT11" s="60"/>
      <c r="WUU11" s="60"/>
      <c r="WUV11" s="60"/>
      <c r="WUW11" s="60"/>
      <c r="WUX11" s="60"/>
      <c r="WUY11" s="60"/>
      <c r="WUZ11" s="60"/>
      <c r="WVA11" s="60"/>
      <c r="WVB11" s="60"/>
      <c r="WVC11" s="60"/>
      <c r="WVD11" s="60"/>
      <c r="WVE11" s="60"/>
      <c r="WVF11" s="60"/>
      <c r="WVG11" s="60"/>
      <c r="WVH11" s="60"/>
      <c r="WVI11" s="60"/>
      <c r="WVJ11" s="60"/>
      <c r="WVK11" s="60"/>
      <c r="WVL11" s="60"/>
      <c r="WVM11" s="60"/>
      <c r="WVN11" s="60"/>
      <c r="WVO11" s="60"/>
      <c r="WVP11" s="60"/>
      <c r="WVQ11" s="60"/>
      <c r="WVR11" s="60"/>
      <c r="WVS11" s="60"/>
      <c r="WVT11" s="60"/>
      <c r="WVU11" s="60"/>
      <c r="WVV11" s="60"/>
      <c r="WVW11" s="60"/>
      <c r="WVX11" s="60"/>
      <c r="WVY11" s="60"/>
      <c r="WVZ11" s="60"/>
      <c r="WWA11" s="60"/>
      <c r="WWB11" s="60"/>
      <c r="WWC11" s="60"/>
      <c r="WWD11" s="60"/>
      <c r="WWE11" s="60"/>
      <c r="WWF11" s="60"/>
      <c r="WWG11" s="60"/>
      <c r="WWH11" s="60"/>
      <c r="WWI11" s="60"/>
      <c r="WWJ11" s="60"/>
      <c r="WWK11" s="60"/>
      <c r="WWL11" s="60"/>
      <c r="WWM11" s="60"/>
      <c r="WWN11" s="60"/>
      <c r="WWO11" s="60"/>
      <c r="WWP11" s="60"/>
      <c r="WWQ11" s="60"/>
      <c r="WWR11" s="60"/>
      <c r="WWS11" s="60"/>
      <c r="WWT11" s="60"/>
      <c r="WWU11" s="60"/>
      <c r="WWV11" s="60"/>
      <c r="WWW11" s="60"/>
      <c r="WWX11" s="60"/>
      <c r="WWY11" s="60"/>
      <c r="WWZ11" s="60"/>
      <c r="WXA11" s="60"/>
      <c r="WXB11" s="60"/>
      <c r="WXC11" s="60"/>
      <c r="WXD11" s="60"/>
      <c r="WXE11" s="60"/>
      <c r="WXF11" s="60"/>
      <c r="WXG11" s="60"/>
      <c r="WXH11" s="60"/>
      <c r="WXI11" s="60"/>
      <c r="WXJ11" s="60"/>
      <c r="WXK11" s="60"/>
      <c r="WXL11" s="60"/>
      <c r="WXM11" s="60"/>
      <c r="WXN11" s="60"/>
      <c r="WXO11" s="60"/>
      <c r="WXP11" s="60"/>
      <c r="WXQ11" s="60"/>
      <c r="WXR11" s="60"/>
      <c r="WXS11" s="60"/>
      <c r="WXT11" s="60"/>
      <c r="WXU11" s="60"/>
      <c r="WXV11" s="60"/>
      <c r="WXW11" s="60"/>
      <c r="WXX11" s="60"/>
      <c r="WXY11" s="60"/>
      <c r="WXZ11" s="60"/>
      <c r="WYA11" s="60"/>
      <c r="WYB11" s="60"/>
      <c r="WYC11" s="60"/>
      <c r="WYD11" s="60"/>
      <c r="WYE11" s="60"/>
      <c r="WYF11" s="60"/>
      <c r="WYG11" s="60"/>
      <c r="WYH11" s="60"/>
      <c r="WYI11" s="60"/>
      <c r="WYJ11" s="60"/>
      <c r="WYK11" s="60"/>
      <c r="WYL11" s="60"/>
      <c r="WYM11" s="60"/>
      <c r="WYN11" s="60"/>
      <c r="WYO11" s="60"/>
      <c r="WYP11" s="60"/>
      <c r="WYQ11" s="60"/>
      <c r="WYR11" s="60"/>
      <c r="WYS11" s="60"/>
      <c r="WYT11" s="60"/>
      <c r="WYU11" s="60"/>
      <c r="WYV11" s="60"/>
      <c r="WYW11" s="60"/>
      <c r="WYX11" s="60"/>
      <c r="WYY11" s="60"/>
      <c r="WYZ11" s="60"/>
      <c r="WZA11" s="60"/>
      <c r="WZB11" s="60"/>
      <c r="WZC11" s="60"/>
      <c r="WZD11" s="60"/>
      <c r="WZE11" s="60"/>
      <c r="WZF11" s="60"/>
      <c r="WZG11" s="60"/>
      <c r="WZH11" s="60"/>
      <c r="WZI11" s="60"/>
      <c r="WZJ11" s="60"/>
      <c r="WZK11" s="60"/>
      <c r="WZL11" s="60"/>
      <c r="WZM11" s="60"/>
      <c r="WZN11" s="60"/>
      <c r="WZO11" s="60"/>
      <c r="WZP11" s="60"/>
      <c r="WZQ11" s="60"/>
      <c r="WZR11" s="60"/>
      <c r="WZS11" s="60"/>
      <c r="WZT11" s="60"/>
      <c r="WZU11" s="60"/>
      <c r="WZV11" s="60"/>
      <c r="WZW11" s="60"/>
      <c r="WZX11" s="60"/>
      <c r="WZY11" s="60"/>
      <c r="WZZ11" s="60"/>
      <c r="XAA11" s="60"/>
      <c r="XAB11" s="60"/>
      <c r="XAC11" s="60"/>
      <c r="XAD11" s="60"/>
      <c r="XAE11" s="60"/>
      <c r="XAF11" s="60"/>
      <c r="XAG11" s="60"/>
      <c r="XAH11" s="60"/>
      <c r="XAI11" s="60"/>
      <c r="XAJ11" s="60"/>
      <c r="XAK11" s="60"/>
      <c r="XAL11" s="60"/>
      <c r="XAM11" s="60"/>
      <c r="XAN11" s="60"/>
      <c r="XAO11" s="60"/>
      <c r="XAP11" s="60"/>
      <c r="XAQ11" s="60"/>
      <c r="XAR11" s="60"/>
      <c r="XAS11" s="60"/>
      <c r="XAT11" s="60"/>
      <c r="XAU11" s="60"/>
      <c r="XAV11" s="60"/>
      <c r="XAW11" s="60"/>
      <c r="XAX11" s="60"/>
      <c r="XAY11" s="60"/>
      <c r="XAZ11" s="60"/>
      <c r="XBA11" s="60"/>
      <c r="XBB11" s="60"/>
      <c r="XBC11" s="60"/>
      <c r="XBD11" s="60"/>
      <c r="XBE11" s="60"/>
      <c r="XBF11" s="60"/>
      <c r="XBG11" s="60"/>
      <c r="XBH11" s="60"/>
      <c r="XBI11" s="60"/>
      <c r="XBJ11" s="60"/>
      <c r="XBK11" s="60"/>
      <c r="XBL11" s="60"/>
      <c r="XBM11" s="60"/>
      <c r="XBN11" s="60"/>
      <c r="XBO11" s="60"/>
      <c r="XBP11" s="60"/>
      <c r="XBQ11" s="60"/>
      <c r="XBR11" s="60"/>
      <c r="XBS11" s="60"/>
      <c r="XBT11" s="60"/>
      <c r="XBU11" s="60"/>
      <c r="XBV11" s="60"/>
      <c r="XBW11" s="60"/>
      <c r="XBX11" s="60"/>
      <c r="XBY11" s="60"/>
      <c r="XBZ11" s="60"/>
      <c r="XCA11" s="60"/>
      <c r="XCB11" s="60"/>
      <c r="XCC11" s="60"/>
      <c r="XCD11" s="60"/>
      <c r="XCE11" s="60"/>
      <c r="XCF11" s="60"/>
      <c r="XCG11" s="60"/>
      <c r="XCH11" s="60"/>
      <c r="XCI11" s="60"/>
      <c r="XCJ11" s="60"/>
      <c r="XCK11" s="60"/>
      <c r="XCL11" s="60"/>
      <c r="XCM11" s="60"/>
      <c r="XCN11" s="60"/>
      <c r="XCO11" s="60"/>
      <c r="XCP11" s="60"/>
      <c r="XCQ11" s="60"/>
      <c r="XCR11" s="60"/>
      <c r="XCS11" s="60"/>
      <c r="XCT11" s="60"/>
      <c r="XCU11" s="60"/>
      <c r="XCV11" s="60"/>
      <c r="XCW11" s="60"/>
      <c r="XCX11" s="60"/>
      <c r="XCY11" s="60"/>
      <c r="XCZ11" s="60"/>
      <c r="XDA11" s="60"/>
      <c r="XDB11" s="60"/>
      <c r="XDC11" s="60"/>
      <c r="XDD11" s="60"/>
      <c r="XDE11" s="60"/>
      <c r="XDF11" s="60"/>
      <c r="XDG11" s="60"/>
      <c r="XDH11" s="60"/>
      <c r="XDI11" s="60"/>
      <c r="XDJ11" s="60"/>
      <c r="XDK11" s="60"/>
      <c r="XDL11" s="60"/>
      <c r="XDM11" s="60"/>
      <c r="XDN11" s="60"/>
      <c r="XDO11" s="60"/>
      <c r="XDP11" s="60"/>
      <c r="XDQ11" s="60"/>
      <c r="XDR11" s="60"/>
      <c r="XDS11" s="60"/>
      <c r="XDT11" s="60"/>
      <c r="XDU11" s="60"/>
      <c r="XDV11" s="60"/>
      <c r="XDW11" s="60"/>
      <c r="XDX11" s="60"/>
      <c r="XDY11" s="60"/>
      <c r="XDZ11" s="60"/>
      <c r="XEA11" s="60"/>
      <c r="XEB11" s="60"/>
      <c r="XEC11" s="60"/>
      <c r="XED11" s="60"/>
      <c r="XEE11" s="60"/>
      <c r="XEF11" s="60"/>
      <c r="XEG11" s="60"/>
      <c r="XEH11" s="60"/>
      <c r="XEI11" s="60"/>
      <c r="XEJ11" s="60"/>
      <c r="XEK11" s="60"/>
      <c r="XEL11" s="60"/>
      <c r="XEM11" s="60"/>
      <c r="XEN11" s="60"/>
      <c r="XEO11" s="60"/>
      <c r="XEP11" s="60"/>
      <c r="XEQ11" s="60"/>
      <c r="XER11" s="60"/>
      <c r="XES11" s="60"/>
      <c r="XET11" s="60"/>
      <c r="XEU11" s="60"/>
      <c r="XEV11" s="60"/>
      <c r="XEW11" s="60"/>
      <c r="XEX11" s="60"/>
      <c r="XEY11" s="60"/>
      <c r="XEZ11" s="60"/>
      <c r="XFA11" s="60"/>
      <c r="XFB11" s="60"/>
    </row>
    <row r="12" spans="1:16382" s="60" customFormat="1" x14ac:dyDescent="0.35">
      <c r="A12" s="113" t="s">
        <v>237</v>
      </c>
      <c r="B12" s="114" t="s">
        <v>0</v>
      </c>
      <c r="C12" s="113"/>
      <c r="D12" s="113"/>
      <c r="E12" s="114" t="s">
        <v>77</v>
      </c>
      <c r="F12" s="58" t="s">
        <v>99</v>
      </c>
      <c r="G12" s="114" t="s">
        <v>47</v>
      </c>
      <c r="H12" s="114" t="s">
        <v>238</v>
      </c>
      <c r="I12" s="98" t="s">
        <v>182</v>
      </c>
      <c r="J12" s="115"/>
      <c r="K12" s="115"/>
      <c r="L12" s="116"/>
      <c r="M12" s="117">
        <v>0</v>
      </c>
      <c r="N12" s="118">
        <v>1000</v>
      </c>
      <c r="O12" s="28">
        <f>+N12*M12</f>
        <v>0</v>
      </c>
      <c r="P12" s="28"/>
      <c r="Q12" s="28"/>
      <c r="R12" s="28"/>
      <c r="S12" s="28">
        <f>+O12+P12+Q12+R12</f>
        <v>0</v>
      </c>
      <c r="T12" s="116" t="s">
        <v>236</v>
      </c>
      <c r="U12" s="65"/>
      <c r="V12" s="116" t="s">
        <v>324</v>
      </c>
      <c r="W12" s="116"/>
    </row>
    <row r="13" spans="1:16382" s="60" customFormat="1" x14ac:dyDescent="0.35">
      <c r="A13" s="113" t="s">
        <v>325</v>
      </c>
      <c r="B13" s="114" t="s">
        <v>0</v>
      </c>
      <c r="C13" s="113"/>
      <c r="D13" s="113"/>
      <c r="E13" s="114" t="s">
        <v>77</v>
      </c>
      <c r="F13" s="58" t="s">
        <v>99</v>
      </c>
      <c r="G13" s="114" t="s">
        <v>180</v>
      </c>
      <c r="H13" s="114" t="s">
        <v>10</v>
      </c>
      <c r="I13" s="98" t="s">
        <v>182</v>
      </c>
      <c r="J13" s="115"/>
      <c r="K13" s="115"/>
      <c r="L13" s="116"/>
      <c r="M13" s="117">
        <v>0</v>
      </c>
      <c r="N13" s="118">
        <v>3000</v>
      </c>
      <c r="O13" s="28">
        <f>+N13*M13</f>
        <v>0</v>
      </c>
      <c r="P13" s="28"/>
      <c r="Q13" s="28"/>
      <c r="R13" s="28"/>
      <c r="S13" s="28">
        <f>+O13+P13+Q13+R13</f>
        <v>0</v>
      </c>
      <c r="T13" s="116"/>
      <c r="U13" s="116"/>
      <c r="V13" s="60" t="s">
        <v>182</v>
      </c>
      <c r="X13" s="65"/>
      <c r="Y13" s="65"/>
      <c r="Z13" s="65"/>
      <c r="AA13" s="65"/>
      <c r="AB13" s="65"/>
      <c r="AC13" s="65"/>
      <c r="AD13" s="65"/>
      <c r="AE13" s="65"/>
      <c r="AF13" s="65"/>
    </row>
    <row r="14" spans="1:16382" s="60" customFormat="1" x14ac:dyDescent="0.35">
      <c r="A14" s="57" t="s">
        <v>14</v>
      </c>
      <c r="B14" s="58" t="s">
        <v>0</v>
      </c>
      <c r="C14" s="57"/>
      <c r="D14" s="131">
        <v>46094</v>
      </c>
      <c r="E14" s="58" t="s">
        <v>88</v>
      </c>
      <c r="F14" s="58" t="s">
        <v>48</v>
      </c>
      <c r="G14" s="58" t="s">
        <v>38</v>
      </c>
      <c r="H14" s="58" t="s">
        <v>9</v>
      </c>
      <c r="I14" s="59" t="s">
        <v>182</v>
      </c>
      <c r="J14" s="59"/>
      <c r="K14" s="59"/>
      <c r="M14" s="61">
        <v>0</v>
      </c>
      <c r="N14" s="62">
        <v>300000</v>
      </c>
      <c r="O14" s="20">
        <f>+N14*M14</f>
        <v>0</v>
      </c>
      <c r="P14" s="20"/>
      <c r="Q14" s="20"/>
      <c r="R14" s="20"/>
      <c r="S14" s="20">
        <f>+O14+P14+Q14+R14</f>
        <v>0</v>
      </c>
      <c r="T14" s="20"/>
      <c r="V14" s="60" t="s">
        <v>393</v>
      </c>
      <c r="Z14" s="65"/>
      <c r="AA14" s="65"/>
      <c r="AB14" s="65"/>
      <c r="AC14" s="65"/>
      <c r="AD14" s="65"/>
      <c r="AE14" s="65"/>
      <c r="AF14" s="65"/>
      <c r="AG14" s="127"/>
      <c r="AH14" s="127"/>
    </row>
    <row r="15" spans="1:16382" s="4" customFormat="1" ht="29" x14ac:dyDescent="0.35">
      <c r="A15" s="57" t="s">
        <v>41</v>
      </c>
      <c r="B15" s="58" t="s">
        <v>1</v>
      </c>
      <c r="C15" s="57"/>
      <c r="D15" s="57"/>
      <c r="E15" s="58" t="s">
        <v>78</v>
      </c>
      <c r="F15" s="58" t="s">
        <v>85</v>
      </c>
      <c r="G15" s="58" t="s">
        <v>36</v>
      </c>
      <c r="H15" s="58" t="s">
        <v>10</v>
      </c>
      <c r="I15" s="59" t="s">
        <v>182</v>
      </c>
      <c r="J15" s="59"/>
      <c r="K15" s="59"/>
      <c r="L15" s="60"/>
      <c r="M15" s="61">
        <v>0</v>
      </c>
      <c r="N15" s="62">
        <v>20000</v>
      </c>
      <c r="O15" s="20"/>
      <c r="P15" s="20">
        <f>+N15*M15</f>
        <v>0</v>
      </c>
      <c r="Q15" s="20"/>
      <c r="R15" s="20"/>
      <c r="S15" s="26">
        <f t="shared" ref="S15:S16" si="1">+O15+P15+Q15+R15</f>
        <v>0</v>
      </c>
      <c r="T15" s="20"/>
      <c r="U15" s="60"/>
      <c r="V15" s="60" t="s">
        <v>181</v>
      </c>
      <c r="W15" s="60"/>
      <c r="X15" s="60"/>
      <c r="Y15" s="60"/>
    </row>
    <row r="16" spans="1:16382" ht="29" x14ac:dyDescent="0.35">
      <c r="A16" s="57" t="s">
        <v>270</v>
      </c>
      <c r="B16" s="58" t="s">
        <v>0</v>
      </c>
      <c r="C16" s="57"/>
      <c r="D16" s="57"/>
      <c r="E16" s="58" t="s">
        <v>88</v>
      </c>
      <c r="F16" s="58" t="s">
        <v>48</v>
      </c>
      <c r="G16" s="58" t="s">
        <v>46</v>
      </c>
      <c r="H16" s="58" t="s">
        <v>10</v>
      </c>
      <c r="I16" s="59" t="s">
        <v>182</v>
      </c>
      <c r="J16" s="64"/>
      <c r="K16" s="64"/>
      <c r="L16" s="60"/>
      <c r="M16" s="61">
        <v>0</v>
      </c>
      <c r="N16" s="62">
        <v>4000</v>
      </c>
      <c r="O16" s="20">
        <f>+N16*M16</f>
        <v>0</v>
      </c>
      <c r="P16" s="20"/>
      <c r="Q16" s="20"/>
      <c r="R16" s="20"/>
      <c r="S16" s="20">
        <f t="shared" si="1"/>
        <v>0</v>
      </c>
      <c r="T16" s="20"/>
      <c r="U16" s="60"/>
      <c r="V16" s="60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2026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Comercial</dc:creator>
  <cp:lastModifiedBy>Claudio Guerra</cp:lastModifiedBy>
  <cp:lastPrinted>2026-01-05T13:36:02Z</cp:lastPrinted>
  <dcterms:created xsi:type="dcterms:W3CDTF">2024-12-27T18:51:23Z</dcterms:created>
  <dcterms:modified xsi:type="dcterms:W3CDTF">2026-03-25T20:03:44Z</dcterms:modified>
</cp:coreProperties>
</file>